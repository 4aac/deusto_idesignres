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PT\"/>
    </mc:Choice>
  </mc:AlternateContent>
  <bookViews>
    <workbookView xWindow="0" yWindow="0" windowWidth="22260" windowHeight="12645" tabRatio="752"/>
  </bookViews>
  <sheets>
    <sheet name="cover" sheetId="2" r:id="rId1"/>
    <sheet name="index" sheetId="1" r:id="rId2"/>
    <sheet name="Transport" sheetId="3" r:id="rId3"/>
    <sheet name="TrRoad_act" sheetId="4" r:id="rId4"/>
    <sheet name="TrRoad_ene" sheetId="5" r:id="rId5"/>
    <sheet name="TrRoad_emi" sheetId="6" r:id="rId6"/>
    <sheet name="TrRoad_tech" sheetId="7" r:id="rId7"/>
    <sheet name="TrRail_act" sheetId="8" r:id="rId8"/>
    <sheet name="TrRail_ene" sheetId="9" r:id="rId9"/>
    <sheet name="TrRail_emi" sheetId="10" r:id="rId10"/>
    <sheet name="TrAvia_act" sheetId="11" r:id="rId11"/>
    <sheet name="TrAvia_ene" sheetId="12" r:id="rId12"/>
    <sheet name="TrAvia_emi" sheetId="13" r:id="rId13"/>
    <sheet name="TrAvia_png" sheetId="14" r:id="rId14"/>
    <sheet name="TrNavi_act" sheetId="15" r:id="rId15"/>
    <sheet name="TrNavi_ene" sheetId="16" r:id="rId16"/>
    <sheet name="TrNavi_emi" sheetId="17" r:id="rId17"/>
    <sheet name="MBunk_act" sheetId="18" r:id="rId18"/>
    <sheet name="MBunk_ene" sheetId="19" r:id="rId19"/>
    <sheet name="MBunk_emi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52" i="6" l="1"/>
  <c r="X52" i="6"/>
  <c r="Y218" i="7"/>
  <c r="X218" i="7"/>
  <c r="Y211" i="7"/>
  <c r="X211" i="7"/>
  <c r="Y205" i="7"/>
  <c r="X205" i="7"/>
  <c r="Y32" i="8"/>
  <c r="X32" i="8"/>
  <c r="X28" i="8"/>
  <c r="X88" i="8"/>
  <c r="X87" i="8"/>
  <c r="X86" i="8"/>
  <c r="X84" i="8"/>
  <c r="Y12" i="3"/>
  <c r="X12" i="3"/>
  <c r="X17" i="9"/>
  <c r="X51" i="3" s="1"/>
  <c r="Y49" i="9"/>
  <c r="Y40" i="3"/>
  <c r="X5" i="9"/>
  <c r="Y57" i="10"/>
  <c r="X68" i="10"/>
  <c r="Y32" i="10"/>
  <c r="X54" i="10"/>
  <c r="Y53" i="10"/>
  <c r="X53" i="10"/>
  <c r="Y41" i="10"/>
  <c r="Y70" i="3"/>
  <c r="X28" i="10"/>
  <c r="Y24" i="10"/>
  <c r="X24" i="10"/>
  <c r="Y58" i="11"/>
  <c r="X102" i="11"/>
  <c r="Y44" i="11"/>
  <c r="Y67" i="11"/>
  <c r="X101" i="11"/>
  <c r="Y18" i="11"/>
  <c r="X25" i="3"/>
  <c r="Y24" i="3"/>
  <c r="X24" i="3"/>
  <c r="Y23" i="3"/>
  <c r="X16" i="3"/>
  <c r="X15" i="3"/>
  <c r="Y14" i="3"/>
  <c r="Y25" i="12"/>
  <c r="Y75" i="12" s="1"/>
  <c r="X35" i="12"/>
  <c r="Y54" i="3"/>
  <c r="X54" i="3"/>
  <c r="Y53" i="3"/>
  <c r="X4" i="12"/>
  <c r="X41" i="12"/>
  <c r="Y45" i="3"/>
  <c r="X45" i="3"/>
  <c r="Y39" i="12"/>
  <c r="X48" i="13"/>
  <c r="X76" i="3"/>
  <c r="Y75" i="3"/>
  <c r="X5" i="13"/>
  <c r="Y23" i="13"/>
  <c r="Y7" i="15"/>
  <c r="X28" i="3"/>
  <c r="Y27" i="3"/>
  <c r="X27" i="3"/>
  <c r="Y15" i="17"/>
  <c r="X88" i="3"/>
  <c r="Y14" i="17"/>
  <c r="X31" i="3"/>
  <c r="Y3" i="18"/>
  <c r="Y17" i="18" s="1"/>
  <c r="Y4" i="19"/>
  <c r="Y90" i="3"/>
  <c r="X90" i="3"/>
  <c r="Y85" i="3"/>
  <c r="X85" i="3"/>
  <c r="X84" i="3"/>
  <c r="X83" i="3"/>
  <c r="Y76" i="3"/>
  <c r="Y44" i="3"/>
  <c r="X44" i="3"/>
  <c r="Y42" i="3"/>
  <c r="Y31" i="3"/>
  <c r="Y30" i="3"/>
  <c r="Y25" i="3"/>
  <c r="Y10" i="3"/>
  <c r="X15" i="10" l="1"/>
  <c r="X55" i="10" s="1"/>
  <c r="X8" i="11"/>
  <c r="X112" i="11" s="1"/>
  <c r="X27" i="9"/>
  <c r="Y69" i="11"/>
  <c r="X46" i="3"/>
  <c r="X43" i="3" s="1"/>
  <c r="X55" i="3"/>
  <c r="X207" i="3" s="1"/>
  <c r="X90" i="8"/>
  <c r="X14" i="17"/>
  <c r="X75" i="3"/>
  <c r="X227" i="3" s="1"/>
  <c r="X29" i="9"/>
  <c r="Y57" i="8"/>
  <c r="Y79" i="8" s="1"/>
  <c r="Y29" i="9"/>
  <c r="X91" i="8"/>
  <c r="X53" i="3"/>
  <c r="Y91" i="8"/>
  <c r="Y44" i="12"/>
  <c r="Y55" i="3"/>
  <c r="Y207" i="3" s="1"/>
  <c r="X31" i="9"/>
  <c r="X25" i="9"/>
  <c r="Y53" i="9"/>
  <c r="Y24" i="13"/>
  <c r="Y43" i="9"/>
  <c r="Y15" i="14"/>
  <c r="Y21" i="14" s="1"/>
  <c r="Y41" i="12"/>
  <c r="X10" i="19"/>
  <c r="X25" i="19" s="1"/>
  <c r="X19" i="12"/>
  <c r="X69" i="12" s="1"/>
  <c r="X3" i="20"/>
  <c r="X22" i="20" s="1"/>
  <c r="Y7" i="18"/>
  <c r="Y23" i="18" s="1"/>
  <c r="X240" i="3"/>
  <c r="X98" i="11"/>
  <c r="X43" i="8"/>
  <c r="X88" i="11"/>
  <c r="Y88" i="11"/>
  <c r="Y25" i="9"/>
  <c r="Y31" i="9"/>
  <c r="Y42" i="9"/>
  <c r="Y48" i="11"/>
  <c r="Y43" i="11" s="1"/>
  <c r="X15" i="14"/>
  <c r="X27" i="14" s="1"/>
  <c r="X72" i="3"/>
  <c r="X164" i="3" s="1"/>
  <c r="X25" i="12"/>
  <c r="X75" i="12" s="1"/>
  <c r="Y103" i="11"/>
  <c r="X31" i="10"/>
  <c r="X54" i="11"/>
  <c r="Y31" i="10"/>
  <c r="X49" i="9"/>
  <c r="Y98" i="11"/>
  <c r="Y92" i="11"/>
  <c r="X32" i="10"/>
  <c r="X95" i="8"/>
  <c r="X43" i="10"/>
  <c r="X65" i="10"/>
  <c r="X53" i="8"/>
  <c r="X75" i="8" s="1"/>
  <c r="X47" i="13"/>
  <c r="X77" i="11"/>
  <c r="Y68" i="10"/>
  <c r="Y53" i="8"/>
  <c r="Y75" i="8" s="1"/>
  <c r="Y88" i="8"/>
  <c r="Y3" i="15"/>
  <c r="Y19" i="15" s="1"/>
  <c r="Y13" i="14"/>
  <c r="Y19" i="14" s="1"/>
  <c r="Y99" i="11"/>
  <c r="X87" i="3"/>
  <c r="X239" i="3" s="1"/>
  <c r="X38" i="13"/>
  <c r="X78" i="11"/>
  <c r="X67" i="8"/>
  <c r="X87" i="11"/>
  <c r="Y14" i="14"/>
  <c r="Y26" i="14" s="1"/>
  <c r="Y77" i="11"/>
  <c r="Y88" i="3"/>
  <c r="Y28" i="13"/>
  <c r="X99" i="8"/>
  <c r="Y23" i="12"/>
  <c r="Y73" i="12" s="1"/>
  <c r="Y89" i="11"/>
  <c r="Y19" i="12"/>
  <c r="Y69" i="12" s="1"/>
  <c r="Y45" i="13"/>
  <c r="X79" i="11"/>
  <c r="Y5" i="9"/>
  <c r="Y4" i="9" s="1"/>
  <c r="Y55" i="8"/>
  <c r="Y77" i="8" s="1"/>
  <c r="Y67" i="8"/>
  <c r="X99" i="11"/>
  <c r="Y16" i="3"/>
  <c r="Y228" i="3" s="1"/>
  <c r="X40" i="3"/>
  <c r="X91" i="3"/>
  <c r="X89" i="3" s="1"/>
  <c r="X181" i="3" s="1"/>
  <c r="Y39" i="13"/>
  <c r="Y79" i="11"/>
  <c r="X4" i="9"/>
  <c r="X57" i="8"/>
  <c r="X79" i="8" s="1"/>
  <c r="X7" i="15"/>
  <c r="X21" i="15" s="1"/>
  <c r="X13" i="14"/>
  <c r="X19" i="14" s="1"/>
  <c r="Y15" i="3"/>
  <c r="Y227" i="3" s="1"/>
  <c r="X23" i="3"/>
  <c r="X235" i="3" s="1"/>
  <c r="X14" i="20"/>
  <c r="Y15" i="18"/>
  <c r="Y29" i="13"/>
  <c r="X18" i="11"/>
  <c r="X120" i="11" s="1"/>
  <c r="X237" i="3"/>
  <c r="Y194" i="3"/>
  <c r="Y196" i="3"/>
  <c r="Y206" i="3"/>
  <c r="Y65" i="10"/>
  <c r="X46" i="10"/>
  <c r="X36" i="9"/>
  <c r="X47" i="9"/>
  <c r="X10" i="8"/>
  <c r="X21" i="3" s="1"/>
  <c r="X203" i="3" s="1"/>
  <c r="X26" i="8"/>
  <c r="X61" i="8" s="1"/>
  <c r="Y43" i="8"/>
  <c r="X35" i="10"/>
  <c r="X50" i="10"/>
  <c r="X38" i="9"/>
  <c r="X39" i="8"/>
  <c r="X37" i="8" s="1"/>
  <c r="X51" i="8"/>
  <c r="X73" i="8" s="1"/>
  <c r="Y43" i="10"/>
  <c r="X70" i="3"/>
  <c r="X162" i="3" s="1"/>
  <c r="Y35" i="10"/>
  <c r="Y36" i="9"/>
  <c r="Y38" i="9"/>
  <c r="X6" i="8"/>
  <c r="X11" i="3" s="1"/>
  <c r="Y39" i="8"/>
  <c r="Y37" i="8" s="1"/>
  <c r="Y39" i="10"/>
  <c r="Y54" i="10"/>
  <c r="X40" i="9"/>
  <c r="X51" i="9"/>
  <c r="Y90" i="8"/>
  <c r="X55" i="8"/>
  <c r="X77" i="8" s="1"/>
  <c r="X42" i="3"/>
  <c r="X194" i="3" s="1"/>
  <c r="Y72" i="3"/>
  <c r="Y164" i="3" s="1"/>
  <c r="X61" i="10"/>
  <c r="Y40" i="9"/>
  <c r="Y51" i="9"/>
  <c r="X10" i="3"/>
  <c r="X42" i="10"/>
  <c r="X64" i="10"/>
  <c r="X13" i="9"/>
  <c r="X48" i="9" s="1"/>
  <c r="X42" i="9"/>
  <c r="X53" i="9"/>
  <c r="Y99" i="8"/>
  <c r="Y86" i="8"/>
  <c r="X10" i="16"/>
  <c r="X58" i="3" s="1"/>
  <c r="X210" i="3" s="1"/>
  <c r="X18" i="17"/>
  <c r="Y4" i="16"/>
  <c r="Y24" i="16" s="1"/>
  <c r="X4" i="16"/>
  <c r="X20" i="16" s="1"/>
  <c r="X4" i="19"/>
  <c r="Y10" i="19"/>
  <c r="Y25" i="19" s="1"/>
  <c r="X15" i="20"/>
  <c r="Y14" i="20"/>
  <c r="X14" i="3"/>
  <c r="X196" i="3" s="1"/>
  <c r="X206" i="3"/>
  <c r="Y74" i="3"/>
  <c r="Y73" i="3" s="1"/>
  <c r="Y6" i="13"/>
  <c r="Y25" i="13"/>
  <c r="X44" i="13"/>
  <c r="Y45" i="12"/>
  <c r="X31" i="12"/>
  <c r="Y14" i="11"/>
  <c r="Y116" i="11" s="1"/>
  <c r="Y24" i="11"/>
  <c r="Y96" i="11" s="1"/>
  <c r="Y102" i="11"/>
  <c r="X44" i="11"/>
  <c r="Y97" i="11"/>
  <c r="X28" i="13"/>
  <c r="Y44" i="13"/>
  <c r="Y31" i="12"/>
  <c r="Y33" i="13"/>
  <c r="Y21" i="12"/>
  <c r="Y71" i="12" s="1"/>
  <c r="Y40" i="12"/>
  <c r="Y78" i="11"/>
  <c r="Y46" i="3"/>
  <c r="X34" i="13"/>
  <c r="Y4" i="12"/>
  <c r="Y72" i="11"/>
  <c r="Y34" i="13"/>
  <c r="X93" i="11"/>
  <c r="X21" i="12"/>
  <c r="X71" i="12" s="1"/>
  <c r="X28" i="11"/>
  <c r="X68" i="11"/>
  <c r="X73" i="11"/>
  <c r="X24" i="13"/>
  <c r="Y35" i="13"/>
  <c r="X89" i="11"/>
  <c r="Y35" i="12"/>
  <c r="Y68" i="11"/>
  <c r="Y73" i="11"/>
  <c r="Y29" i="12"/>
  <c r="X14" i="11"/>
  <c r="X119" i="11" s="1"/>
  <c r="X92" i="11"/>
  <c r="X48" i="11"/>
  <c r="X236" i="3"/>
  <c r="Y47" i="13"/>
  <c r="Y27" i="13"/>
  <c r="Y83" i="3"/>
  <c r="Y235" i="3" s="1"/>
  <c r="Y10" i="13"/>
  <c r="Y37" i="13"/>
  <c r="X228" i="3"/>
  <c r="Y20" i="19"/>
  <c r="Y60" i="3"/>
  <c r="Y24" i="19"/>
  <c r="Y18" i="17"/>
  <c r="Y87" i="3"/>
  <c r="Y239" i="3" s="1"/>
  <c r="Y3" i="17"/>
  <c r="Y23" i="17" s="1"/>
  <c r="Y23" i="15"/>
  <c r="Y21" i="15"/>
  <c r="Y162" i="3"/>
  <c r="X43" i="13"/>
  <c r="X33" i="13"/>
  <c r="X23" i="13"/>
  <c r="X6" i="13"/>
  <c r="X4" i="13"/>
  <c r="X74" i="3"/>
  <c r="X3" i="18"/>
  <c r="X18" i="18" s="1"/>
  <c r="X30" i="3"/>
  <c r="X14" i="18"/>
  <c r="X18" i="20"/>
  <c r="X14" i="14"/>
  <c r="X20" i="14" s="1"/>
  <c r="X4" i="14"/>
  <c r="Y91" i="3"/>
  <c r="Y243" i="3" s="1"/>
  <c r="Y19" i="20"/>
  <c r="Y3" i="20"/>
  <c r="Y23" i="20" s="1"/>
  <c r="Y15" i="20"/>
  <c r="Y28" i="11"/>
  <c r="Y80" i="11" s="1"/>
  <c r="Y101" i="11"/>
  <c r="X4" i="10"/>
  <c r="X23" i="10"/>
  <c r="X7" i="18"/>
  <c r="Y120" i="11"/>
  <c r="Y123" i="11"/>
  <c r="Y121" i="11"/>
  <c r="Y28" i="3"/>
  <c r="Y84" i="3"/>
  <c r="Y192" i="3"/>
  <c r="Y237" i="3"/>
  <c r="Y242" i="3"/>
  <c r="Y19" i="18"/>
  <c r="X19" i="17"/>
  <c r="X11" i="17"/>
  <c r="X15" i="17"/>
  <c r="Y10" i="16"/>
  <c r="Y43" i="13"/>
  <c r="X4" i="11"/>
  <c r="X107" i="11" s="1"/>
  <c r="X91" i="11"/>
  <c r="X81" i="11"/>
  <c r="X24" i="11"/>
  <c r="X97" i="11"/>
  <c r="X58" i="11"/>
  <c r="X69" i="11"/>
  <c r="Y4" i="10"/>
  <c r="Y50" i="10"/>
  <c r="Y61" i="10"/>
  <c r="X15" i="18"/>
  <c r="X14" i="15"/>
  <c r="Y38" i="13"/>
  <c r="Y48" i="13"/>
  <c r="Y91" i="11"/>
  <c r="Y8" i="11"/>
  <c r="Y113" i="11" s="1"/>
  <c r="X52" i="9"/>
  <c r="Y29" i="3"/>
  <c r="Y123" i="3" s="1"/>
  <c r="Y222" i="3"/>
  <c r="Y10" i="20"/>
  <c r="Y14" i="15"/>
  <c r="Y5" i="13"/>
  <c r="X49" i="13"/>
  <c r="X29" i="13"/>
  <c r="X39" i="13"/>
  <c r="X43" i="12"/>
  <c r="X23" i="12"/>
  <c r="X73" i="12" s="1"/>
  <c r="X10" i="12"/>
  <c r="X45" i="12"/>
  <c r="X103" i="11"/>
  <c r="X38" i="11"/>
  <c r="X71" i="11"/>
  <c r="X82" i="11"/>
  <c r="X26" i="3"/>
  <c r="X82" i="3"/>
  <c r="Y205" i="3"/>
  <c r="Y18" i="20"/>
  <c r="Y14" i="18"/>
  <c r="Y15" i="15"/>
  <c r="X45" i="13"/>
  <c r="X35" i="13"/>
  <c r="X25" i="13"/>
  <c r="Y43" i="12"/>
  <c r="Y122" i="11"/>
  <c r="Y38" i="11"/>
  <c r="Y71" i="11"/>
  <c r="Y82" i="11"/>
  <c r="Y87" i="8"/>
  <c r="Y17" i="8"/>
  <c r="Y34" i="10"/>
  <c r="Y15" i="10"/>
  <c r="Y45" i="10"/>
  <c r="Y22" i="3"/>
  <c r="X3" i="17"/>
  <c r="X23" i="17" s="1"/>
  <c r="Y19" i="17"/>
  <c r="Y4" i="14"/>
  <c r="Y4" i="13"/>
  <c r="X39" i="12"/>
  <c r="X6" i="12"/>
  <c r="X29" i="12"/>
  <c r="X34" i="12"/>
  <c r="X24" i="12"/>
  <c r="X74" i="12" s="1"/>
  <c r="X33" i="12"/>
  <c r="X44" i="12"/>
  <c r="X67" i="11"/>
  <c r="X30" i="10"/>
  <c r="X52" i="10"/>
  <c r="X197" i="3"/>
  <c r="Y22" i="15"/>
  <c r="Y33" i="12"/>
  <c r="Y28" i="10"/>
  <c r="Y56" i="10"/>
  <c r="X50" i="9"/>
  <c r="X39" i="9"/>
  <c r="X28" i="9"/>
  <c r="X41" i="10"/>
  <c r="X19" i="20"/>
  <c r="Y18" i="18"/>
  <c r="X3" i="15"/>
  <c r="X23" i="15"/>
  <c r="X15" i="15"/>
  <c r="X37" i="13"/>
  <c r="X27" i="13"/>
  <c r="X10" i="13"/>
  <c r="X30" i="12"/>
  <c r="X20" i="12"/>
  <c r="X70" i="12" s="1"/>
  <c r="X5" i="12"/>
  <c r="X19" i="13" s="1"/>
  <c r="X40" i="12"/>
  <c r="X11" i="10"/>
  <c r="X34" i="10"/>
  <c r="X45" i="10"/>
  <c r="X56" i="10"/>
  <c r="Y28" i="9"/>
  <c r="Y39" i="9"/>
  <c r="Y13" i="9"/>
  <c r="Y50" i="9"/>
  <c r="Y30" i="12"/>
  <c r="Y20" i="12"/>
  <c r="Y70" i="12" s="1"/>
  <c r="Y5" i="12"/>
  <c r="Y34" i="12"/>
  <c r="Y24" i="12"/>
  <c r="Y74" i="12" s="1"/>
  <c r="Y87" i="11"/>
  <c r="Y4" i="11"/>
  <c r="Y81" i="11"/>
  <c r="Y30" i="10"/>
  <c r="Y11" i="10"/>
  <c r="Y32" i="9"/>
  <c r="Y54" i="8"/>
  <c r="Y76" i="8" s="1"/>
  <c r="Y98" i="8"/>
  <c r="Y58" i="8"/>
  <c r="Y80" i="8" s="1"/>
  <c r="Y102" i="8"/>
  <c r="Y101" i="8"/>
  <c r="Y49" i="13"/>
  <c r="Y93" i="11"/>
  <c r="X34" i="11"/>
  <c r="X72" i="11"/>
  <c r="Y54" i="11"/>
  <c r="Y53" i="11" s="1"/>
  <c r="X83" i="11"/>
  <c r="Y17" i="9"/>
  <c r="Y27" i="9"/>
  <c r="Y6" i="12"/>
  <c r="Y10" i="12"/>
  <c r="Y83" i="11"/>
  <c r="Y34" i="11"/>
  <c r="X9" i="10"/>
  <c r="X39" i="10"/>
  <c r="Y52" i="10"/>
  <c r="Y6" i="8"/>
  <c r="Y10" i="8"/>
  <c r="Y84" i="8"/>
  <c r="Y21" i="8"/>
  <c r="Y124" i="8" s="1"/>
  <c r="X63" i="8"/>
  <c r="Y95" i="8"/>
  <c r="Y54" i="9"/>
  <c r="X54" i="9"/>
  <c r="X43" i="9"/>
  <c r="X32" i="9"/>
  <c r="Y97" i="8"/>
  <c r="Y28" i="8"/>
  <c r="Y63" i="8" s="1"/>
  <c r="X98" i="8"/>
  <c r="X54" i="8"/>
  <c r="X76" i="8" s="1"/>
  <c r="X102" i="8"/>
  <c r="X58" i="8"/>
  <c r="X80" i="8" s="1"/>
  <c r="Y42" i="10"/>
  <c r="Y46" i="10"/>
  <c r="Y64" i="10"/>
  <c r="Y51" i="8"/>
  <c r="Y73" i="8" s="1"/>
  <c r="X57" i="10"/>
  <c r="Y47" i="9"/>
  <c r="X17" i="8"/>
  <c r="X21" i="8"/>
  <c r="X123" i="8" s="1"/>
  <c r="X97" i="8"/>
  <c r="X101" i="8"/>
  <c r="X3" i="19" l="1"/>
  <c r="X29" i="19" s="1"/>
  <c r="X96" i="8"/>
  <c r="Y3" i="19"/>
  <c r="Y28" i="19" s="1"/>
  <c r="Y11" i="20"/>
  <c r="X52" i="3"/>
  <c r="X22" i="3"/>
  <c r="X234" i="3" s="1"/>
  <c r="X80" i="11"/>
  <c r="Y57" i="3"/>
  <c r="Y209" i="3" s="1"/>
  <c r="Y20" i="16"/>
  <c r="X198" i="3"/>
  <c r="X36" i="8"/>
  <c r="X243" i="3"/>
  <c r="X3" i="16"/>
  <c r="X28" i="16" s="1"/>
  <c r="Y25" i="14"/>
  <c r="Y3" i="12"/>
  <c r="Y50" i="12" s="1"/>
  <c r="Y10" i="17"/>
  <c r="X192" i="3"/>
  <c r="Y197" i="3"/>
  <c r="Y22" i="18"/>
  <c r="X122" i="11"/>
  <c r="X41" i="3"/>
  <c r="X39" i="3" s="1"/>
  <c r="Y52" i="3"/>
  <c r="Y204" i="3" s="1"/>
  <c r="X11" i="9"/>
  <c r="X10" i="9" s="1"/>
  <c r="X57" i="9" s="1"/>
  <c r="X25" i="8"/>
  <c r="X4" i="8"/>
  <c r="X108" i="8" s="1"/>
  <c r="Y3" i="16"/>
  <c r="Y27" i="16" s="1"/>
  <c r="X23" i="20"/>
  <c r="X10" i="20"/>
  <c r="X20" i="19"/>
  <c r="X24" i="19"/>
  <c r="X60" i="3"/>
  <c r="X212" i="3" s="1"/>
  <c r="Y13" i="18"/>
  <c r="X86" i="3"/>
  <c r="X238" i="3" s="1"/>
  <c r="Y13" i="15"/>
  <c r="Y18" i="15"/>
  <c r="Y17" i="15"/>
  <c r="X22" i="15"/>
  <c r="X25" i="14"/>
  <c r="X111" i="11"/>
  <c r="X110" i="11"/>
  <c r="X90" i="11"/>
  <c r="X43" i="11"/>
  <c r="Y27" i="14"/>
  <c r="Y13" i="3"/>
  <c r="Y225" i="3" s="1"/>
  <c r="X113" i="11"/>
  <c r="Y198" i="3"/>
  <c r="X81" i="3"/>
  <c r="X233" i="3" s="1"/>
  <c r="X22" i="10"/>
  <c r="X100" i="8"/>
  <c r="X111" i="8"/>
  <c r="Y36" i="8"/>
  <c r="X41" i="9"/>
  <c r="X113" i="8"/>
  <c r="X112" i="8"/>
  <c r="X44" i="10"/>
  <c r="X118" i="11"/>
  <c r="X21" i="20"/>
  <c r="Y22" i="13"/>
  <c r="X9" i="20"/>
  <c r="X11" i="20"/>
  <c r="X22" i="17"/>
  <c r="X13" i="20"/>
  <c r="X61" i="3"/>
  <c r="X213" i="3" s="1"/>
  <c r="X205" i="3"/>
  <c r="X21" i="19"/>
  <c r="X76" i="11"/>
  <c r="Y21" i="18"/>
  <c r="X13" i="11"/>
  <c r="Y20" i="14"/>
  <c r="X117" i="11"/>
  <c r="X116" i="11"/>
  <c r="X224" i="3"/>
  <c r="Y111" i="11"/>
  <c r="Y42" i="13"/>
  <c r="Y12" i="14"/>
  <c r="Y18" i="14" s="1"/>
  <c r="X183" i="3"/>
  <c r="X182" i="3"/>
  <c r="X13" i="3"/>
  <c r="X195" i="3" s="1"/>
  <c r="X37" i="9"/>
  <c r="X3" i="12"/>
  <c r="X51" i="12" s="1"/>
  <c r="Y23" i="10"/>
  <c r="Y22" i="10"/>
  <c r="Y117" i="11"/>
  <c r="Y29" i="19"/>
  <c r="X121" i="11"/>
  <c r="Y119" i="11"/>
  <c r="X29" i="16"/>
  <c r="Y118" i="11"/>
  <c r="X53" i="11"/>
  <c r="Y76" i="11"/>
  <c r="X21" i="16"/>
  <c r="X10" i="17"/>
  <c r="X123" i="11"/>
  <c r="Y112" i="11"/>
  <c r="X21" i="14"/>
  <c r="Y13" i="11"/>
  <c r="X25" i="16"/>
  <c r="X57" i="3"/>
  <c r="X56" i="3" s="1"/>
  <c r="Y32" i="13"/>
  <c r="X24" i="16"/>
  <c r="X17" i="20"/>
  <c r="Y43" i="3"/>
  <c r="Y195" i="3" s="1"/>
  <c r="X9" i="3"/>
  <c r="X222" i="3"/>
  <c r="Y226" i="3"/>
  <c r="Y123" i="8"/>
  <c r="Y224" i="3"/>
  <c r="Y21" i="19"/>
  <c r="Y61" i="3"/>
  <c r="Y213" i="3" s="1"/>
  <c r="X70" i="11"/>
  <c r="X100" i="11"/>
  <c r="Y19" i="13"/>
  <c r="X85" i="8"/>
  <c r="X15" i="8"/>
  <c r="X49" i="10"/>
  <c r="X8" i="10"/>
  <c r="X60" i="10" s="1"/>
  <c r="Y44" i="10"/>
  <c r="Y55" i="10"/>
  <c r="Y33" i="10"/>
  <c r="Y81" i="3"/>
  <c r="X17" i="17"/>
  <c r="X13" i="17"/>
  <c r="X21" i="17"/>
  <c r="X29" i="3"/>
  <c r="X122" i="3" s="1"/>
  <c r="X242" i="3"/>
  <c r="Y89" i="3"/>
  <c r="Y183" i="3" s="1"/>
  <c r="Y122" i="8"/>
  <c r="Y89" i="8"/>
  <c r="X13" i="15"/>
  <c r="X19" i="15"/>
  <c r="X17" i="15"/>
  <c r="Y85" i="8"/>
  <c r="Y15" i="8"/>
  <c r="Y118" i="8" s="1"/>
  <c r="Y240" i="3"/>
  <c r="Y122" i="3"/>
  <c r="Y32" i="12"/>
  <c r="Y22" i="12"/>
  <c r="Y72" i="12" s="1"/>
  <c r="Y42" i="12"/>
  <c r="Y41" i="9"/>
  <c r="Y30" i="9"/>
  <c r="Y52" i="9"/>
  <c r="Y51" i="3"/>
  <c r="X18" i="15"/>
  <c r="Y70" i="11"/>
  <c r="X12" i="14"/>
  <c r="X18" i="14" s="1"/>
  <c r="X18" i="13"/>
  <c r="X3" i="13"/>
  <c r="X52" i="13" s="1"/>
  <c r="X26" i="14"/>
  <c r="X66" i="11"/>
  <c r="X26" i="13"/>
  <c r="X46" i="13"/>
  <c r="X36" i="13"/>
  <c r="Y66" i="11"/>
  <c r="Y40" i="10"/>
  <c r="Y51" i="10"/>
  <c r="Y29" i="10"/>
  <c r="Y71" i="3"/>
  <c r="X30" i="9"/>
  <c r="X106" i="11"/>
  <c r="X108" i="11"/>
  <c r="X86" i="11"/>
  <c r="X109" i="11"/>
  <c r="Y236" i="3"/>
  <c r="Y100" i="11"/>
  <c r="Y23" i="11"/>
  <c r="Y95" i="11" s="1"/>
  <c r="X73" i="3"/>
  <c r="X226" i="3"/>
  <c r="X13" i="18"/>
  <c r="X17" i="18"/>
  <c r="X19" i="18"/>
  <c r="Y27" i="19"/>
  <c r="Y23" i="19"/>
  <c r="Y19" i="19"/>
  <c r="Y112" i="8"/>
  <c r="Y100" i="8"/>
  <c r="Y56" i="8"/>
  <c r="Y78" i="8" s="1"/>
  <c r="Y111" i="8"/>
  <c r="Y21" i="3"/>
  <c r="Y28" i="12"/>
  <c r="Y18" i="12"/>
  <c r="Y68" i="12" s="1"/>
  <c r="Y38" i="12"/>
  <c r="Y113" i="8"/>
  <c r="Y106" i="11"/>
  <c r="Y107" i="11"/>
  <c r="Y109" i="11"/>
  <c r="Y86" i="11"/>
  <c r="Y48" i="9"/>
  <c r="Y26" i="9"/>
  <c r="Y37" i="9"/>
  <c r="Y41" i="3"/>
  <c r="Y11" i="9"/>
  <c r="X40" i="10"/>
  <c r="X71" i="3"/>
  <c r="X51" i="10"/>
  <c r="X29" i="10"/>
  <c r="X52" i="8"/>
  <c r="X74" i="8" s="1"/>
  <c r="Y9" i="10"/>
  <c r="Y108" i="11"/>
  <c r="X38" i="12"/>
  <c r="X28" i="12"/>
  <c r="X18" i="12"/>
  <c r="X68" i="12" s="1"/>
  <c r="Y26" i="3"/>
  <c r="X42" i="13"/>
  <c r="X32" i="13"/>
  <c r="X22" i="13"/>
  <c r="Y212" i="3"/>
  <c r="X89" i="8"/>
  <c r="X122" i="8"/>
  <c r="X124" i="8"/>
  <c r="Y96" i="8"/>
  <c r="Y52" i="8"/>
  <c r="Y74" i="8" s="1"/>
  <c r="Y4" i="8"/>
  <c r="Y107" i="8" s="1"/>
  <c r="Y11" i="3"/>
  <c r="X26" i="9"/>
  <c r="Y36" i="13"/>
  <c r="Y26" i="13"/>
  <c r="Y46" i="13"/>
  <c r="Y18" i="13"/>
  <c r="Y3" i="13"/>
  <c r="Y56" i="13" s="1"/>
  <c r="X32" i="12"/>
  <c r="X22" i="12"/>
  <c r="X72" i="12" s="1"/>
  <c r="X42" i="12"/>
  <c r="Y121" i="3"/>
  <c r="X96" i="11"/>
  <c r="X23" i="11"/>
  <c r="Y21" i="16"/>
  <c r="Y11" i="17"/>
  <c r="Y29" i="16"/>
  <c r="Y25" i="16"/>
  <c r="Y58" i="3"/>
  <c r="Y21" i="20"/>
  <c r="Y13" i="20"/>
  <c r="Y17" i="20"/>
  <c r="Y9" i="20"/>
  <c r="Y22" i="20"/>
  <c r="Y13" i="17"/>
  <c r="Y21" i="17"/>
  <c r="Y17" i="17"/>
  <c r="X33" i="10"/>
  <c r="Y82" i="3"/>
  <c r="Y234" i="3" s="1"/>
  <c r="Y26" i="8"/>
  <c r="X56" i="8"/>
  <c r="X78" i="8" s="1"/>
  <c r="Y110" i="11"/>
  <c r="Y90" i="11"/>
  <c r="X21" i="18"/>
  <c r="X22" i="18"/>
  <c r="X23" i="19"/>
  <c r="X27" i="19"/>
  <c r="X19" i="19"/>
  <c r="Y86" i="3"/>
  <c r="Y22" i="17"/>
  <c r="X23" i="18"/>
  <c r="X28" i="19"/>
  <c r="X204" i="3" l="1"/>
  <c r="X24" i="9"/>
  <c r="Y56" i="3"/>
  <c r="X38" i="10"/>
  <c r="Y49" i="12"/>
  <c r="Y47" i="12"/>
  <c r="Y48" i="12"/>
  <c r="Y55" i="12"/>
  <c r="X27" i="16"/>
  <c r="X19" i="16"/>
  <c r="Y51" i="12"/>
  <c r="X23" i="16"/>
  <c r="Y53" i="12"/>
  <c r="Y52" i="12"/>
  <c r="Y54" i="12"/>
  <c r="X9" i="17"/>
  <c r="X193" i="3"/>
  <c r="Y9" i="17"/>
  <c r="X46" i="9"/>
  <c r="X106" i="8"/>
  <c r="X107" i="8"/>
  <c r="X94" i="8"/>
  <c r="X105" i="8"/>
  <c r="Y28" i="16"/>
  <c r="Y19" i="16"/>
  <c r="X110" i="8"/>
  <c r="Y17" i="12"/>
  <c r="Y67" i="12" s="1"/>
  <c r="Y24" i="14"/>
  <c r="Y23" i="16"/>
  <c r="Y37" i="12"/>
  <c r="X95" i="11"/>
  <c r="X35" i="9"/>
  <c r="X109" i="8"/>
  <c r="X49" i="12"/>
  <c r="X209" i="3"/>
  <c r="X62" i="10"/>
  <c r="X59" i="3"/>
  <c r="X153" i="3" s="1"/>
  <c r="X225" i="3"/>
  <c r="X53" i="12"/>
  <c r="X50" i="12"/>
  <c r="X54" i="12"/>
  <c r="X52" i="12"/>
  <c r="X55" i="12"/>
  <c r="X17" i="12"/>
  <c r="X67" i="12" s="1"/>
  <c r="X118" i="8"/>
  <c r="X48" i="12"/>
  <c r="X47" i="12"/>
  <c r="Y59" i="3"/>
  <c r="Y152" i="3" s="1"/>
  <c r="X50" i="8"/>
  <c r="X72" i="8" s="1"/>
  <c r="X27" i="10"/>
  <c r="X56" i="13"/>
  <c r="Y75" i="11"/>
  <c r="Y208" i="3"/>
  <c r="Y238" i="3"/>
  <c r="Y203" i="3"/>
  <c r="Y55" i="13"/>
  <c r="Y41" i="13"/>
  <c r="Y51" i="13"/>
  <c r="Y59" i="13"/>
  <c r="Y57" i="13"/>
  <c r="Y21" i="13"/>
  <c r="Y54" i="13"/>
  <c r="Y52" i="13"/>
  <c r="Y58" i="13"/>
  <c r="Y53" i="13"/>
  <c r="X37" i="12"/>
  <c r="X24" i="14"/>
  <c r="X69" i="3"/>
  <c r="X223" i="3"/>
  <c r="X59" i="10"/>
  <c r="X48" i="10"/>
  <c r="X63" i="10"/>
  <c r="X67" i="10"/>
  <c r="X66" i="10"/>
  <c r="X75" i="11"/>
  <c r="Y241" i="3"/>
  <c r="Y117" i="8"/>
  <c r="Y116" i="8"/>
  <c r="Y83" i="8"/>
  <c r="Y14" i="8"/>
  <c r="Y121" i="8"/>
  <c r="Y119" i="8"/>
  <c r="Y120" i="8"/>
  <c r="Y69" i="3"/>
  <c r="X14" i="8"/>
  <c r="X82" i="8" s="1"/>
  <c r="X83" i="8"/>
  <c r="X116" i="8"/>
  <c r="X120" i="8"/>
  <c r="X121" i="8"/>
  <c r="X117" i="8"/>
  <c r="X119" i="8"/>
  <c r="Y223" i="3"/>
  <c r="Y9" i="3"/>
  <c r="X208" i="3"/>
  <c r="X191" i="3"/>
  <c r="X211" i="3"/>
  <c r="X151" i="3"/>
  <c r="X60" i="9"/>
  <c r="X64" i="9"/>
  <c r="X56" i="9"/>
  <c r="X62" i="9"/>
  <c r="X45" i="9"/>
  <c r="X58" i="9"/>
  <c r="X61" i="9"/>
  <c r="X63" i="9"/>
  <c r="X59" i="9"/>
  <c r="X65" i="9"/>
  <c r="Y109" i="8"/>
  <c r="Y94" i="8"/>
  <c r="Y108" i="8"/>
  <c r="Y50" i="8"/>
  <c r="Y105" i="8"/>
  <c r="Y110" i="8"/>
  <c r="Y106" i="8"/>
  <c r="Y10" i="9"/>
  <c r="Y46" i="9"/>
  <c r="Y24" i="9"/>
  <c r="Y35" i="9"/>
  <c r="X41" i="13"/>
  <c r="X51" i="13"/>
  <c r="X21" i="13"/>
  <c r="X58" i="13"/>
  <c r="X59" i="13"/>
  <c r="X54" i="13"/>
  <c r="X55" i="13"/>
  <c r="X57" i="13"/>
  <c r="X53" i="13"/>
  <c r="Y49" i="10"/>
  <c r="Y38" i="10"/>
  <c r="Y8" i="10"/>
  <c r="Y27" i="10"/>
  <c r="Y39" i="3"/>
  <c r="Y193" i="3"/>
  <c r="Y233" i="3"/>
  <c r="Y181" i="3"/>
  <c r="Y182" i="3"/>
  <c r="Y61" i="8"/>
  <c r="Y25" i="8"/>
  <c r="Y210" i="3"/>
  <c r="X241" i="3"/>
  <c r="X121" i="3"/>
  <c r="X123" i="3"/>
  <c r="X152" i="3" l="1"/>
  <c r="Y153" i="3"/>
  <c r="Y151" i="3"/>
  <c r="Y72" i="8"/>
  <c r="Y211" i="3"/>
  <c r="X23" i="9"/>
  <c r="Y191" i="3"/>
  <c r="Y221" i="3"/>
  <c r="Y82" i="8"/>
  <c r="X26" i="10"/>
  <c r="X221" i="3"/>
  <c r="Y26" i="10"/>
  <c r="Y59" i="10"/>
  <c r="Y48" i="10"/>
  <c r="Y67" i="10"/>
  <c r="Y63" i="10"/>
  <c r="Y66" i="10"/>
  <c r="Y62" i="10"/>
  <c r="Y23" i="9"/>
  <c r="Y45" i="9"/>
  <c r="Y56" i="9"/>
  <c r="Y60" i="9"/>
  <c r="Y58" i="9"/>
  <c r="Y64" i="9"/>
  <c r="Y62" i="9"/>
  <c r="Y65" i="9"/>
  <c r="Y61" i="9"/>
  <c r="Y59" i="9"/>
  <c r="Y63" i="9"/>
  <c r="Y60" i="10"/>
  <c r="Y57" i="9"/>
  <c r="A236" i="3" l="1"/>
  <c r="A61" i="3"/>
  <c r="A60" i="3"/>
  <c r="A207" i="3"/>
  <c r="K29" i="13"/>
  <c r="Q23" i="13"/>
  <c r="W91" i="3"/>
  <c r="T91" i="3"/>
  <c r="S91" i="3"/>
  <c r="R91" i="3"/>
  <c r="Q91" i="3"/>
  <c r="P91" i="3"/>
  <c r="O91" i="3"/>
  <c r="N91" i="3"/>
  <c r="L91" i="3"/>
  <c r="K91" i="3"/>
  <c r="J91" i="3"/>
  <c r="I91" i="3"/>
  <c r="H91" i="3"/>
  <c r="E91" i="3"/>
  <c r="D91" i="3"/>
  <c r="C91" i="3"/>
  <c r="B91" i="3"/>
  <c r="W90" i="3"/>
  <c r="V90" i="3"/>
  <c r="U90" i="3"/>
  <c r="S90" i="3"/>
  <c r="R90" i="3"/>
  <c r="Q90" i="3"/>
  <c r="P90" i="3"/>
  <c r="O90" i="3"/>
  <c r="N90" i="3"/>
  <c r="L90" i="3"/>
  <c r="J90" i="3"/>
  <c r="I90" i="3"/>
  <c r="H90" i="3"/>
  <c r="G90" i="3"/>
  <c r="F90" i="3"/>
  <c r="E3" i="20"/>
  <c r="E22" i="20" s="1"/>
  <c r="C90" i="3"/>
  <c r="B90" i="3"/>
  <c r="M15" i="20"/>
  <c r="G15" i="20"/>
  <c r="E15" i="20"/>
  <c r="W14" i="18"/>
  <c r="W31" i="3"/>
  <c r="U31" i="3"/>
  <c r="T31" i="3"/>
  <c r="S31" i="3"/>
  <c r="R31" i="3"/>
  <c r="Q31" i="3"/>
  <c r="P31" i="3"/>
  <c r="O31" i="3"/>
  <c r="M31" i="3"/>
  <c r="L31" i="3"/>
  <c r="K31" i="3"/>
  <c r="H31" i="3"/>
  <c r="F31" i="3"/>
  <c r="E31" i="3"/>
  <c r="D31" i="3"/>
  <c r="C31" i="3"/>
  <c r="B31" i="3"/>
  <c r="W30" i="3"/>
  <c r="S30" i="3"/>
  <c r="Q14" i="18"/>
  <c r="P18" i="20"/>
  <c r="N30" i="3"/>
  <c r="M30" i="3"/>
  <c r="K30" i="3"/>
  <c r="J30" i="3"/>
  <c r="I30" i="3"/>
  <c r="H30" i="3"/>
  <c r="G30" i="3"/>
  <c r="C30" i="3"/>
  <c r="B30" i="3"/>
  <c r="C18" i="20"/>
  <c r="B24" i="1"/>
  <c r="B26" i="1"/>
  <c r="B25" i="1"/>
  <c r="S242" i="3" l="1"/>
  <c r="C242" i="3"/>
  <c r="O14" i="18"/>
  <c r="I15" i="18"/>
  <c r="E3" i="18"/>
  <c r="E19" i="18" s="1"/>
  <c r="I7" i="18"/>
  <c r="I23" i="18" s="1"/>
  <c r="U3" i="18"/>
  <c r="U17" i="18" s="1"/>
  <c r="I23" i="13"/>
  <c r="C29" i="13"/>
  <c r="F3" i="18"/>
  <c r="F17" i="18" s="1"/>
  <c r="V3" i="18"/>
  <c r="V19" i="18" s="1"/>
  <c r="R7" i="18"/>
  <c r="R21" i="18" s="1"/>
  <c r="O25" i="13"/>
  <c r="W3" i="20"/>
  <c r="W22" i="20" s="1"/>
  <c r="J15" i="18"/>
  <c r="F15" i="18"/>
  <c r="I24" i="13"/>
  <c r="U27" i="13"/>
  <c r="F23" i="13"/>
  <c r="N7" i="18"/>
  <c r="N21" i="18" s="1"/>
  <c r="E27" i="13"/>
  <c r="D14" i="18"/>
  <c r="L14" i="18"/>
  <c r="T14" i="18"/>
  <c r="N15" i="18"/>
  <c r="V15" i="18"/>
  <c r="S29" i="13"/>
  <c r="N23" i="13"/>
  <c r="U14" i="20"/>
  <c r="G15" i="18"/>
  <c r="O243" i="3"/>
  <c r="W243" i="3"/>
  <c r="B23" i="13"/>
  <c r="J23" i="13"/>
  <c r="R23" i="13"/>
  <c r="D24" i="13"/>
  <c r="L24" i="13"/>
  <c r="T24" i="13"/>
  <c r="D29" i="13"/>
  <c r="L29" i="13"/>
  <c r="T29" i="13"/>
  <c r="V23" i="13"/>
  <c r="Q24" i="13"/>
  <c r="M27" i="13"/>
  <c r="E24" i="13"/>
  <c r="M24" i="13"/>
  <c r="U24" i="13"/>
  <c r="G25" i="13"/>
  <c r="W25" i="13"/>
  <c r="T7" i="18"/>
  <c r="T21" i="18" s="1"/>
  <c r="K14" i="18"/>
  <c r="S14" i="18"/>
  <c r="M4" i="19"/>
  <c r="M10" i="20" s="1"/>
  <c r="H25" i="13"/>
  <c r="P25" i="13"/>
  <c r="B27" i="13"/>
  <c r="J27" i="13"/>
  <c r="R27" i="13"/>
  <c r="H29" i="13"/>
  <c r="P29" i="13"/>
  <c r="N242" i="3"/>
  <c r="H243" i="3"/>
  <c r="C25" i="13"/>
  <c r="O28" i="13"/>
  <c r="M15" i="18"/>
  <c r="H242" i="3"/>
  <c r="H23" i="13"/>
  <c r="P23" i="13"/>
  <c r="B24" i="13"/>
  <c r="J24" i="13"/>
  <c r="R24" i="13"/>
  <c r="D25" i="13"/>
  <c r="L25" i="13"/>
  <c r="T25" i="13"/>
  <c r="F27" i="13"/>
  <c r="N27" i="13"/>
  <c r="V27" i="13"/>
  <c r="H28" i="13"/>
  <c r="P28" i="13"/>
  <c r="B29" i="13"/>
  <c r="J29" i="13"/>
  <c r="R29" i="13"/>
  <c r="W23" i="13"/>
  <c r="G28" i="13"/>
  <c r="C243" i="3"/>
  <c r="K243" i="3"/>
  <c r="S243" i="3"/>
  <c r="E7" i="18"/>
  <c r="E21" i="18" s="1"/>
  <c r="M7" i="18"/>
  <c r="M21" i="18" s="1"/>
  <c r="U7" i="18"/>
  <c r="U21" i="18" s="1"/>
  <c r="I4" i="19"/>
  <c r="I60" i="3" s="1"/>
  <c r="I212" i="3" s="1"/>
  <c r="K4" i="19"/>
  <c r="K24" i="19" s="1"/>
  <c r="W4" i="19"/>
  <c r="W20" i="19" s="1"/>
  <c r="G10" i="19"/>
  <c r="G11" i="20" s="1"/>
  <c r="O10" i="19"/>
  <c r="O61" i="3" s="1"/>
  <c r="O213" i="3" s="1"/>
  <c r="Q10" i="19"/>
  <c r="Q61" i="3" s="1"/>
  <c r="Q213" i="3" s="1"/>
  <c r="D3" i="20"/>
  <c r="D22" i="20" s="1"/>
  <c r="T3" i="20"/>
  <c r="T22" i="20" s="1"/>
  <c r="F3" i="20"/>
  <c r="F23" i="20" s="1"/>
  <c r="C24" i="13"/>
  <c r="K24" i="13"/>
  <c r="S24" i="13"/>
  <c r="E25" i="13"/>
  <c r="M25" i="13"/>
  <c r="U25" i="13"/>
  <c r="G27" i="13"/>
  <c r="O27" i="13"/>
  <c r="W27" i="13"/>
  <c r="I28" i="13"/>
  <c r="Q28" i="13"/>
  <c r="Q15" i="18"/>
  <c r="R18" i="20"/>
  <c r="T243" i="3"/>
  <c r="M14" i="20"/>
  <c r="F25" i="13"/>
  <c r="N25" i="13"/>
  <c r="V25" i="13"/>
  <c r="H27" i="13"/>
  <c r="P27" i="13"/>
  <c r="B28" i="13"/>
  <c r="J28" i="13"/>
  <c r="R28" i="13"/>
  <c r="R30" i="3"/>
  <c r="R242" i="3" s="1"/>
  <c r="K25" i="13"/>
  <c r="I29" i="13"/>
  <c r="B242" i="3"/>
  <c r="L243" i="3"/>
  <c r="H89" i="3"/>
  <c r="H181" i="3" s="1"/>
  <c r="C23" i="13"/>
  <c r="K23" i="13"/>
  <c r="S23" i="13"/>
  <c r="I27" i="13"/>
  <c r="Q27" i="13"/>
  <c r="C28" i="13"/>
  <c r="K28" i="13"/>
  <c r="S28" i="13"/>
  <c r="E29" i="13"/>
  <c r="M29" i="13"/>
  <c r="U29" i="13"/>
  <c r="O23" i="13"/>
  <c r="S25" i="13"/>
  <c r="Q29" i="13"/>
  <c r="D243" i="3"/>
  <c r="M3" i="18"/>
  <c r="M18" i="18" s="1"/>
  <c r="G14" i="18"/>
  <c r="D23" i="13"/>
  <c r="L23" i="13"/>
  <c r="T23" i="13"/>
  <c r="F24" i="13"/>
  <c r="N24" i="13"/>
  <c r="V24" i="13"/>
  <c r="D28" i="13"/>
  <c r="L28" i="13"/>
  <c r="T28" i="13"/>
  <c r="F29" i="13"/>
  <c r="N29" i="13"/>
  <c r="V29" i="13"/>
  <c r="C7" i="18"/>
  <c r="C21" i="18" s="1"/>
  <c r="E23" i="13"/>
  <c r="M23" i="13"/>
  <c r="U23" i="13"/>
  <c r="G24" i="13"/>
  <c r="O24" i="13"/>
  <c r="W24" i="13"/>
  <c r="I25" i="13"/>
  <c r="Q25" i="13"/>
  <c r="C27" i="13"/>
  <c r="K27" i="13"/>
  <c r="S27" i="13"/>
  <c r="E28" i="13"/>
  <c r="M28" i="13"/>
  <c r="U28" i="13"/>
  <c r="G29" i="13"/>
  <c r="O29" i="13"/>
  <c r="W29" i="13"/>
  <c r="G23" i="13"/>
  <c r="W28" i="13"/>
  <c r="L15" i="20"/>
  <c r="F4" i="19"/>
  <c r="F60" i="3" s="1"/>
  <c r="N4" i="19"/>
  <c r="N60" i="3" s="1"/>
  <c r="N212" i="3" s="1"/>
  <c r="V4" i="19"/>
  <c r="V60" i="3" s="1"/>
  <c r="H4" i="19"/>
  <c r="H60" i="3" s="1"/>
  <c r="H212" i="3" s="1"/>
  <c r="P4" i="19"/>
  <c r="P20" i="19" s="1"/>
  <c r="J10" i="19"/>
  <c r="J61" i="3" s="1"/>
  <c r="S19" i="20"/>
  <c r="H24" i="13"/>
  <c r="P24" i="13"/>
  <c r="B25" i="13"/>
  <c r="J25" i="13"/>
  <c r="R25" i="13"/>
  <c r="D27" i="13"/>
  <c r="L27" i="13"/>
  <c r="T27" i="13"/>
  <c r="F28" i="13"/>
  <c r="N28" i="13"/>
  <c r="V28" i="13"/>
  <c r="R243" i="3"/>
  <c r="I242" i="3"/>
  <c r="E243" i="3"/>
  <c r="G242" i="3"/>
  <c r="W242" i="3"/>
  <c r="Q243" i="3"/>
  <c r="K15" i="18"/>
  <c r="L19" i="20"/>
  <c r="D7" i="18"/>
  <c r="D21" i="18" s="1"/>
  <c r="K14" i="20"/>
  <c r="M3" i="20"/>
  <c r="M21" i="20" s="1"/>
  <c r="U19" i="20"/>
  <c r="Q30" i="3"/>
  <c r="Q242" i="3" s="1"/>
  <c r="A242" i="3"/>
  <c r="N31" i="3"/>
  <c r="N243" i="3" s="1"/>
  <c r="V31" i="3"/>
  <c r="J242" i="3"/>
  <c r="A243" i="3"/>
  <c r="H10" i="19"/>
  <c r="H11" i="20" s="1"/>
  <c r="E14" i="20"/>
  <c r="L7" i="18"/>
  <c r="L21" i="18" s="1"/>
  <c r="G3" i="20"/>
  <c r="G22" i="20" s="1"/>
  <c r="C4" i="19"/>
  <c r="C20" i="19" s="1"/>
  <c r="S4" i="19"/>
  <c r="S20" i="19" s="1"/>
  <c r="U4" i="19"/>
  <c r="U20" i="19" s="1"/>
  <c r="Q4" i="19"/>
  <c r="Q60" i="3" s="1"/>
  <c r="D30" i="3"/>
  <c r="L30" i="3"/>
  <c r="L242" i="3" s="1"/>
  <c r="T30" i="3"/>
  <c r="G31" i="3"/>
  <c r="G29" i="3" s="1"/>
  <c r="G122" i="3" s="1"/>
  <c r="M91" i="3"/>
  <c r="M243" i="3" s="1"/>
  <c r="U91" i="3"/>
  <c r="U243" i="3" s="1"/>
  <c r="P10" i="19"/>
  <c r="P61" i="3" s="1"/>
  <c r="P213" i="3" s="1"/>
  <c r="U3" i="20"/>
  <c r="U22" i="20" s="1"/>
  <c r="H7" i="18"/>
  <c r="H23" i="18" s="1"/>
  <c r="D4" i="19"/>
  <c r="D60" i="3" s="1"/>
  <c r="L4" i="19"/>
  <c r="L60" i="3" s="1"/>
  <c r="T4" i="19"/>
  <c r="T60" i="3" s="1"/>
  <c r="R10" i="19"/>
  <c r="R61" i="3" s="1"/>
  <c r="R213" i="3" s="1"/>
  <c r="E30" i="3"/>
  <c r="E29" i="3" s="1"/>
  <c r="U30" i="3"/>
  <c r="U242" i="3" s="1"/>
  <c r="K90" i="3"/>
  <c r="K242" i="3" s="1"/>
  <c r="F91" i="3"/>
  <c r="F243" i="3" s="1"/>
  <c r="V91" i="3"/>
  <c r="V89" i="3" s="1"/>
  <c r="B243" i="3"/>
  <c r="B10" i="19"/>
  <c r="B61" i="3" s="1"/>
  <c r="B213" i="3" s="1"/>
  <c r="O15" i="20"/>
  <c r="V3" i="20"/>
  <c r="V22" i="20" s="1"/>
  <c r="O15" i="18"/>
  <c r="W15" i="18"/>
  <c r="E4" i="19"/>
  <c r="E60" i="3" s="1"/>
  <c r="G4" i="19"/>
  <c r="G60" i="3" s="1"/>
  <c r="G212" i="3" s="1"/>
  <c r="W10" i="19"/>
  <c r="W25" i="19" s="1"/>
  <c r="F30" i="3"/>
  <c r="F242" i="3" s="1"/>
  <c r="V30" i="3"/>
  <c r="V242" i="3" s="1"/>
  <c r="I31" i="3"/>
  <c r="I243" i="3" s="1"/>
  <c r="D90" i="3"/>
  <c r="D89" i="3" s="1"/>
  <c r="D183" i="3" s="1"/>
  <c r="T90" i="3"/>
  <c r="T89" i="3" s="1"/>
  <c r="T183" i="3" s="1"/>
  <c r="G91" i="3"/>
  <c r="G89" i="3" s="1"/>
  <c r="O30" i="3"/>
  <c r="O29" i="3" s="1"/>
  <c r="J31" i="3"/>
  <c r="J29" i="3" s="1"/>
  <c r="J122" i="3" s="1"/>
  <c r="E90" i="3"/>
  <c r="E89" i="3" s="1"/>
  <c r="M90" i="3"/>
  <c r="M242" i="3" s="1"/>
  <c r="G3" i="18"/>
  <c r="G17" i="18" s="1"/>
  <c r="W3" i="18"/>
  <c r="W18" i="18" s="1"/>
  <c r="C14" i="18"/>
  <c r="K7" i="18"/>
  <c r="K21" i="18" s="1"/>
  <c r="S7" i="18"/>
  <c r="S21" i="18" s="1"/>
  <c r="E15" i="18"/>
  <c r="O4" i="19"/>
  <c r="O24" i="19" s="1"/>
  <c r="I10" i="19"/>
  <c r="I61" i="3" s="1"/>
  <c r="B18" i="20"/>
  <c r="J18" i="20"/>
  <c r="D19" i="20"/>
  <c r="L3" i="20"/>
  <c r="L23" i="20" s="1"/>
  <c r="T19" i="20"/>
  <c r="P30" i="3"/>
  <c r="P242" i="3" s="1"/>
  <c r="O89" i="3"/>
  <c r="O181" i="3" s="1"/>
  <c r="A212" i="3"/>
  <c r="A213" i="3"/>
  <c r="K29" i="3"/>
  <c r="K123" i="3" s="1"/>
  <c r="P243" i="3"/>
  <c r="H29" i="3"/>
  <c r="C29" i="3"/>
  <c r="S29" i="3"/>
  <c r="S121" i="3" s="1"/>
  <c r="A182" i="3"/>
  <c r="A183" i="3"/>
  <c r="W89" i="3"/>
  <c r="N89" i="3"/>
  <c r="N181" i="3" s="1"/>
  <c r="A122" i="3"/>
  <c r="A91" i="3"/>
  <c r="B89" i="3"/>
  <c r="B181" i="3" s="1"/>
  <c r="J89" i="3"/>
  <c r="R89" i="3"/>
  <c r="R182" i="3" s="1"/>
  <c r="A123" i="3"/>
  <c r="I89" i="3"/>
  <c r="I181" i="3" s="1"/>
  <c r="Q89" i="3"/>
  <c r="Q181" i="3" s="1"/>
  <c r="A152" i="3"/>
  <c r="A153" i="3"/>
  <c r="M29" i="3"/>
  <c r="C89" i="3"/>
  <c r="C181" i="3" s="1"/>
  <c r="S89" i="3"/>
  <c r="S181" i="3" s="1"/>
  <c r="A90" i="3"/>
  <c r="P89" i="3"/>
  <c r="P182" i="3" s="1"/>
  <c r="A237" i="3"/>
  <c r="L89" i="3"/>
  <c r="L183" i="3" s="1"/>
  <c r="B29" i="3"/>
  <c r="W29" i="3"/>
  <c r="A117" i="3"/>
  <c r="A147" i="3"/>
  <c r="A54" i="3"/>
  <c r="A176" i="3"/>
  <c r="A55" i="3"/>
  <c r="A177" i="3"/>
  <c r="A84" i="3"/>
  <c r="A206" i="3"/>
  <c r="A85" i="3"/>
  <c r="A146" i="3"/>
  <c r="A116" i="3"/>
  <c r="E17" i="18"/>
  <c r="E18" i="18"/>
  <c r="N3" i="18"/>
  <c r="N17" i="18" s="1"/>
  <c r="U14" i="18"/>
  <c r="E21" i="20"/>
  <c r="P14" i="18"/>
  <c r="J14" i="20"/>
  <c r="O3" i="20"/>
  <c r="O23" i="20" s="1"/>
  <c r="O3" i="18"/>
  <c r="O18" i="18" s="1"/>
  <c r="N3" i="20"/>
  <c r="F24" i="19"/>
  <c r="F20" i="19"/>
  <c r="L20" i="19"/>
  <c r="L10" i="20"/>
  <c r="Q25" i="19"/>
  <c r="Q21" i="19"/>
  <c r="Q14" i="20"/>
  <c r="Q3" i="20"/>
  <c r="Q22" i="20" s="1"/>
  <c r="C19" i="20"/>
  <c r="E14" i="18"/>
  <c r="M14" i="18"/>
  <c r="H18" i="20"/>
  <c r="E19" i="20"/>
  <c r="P3" i="18"/>
  <c r="P18" i="18" s="1"/>
  <c r="F7" i="18"/>
  <c r="F21" i="18" s="1"/>
  <c r="V7" i="18"/>
  <c r="V21" i="18" s="1"/>
  <c r="F14" i="18"/>
  <c r="N14" i="18"/>
  <c r="V14" i="18"/>
  <c r="H15" i="18"/>
  <c r="P15" i="18"/>
  <c r="B4" i="19"/>
  <c r="B60" i="3" s="1"/>
  <c r="J4" i="19"/>
  <c r="J60" i="3" s="1"/>
  <c r="J212" i="3" s="1"/>
  <c r="R4" i="19"/>
  <c r="R60" i="3" s="1"/>
  <c r="I18" i="20"/>
  <c r="J19" i="20"/>
  <c r="H3" i="18"/>
  <c r="H18" i="18" s="1"/>
  <c r="I3" i="18"/>
  <c r="I19" i="18" s="1"/>
  <c r="G7" i="18"/>
  <c r="G21" i="18" s="1"/>
  <c r="O7" i="18"/>
  <c r="O21" i="18" s="1"/>
  <c r="W7" i="18"/>
  <c r="W21" i="18" s="1"/>
  <c r="E13" i="18"/>
  <c r="C10" i="19"/>
  <c r="C61" i="3" s="1"/>
  <c r="C213" i="3" s="1"/>
  <c r="K10" i="19"/>
  <c r="S10" i="19"/>
  <c r="S61" i="3" s="1"/>
  <c r="S213" i="3" s="1"/>
  <c r="E10" i="19"/>
  <c r="E61" i="3" s="1"/>
  <c r="E213" i="3" s="1"/>
  <c r="M10" i="19"/>
  <c r="M61" i="3" s="1"/>
  <c r="M213" i="3" s="1"/>
  <c r="U10" i="19"/>
  <c r="U61" i="3" s="1"/>
  <c r="U213" i="3" s="1"/>
  <c r="K18" i="20"/>
  <c r="K19" i="20"/>
  <c r="I14" i="20"/>
  <c r="I3" i="20"/>
  <c r="I23" i="20" s="1"/>
  <c r="B3" i="18"/>
  <c r="B18" i="18" s="1"/>
  <c r="R3" i="18"/>
  <c r="R19" i="18" s="1"/>
  <c r="P7" i="18"/>
  <c r="P21" i="18" s="1"/>
  <c r="H14" i="18"/>
  <c r="B15" i="18"/>
  <c r="R15" i="18"/>
  <c r="D10" i="19"/>
  <c r="L10" i="19"/>
  <c r="T10" i="19"/>
  <c r="R14" i="20"/>
  <c r="M19" i="20"/>
  <c r="K15" i="20"/>
  <c r="K3" i="20"/>
  <c r="K22" i="20" s="1"/>
  <c r="Q3" i="18"/>
  <c r="Q18" i="18" s="1"/>
  <c r="C3" i="18"/>
  <c r="C19" i="18" s="1"/>
  <c r="U18" i="18"/>
  <c r="Q7" i="18"/>
  <c r="Q21" i="18" s="1"/>
  <c r="E23" i="18"/>
  <c r="I14" i="18"/>
  <c r="C15" i="18"/>
  <c r="S15" i="18"/>
  <c r="F18" i="20"/>
  <c r="F14" i="20"/>
  <c r="N18" i="20"/>
  <c r="N14" i="20"/>
  <c r="V18" i="20"/>
  <c r="V14" i="20"/>
  <c r="H19" i="20"/>
  <c r="H15" i="20"/>
  <c r="P19" i="20"/>
  <c r="P15" i="20"/>
  <c r="S14" i="20"/>
  <c r="T15" i="20"/>
  <c r="Q18" i="20"/>
  <c r="R19" i="20"/>
  <c r="C15" i="20"/>
  <c r="C3" i="20"/>
  <c r="C23" i="20" s="1"/>
  <c r="J3" i="18"/>
  <c r="J18" i="18" s="1"/>
  <c r="K3" i="18"/>
  <c r="K19" i="18" s="1"/>
  <c r="S3" i="18"/>
  <c r="S18" i="18" s="1"/>
  <c r="D3" i="18"/>
  <c r="D18" i="18" s="1"/>
  <c r="L3" i="18"/>
  <c r="T3" i="18"/>
  <c r="T18" i="18" s="1"/>
  <c r="B7" i="18"/>
  <c r="B22" i="18" s="1"/>
  <c r="J7" i="18"/>
  <c r="J21" i="18" s="1"/>
  <c r="D14" i="20"/>
  <c r="L14" i="20"/>
  <c r="T14" i="20"/>
  <c r="F15" i="20"/>
  <c r="N15" i="20"/>
  <c r="V15" i="20"/>
  <c r="B14" i="18"/>
  <c r="J14" i="18"/>
  <c r="R14" i="18"/>
  <c r="D15" i="18"/>
  <c r="L15" i="18"/>
  <c r="T15" i="18"/>
  <c r="F10" i="19"/>
  <c r="F61" i="3" s="1"/>
  <c r="N10" i="19"/>
  <c r="V10" i="19"/>
  <c r="E17" i="20"/>
  <c r="E13" i="20"/>
  <c r="G18" i="20"/>
  <c r="G14" i="20"/>
  <c r="O18" i="20"/>
  <c r="O14" i="20"/>
  <c r="W18" i="20"/>
  <c r="W14" i="20"/>
  <c r="I19" i="20"/>
  <c r="I15" i="20"/>
  <c r="Q19" i="20"/>
  <c r="Q15" i="20"/>
  <c r="B14" i="20"/>
  <c r="U15" i="20"/>
  <c r="S18" i="20"/>
  <c r="S15" i="20"/>
  <c r="S3" i="20"/>
  <c r="S23" i="20" s="1"/>
  <c r="E22" i="18"/>
  <c r="U15" i="18"/>
  <c r="H14" i="20"/>
  <c r="H3" i="20"/>
  <c r="H22" i="20" s="1"/>
  <c r="P14" i="20"/>
  <c r="P3" i="20"/>
  <c r="P22" i="20" s="1"/>
  <c r="B15" i="20"/>
  <c r="B3" i="20"/>
  <c r="J15" i="20"/>
  <c r="J3" i="20"/>
  <c r="J23" i="20" s="1"/>
  <c r="R15" i="20"/>
  <c r="C14" i="20"/>
  <c r="D15" i="20"/>
  <c r="W15" i="20"/>
  <c r="B19" i="20"/>
  <c r="D18" i="20"/>
  <c r="L18" i="20"/>
  <c r="T18" i="20"/>
  <c r="F19" i="20"/>
  <c r="N19" i="20"/>
  <c r="V19" i="20"/>
  <c r="E18" i="20"/>
  <c r="M18" i="20"/>
  <c r="U18" i="20"/>
  <c r="G19" i="20"/>
  <c r="O19" i="20"/>
  <c r="W19" i="20"/>
  <c r="E23" i="20"/>
  <c r="R3" i="20"/>
  <c r="R25" i="19" l="1"/>
  <c r="W23" i="20"/>
  <c r="M22" i="20"/>
  <c r="I22" i="18"/>
  <c r="I21" i="18"/>
  <c r="N29" i="3"/>
  <c r="N241" i="3" s="1"/>
  <c r="J11" i="20"/>
  <c r="M23" i="20"/>
  <c r="R21" i="19"/>
  <c r="P10" i="20"/>
  <c r="W24" i="19"/>
  <c r="N13" i="20"/>
  <c r="U19" i="18"/>
  <c r="G18" i="18"/>
  <c r="H20" i="19"/>
  <c r="K23" i="18"/>
  <c r="F22" i="20"/>
  <c r="H25" i="19"/>
  <c r="F18" i="18"/>
  <c r="Q10" i="20"/>
  <c r="G25" i="19"/>
  <c r="D21" i="20"/>
  <c r="O11" i="20"/>
  <c r="N20" i="19"/>
  <c r="U24" i="19"/>
  <c r="Q24" i="19"/>
  <c r="G23" i="20"/>
  <c r="O21" i="19"/>
  <c r="P24" i="19"/>
  <c r="N23" i="18"/>
  <c r="T23" i="18"/>
  <c r="R23" i="18"/>
  <c r="W17" i="20"/>
  <c r="R22" i="18"/>
  <c r="N24" i="19"/>
  <c r="N10" i="20"/>
  <c r="W10" i="20"/>
  <c r="T22" i="18"/>
  <c r="K20" i="19"/>
  <c r="T20" i="19"/>
  <c r="H3" i="19"/>
  <c r="H29" i="19" s="1"/>
  <c r="M24" i="19"/>
  <c r="R212" i="3"/>
  <c r="L23" i="18"/>
  <c r="F19" i="18"/>
  <c r="N22" i="18"/>
  <c r="Q11" i="20"/>
  <c r="F89" i="3"/>
  <c r="F181" i="3" s="1"/>
  <c r="U29" i="3"/>
  <c r="U123" i="3" s="1"/>
  <c r="M23" i="18"/>
  <c r="S23" i="18"/>
  <c r="S22" i="18"/>
  <c r="D23" i="20"/>
  <c r="I213" i="3"/>
  <c r="M22" i="18"/>
  <c r="G24" i="19"/>
  <c r="L21" i="20"/>
  <c r="W3" i="19"/>
  <c r="W28" i="19" s="1"/>
  <c r="S10" i="20"/>
  <c r="R29" i="3"/>
  <c r="R123" i="3" s="1"/>
  <c r="J21" i="19"/>
  <c r="T24" i="19"/>
  <c r="W19" i="18"/>
  <c r="G19" i="18"/>
  <c r="H19" i="18"/>
  <c r="V17" i="18"/>
  <c r="V17" i="20"/>
  <c r="Q212" i="3"/>
  <c r="V18" i="18"/>
  <c r="W17" i="18"/>
  <c r="Q20" i="19"/>
  <c r="P3" i="19"/>
  <c r="P23" i="19" s="1"/>
  <c r="F10" i="20"/>
  <c r="W21" i="20"/>
  <c r="K10" i="20"/>
  <c r="O25" i="19"/>
  <c r="Q3" i="19"/>
  <c r="Q29" i="19" s="1"/>
  <c r="M20" i="19"/>
  <c r="G20" i="19"/>
  <c r="F23" i="18"/>
  <c r="R11" i="20"/>
  <c r="F59" i="3"/>
  <c r="F151" i="3" s="1"/>
  <c r="M3" i="19"/>
  <c r="M27" i="19" s="1"/>
  <c r="G21" i="20"/>
  <c r="Q29" i="3"/>
  <c r="Q123" i="3" s="1"/>
  <c r="R18" i="18"/>
  <c r="C22" i="20"/>
  <c r="W11" i="20"/>
  <c r="B11" i="20"/>
  <c r="B25" i="19"/>
  <c r="M13" i="20"/>
  <c r="J25" i="19"/>
  <c r="I25" i="19"/>
  <c r="W60" i="3"/>
  <c r="W212" i="3" s="1"/>
  <c r="B21" i="19"/>
  <c r="M17" i="18"/>
  <c r="T10" i="20"/>
  <c r="L24" i="19"/>
  <c r="M60" i="3"/>
  <c r="M212" i="3" s="1"/>
  <c r="K60" i="3"/>
  <c r="K212" i="3" s="1"/>
  <c r="P29" i="3"/>
  <c r="P123" i="3" s="1"/>
  <c r="T212" i="3"/>
  <c r="G61" i="3"/>
  <c r="G213" i="3" s="1"/>
  <c r="K122" i="3"/>
  <c r="G21" i="19"/>
  <c r="H10" i="20"/>
  <c r="E24" i="19"/>
  <c r="C22" i="18"/>
  <c r="D10" i="20"/>
  <c r="V20" i="19"/>
  <c r="H183" i="3"/>
  <c r="D24" i="19"/>
  <c r="I20" i="19"/>
  <c r="O23" i="18"/>
  <c r="N17" i="20"/>
  <c r="D20" i="19"/>
  <c r="V24" i="19"/>
  <c r="T29" i="3"/>
  <c r="T122" i="3" s="1"/>
  <c r="G3" i="19"/>
  <c r="G9" i="20" s="1"/>
  <c r="M19" i="18"/>
  <c r="E20" i="19"/>
  <c r="N23" i="20"/>
  <c r="C23" i="18"/>
  <c r="L17" i="20"/>
  <c r="U23" i="18"/>
  <c r="L22" i="20"/>
  <c r="F17" i="20"/>
  <c r="C10" i="20"/>
  <c r="H22" i="18"/>
  <c r="M13" i="18"/>
  <c r="I24" i="19"/>
  <c r="E10" i="20"/>
  <c r="V10" i="20"/>
  <c r="I10" i="20"/>
  <c r="N21" i="20"/>
  <c r="U13" i="18"/>
  <c r="H21" i="18"/>
  <c r="G17" i="20"/>
  <c r="K22" i="18"/>
  <c r="F21" i="20"/>
  <c r="U22" i="18"/>
  <c r="F13" i="20"/>
  <c r="T23" i="20"/>
  <c r="T21" i="20"/>
  <c r="T13" i="20"/>
  <c r="M17" i="20"/>
  <c r="H24" i="19"/>
  <c r="G10" i="20"/>
  <c r="M89" i="3"/>
  <c r="M241" i="3" s="1"/>
  <c r="H182" i="3"/>
  <c r="Q183" i="3"/>
  <c r="S19" i="18"/>
  <c r="O242" i="3"/>
  <c r="P60" i="3"/>
  <c r="P212" i="3" s="1"/>
  <c r="G243" i="3"/>
  <c r="F13" i="18"/>
  <c r="Q59" i="3"/>
  <c r="Q153" i="3" s="1"/>
  <c r="J241" i="3"/>
  <c r="S122" i="3"/>
  <c r="J243" i="3"/>
  <c r="S22" i="20"/>
  <c r="Q19" i="18"/>
  <c r="S123" i="3"/>
  <c r="J121" i="3"/>
  <c r="N22" i="20"/>
  <c r="U89" i="3"/>
  <c r="U183" i="3" s="1"/>
  <c r="J123" i="3"/>
  <c r="D242" i="3"/>
  <c r="V181" i="3"/>
  <c r="V182" i="3"/>
  <c r="Q23" i="20"/>
  <c r="O17" i="20"/>
  <c r="L13" i="20"/>
  <c r="P25" i="19"/>
  <c r="I21" i="19"/>
  <c r="V21" i="20"/>
  <c r="D22" i="18"/>
  <c r="D11" i="20"/>
  <c r="D61" i="3"/>
  <c r="D213" i="3" s="1"/>
  <c r="N13" i="18"/>
  <c r="I3" i="19"/>
  <c r="I27" i="19" s="1"/>
  <c r="F29" i="3"/>
  <c r="F122" i="3" s="1"/>
  <c r="R59" i="3"/>
  <c r="R153" i="3" s="1"/>
  <c r="S182" i="3"/>
  <c r="T242" i="3"/>
  <c r="V243" i="3"/>
  <c r="B212" i="3"/>
  <c r="B59" i="3"/>
  <c r="B152" i="3" s="1"/>
  <c r="D23" i="18"/>
  <c r="E59" i="3"/>
  <c r="E211" i="3" s="1"/>
  <c r="F213" i="3"/>
  <c r="O10" i="20"/>
  <c r="O60" i="3"/>
  <c r="U21" i="20"/>
  <c r="G23" i="18"/>
  <c r="N3" i="19"/>
  <c r="N28" i="19" s="1"/>
  <c r="N61" i="3"/>
  <c r="G13" i="18"/>
  <c r="O17" i="18"/>
  <c r="K11" i="20"/>
  <c r="K61" i="3"/>
  <c r="D29" i="3"/>
  <c r="D241" i="3" s="1"/>
  <c r="E242" i="3"/>
  <c r="U13" i="20"/>
  <c r="L29" i="3"/>
  <c r="L241" i="3" s="1"/>
  <c r="K89" i="3"/>
  <c r="K181" i="3" s="1"/>
  <c r="W21" i="19"/>
  <c r="W61" i="3"/>
  <c r="W213" i="3" s="1"/>
  <c r="H21" i="19"/>
  <c r="H61" i="3"/>
  <c r="V23" i="20"/>
  <c r="O3" i="19"/>
  <c r="O19" i="19" s="1"/>
  <c r="S11" i="20"/>
  <c r="U17" i="20"/>
  <c r="N18" i="18"/>
  <c r="C11" i="20"/>
  <c r="P11" i="20"/>
  <c r="D13" i="20"/>
  <c r="E3" i="19"/>
  <c r="E9" i="20" s="1"/>
  <c r="E11" i="20"/>
  <c r="I29" i="3"/>
  <c r="I241" i="3" s="1"/>
  <c r="U10" i="20"/>
  <c r="U60" i="3"/>
  <c r="V3" i="19"/>
  <c r="V28" i="19" s="1"/>
  <c r="V61" i="3"/>
  <c r="U23" i="20"/>
  <c r="O19" i="18"/>
  <c r="V23" i="18"/>
  <c r="L22" i="18"/>
  <c r="T3" i="19"/>
  <c r="T23" i="19" s="1"/>
  <c r="T61" i="3"/>
  <c r="T59" i="3" s="1"/>
  <c r="N19" i="18"/>
  <c r="C18" i="18"/>
  <c r="O20" i="19"/>
  <c r="P21" i="19"/>
  <c r="I11" i="20"/>
  <c r="V29" i="3"/>
  <c r="V123" i="3" s="1"/>
  <c r="I59" i="3"/>
  <c r="I152" i="3" s="1"/>
  <c r="Q182" i="3"/>
  <c r="L212" i="3"/>
  <c r="E212" i="3"/>
  <c r="F212" i="3"/>
  <c r="S24" i="19"/>
  <c r="S60" i="3"/>
  <c r="J213" i="3"/>
  <c r="L11" i="20"/>
  <c r="L61" i="3"/>
  <c r="J59" i="3"/>
  <c r="J151" i="3" s="1"/>
  <c r="D212" i="3"/>
  <c r="C24" i="19"/>
  <c r="C60" i="3"/>
  <c r="V212" i="3"/>
  <c r="H121" i="3"/>
  <c r="H241" i="3"/>
  <c r="H122" i="3"/>
  <c r="G121" i="3"/>
  <c r="G241" i="3"/>
  <c r="K121" i="3"/>
  <c r="V183" i="3"/>
  <c r="B121" i="3"/>
  <c r="B241" i="3"/>
  <c r="I183" i="3"/>
  <c r="O121" i="3"/>
  <c r="O241" i="3"/>
  <c r="E121" i="3"/>
  <c r="E241" i="3"/>
  <c r="S241" i="3"/>
  <c r="B182" i="3"/>
  <c r="N182" i="3"/>
  <c r="O182" i="3"/>
  <c r="O183" i="3"/>
  <c r="W121" i="3"/>
  <c r="W241" i="3"/>
  <c r="B122" i="3"/>
  <c r="C123" i="3"/>
  <c r="C241" i="3"/>
  <c r="B183" i="3"/>
  <c r="H123" i="3"/>
  <c r="F183" i="3"/>
  <c r="C122" i="3"/>
  <c r="C182" i="3"/>
  <c r="E181" i="3"/>
  <c r="E182" i="3"/>
  <c r="C121" i="3"/>
  <c r="G181" i="3"/>
  <c r="G183" i="3"/>
  <c r="G182" i="3"/>
  <c r="T181" i="3"/>
  <c r="T182" i="3"/>
  <c r="S183" i="3"/>
  <c r="N183" i="3"/>
  <c r="J183" i="3"/>
  <c r="J181" i="3"/>
  <c r="P181" i="3"/>
  <c r="P183" i="3"/>
  <c r="L181" i="3"/>
  <c r="L182" i="3"/>
  <c r="W181" i="3"/>
  <c r="W182" i="3"/>
  <c r="W183" i="3"/>
  <c r="E183" i="3"/>
  <c r="D181" i="3"/>
  <c r="D182" i="3"/>
  <c r="R183" i="3"/>
  <c r="R181" i="3"/>
  <c r="I182" i="3"/>
  <c r="C183" i="3"/>
  <c r="J182" i="3"/>
  <c r="M123" i="3"/>
  <c r="M121" i="3"/>
  <c r="O123" i="3"/>
  <c r="E123" i="3"/>
  <c r="W123" i="3"/>
  <c r="G123" i="3"/>
  <c r="B123" i="3"/>
  <c r="W122" i="3"/>
  <c r="M122" i="3"/>
  <c r="E122" i="3"/>
  <c r="O122" i="3"/>
  <c r="P23" i="20"/>
  <c r="D17" i="20"/>
  <c r="J22" i="18"/>
  <c r="P19" i="18"/>
  <c r="O21" i="20"/>
  <c r="O22" i="20"/>
  <c r="J23" i="18"/>
  <c r="B19" i="18"/>
  <c r="V13" i="20"/>
  <c r="T17" i="20"/>
  <c r="L18" i="18"/>
  <c r="J17" i="18"/>
  <c r="J13" i="18"/>
  <c r="C25" i="19"/>
  <c r="C21" i="19"/>
  <c r="C3" i="19"/>
  <c r="C9" i="20" s="1"/>
  <c r="J19" i="18"/>
  <c r="T11" i="20"/>
  <c r="W22" i="18"/>
  <c r="L3" i="19"/>
  <c r="L29" i="19" s="1"/>
  <c r="F21" i="19"/>
  <c r="F11" i="20"/>
  <c r="F25" i="19"/>
  <c r="W23" i="18"/>
  <c r="K21" i="20"/>
  <c r="K17" i="20"/>
  <c r="K13" i="20"/>
  <c r="T25" i="19"/>
  <c r="T21" i="19"/>
  <c r="Q22" i="18"/>
  <c r="K25" i="19"/>
  <c r="K21" i="19"/>
  <c r="K3" i="19"/>
  <c r="P21" i="20"/>
  <c r="P17" i="20"/>
  <c r="P13" i="20"/>
  <c r="C21" i="20"/>
  <c r="C17" i="20"/>
  <c r="C13" i="20"/>
  <c r="L25" i="19"/>
  <c r="L21" i="19"/>
  <c r="R17" i="18"/>
  <c r="R13" i="18"/>
  <c r="I13" i="18"/>
  <c r="I17" i="18"/>
  <c r="W13" i="18"/>
  <c r="F22" i="18"/>
  <c r="R21" i="20"/>
  <c r="R17" i="20"/>
  <c r="R13" i="20"/>
  <c r="R22" i="20"/>
  <c r="J21" i="20"/>
  <c r="J17" i="20"/>
  <c r="J13" i="20"/>
  <c r="T17" i="18"/>
  <c r="T19" i="18"/>
  <c r="T13" i="18"/>
  <c r="D25" i="19"/>
  <c r="D21" i="19"/>
  <c r="B17" i="18"/>
  <c r="B13" i="18"/>
  <c r="U21" i="19"/>
  <c r="U25" i="19"/>
  <c r="H17" i="18"/>
  <c r="H13" i="18"/>
  <c r="R24" i="19"/>
  <c r="R20" i="19"/>
  <c r="R3" i="19"/>
  <c r="R9" i="20" s="1"/>
  <c r="P13" i="18"/>
  <c r="P17" i="18"/>
  <c r="R10" i="20"/>
  <c r="P23" i="18"/>
  <c r="O13" i="18"/>
  <c r="B21" i="20"/>
  <c r="B17" i="20"/>
  <c r="B13" i="20"/>
  <c r="J22" i="20"/>
  <c r="L17" i="18"/>
  <c r="L13" i="18"/>
  <c r="I21" i="20"/>
  <c r="I17" i="20"/>
  <c r="I13" i="20"/>
  <c r="M21" i="19"/>
  <c r="M25" i="19"/>
  <c r="J24" i="19"/>
  <c r="J20" i="19"/>
  <c r="J3" i="19"/>
  <c r="J9" i="20" s="1"/>
  <c r="J10" i="20"/>
  <c r="Q21" i="20"/>
  <c r="Q17" i="20"/>
  <c r="Q13" i="20"/>
  <c r="D3" i="19"/>
  <c r="D29" i="19" s="1"/>
  <c r="P22" i="18"/>
  <c r="K23" i="20"/>
  <c r="I22" i="20"/>
  <c r="K18" i="18"/>
  <c r="K17" i="18"/>
  <c r="K13" i="18"/>
  <c r="B22" i="20"/>
  <c r="R23" i="20"/>
  <c r="B23" i="20"/>
  <c r="V21" i="19"/>
  <c r="V11" i="20"/>
  <c r="V25" i="19"/>
  <c r="B21" i="18"/>
  <c r="B23" i="18"/>
  <c r="D17" i="18"/>
  <c r="D13" i="18"/>
  <c r="D19" i="18"/>
  <c r="C17" i="18"/>
  <c r="C13" i="18"/>
  <c r="E21" i="19"/>
  <c r="E25" i="19"/>
  <c r="U11" i="20"/>
  <c r="B24" i="19"/>
  <c r="B20" i="19"/>
  <c r="B3" i="19"/>
  <c r="B9" i="20" s="1"/>
  <c r="G13" i="20"/>
  <c r="B10" i="20"/>
  <c r="Q23" i="18"/>
  <c r="O22" i="18"/>
  <c r="G22" i="18"/>
  <c r="F3" i="19"/>
  <c r="H21" i="20"/>
  <c r="H17" i="20"/>
  <c r="H13" i="20"/>
  <c r="H23" i="20"/>
  <c r="S21" i="20"/>
  <c r="S17" i="20"/>
  <c r="S13" i="20"/>
  <c r="N21" i="19"/>
  <c r="N25" i="19"/>
  <c r="N11" i="20"/>
  <c r="S17" i="18"/>
  <c r="S13" i="18"/>
  <c r="U3" i="19"/>
  <c r="Q13" i="18"/>
  <c r="Q17" i="18"/>
  <c r="O13" i="20"/>
  <c r="L19" i="18"/>
  <c r="S25" i="19"/>
  <c r="S21" i="19"/>
  <c r="S3" i="19"/>
  <c r="S9" i="20" s="1"/>
  <c r="W13" i="20"/>
  <c r="M11" i="20"/>
  <c r="V22" i="18"/>
  <c r="V13" i="18"/>
  <c r="I18" i="18"/>
  <c r="E23" i="19" l="1"/>
  <c r="E27" i="19"/>
  <c r="Q9" i="20"/>
  <c r="U121" i="3"/>
  <c r="N27" i="19"/>
  <c r="N121" i="3"/>
  <c r="U122" i="3"/>
  <c r="N123" i="3"/>
  <c r="N122" i="3"/>
  <c r="N19" i="19"/>
  <c r="F182" i="3"/>
  <c r="N9" i="20"/>
  <c r="M9" i="20"/>
  <c r="N29" i="19"/>
  <c r="M28" i="19"/>
  <c r="M29" i="19"/>
  <c r="W9" i="20"/>
  <c r="W29" i="19"/>
  <c r="M19" i="19"/>
  <c r="H27" i="19"/>
  <c r="M23" i="19"/>
  <c r="Q23" i="19"/>
  <c r="H19" i="19"/>
  <c r="H23" i="19"/>
  <c r="H28" i="19"/>
  <c r="G27" i="19"/>
  <c r="P9" i="20"/>
  <c r="H9" i="20"/>
  <c r="G28" i="19"/>
  <c r="W27" i="19"/>
  <c r="P27" i="19"/>
  <c r="W19" i="19"/>
  <c r="W23" i="19"/>
  <c r="R241" i="3"/>
  <c r="R121" i="3"/>
  <c r="R122" i="3"/>
  <c r="F241" i="3"/>
  <c r="Q122" i="3"/>
  <c r="L121" i="3"/>
  <c r="P121" i="3"/>
  <c r="Q121" i="3"/>
  <c r="T123" i="3"/>
  <c r="P122" i="3"/>
  <c r="Q241" i="3"/>
  <c r="U182" i="3"/>
  <c r="T241" i="3"/>
  <c r="K183" i="3"/>
  <c r="E28" i="19"/>
  <c r="M182" i="3"/>
  <c r="F152" i="3"/>
  <c r="D123" i="3"/>
  <c r="F153" i="3"/>
  <c r="Q27" i="19"/>
  <c r="E153" i="3"/>
  <c r="Q28" i="19"/>
  <c r="P59" i="3"/>
  <c r="P211" i="3" s="1"/>
  <c r="Q19" i="19"/>
  <c r="L123" i="3"/>
  <c r="M59" i="3"/>
  <c r="M152" i="3" s="1"/>
  <c r="O9" i="20"/>
  <c r="Q151" i="3"/>
  <c r="P29" i="19"/>
  <c r="P28" i="19"/>
  <c r="Q152" i="3"/>
  <c r="G59" i="3"/>
  <c r="M181" i="3"/>
  <c r="O27" i="19"/>
  <c r="E152" i="3"/>
  <c r="T121" i="3"/>
  <c r="E151" i="3"/>
  <c r="I122" i="3"/>
  <c r="M183" i="3"/>
  <c r="Q211" i="3"/>
  <c r="P19" i="19"/>
  <c r="I121" i="3"/>
  <c r="R211" i="3"/>
  <c r="O23" i="19"/>
  <c r="K182" i="3"/>
  <c r="E29" i="19"/>
  <c r="O28" i="19"/>
  <c r="E19" i="19"/>
  <c r="P241" i="3"/>
  <c r="F121" i="3"/>
  <c r="D122" i="3"/>
  <c r="J211" i="3"/>
  <c r="V19" i="19"/>
  <c r="J153" i="3"/>
  <c r="D121" i="3"/>
  <c r="F211" i="3"/>
  <c r="J152" i="3"/>
  <c r="G29" i="19"/>
  <c r="F123" i="3"/>
  <c r="V27" i="19"/>
  <c r="U181" i="3"/>
  <c r="G19" i="19"/>
  <c r="I153" i="3"/>
  <c r="U241" i="3"/>
  <c r="I211" i="3"/>
  <c r="G23" i="19"/>
  <c r="I23" i="19"/>
  <c r="I151" i="3"/>
  <c r="I28" i="19"/>
  <c r="T19" i="19"/>
  <c r="T27" i="19"/>
  <c r="I123" i="3"/>
  <c r="W59" i="3"/>
  <c r="W211" i="3" s="1"/>
  <c r="K241" i="3"/>
  <c r="L122" i="3"/>
  <c r="T151" i="3"/>
  <c r="T152" i="3"/>
  <c r="T211" i="3"/>
  <c r="O29" i="19"/>
  <c r="I19" i="19"/>
  <c r="V121" i="3"/>
  <c r="C212" i="3"/>
  <c r="C59" i="3"/>
  <c r="T29" i="19"/>
  <c r="T28" i="19"/>
  <c r="V241" i="3"/>
  <c r="R152" i="3"/>
  <c r="R151" i="3"/>
  <c r="I9" i="20"/>
  <c r="T9" i="20"/>
  <c r="V122" i="3"/>
  <c r="V59" i="3"/>
  <c r="V213" i="3"/>
  <c r="H213" i="3"/>
  <c r="H59" i="3"/>
  <c r="N59" i="3"/>
  <c r="N213" i="3"/>
  <c r="L59" i="3"/>
  <c r="L213" i="3"/>
  <c r="V23" i="19"/>
  <c r="N23" i="19"/>
  <c r="T213" i="3"/>
  <c r="T153" i="3"/>
  <c r="U212" i="3"/>
  <c r="U59" i="3"/>
  <c r="B151" i="3"/>
  <c r="B211" i="3"/>
  <c r="B153" i="3"/>
  <c r="D59" i="3"/>
  <c r="I29" i="19"/>
  <c r="V29" i="19"/>
  <c r="V9" i="20"/>
  <c r="S59" i="3"/>
  <c r="S212" i="3"/>
  <c r="K59" i="3"/>
  <c r="K213" i="3"/>
  <c r="O59" i="3"/>
  <c r="O212" i="3"/>
  <c r="C29" i="19"/>
  <c r="K27" i="19"/>
  <c r="K23" i="19"/>
  <c r="K19" i="19"/>
  <c r="K28" i="19"/>
  <c r="F27" i="19"/>
  <c r="F23" i="19"/>
  <c r="F19" i="19"/>
  <c r="F28" i="19"/>
  <c r="F9" i="20"/>
  <c r="K29" i="19"/>
  <c r="U27" i="19"/>
  <c r="U23" i="19"/>
  <c r="U19" i="19"/>
  <c r="U9" i="20"/>
  <c r="U28" i="19"/>
  <c r="K9" i="20"/>
  <c r="U29" i="19"/>
  <c r="D27" i="19"/>
  <c r="D23" i="19"/>
  <c r="D19" i="19"/>
  <c r="D28" i="19"/>
  <c r="D9" i="20"/>
  <c r="L27" i="19"/>
  <c r="L23" i="19"/>
  <c r="L19" i="19"/>
  <c r="L9" i="20"/>
  <c r="L28" i="19"/>
  <c r="B19" i="19"/>
  <c r="B27" i="19"/>
  <c r="B23" i="19"/>
  <c r="B29" i="19"/>
  <c r="B28" i="19"/>
  <c r="R19" i="19"/>
  <c r="R27" i="19"/>
  <c r="R23" i="19"/>
  <c r="R29" i="19"/>
  <c r="C27" i="19"/>
  <c r="C19" i="19"/>
  <c r="C23" i="19"/>
  <c r="C28" i="19"/>
  <c r="J19" i="19"/>
  <c r="J27" i="19"/>
  <c r="J23" i="19"/>
  <c r="J29" i="19"/>
  <c r="S27" i="19"/>
  <c r="S19" i="19"/>
  <c r="S23" i="19"/>
  <c r="S28" i="19"/>
  <c r="S29" i="19"/>
  <c r="J28" i="19"/>
  <c r="R28" i="19"/>
  <c r="F29" i="19"/>
  <c r="M211" i="3" l="1"/>
  <c r="M151" i="3"/>
  <c r="P153" i="3"/>
  <c r="P151" i="3"/>
  <c r="P152" i="3"/>
  <c r="M153" i="3"/>
  <c r="G211" i="3"/>
  <c r="G152" i="3"/>
  <c r="G151" i="3"/>
  <c r="G153" i="3"/>
  <c r="W153" i="3"/>
  <c r="W151" i="3"/>
  <c r="W152" i="3"/>
  <c r="N152" i="3"/>
  <c r="N151" i="3"/>
  <c r="N211" i="3"/>
  <c r="N153" i="3"/>
  <c r="H153" i="3"/>
  <c r="H211" i="3"/>
  <c r="H151" i="3"/>
  <c r="H152" i="3"/>
  <c r="C153" i="3"/>
  <c r="C151" i="3"/>
  <c r="C211" i="3"/>
  <c r="C152" i="3"/>
  <c r="O152" i="3"/>
  <c r="O151" i="3"/>
  <c r="O153" i="3"/>
  <c r="O211" i="3"/>
  <c r="D151" i="3"/>
  <c r="D211" i="3"/>
  <c r="D152" i="3"/>
  <c r="D153" i="3"/>
  <c r="V151" i="3"/>
  <c r="V211" i="3"/>
  <c r="V153" i="3"/>
  <c r="V152" i="3"/>
  <c r="K152" i="3"/>
  <c r="K151" i="3"/>
  <c r="K211" i="3"/>
  <c r="K153" i="3"/>
  <c r="L153" i="3"/>
  <c r="L152" i="3"/>
  <c r="L151" i="3"/>
  <c r="L211" i="3"/>
  <c r="S152" i="3"/>
  <c r="S151" i="3"/>
  <c r="S211" i="3"/>
  <c r="S153" i="3"/>
  <c r="U152" i="3"/>
  <c r="U153" i="3"/>
  <c r="U151" i="3"/>
  <c r="U211" i="3"/>
  <c r="W35" i="10" l="1"/>
  <c r="V35" i="10"/>
  <c r="U35" i="10"/>
  <c r="S35" i="10"/>
  <c r="R35" i="10"/>
  <c r="Q35" i="10"/>
  <c r="P35" i="10"/>
  <c r="O35" i="10"/>
  <c r="N35" i="10"/>
  <c r="M35" i="10"/>
  <c r="K35" i="10"/>
  <c r="J35" i="10"/>
  <c r="I35" i="10"/>
  <c r="H35" i="10"/>
  <c r="G35" i="10"/>
  <c r="F35" i="10"/>
  <c r="E35" i="10"/>
  <c r="C35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D31" i="10"/>
  <c r="C31" i="10"/>
  <c r="V11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35" i="10"/>
  <c r="B32" i="10"/>
  <c r="B31" i="10"/>
  <c r="B28" i="10"/>
  <c r="W24" i="10"/>
  <c r="V24" i="10"/>
  <c r="U24" i="10"/>
  <c r="T24" i="10"/>
  <c r="S24" i="10"/>
  <c r="Q24" i="10"/>
  <c r="P24" i="10"/>
  <c r="O24" i="10"/>
  <c r="N24" i="10"/>
  <c r="M24" i="10"/>
  <c r="L24" i="10"/>
  <c r="K24" i="10"/>
  <c r="I24" i="10"/>
  <c r="H24" i="10"/>
  <c r="G24" i="10"/>
  <c r="F24" i="10"/>
  <c r="E24" i="10"/>
  <c r="D24" i="10"/>
  <c r="C24" i="10"/>
  <c r="S4" i="10"/>
  <c r="K4" i="10"/>
  <c r="C4" i="10"/>
  <c r="B24" i="10"/>
  <c r="P17" i="9" l="1"/>
  <c r="T4" i="10"/>
  <c r="H17" i="9"/>
  <c r="Q17" i="9"/>
  <c r="E4" i="10"/>
  <c r="M4" i="10"/>
  <c r="U4" i="10"/>
  <c r="I17" i="9"/>
  <c r="F17" i="9"/>
  <c r="N17" i="9"/>
  <c r="G11" i="10"/>
  <c r="G9" i="10" s="1"/>
  <c r="O11" i="10"/>
  <c r="O9" i="10" s="1"/>
  <c r="V17" i="9"/>
  <c r="I11" i="10"/>
  <c r="Q11" i="10"/>
  <c r="Q9" i="10" s="1"/>
  <c r="G15" i="10"/>
  <c r="O15" i="10"/>
  <c r="W15" i="10"/>
  <c r="V9" i="10"/>
  <c r="F15" i="10"/>
  <c r="C11" i="10"/>
  <c r="C9" i="10" s="1"/>
  <c r="K11" i="10"/>
  <c r="K9" i="10" s="1"/>
  <c r="S11" i="10"/>
  <c r="S9" i="10" s="1"/>
  <c r="J15" i="10"/>
  <c r="D15" i="10"/>
  <c r="D35" i="10"/>
  <c r="L15" i="10"/>
  <c r="L35" i="10"/>
  <c r="T15" i="10"/>
  <c r="T35" i="10"/>
  <c r="R15" i="10"/>
  <c r="H11" i="10"/>
  <c r="H31" i="10"/>
  <c r="J11" i="10"/>
  <c r="R11" i="10"/>
  <c r="F11" i="10"/>
  <c r="N11" i="10"/>
  <c r="P11" i="10"/>
  <c r="M17" i="9"/>
  <c r="U17" i="9"/>
  <c r="J17" i="9"/>
  <c r="R17" i="9"/>
  <c r="C15" i="10"/>
  <c r="K15" i="10"/>
  <c r="S15" i="10"/>
  <c r="D4" i="10"/>
  <c r="L4" i="10"/>
  <c r="W11" i="10"/>
  <c r="E15" i="10"/>
  <c r="M15" i="10"/>
  <c r="U15" i="10"/>
  <c r="H15" i="10"/>
  <c r="P15" i="10"/>
  <c r="E17" i="9"/>
  <c r="N15" i="10"/>
  <c r="V15" i="10"/>
  <c r="J4" i="10"/>
  <c r="R4" i="10"/>
  <c r="D11" i="10"/>
  <c r="L11" i="10"/>
  <c r="T11" i="10"/>
  <c r="J24" i="10"/>
  <c r="R24" i="10"/>
  <c r="F4" i="10"/>
  <c r="N4" i="10"/>
  <c r="V4" i="10"/>
  <c r="I4" i="10"/>
  <c r="Q4" i="10"/>
  <c r="C17" i="9"/>
  <c r="O4" i="10"/>
  <c r="M11" i="10"/>
  <c r="I15" i="10"/>
  <c r="Q15" i="10"/>
  <c r="K17" i="9"/>
  <c r="S17" i="9"/>
  <c r="G4" i="10"/>
  <c r="W4" i="10"/>
  <c r="E11" i="10"/>
  <c r="E9" i="10" s="1"/>
  <c r="U11" i="10"/>
  <c r="D17" i="9"/>
  <c r="L17" i="9"/>
  <c r="T17" i="9"/>
  <c r="G17" i="9"/>
  <c r="O17" i="9"/>
  <c r="W17" i="9"/>
  <c r="H4" i="10"/>
  <c r="P4" i="10"/>
  <c r="O8" i="10" l="1"/>
  <c r="N9" i="10"/>
  <c r="N8" i="10" s="1"/>
  <c r="M9" i="10"/>
  <c r="G8" i="10"/>
  <c r="F9" i="10"/>
  <c r="W9" i="10"/>
  <c r="R9" i="10"/>
  <c r="E8" i="10"/>
  <c r="Q8" i="10"/>
  <c r="T9" i="10"/>
  <c r="J9" i="10"/>
  <c r="V8" i="10"/>
  <c r="L9" i="10"/>
  <c r="S8" i="10"/>
  <c r="I9" i="10"/>
  <c r="U9" i="10"/>
  <c r="U8" i="10" s="1"/>
  <c r="H9" i="10"/>
  <c r="D9" i="10"/>
  <c r="P9" i="10"/>
  <c r="K8" i="10"/>
  <c r="C8" i="10"/>
  <c r="M8" i="10" l="1"/>
  <c r="J8" i="10"/>
  <c r="D8" i="10"/>
  <c r="H8" i="10"/>
  <c r="R8" i="10"/>
  <c r="L8" i="10"/>
  <c r="W8" i="10"/>
  <c r="P8" i="10"/>
  <c r="I8" i="10"/>
  <c r="T8" i="10"/>
  <c r="F8" i="10"/>
  <c r="W30" i="10" l="1"/>
  <c r="W34" i="10" l="1"/>
  <c r="U30" i="10" l="1"/>
  <c r="U34" i="10"/>
  <c r="V34" i="10" l="1"/>
  <c r="T30" i="10" l="1"/>
  <c r="T34" i="10"/>
  <c r="S34" i="10" l="1"/>
  <c r="S30" i="10" l="1"/>
  <c r="V30" i="10" l="1"/>
  <c r="I34" i="10" l="1"/>
  <c r="I30" i="10"/>
  <c r="J34" i="10" l="1"/>
  <c r="H30" i="10" l="1"/>
  <c r="H34" i="10"/>
  <c r="K34" i="10" l="1"/>
  <c r="J30" i="10"/>
  <c r="K30" i="10" l="1"/>
  <c r="G30" i="10"/>
  <c r="G34" i="10" l="1"/>
  <c r="F30" i="10" l="1"/>
  <c r="F34" i="10"/>
  <c r="L34" i="10" l="1"/>
  <c r="M34" i="10"/>
  <c r="L30" i="10"/>
  <c r="E34" i="10" l="1"/>
  <c r="M30" i="10"/>
  <c r="E30" i="10" l="1"/>
  <c r="N34" i="10" l="1"/>
  <c r="D34" i="10" l="1"/>
  <c r="D30" i="10"/>
  <c r="N30" i="10"/>
  <c r="C30" i="10" l="1"/>
  <c r="C34" i="10"/>
  <c r="O34" i="10"/>
  <c r="O30" i="10" l="1"/>
  <c r="B30" i="10" l="1"/>
  <c r="P30" i="10" l="1"/>
  <c r="B34" i="10"/>
  <c r="P34" i="10" l="1"/>
  <c r="Q30" i="10" l="1"/>
  <c r="Q34" i="10"/>
  <c r="R34" i="10" l="1"/>
  <c r="R30" i="10" l="1"/>
  <c r="Q15" i="17" l="1"/>
  <c r="I15" i="17"/>
  <c r="G14" i="17" l="1"/>
  <c r="O14" i="17"/>
  <c r="W14" i="17"/>
  <c r="F14" i="17"/>
  <c r="N14" i="17"/>
  <c r="V14" i="17"/>
  <c r="H15" i="17"/>
  <c r="P15" i="17"/>
  <c r="H14" i="17"/>
  <c r="P14" i="17"/>
  <c r="B15" i="17"/>
  <c r="J15" i="17"/>
  <c r="R15" i="17"/>
  <c r="I14" i="17"/>
  <c r="Q14" i="17"/>
  <c r="C15" i="17"/>
  <c r="K15" i="17"/>
  <c r="S15" i="17"/>
  <c r="B14" i="17"/>
  <c r="J14" i="17"/>
  <c r="R14" i="17"/>
  <c r="D15" i="17"/>
  <c r="L15" i="17"/>
  <c r="T15" i="17"/>
  <c r="C14" i="17"/>
  <c r="K14" i="17"/>
  <c r="S14" i="17"/>
  <c r="E15" i="17"/>
  <c r="M15" i="17"/>
  <c r="U15" i="17"/>
  <c r="D14" i="17"/>
  <c r="L14" i="17"/>
  <c r="T14" i="17"/>
  <c r="F15" i="17"/>
  <c r="N15" i="17"/>
  <c r="V15" i="17"/>
  <c r="E14" i="17"/>
  <c r="M14" i="17"/>
  <c r="U14" i="17"/>
  <c r="G15" i="17"/>
  <c r="O15" i="17"/>
  <c r="W15" i="17"/>
  <c r="W99" i="8"/>
  <c r="W98" i="8"/>
  <c r="W97" i="8"/>
  <c r="W90" i="8"/>
  <c r="W87" i="8"/>
  <c r="W58" i="8"/>
  <c r="W80" i="8" s="1"/>
  <c r="W53" i="8"/>
  <c r="W75" i="8" s="1"/>
  <c r="W51" i="8"/>
  <c r="W73" i="8" s="1"/>
  <c r="W43" i="8"/>
  <c r="W39" i="8"/>
  <c r="W37" i="8" s="1"/>
  <c r="W32" i="8"/>
  <c r="W67" i="8" s="1"/>
  <c r="W28" i="8"/>
  <c r="W21" i="8"/>
  <c r="W86" i="8"/>
  <c r="W17" i="8"/>
  <c r="W29" i="10" s="1"/>
  <c r="W84" i="8"/>
  <c r="W57" i="8"/>
  <c r="W79" i="8" s="1"/>
  <c r="W55" i="8"/>
  <c r="W77" i="8" s="1"/>
  <c r="W54" i="8"/>
  <c r="W76" i="8" s="1"/>
  <c r="W6" i="8"/>
  <c r="W4" i="8" s="1"/>
  <c r="W105" i="8" s="1"/>
  <c r="W218" i="7"/>
  <c r="W211" i="7"/>
  <c r="W205" i="7"/>
  <c r="W52" i="6"/>
  <c r="W88" i="3"/>
  <c r="W87" i="3"/>
  <c r="W85" i="3"/>
  <c r="W84" i="3"/>
  <c r="W83" i="3"/>
  <c r="W76" i="3"/>
  <c r="W75" i="3"/>
  <c r="W74" i="3"/>
  <c r="W72" i="3"/>
  <c r="W164" i="3" s="1"/>
  <c r="W70" i="3"/>
  <c r="W162" i="3" s="1"/>
  <c r="W55" i="3"/>
  <c r="W54" i="3"/>
  <c r="W53" i="3"/>
  <c r="W46" i="3"/>
  <c r="W45" i="3"/>
  <c r="W44" i="3"/>
  <c r="W42" i="3"/>
  <c r="W40" i="3"/>
  <c r="W28" i="3"/>
  <c r="W27" i="3"/>
  <c r="W25" i="3"/>
  <c r="W24" i="3"/>
  <c r="W23" i="3"/>
  <c r="W16" i="3"/>
  <c r="W15" i="3"/>
  <c r="W14" i="3"/>
  <c r="W12" i="3"/>
  <c r="W10" i="3"/>
  <c r="W53" i="9"/>
  <c r="W51" i="9"/>
  <c r="W50" i="9"/>
  <c r="W49" i="9"/>
  <c r="W47" i="9"/>
  <c r="W42" i="9"/>
  <c r="W40" i="9"/>
  <c r="W38" i="9"/>
  <c r="W31" i="9"/>
  <c r="W28" i="9"/>
  <c r="W51" i="3"/>
  <c r="W29" i="9"/>
  <c r="W27" i="9"/>
  <c r="W13" i="9"/>
  <c r="W36" i="9"/>
  <c r="W5" i="9"/>
  <c r="W68" i="10"/>
  <c r="W43" i="10"/>
  <c r="W42" i="10"/>
  <c r="W41" i="10"/>
  <c r="W46" i="10"/>
  <c r="W56" i="10"/>
  <c r="W54" i="10"/>
  <c r="W64" i="10"/>
  <c r="W39" i="10"/>
  <c r="W101" i="11"/>
  <c r="W92" i="11"/>
  <c r="W82" i="11"/>
  <c r="W73" i="11"/>
  <c r="W71" i="11"/>
  <c r="W58" i="11"/>
  <c r="W54" i="11"/>
  <c r="W48" i="11"/>
  <c r="W44" i="11"/>
  <c r="W38" i="11"/>
  <c r="W72" i="11"/>
  <c r="W69" i="11"/>
  <c r="W68" i="11"/>
  <c r="W28" i="11"/>
  <c r="W102" i="11"/>
  <c r="W99" i="11"/>
  <c r="W98" i="11"/>
  <c r="W97" i="11"/>
  <c r="W83" i="11"/>
  <c r="W81" i="11"/>
  <c r="W18" i="11"/>
  <c r="W79" i="11"/>
  <c r="W14" i="11"/>
  <c r="W117" i="11" s="1"/>
  <c r="W93" i="11"/>
  <c r="W8" i="11"/>
  <c r="W4" i="11"/>
  <c r="W44" i="12"/>
  <c r="W35" i="12"/>
  <c r="W33" i="12"/>
  <c r="W29" i="12"/>
  <c r="W25" i="12"/>
  <c r="W75" i="12" s="1"/>
  <c r="W23" i="12"/>
  <c r="W73" i="12" s="1"/>
  <c r="W19" i="12"/>
  <c r="W69" i="12" s="1"/>
  <c r="W45" i="12"/>
  <c r="W41" i="12"/>
  <c r="W6" i="12"/>
  <c r="W4" i="12"/>
  <c r="W39" i="13"/>
  <c r="W37" i="13"/>
  <c r="W47" i="13"/>
  <c r="W45" i="13"/>
  <c r="W34" i="13"/>
  <c r="W43" i="13"/>
  <c r="W6" i="13"/>
  <c r="W4" i="13"/>
  <c r="W15" i="14"/>
  <c r="W14" i="14"/>
  <c r="W20" i="14" s="1"/>
  <c r="W4" i="14"/>
  <c r="W14" i="15"/>
  <c r="W10" i="16"/>
  <c r="W58" i="3" s="1"/>
  <c r="W4" i="16"/>
  <c r="W57" i="3" s="1"/>
  <c r="W19" i="17"/>
  <c r="W37" i="9" l="1"/>
  <c r="W11" i="3"/>
  <c r="W22" i="13"/>
  <c r="W80" i="11"/>
  <c r="W53" i="11"/>
  <c r="W70" i="11"/>
  <c r="W100" i="11"/>
  <c r="W122" i="8"/>
  <c r="W33" i="10"/>
  <c r="W224" i="3"/>
  <c r="W240" i="3"/>
  <c r="W36" i="8"/>
  <c r="W43" i="11"/>
  <c r="W239" i="3"/>
  <c r="W226" i="3"/>
  <c r="W73" i="3"/>
  <c r="W82" i="3"/>
  <c r="W86" i="3"/>
  <c r="W235" i="3"/>
  <c r="W209" i="3"/>
  <c r="W210" i="3"/>
  <c r="W192" i="3"/>
  <c r="W11" i="9"/>
  <c r="W35" i="9" s="1"/>
  <c r="W194" i="3"/>
  <c r="W123" i="8"/>
  <c r="W4" i="9"/>
  <c r="W22" i="10" s="1"/>
  <c r="W23" i="10"/>
  <c r="W41" i="3"/>
  <c r="W107" i="8"/>
  <c r="W124" i="8"/>
  <c r="W108" i="8"/>
  <c r="W110" i="8"/>
  <c r="W85" i="8"/>
  <c r="W106" i="8"/>
  <c r="W96" i="8"/>
  <c r="W227" i="3"/>
  <c r="W26" i="3"/>
  <c r="W18" i="13"/>
  <c r="W43" i="3"/>
  <c r="W122" i="11"/>
  <c r="W207" i="3"/>
  <c r="W22" i="3"/>
  <c r="W121" i="11"/>
  <c r="W63" i="8"/>
  <c r="W26" i="8"/>
  <c r="W94" i="8" s="1"/>
  <c r="W88" i="8"/>
  <c r="W52" i="8"/>
  <c r="W89" i="8"/>
  <c r="W109" i="8"/>
  <c r="W15" i="8"/>
  <c r="W91" i="8"/>
  <c r="W101" i="8"/>
  <c r="W102" i="8"/>
  <c r="W95" i="8"/>
  <c r="W9" i="3"/>
  <c r="W10" i="8"/>
  <c r="W113" i="8" s="1"/>
  <c r="W52" i="3"/>
  <c r="W196" i="3"/>
  <c r="W206" i="3"/>
  <c r="W228" i="3"/>
  <c r="W236" i="3"/>
  <c r="W197" i="3"/>
  <c r="W205" i="3"/>
  <c r="W198" i="3"/>
  <c r="W56" i="3"/>
  <c r="W237" i="3"/>
  <c r="W13" i="3"/>
  <c r="W222" i="3"/>
  <c r="W21" i="14"/>
  <c r="W27" i="14"/>
  <c r="W108" i="11"/>
  <c r="W109" i="11"/>
  <c r="W90" i="11"/>
  <c r="W113" i="11"/>
  <c r="W111" i="11"/>
  <c r="W110" i="11"/>
  <c r="W106" i="11"/>
  <c r="W112" i="11"/>
  <c r="W52" i="9"/>
  <c r="W30" i="9"/>
  <c r="W20" i="16"/>
  <c r="W3" i="16"/>
  <c r="W29" i="16" s="1"/>
  <c r="W24" i="16"/>
  <c r="W10" i="17"/>
  <c r="W25" i="16"/>
  <c r="W21" i="16"/>
  <c r="W11" i="17"/>
  <c r="W119" i="11"/>
  <c r="W13" i="11"/>
  <c r="W116" i="11"/>
  <c r="W3" i="15"/>
  <c r="W19" i="15" s="1"/>
  <c r="W15" i="15"/>
  <c r="W44" i="13"/>
  <c r="W5" i="13"/>
  <c r="W3" i="13" s="1"/>
  <c r="W5" i="12"/>
  <c r="W24" i="12"/>
  <c r="W74" i="12" s="1"/>
  <c r="W34" i="12"/>
  <c r="W43" i="12"/>
  <c r="W24" i="11"/>
  <c r="W86" i="11" s="1"/>
  <c r="W34" i="11"/>
  <c r="W91" i="11"/>
  <c r="W120" i="11"/>
  <c r="W57" i="10"/>
  <c r="W39" i="9"/>
  <c r="W48" i="9"/>
  <c r="W3" i="17"/>
  <c r="W7" i="15"/>
  <c r="W21" i="15" s="1"/>
  <c r="W38" i="13"/>
  <c r="W18" i="12"/>
  <c r="W68" i="12" s="1"/>
  <c r="W28" i="12"/>
  <c r="W71" i="3"/>
  <c r="W13" i="14"/>
  <c r="W25" i="14" s="1"/>
  <c r="W67" i="11"/>
  <c r="W103" i="11"/>
  <c r="W123" i="11"/>
  <c r="W52" i="10"/>
  <c r="W32" i="9"/>
  <c r="W18" i="17"/>
  <c r="W26" i="14"/>
  <c r="W32" i="13"/>
  <c r="W49" i="13"/>
  <c r="W20" i="12"/>
  <c r="W70" i="12" s="1"/>
  <c r="W30" i="12"/>
  <c r="W39" i="12"/>
  <c r="W77" i="11"/>
  <c r="W87" i="11"/>
  <c r="W53" i="10"/>
  <c r="W25" i="9"/>
  <c r="W43" i="9"/>
  <c r="W10" i="13"/>
  <c r="W26" i="13" s="1"/>
  <c r="W33" i="13"/>
  <c r="W10" i="12"/>
  <c r="W21" i="12"/>
  <c r="W71" i="12" s="1"/>
  <c r="W31" i="12"/>
  <c r="W40" i="12"/>
  <c r="W78" i="11"/>
  <c r="W88" i="11"/>
  <c r="W107" i="11"/>
  <c r="W45" i="10"/>
  <c r="W26" i="9"/>
  <c r="W50" i="10"/>
  <c r="W48" i="13"/>
  <c r="W89" i="11"/>
  <c r="W118" i="11"/>
  <c r="W81" i="3"/>
  <c r="W54" i="9"/>
  <c r="W35" i="13"/>
  <c r="V218" i="7"/>
  <c r="U218" i="7"/>
  <c r="T218" i="7"/>
  <c r="S218" i="7"/>
  <c r="R218" i="7"/>
  <c r="Q218" i="7"/>
  <c r="P218" i="7"/>
  <c r="O218" i="7"/>
  <c r="N218" i="7"/>
  <c r="M218" i="7"/>
  <c r="L218" i="7"/>
  <c r="J218" i="7"/>
  <c r="I218" i="7"/>
  <c r="H218" i="7"/>
  <c r="G218" i="7"/>
  <c r="F218" i="7"/>
  <c r="E218" i="7"/>
  <c r="D218" i="7"/>
  <c r="C218" i="7"/>
  <c r="B218" i="7"/>
  <c r="V211" i="7"/>
  <c r="U211" i="7"/>
  <c r="T211" i="7"/>
  <c r="S211" i="7"/>
  <c r="R211" i="7"/>
  <c r="Q211" i="7"/>
  <c r="P211" i="7"/>
  <c r="O211" i="7"/>
  <c r="N211" i="7"/>
  <c r="M211" i="7"/>
  <c r="L211" i="7"/>
  <c r="J211" i="7"/>
  <c r="I211" i="7"/>
  <c r="H211" i="7"/>
  <c r="G211" i="7"/>
  <c r="F211" i="7"/>
  <c r="E211" i="7"/>
  <c r="D211" i="7"/>
  <c r="C211" i="7"/>
  <c r="B211" i="7"/>
  <c r="V205" i="7"/>
  <c r="U205" i="7"/>
  <c r="T205" i="7"/>
  <c r="S205" i="7"/>
  <c r="R205" i="7"/>
  <c r="Q205" i="7"/>
  <c r="P205" i="7"/>
  <c r="O205" i="7"/>
  <c r="N205" i="7"/>
  <c r="M205" i="7"/>
  <c r="L205" i="7"/>
  <c r="J205" i="7"/>
  <c r="I205" i="7"/>
  <c r="H205" i="7"/>
  <c r="G205" i="7"/>
  <c r="F205" i="7"/>
  <c r="E205" i="7"/>
  <c r="D205" i="7"/>
  <c r="C205" i="7"/>
  <c r="B205" i="7"/>
  <c r="K205" i="7"/>
  <c r="K211" i="7"/>
  <c r="W10" i="9" l="1"/>
  <c r="W38" i="12"/>
  <c r="W42" i="13"/>
  <c r="W21" i="13"/>
  <c r="W23" i="17"/>
  <c r="W13" i="17"/>
  <c r="W118" i="8"/>
  <c r="W27" i="10"/>
  <c r="W234" i="3"/>
  <c r="W39" i="3"/>
  <c r="W191" i="3" s="1"/>
  <c r="W195" i="3"/>
  <c r="W238" i="3"/>
  <c r="W41" i="9"/>
  <c r="W24" i="9"/>
  <c r="W46" i="9"/>
  <c r="W69" i="3"/>
  <c r="W223" i="3"/>
  <c r="W60" i="9"/>
  <c r="W58" i="9"/>
  <c r="W64" i="9"/>
  <c r="W61" i="9"/>
  <c r="W62" i="9"/>
  <c r="W59" i="9"/>
  <c r="W65" i="9"/>
  <c r="W193" i="3"/>
  <c r="W57" i="9"/>
  <c r="W63" i="9"/>
  <c r="W120" i="8"/>
  <c r="W121" i="8"/>
  <c r="W119" i="8"/>
  <c r="W117" i="8"/>
  <c r="W112" i="8"/>
  <c r="W74" i="8"/>
  <c r="W50" i="8"/>
  <c r="W28" i="16"/>
  <c r="W54" i="13"/>
  <c r="W52" i="13"/>
  <c r="W12" i="14"/>
  <c r="W24" i="14" s="1"/>
  <c r="W116" i="8"/>
  <c r="W83" i="8"/>
  <c r="W14" i="8"/>
  <c r="W56" i="8"/>
  <c r="W78" i="8" s="1"/>
  <c r="W21" i="3"/>
  <c r="W203" i="3" s="1"/>
  <c r="W111" i="8"/>
  <c r="W100" i="8"/>
  <c r="W25" i="8"/>
  <c r="W45" i="9" s="1"/>
  <c r="W61" i="8"/>
  <c r="W208" i="3"/>
  <c r="W225" i="3"/>
  <c r="W204" i="3"/>
  <c r="W19" i="14"/>
  <c r="W55" i="10"/>
  <c r="W44" i="10"/>
  <c r="W38" i="10"/>
  <c r="W49" i="10"/>
  <c r="W59" i="13"/>
  <c r="W46" i="13"/>
  <c r="W56" i="13"/>
  <c r="W36" i="13"/>
  <c r="W42" i="12"/>
  <c r="W32" i="12"/>
  <c r="W22" i="12"/>
  <c r="W72" i="12" s="1"/>
  <c r="W3" i="12"/>
  <c r="W62" i="10"/>
  <c r="W51" i="10"/>
  <c r="W40" i="10"/>
  <c r="W66" i="11"/>
  <c r="W19" i="13"/>
  <c r="W23" i="15"/>
  <c r="W53" i="13"/>
  <c r="W51" i="13"/>
  <c r="W57" i="13"/>
  <c r="W55" i="13"/>
  <c r="W23" i="11"/>
  <c r="W95" i="11" s="1"/>
  <c r="W96" i="11"/>
  <c r="W76" i="11"/>
  <c r="W22" i="17"/>
  <c r="W21" i="17"/>
  <c r="W17" i="17"/>
  <c r="W9" i="17"/>
  <c r="W58" i="13"/>
  <c r="W56" i="9"/>
  <c r="W13" i="15"/>
  <c r="W18" i="15"/>
  <c r="W17" i="15"/>
  <c r="W19" i="16"/>
  <c r="W27" i="16"/>
  <c r="W23" i="16"/>
  <c r="W22" i="15"/>
  <c r="K218" i="7"/>
  <c r="V52" i="6"/>
  <c r="U52" i="6"/>
  <c r="M52" i="6"/>
  <c r="E52" i="6"/>
  <c r="D52" i="6"/>
  <c r="T52" i="6"/>
  <c r="S52" i="6"/>
  <c r="R52" i="6"/>
  <c r="Q52" i="6"/>
  <c r="P52" i="6"/>
  <c r="O52" i="6"/>
  <c r="N52" i="6"/>
  <c r="K52" i="6"/>
  <c r="J52" i="6"/>
  <c r="I52" i="6"/>
  <c r="H52" i="6"/>
  <c r="G52" i="6"/>
  <c r="F52" i="6"/>
  <c r="C52" i="6"/>
  <c r="B52" i="6"/>
  <c r="W52" i="12" l="1"/>
  <c r="W23" i="9"/>
  <c r="W26" i="10"/>
  <c r="W18" i="14"/>
  <c r="W60" i="10"/>
  <c r="W65" i="10"/>
  <c r="W61" i="10"/>
  <c r="W63" i="10"/>
  <c r="W67" i="10"/>
  <c r="W221" i="3"/>
  <c r="W66" i="10"/>
  <c r="W72" i="8"/>
  <c r="W82" i="8"/>
  <c r="W41" i="13"/>
  <c r="W233" i="3"/>
  <c r="W48" i="10"/>
  <c r="W59" i="10"/>
  <c r="W51" i="12"/>
  <c r="W17" i="12"/>
  <c r="W67" i="12" s="1"/>
  <c r="W53" i="12"/>
  <c r="W55" i="12"/>
  <c r="W47" i="12"/>
  <c r="W37" i="12"/>
  <c r="W54" i="12"/>
  <c r="W50" i="12"/>
  <c r="W48" i="12"/>
  <c r="W49" i="12"/>
  <c r="W75" i="11"/>
  <c r="L52" i="6" l="1"/>
  <c r="B15" i="10" l="1"/>
  <c r="P13" i="9"/>
  <c r="P11" i="9" s="1"/>
  <c r="O13" i="9"/>
  <c r="O11" i="9" s="1"/>
  <c r="V13" i="9"/>
  <c r="V11" i="9" s="1"/>
  <c r="T13" i="9"/>
  <c r="S13" i="9"/>
  <c r="L13" i="9"/>
  <c r="L11" i="9" s="1"/>
  <c r="K13" i="9"/>
  <c r="F13" i="9"/>
  <c r="F11" i="9" s="1"/>
  <c r="E13" i="9"/>
  <c r="E11" i="9" s="1"/>
  <c r="D13" i="9"/>
  <c r="D11" i="9" s="1"/>
  <c r="C13" i="9"/>
  <c r="N13" i="9"/>
  <c r="N11" i="9" s="1"/>
  <c r="N10" i="9" s="1"/>
  <c r="H13" i="9"/>
  <c r="G13" i="9"/>
  <c r="G11" i="9" s="1"/>
  <c r="B13" i="9"/>
  <c r="B11" i="9" s="1"/>
  <c r="U5" i="9"/>
  <c r="M5" i="9"/>
  <c r="L5" i="9"/>
  <c r="J5" i="9"/>
  <c r="E5" i="9"/>
  <c r="D5" i="9"/>
  <c r="C5" i="9"/>
  <c r="R5" i="9"/>
  <c r="Q5" i="9"/>
  <c r="B5" i="9"/>
  <c r="R43" i="8"/>
  <c r="Q43" i="8"/>
  <c r="P43" i="8"/>
  <c r="J43" i="8"/>
  <c r="I43" i="8"/>
  <c r="H43" i="8"/>
  <c r="T43" i="8"/>
  <c r="S43" i="8"/>
  <c r="O43" i="8"/>
  <c r="L43" i="8"/>
  <c r="K43" i="8"/>
  <c r="G43" i="8"/>
  <c r="D43" i="8"/>
  <c r="U39" i="8"/>
  <c r="T39" i="8"/>
  <c r="R39" i="8"/>
  <c r="R37" i="8" s="1"/>
  <c r="M39" i="8"/>
  <c r="L39" i="8"/>
  <c r="J39" i="8"/>
  <c r="J37" i="8" s="1"/>
  <c r="H39" i="8"/>
  <c r="E39" i="8"/>
  <c r="D39" i="8"/>
  <c r="S39" i="8"/>
  <c r="P39" i="8"/>
  <c r="O39" i="8"/>
  <c r="K39" i="8"/>
  <c r="G39" i="8"/>
  <c r="C43" i="8"/>
  <c r="C39" i="8"/>
  <c r="R32" i="8"/>
  <c r="R67" i="8" s="1"/>
  <c r="V32" i="8"/>
  <c r="V67" i="8" s="1"/>
  <c r="U32" i="8"/>
  <c r="T32" i="8"/>
  <c r="N32" i="8"/>
  <c r="N67" i="8" s="1"/>
  <c r="M32" i="8"/>
  <c r="L32" i="8"/>
  <c r="G32" i="8"/>
  <c r="G67" i="8" s="1"/>
  <c r="F32" i="8"/>
  <c r="F67" i="8" s="1"/>
  <c r="E32" i="8"/>
  <c r="D32" i="8"/>
  <c r="Q32" i="8"/>
  <c r="Q67" i="8" s="1"/>
  <c r="P32" i="8"/>
  <c r="O32" i="8"/>
  <c r="O67" i="8" s="1"/>
  <c r="J32" i="8"/>
  <c r="J67" i="8" s="1"/>
  <c r="I32" i="8"/>
  <c r="I67" i="8" s="1"/>
  <c r="H32" i="8"/>
  <c r="O28" i="8"/>
  <c r="T28" i="8"/>
  <c r="S28" i="8"/>
  <c r="S26" i="8" s="1"/>
  <c r="L28" i="8"/>
  <c r="L26" i="8" s="1"/>
  <c r="K28" i="8"/>
  <c r="K26" i="8" s="1"/>
  <c r="J28" i="8"/>
  <c r="I28" i="8"/>
  <c r="H28" i="8"/>
  <c r="D28" i="8"/>
  <c r="D26" i="8" s="1"/>
  <c r="C28" i="8"/>
  <c r="C26" i="8" s="1"/>
  <c r="R28" i="8"/>
  <c r="R63" i="8" s="1"/>
  <c r="Q28" i="8"/>
  <c r="Q26" i="8" s="1"/>
  <c r="P28" i="8"/>
  <c r="P26" i="8" s="1"/>
  <c r="G28" i="8"/>
  <c r="G63" i="8" s="1"/>
  <c r="G26" i="8"/>
  <c r="B28" i="8"/>
  <c r="B63" i="8" s="1"/>
  <c r="N21" i="8"/>
  <c r="N33" i="10" s="1"/>
  <c r="S21" i="8"/>
  <c r="S33" i="10" s="1"/>
  <c r="K21" i="8"/>
  <c r="K33" i="10" s="1"/>
  <c r="I21" i="8"/>
  <c r="I33" i="10" s="1"/>
  <c r="H21" i="8"/>
  <c r="H33" i="10" s="1"/>
  <c r="E21" i="8"/>
  <c r="E33" i="10" s="1"/>
  <c r="C21" i="8"/>
  <c r="C33" i="10" s="1"/>
  <c r="P21" i="8"/>
  <c r="P33" i="10" s="1"/>
  <c r="O21" i="8"/>
  <c r="O33" i="10" s="1"/>
  <c r="G21" i="8"/>
  <c r="G33" i="10" s="1"/>
  <c r="P17" i="8"/>
  <c r="N17" i="8"/>
  <c r="N29" i="10" s="1"/>
  <c r="H17" i="8"/>
  <c r="H29" i="10" s="1"/>
  <c r="U17" i="8"/>
  <c r="U29" i="10" s="1"/>
  <c r="T17" i="8"/>
  <c r="T29" i="10" s="1"/>
  <c r="S17" i="8"/>
  <c r="R17" i="8"/>
  <c r="R29" i="10" s="1"/>
  <c r="M17" i="8"/>
  <c r="M29" i="10" s="1"/>
  <c r="L17" i="8"/>
  <c r="L29" i="10" s="1"/>
  <c r="K17" i="8"/>
  <c r="J17" i="8"/>
  <c r="J29" i="10" s="1"/>
  <c r="E17" i="8"/>
  <c r="E29" i="10" s="1"/>
  <c r="D17" i="8"/>
  <c r="D29" i="10" s="1"/>
  <c r="C17" i="8"/>
  <c r="V17" i="8"/>
  <c r="V29" i="10" s="1"/>
  <c r="Q17" i="8"/>
  <c r="O17" i="8"/>
  <c r="I17" i="8"/>
  <c r="G17" i="8"/>
  <c r="G29" i="10" s="1"/>
  <c r="F17" i="8"/>
  <c r="I10" i="8"/>
  <c r="U10" i="8"/>
  <c r="T10" i="8"/>
  <c r="S10" i="8"/>
  <c r="R10" i="8"/>
  <c r="P10" i="8"/>
  <c r="M10" i="8"/>
  <c r="L10" i="8"/>
  <c r="K10" i="8"/>
  <c r="J10" i="8"/>
  <c r="H10" i="8"/>
  <c r="E10" i="8"/>
  <c r="D10" i="8"/>
  <c r="C10" i="8"/>
  <c r="Q10" i="8"/>
  <c r="R6" i="8"/>
  <c r="R4" i="8" s="1"/>
  <c r="Q6" i="8"/>
  <c r="S6" i="8"/>
  <c r="S4" i="8" s="1"/>
  <c r="K6" i="8"/>
  <c r="K4" i="8" s="1"/>
  <c r="J6" i="8"/>
  <c r="J4" i="8" s="1"/>
  <c r="I6" i="8"/>
  <c r="C6" i="8"/>
  <c r="C4" i="8" s="1"/>
  <c r="B10" i="8"/>
  <c r="Q25" i="8" l="1"/>
  <c r="J36" i="8"/>
  <c r="F15" i="8"/>
  <c r="F27" i="10" s="1"/>
  <c r="F29" i="10"/>
  <c r="I15" i="8"/>
  <c r="I27" i="10" s="1"/>
  <c r="I29" i="10"/>
  <c r="K15" i="8"/>
  <c r="K27" i="10" s="1"/>
  <c r="K29" i="10"/>
  <c r="S15" i="8"/>
  <c r="S27" i="10" s="1"/>
  <c r="S29" i="10"/>
  <c r="O15" i="8"/>
  <c r="O27" i="10" s="1"/>
  <c r="O29" i="10"/>
  <c r="P15" i="8"/>
  <c r="P27" i="10" s="1"/>
  <c r="P29" i="10"/>
  <c r="Q15" i="8"/>
  <c r="Q27" i="10" s="1"/>
  <c r="Q29" i="10"/>
  <c r="C15" i="8"/>
  <c r="C29" i="10"/>
  <c r="L25" i="8"/>
  <c r="R36" i="8"/>
  <c r="E10" i="9"/>
  <c r="D25" i="8"/>
  <c r="J4" i="9"/>
  <c r="J23" i="10"/>
  <c r="L4" i="9"/>
  <c r="L23" i="10"/>
  <c r="B4" i="9"/>
  <c r="B23" i="10"/>
  <c r="M4" i="9"/>
  <c r="M23" i="10"/>
  <c r="E4" i="9"/>
  <c r="E23" i="10"/>
  <c r="Q4" i="9"/>
  <c r="Q23" i="10"/>
  <c r="U4" i="9"/>
  <c r="U23" i="10"/>
  <c r="R4" i="9"/>
  <c r="R23" i="10"/>
  <c r="C4" i="9"/>
  <c r="C23" i="10"/>
  <c r="D4" i="9"/>
  <c r="D23" i="10"/>
  <c r="O10" i="9"/>
  <c r="P10" i="9"/>
  <c r="P25" i="8"/>
  <c r="V15" i="8"/>
  <c r="V27" i="10" s="1"/>
  <c r="V10" i="9"/>
  <c r="O63" i="8"/>
  <c r="O26" i="8"/>
  <c r="O25" i="8" s="1"/>
  <c r="F10" i="9"/>
  <c r="H63" i="8"/>
  <c r="H26" i="8"/>
  <c r="H25" i="8" s="1"/>
  <c r="J63" i="8"/>
  <c r="J26" i="8"/>
  <c r="J25" i="8" s="1"/>
  <c r="G10" i="9"/>
  <c r="Q4" i="8"/>
  <c r="P37" i="8"/>
  <c r="P36" i="8" s="1"/>
  <c r="H15" i="8"/>
  <c r="G6" i="8"/>
  <c r="O6" i="8"/>
  <c r="O4" i="8" s="1"/>
  <c r="D21" i="8"/>
  <c r="D33" i="10" s="1"/>
  <c r="L21" i="8"/>
  <c r="L33" i="10" s="1"/>
  <c r="T21" i="8"/>
  <c r="T33" i="10" s="1"/>
  <c r="P67" i="8"/>
  <c r="K37" i="8"/>
  <c r="K36" i="8" s="1"/>
  <c r="S37" i="8"/>
  <c r="S36" i="8" s="1"/>
  <c r="K11" i="9"/>
  <c r="K10" i="9" s="1"/>
  <c r="S11" i="9"/>
  <c r="S10" i="9" s="1"/>
  <c r="I4" i="8"/>
  <c r="H6" i="8"/>
  <c r="H4" i="8" s="1"/>
  <c r="P6" i="8"/>
  <c r="P4" i="8" s="1"/>
  <c r="M21" i="8"/>
  <c r="M33" i="10" s="1"/>
  <c r="U21" i="8"/>
  <c r="U33" i="10" s="1"/>
  <c r="Q21" i="8"/>
  <c r="B11" i="10"/>
  <c r="D15" i="8"/>
  <c r="D27" i="10" s="1"/>
  <c r="L15" i="8"/>
  <c r="L27" i="10" s="1"/>
  <c r="T15" i="8"/>
  <c r="T27" i="10" s="1"/>
  <c r="F21" i="8"/>
  <c r="F33" i="10" s="1"/>
  <c r="V21" i="8"/>
  <c r="V33" i="10" s="1"/>
  <c r="F28" i="8"/>
  <c r="F63" i="8" s="1"/>
  <c r="N28" i="8"/>
  <c r="N63" i="8" s="1"/>
  <c r="V28" i="8"/>
  <c r="V63" i="8" s="1"/>
  <c r="E37" i="8"/>
  <c r="G5" i="9"/>
  <c r="O5" i="9"/>
  <c r="B32" i="8"/>
  <c r="B67" i="8" s="1"/>
  <c r="R26" i="8"/>
  <c r="R25" i="8" s="1"/>
  <c r="C32" i="8"/>
  <c r="C25" i="8" s="1"/>
  <c r="K32" i="8"/>
  <c r="K67" i="8" s="1"/>
  <c r="S32" i="8"/>
  <c r="S67" i="8" s="1"/>
  <c r="F39" i="8"/>
  <c r="F37" i="8" s="1"/>
  <c r="N39" i="8"/>
  <c r="N37" i="8" s="1"/>
  <c r="V39" i="8"/>
  <c r="V37" i="8" s="1"/>
  <c r="H5" i="9"/>
  <c r="P5" i="9"/>
  <c r="N15" i="8"/>
  <c r="K25" i="8"/>
  <c r="S25" i="8"/>
  <c r="P63" i="8"/>
  <c r="H67" i="8"/>
  <c r="I5" i="9"/>
  <c r="I13" i="9"/>
  <c r="I11" i="9" s="1"/>
  <c r="Q13" i="9"/>
  <c r="Q11" i="9" s="1"/>
  <c r="G15" i="8"/>
  <c r="G25" i="8"/>
  <c r="H37" i="8"/>
  <c r="H36" i="8" s="1"/>
  <c r="H11" i="9"/>
  <c r="H10" i="9" s="1"/>
  <c r="J13" i="9"/>
  <c r="J11" i="9" s="1"/>
  <c r="J10" i="9" s="1"/>
  <c r="R13" i="9"/>
  <c r="R11" i="9" s="1"/>
  <c r="R10" i="9" s="1"/>
  <c r="C11" i="9"/>
  <c r="C10" i="9" s="1"/>
  <c r="I26" i="8"/>
  <c r="I63" i="8"/>
  <c r="D6" i="8"/>
  <c r="D4" i="8" s="1"/>
  <c r="L6" i="8"/>
  <c r="L4" i="8" s="1"/>
  <c r="T6" i="8"/>
  <c r="T4" i="8" s="1"/>
  <c r="G10" i="8"/>
  <c r="O10" i="8"/>
  <c r="J21" i="8"/>
  <c r="J33" i="10" s="1"/>
  <c r="R21" i="8"/>
  <c r="R33" i="10" s="1"/>
  <c r="O37" i="8"/>
  <c r="O36" i="8" s="1"/>
  <c r="F43" i="8"/>
  <c r="N43" i="8"/>
  <c r="V43" i="8"/>
  <c r="P61" i="8"/>
  <c r="E6" i="8"/>
  <c r="E4" i="8" s="1"/>
  <c r="M6" i="8"/>
  <c r="M4" i="8" s="1"/>
  <c r="U6" i="8"/>
  <c r="U4" i="8" s="1"/>
  <c r="B21" i="8"/>
  <c r="B33" i="10" s="1"/>
  <c r="B26" i="8"/>
  <c r="E28" i="8"/>
  <c r="E26" i="8" s="1"/>
  <c r="E61" i="8" s="1"/>
  <c r="M28" i="8"/>
  <c r="M26" i="8" s="1"/>
  <c r="M61" i="8" s="1"/>
  <c r="U28" i="8"/>
  <c r="U26" i="8" s="1"/>
  <c r="U61" i="8" s="1"/>
  <c r="Q61" i="8"/>
  <c r="F6" i="8"/>
  <c r="F4" i="8" s="1"/>
  <c r="N6" i="8"/>
  <c r="N4" i="8" s="1"/>
  <c r="V6" i="8"/>
  <c r="V4" i="8" s="1"/>
  <c r="G61" i="8"/>
  <c r="C63" i="8"/>
  <c r="K63" i="8"/>
  <c r="S63" i="8"/>
  <c r="D67" i="8"/>
  <c r="L67" i="8"/>
  <c r="T67" i="8"/>
  <c r="M13" i="9"/>
  <c r="M11" i="9" s="1"/>
  <c r="M10" i="9" s="1"/>
  <c r="U13" i="9"/>
  <c r="U11" i="9" s="1"/>
  <c r="U10" i="9" s="1"/>
  <c r="C37" i="8"/>
  <c r="C36" i="8" s="1"/>
  <c r="I39" i="8"/>
  <c r="I37" i="8" s="1"/>
  <c r="I36" i="8" s="1"/>
  <c r="Q39" i="8"/>
  <c r="Q37" i="8" s="1"/>
  <c r="Q36" i="8" s="1"/>
  <c r="D63" i="8"/>
  <c r="L63" i="8"/>
  <c r="T63" i="8"/>
  <c r="E67" i="8"/>
  <c r="M67" i="8"/>
  <c r="U67" i="8"/>
  <c r="B17" i="9"/>
  <c r="B10" i="9" s="1"/>
  <c r="M37" i="8"/>
  <c r="U37" i="8"/>
  <c r="C61" i="8"/>
  <c r="K61" i="8"/>
  <c r="S61" i="8"/>
  <c r="Q63" i="8"/>
  <c r="G37" i="8"/>
  <c r="G36" i="8" s="1"/>
  <c r="D61" i="8"/>
  <c r="L61" i="8"/>
  <c r="T11" i="9"/>
  <c r="T10" i="9" s="1"/>
  <c r="B6" i="8"/>
  <c r="B4" i="8" s="1"/>
  <c r="B17" i="8"/>
  <c r="B15" i="8" s="1"/>
  <c r="E15" i="8"/>
  <c r="M15" i="8"/>
  <c r="U15" i="8"/>
  <c r="U27" i="10" s="1"/>
  <c r="K5" i="9"/>
  <c r="S5" i="9"/>
  <c r="F10" i="8"/>
  <c r="N10" i="8"/>
  <c r="V10" i="8"/>
  <c r="E43" i="8"/>
  <c r="M43" i="8"/>
  <c r="U43" i="8"/>
  <c r="T5" i="9"/>
  <c r="D10" i="9"/>
  <c r="L10" i="9"/>
  <c r="F5" i="9"/>
  <c r="N5" i="9"/>
  <c r="V5" i="9"/>
  <c r="D37" i="8"/>
  <c r="D36" i="8" s="1"/>
  <c r="L37" i="8"/>
  <c r="L36" i="8" s="1"/>
  <c r="T37" i="8"/>
  <c r="T36" i="8" s="1"/>
  <c r="T26" i="8"/>
  <c r="T25" i="8" s="1"/>
  <c r="J15" i="8"/>
  <c r="J27" i="10" s="1"/>
  <c r="R15" i="8"/>
  <c r="R27" i="10" s="1"/>
  <c r="G4" i="8"/>
  <c r="O14" i="8" l="1"/>
  <c r="O26" i="10" s="1"/>
  <c r="E36" i="8"/>
  <c r="O61" i="8"/>
  <c r="H61" i="8"/>
  <c r="E25" i="8"/>
  <c r="K14" i="8"/>
  <c r="K26" i="10" s="1"/>
  <c r="J61" i="8"/>
  <c r="P14" i="8"/>
  <c r="P26" i="10" s="1"/>
  <c r="I14" i="8"/>
  <c r="I26" i="10" s="1"/>
  <c r="F14" i="8"/>
  <c r="F26" i="10" s="1"/>
  <c r="M25" i="8"/>
  <c r="M14" i="8"/>
  <c r="M26" i="10" s="1"/>
  <c r="M27" i="10"/>
  <c r="S14" i="8"/>
  <c r="S26" i="10" s="1"/>
  <c r="B9" i="10"/>
  <c r="B29" i="10"/>
  <c r="Q14" i="8"/>
  <c r="Q26" i="10" s="1"/>
  <c r="Q33" i="10"/>
  <c r="H14" i="8"/>
  <c r="H26" i="10" s="1"/>
  <c r="H27" i="10"/>
  <c r="C14" i="8"/>
  <c r="C26" i="10" s="1"/>
  <c r="C27" i="10"/>
  <c r="G14" i="8"/>
  <c r="G26" i="10" s="1"/>
  <c r="G27" i="10"/>
  <c r="N14" i="8"/>
  <c r="N26" i="10" s="1"/>
  <c r="N27" i="10"/>
  <c r="E14" i="8"/>
  <c r="E26" i="10" s="1"/>
  <c r="E27" i="10"/>
  <c r="N36" i="8"/>
  <c r="B14" i="8"/>
  <c r="F36" i="8"/>
  <c r="V14" i="8"/>
  <c r="V26" i="10" s="1"/>
  <c r="R14" i="8"/>
  <c r="R26" i="10" s="1"/>
  <c r="U14" i="8"/>
  <c r="U26" i="10" s="1"/>
  <c r="R61" i="8"/>
  <c r="U25" i="8"/>
  <c r="O4" i="9"/>
  <c r="O23" i="10"/>
  <c r="G4" i="9"/>
  <c r="G23" i="10"/>
  <c r="N4" i="9"/>
  <c r="N23" i="10"/>
  <c r="I10" i="9"/>
  <c r="P4" i="9"/>
  <c r="P23" i="10"/>
  <c r="I4" i="9"/>
  <c r="I23" i="10"/>
  <c r="H4" i="9"/>
  <c r="H23" i="10"/>
  <c r="K4" i="9"/>
  <c r="K23" i="10"/>
  <c r="V4" i="9"/>
  <c r="V23" i="10"/>
  <c r="Q10" i="9"/>
  <c r="F4" i="9"/>
  <c r="F23" i="10"/>
  <c r="T4" i="9"/>
  <c r="T23" i="10"/>
  <c r="S4" i="9"/>
  <c r="S23" i="10"/>
  <c r="C67" i="8"/>
  <c r="V36" i="8"/>
  <c r="N26" i="8"/>
  <c r="N25" i="8" s="1"/>
  <c r="L14" i="8"/>
  <c r="L26" i="10" s="1"/>
  <c r="U36" i="8"/>
  <c r="J14" i="8"/>
  <c r="J26" i="10" s="1"/>
  <c r="F26" i="8"/>
  <c r="F25" i="8" s="1"/>
  <c r="D14" i="8"/>
  <c r="D26" i="10" s="1"/>
  <c r="V26" i="8"/>
  <c r="V25" i="8" s="1"/>
  <c r="M36" i="8"/>
  <c r="B25" i="8"/>
  <c r="T61" i="8"/>
  <c r="U63" i="8"/>
  <c r="T14" i="8"/>
  <c r="T26" i="10" s="1"/>
  <c r="M63" i="8"/>
  <c r="E63" i="8"/>
  <c r="B61" i="8"/>
  <c r="I61" i="8"/>
  <c r="I25" i="8"/>
  <c r="B8" i="10" l="1"/>
  <c r="B26" i="10" s="1"/>
  <c r="B27" i="10"/>
  <c r="V61" i="8"/>
  <c r="F61" i="8"/>
  <c r="N61" i="8"/>
  <c r="Q10" i="16"/>
  <c r="G10" i="16"/>
  <c r="O10" i="16"/>
  <c r="S10" i="16"/>
  <c r="K4" i="16"/>
  <c r="J10" i="16"/>
  <c r="I10" i="16"/>
  <c r="M10" i="16"/>
  <c r="J4" i="16"/>
  <c r="F10" i="16"/>
  <c r="L4" i="16"/>
  <c r="M4" i="16"/>
  <c r="L10" i="16"/>
  <c r="I4" i="16"/>
  <c r="F4" i="16"/>
  <c r="O4" i="16"/>
  <c r="Q4" i="16"/>
  <c r="P10" i="16"/>
  <c r="P4" i="16"/>
  <c r="S4" i="16"/>
  <c r="S3" i="16" s="1"/>
  <c r="K10" i="16"/>
  <c r="K3" i="16" s="1"/>
  <c r="G4" i="16"/>
  <c r="Q3" i="16" l="1"/>
  <c r="O3" i="16"/>
  <c r="F3" i="16"/>
  <c r="P3" i="16"/>
  <c r="G3" i="16"/>
  <c r="B4" i="16"/>
  <c r="E10" i="16"/>
  <c r="J3" i="16"/>
  <c r="I3" i="16"/>
  <c r="M3" i="16"/>
  <c r="R10" i="16"/>
  <c r="L3" i="16"/>
  <c r="T10" i="16"/>
  <c r="R4" i="16"/>
  <c r="H10" i="16"/>
  <c r="B10" i="16"/>
  <c r="T4" i="16"/>
  <c r="N10" i="16"/>
  <c r="H4" i="16"/>
  <c r="E4" i="16"/>
  <c r="N4" i="16"/>
  <c r="R3" i="16" l="1"/>
  <c r="H3" i="16"/>
  <c r="E3" i="16"/>
  <c r="B3" i="16"/>
  <c r="T3" i="16"/>
  <c r="D10" i="16"/>
  <c r="N3" i="16"/>
  <c r="D4" i="16"/>
  <c r="U10" i="16"/>
  <c r="C4" i="16"/>
  <c r="C10" i="16"/>
  <c r="U4" i="16"/>
  <c r="D3" i="16" l="1"/>
  <c r="U3" i="16"/>
  <c r="C3" i="16"/>
  <c r="V10" i="16"/>
  <c r="V4" i="16"/>
  <c r="V3" i="16" l="1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V67" i="10"/>
  <c r="U67" i="10"/>
  <c r="T67" i="10"/>
  <c r="S67" i="10"/>
  <c r="R67" i="10"/>
  <c r="Q67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V63" i="10"/>
  <c r="U63" i="10"/>
  <c r="T63" i="10"/>
  <c r="S63" i="10"/>
  <c r="R63" i="10"/>
  <c r="Q63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V65" i="9"/>
  <c r="U65" i="9"/>
  <c r="T65" i="9"/>
  <c r="S65" i="9"/>
  <c r="R65" i="9"/>
  <c r="V64" i="9"/>
  <c r="U64" i="9"/>
  <c r="T64" i="9"/>
  <c r="S64" i="9"/>
  <c r="R64" i="9"/>
  <c r="V62" i="9"/>
  <c r="U62" i="9"/>
  <c r="T62" i="9"/>
  <c r="S62" i="9"/>
  <c r="R62" i="9"/>
  <c r="V61" i="9"/>
  <c r="U61" i="9"/>
  <c r="T61" i="9"/>
  <c r="S61" i="9"/>
  <c r="R61" i="9"/>
  <c r="V60" i="9"/>
  <c r="U60" i="9"/>
  <c r="T60" i="9"/>
  <c r="S60" i="9"/>
  <c r="R60" i="9"/>
  <c r="V58" i="9"/>
  <c r="U58" i="9"/>
  <c r="T58" i="9"/>
  <c r="S58" i="9"/>
  <c r="R58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V58" i="8"/>
  <c r="V80" i="8" s="1"/>
  <c r="U58" i="8"/>
  <c r="U80" i="8" s="1"/>
  <c r="T58" i="8"/>
  <c r="T80" i="8" s="1"/>
  <c r="S58" i="8"/>
  <c r="S80" i="8" s="1"/>
  <c r="R58" i="8"/>
  <c r="R80" i="8" s="1"/>
  <c r="Q58" i="8"/>
  <c r="Q80" i="8" s="1"/>
  <c r="P58" i="8"/>
  <c r="P80" i="8" s="1"/>
  <c r="O58" i="8"/>
  <c r="O80" i="8" s="1"/>
  <c r="N58" i="8"/>
  <c r="M58" i="8"/>
  <c r="M80" i="8" s="1"/>
  <c r="L58" i="8"/>
  <c r="L80" i="8" s="1"/>
  <c r="K58" i="8"/>
  <c r="K80" i="8" s="1"/>
  <c r="V57" i="8"/>
  <c r="V79" i="8" s="1"/>
  <c r="U57" i="8"/>
  <c r="U79" i="8" s="1"/>
  <c r="T57" i="8"/>
  <c r="T79" i="8" s="1"/>
  <c r="S57" i="8"/>
  <c r="S79" i="8" s="1"/>
  <c r="R57" i="8"/>
  <c r="Q57" i="8"/>
  <c r="Q79" i="8" s="1"/>
  <c r="P57" i="8"/>
  <c r="P79" i="8" s="1"/>
  <c r="O57" i="8"/>
  <c r="N57" i="8"/>
  <c r="N79" i="8" s="1"/>
  <c r="M57" i="8"/>
  <c r="M79" i="8" s="1"/>
  <c r="L57" i="8"/>
  <c r="L79" i="8" s="1"/>
  <c r="K57" i="8"/>
  <c r="V55" i="8"/>
  <c r="U55" i="8"/>
  <c r="U77" i="8" s="1"/>
  <c r="T55" i="8"/>
  <c r="T77" i="8" s="1"/>
  <c r="S55" i="8"/>
  <c r="S77" i="8" s="1"/>
  <c r="R55" i="8"/>
  <c r="R77" i="8" s="1"/>
  <c r="Q55" i="8"/>
  <c r="Q77" i="8" s="1"/>
  <c r="P55" i="8"/>
  <c r="P77" i="8" s="1"/>
  <c r="O55" i="8"/>
  <c r="O77" i="8" s="1"/>
  <c r="N55" i="8"/>
  <c r="N77" i="8" s="1"/>
  <c r="M55" i="8"/>
  <c r="M77" i="8" s="1"/>
  <c r="L55" i="8"/>
  <c r="L77" i="8" s="1"/>
  <c r="K55" i="8"/>
  <c r="K77" i="8" s="1"/>
  <c r="V54" i="8"/>
  <c r="V76" i="8" s="1"/>
  <c r="U54" i="8"/>
  <c r="U76" i="8" s="1"/>
  <c r="T54" i="8"/>
  <c r="T76" i="8" s="1"/>
  <c r="S54" i="8"/>
  <c r="R54" i="8"/>
  <c r="R76" i="8" s="1"/>
  <c r="Q54" i="8"/>
  <c r="Q76" i="8" s="1"/>
  <c r="P54" i="8"/>
  <c r="P76" i="8" s="1"/>
  <c r="O54" i="8"/>
  <c r="O76" i="8" s="1"/>
  <c r="N54" i="8"/>
  <c r="N76" i="8" s="1"/>
  <c r="M54" i="8"/>
  <c r="M76" i="8" s="1"/>
  <c r="L54" i="8"/>
  <c r="L76" i="8" s="1"/>
  <c r="K54" i="8"/>
  <c r="K76" i="8" s="1"/>
  <c r="V53" i="8"/>
  <c r="V75" i="8" s="1"/>
  <c r="U53" i="8"/>
  <c r="U75" i="8" s="1"/>
  <c r="T53" i="8"/>
  <c r="T75" i="8" s="1"/>
  <c r="S53" i="8"/>
  <c r="S75" i="8" s="1"/>
  <c r="R53" i="8"/>
  <c r="R75" i="8" s="1"/>
  <c r="Q53" i="8"/>
  <c r="Q75" i="8" s="1"/>
  <c r="P53" i="8"/>
  <c r="P75" i="8" s="1"/>
  <c r="O53" i="8"/>
  <c r="O75" i="8" s="1"/>
  <c r="N53" i="8"/>
  <c r="N75" i="8" s="1"/>
  <c r="M53" i="8"/>
  <c r="M75" i="8" s="1"/>
  <c r="L53" i="8"/>
  <c r="L75" i="8" s="1"/>
  <c r="K53" i="8"/>
  <c r="K75" i="8" s="1"/>
  <c r="V51" i="8"/>
  <c r="V73" i="8" s="1"/>
  <c r="U51" i="8"/>
  <c r="U73" i="8" s="1"/>
  <c r="T51" i="8"/>
  <c r="T73" i="8" s="1"/>
  <c r="S51" i="8"/>
  <c r="S73" i="8" s="1"/>
  <c r="R51" i="8"/>
  <c r="Q51" i="8"/>
  <c r="Q73" i="8" s="1"/>
  <c r="P51" i="8"/>
  <c r="P73" i="8" s="1"/>
  <c r="O51" i="8"/>
  <c r="N51" i="8"/>
  <c r="N73" i="8" s="1"/>
  <c r="M51" i="8"/>
  <c r="M73" i="8" s="1"/>
  <c r="L51" i="8"/>
  <c r="L73" i="8" s="1"/>
  <c r="K51" i="8"/>
  <c r="K73" i="8" s="1"/>
  <c r="V124" i="8"/>
  <c r="U124" i="8"/>
  <c r="T124" i="8"/>
  <c r="S124" i="8"/>
  <c r="R124" i="8"/>
  <c r="V123" i="8"/>
  <c r="U123" i="8"/>
  <c r="T123" i="8"/>
  <c r="S123" i="8"/>
  <c r="R123" i="8"/>
  <c r="V121" i="8"/>
  <c r="U121" i="8"/>
  <c r="T121" i="8"/>
  <c r="S121" i="8"/>
  <c r="R121" i="8"/>
  <c r="V120" i="8"/>
  <c r="U120" i="8"/>
  <c r="T120" i="8"/>
  <c r="S120" i="8"/>
  <c r="R120" i="8"/>
  <c r="V119" i="8"/>
  <c r="U119" i="8"/>
  <c r="T119" i="8"/>
  <c r="S119" i="8"/>
  <c r="R119" i="8"/>
  <c r="V117" i="8"/>
  <c r="U117" i="8"/>
  <c r="T117" i="8"/>
  <c r="S117" i="8"/>
  <c r="R117" i="8"/>
  <c r="V113" i="8"/>
  <c r="U113" i="8"/>
  <c r="T113" i="8"/>
  <c r="S113" i="8"/>
  <c r="R113" i="8"/>
  <c r="V112" i="8"/>
  <c r="U112" i="8"/>
  <c r="T112" i="8"/>
  <c r="S112" i="8"/>
  <c r="R112" i="8"/>
  <c r="V110" i="8"/>
  <c r="U110" i="8"/>
  <c r="T110" i="8"/>
  <c r="S110" i="8"/>
  <c r="R110" i="8"/>
  <c r="V109" i="8"/>
  <c r="U109" i="8"/>
  <c r="T109" i="8"/>
  <c r="S109" i="8"/>
  <c r="R109" i="8"/>
  <c r="V108" i="8"/>
  <c r="U108" i="8"/>
  <c r="T108" i="8"/>
  <c r="S108" i="8"/>
  <c r="R108" i="8"/>
  <c r="V106" i="8"/>
  <c r="U106" i="8"/>
  <c r="T106" i="8"/>
  <c r="S106" i="8"/>
  <c r="R106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V99" i="8"/>
  <c r="U99" i="8"/>
  <c r="T99" i="8"/>
  <c r="S99" i="8"/>
  <c r="R99" i="8"/>
  <c r="Q99" i="8"/>
  <c r="P99" i="8"/>
  <c r="O99" i="8"/>
  <c r="N99" i="8"/>
  <c r="M99" i="8"/>
  <c r="L99" i="8"/>
  <c r="K99" i="8"/>
  <c r="V98" i="8"/>
  <c r="U98" i="8"/>
  <c r="T98" i="8"/>
  <c r="S98" i="8"/>
  <c r="R98" i="8"/>
  <c r="Q98" i="8"/>
  <c r="P98" i="8"/>
  <c r="O98" i="8"/>
  <c r="N98" i="8"/>
  <c r="M98" i="8"/>
  <c r="L98" i="8"/>
  <c r="K98" i="8"/>
  <c r="V97" i="8"/>
  <c r="U97" i="8"/>
  <c r="T97" i="8"/>
  <c r="S97" i="8"/>
  <c r="R97" i="8"/>
  <c r="Q97" i="8"/>
  <c r="P97" i="8"/>
  <c r="O97" i="8"/>
  <c r="N97" i="8"/>
  <c r="M97" i="8"/>
  <c r="L97" i="8"/>
  <c r="K97" i="8"/>
  <c r="V95" i="8"/>
  <c r="U95" i="8"/>
  <c r="T95" i="8"/>
  <c r="S95" i="8"/>
  <c r="R95" i="8"/>
  <c r="Q95" i="8"/>
  <c r="P95" i="8"/>
  <c r="O95" i="8"/>
  <c r="N95" i="8"/>
  <c r="M95" i="8"/>
  <c r="L95" i="8"/>
  <c r="K95" i="8"/>
  <c r="V91" i="8"/>
  <c r="U91" i="8"/>
  <c r="T91" i="8"/>
  <c r="S91" i="8"/>
  <c r="R91" i="8"/>
  <c r="Q91" i="8"/>
  <c r="P91" i="8"/>
  <c r="O91" i="8"/>
  <c r="N91" i="8"/>
  <c r="M91" i="8"/>
  <c r="L91" i="8"/>
  <c r="K91" i="8"/>
  <c r="V90" i="8"/>
  <c r="U90" i="8"/>
  <c r="T90" i="8"/>
  <c r="S90" i="8"/>
  <c r="R90" i="8"/>
  <c r="Q90" i="8"/>
  <c r="P90" i="8"/>
  <c r="O90" i="8"/>
  <c r="N90" i="8"/>
  <c r="M90" i="8"/>
  <c r="L90" i="8"/>
  <c r="K90" i="8"/>
  <c r="V88" i="8"/>
  <c r="U88" i="8"/>
  <c r="T88" i="8"/>
  <c r="S88" i="8"/>
  <c r="R88" i="8"/>
  <c r="Q88" i="8"/>
  <c r="P88" i="8"/>
  <c r="O88" i="8"/>
  <c r="N88" i="8"/>
  <c r="M88" i="8"/>
  <c r="L88" i="8"/>
  <c r="K88" i="8"/>
  <c r="V87" i="8"/>
  <c r="U87" i="8"/>
  <c r="T87" i="8"/>
  <c r="S87" i="8"/>
  <c r="R87" i="8"/>
  <c r="Q87" i="8"/>
  <c r="P87" i="8"/>
  <c r="O87" i="8"/>
  <c r="N87" i="8"/>
  <c r="M87" i="8"/>
  <c r="L87" i="8"/>
  <c r="K87" i="8"/>
  <c r="V86" i="8"/>
  <c r="U86" i="8"/>
  <c r="T86" i="8"/>
  <c r="S86" i="8"/>
  <c r="R86" i="8"/>
  <c r="Q86" i="8"/>
  <c r="P86" i="8"/>
  <c r="O86" i="8"/>
  <c r="N86" i="8"/>
  <c r="M86" i="8"/>
  <c r="L86" i="8"/>
  <c r="K86" i="8"/>
  <c r="V84" i="8"/>
  <c r="U84" i="8"/>
  <c r="T84" i="8"/>
  <c r="S84" i="8"/>
  <c r="R84" i="8"/>
  <c r="Q84" i="8"/>
  <c r="P84" i="8"/>
  <c r="O84" i="8"/>
  <c r="N84" i="8"/>
  <c r="M84" i="8"/>
  <c r="L84" i="8"/>
  <c r="K84" i="8"/>
  <c r="N80" i="8"/>
  <c r="R79" i="8"/>
  <c r="O79" i="8"/>
  <c r="K79" i="8"/>
  <c r="V77" i="8"/>
  <c r="S76" i="8"/>
  <c r="R73" i="8"/>
  <c r="O73" i="8"/>
  <c r="B57" i="10"/>
  <c r="B56" i="10"/>
  <c r="B54" i="10"/>
  <c r="B53" i="10"/>
  <c r="B52" i="10"/>
  <c r="B50" i="10"/>
  <c r="B46" i="10"/>
  <c r="B45" i="10"/>
  <c r="B43" i="10"/>
  <c r="B42" i="10"/>
  <c r="B41" i="10"/>
  <c r="B39" i="10"/>
  <c r="V22" i="10"/>
  <c r="U22" i="10"/>
  <c r="T22" i="10"/>
  <c r="S22" i="10"/>
  <c r="R22" i="10"/>
  <c r="Q22" i="10"/>
  <c r="B4" i="10"/>
  <c r="B54" i="9"/>
  <c r="B53" i="9"/>
  <c r="B51" i="9"/>
  <c r="B50" i="9"/>
  <c r="B49" i="9"/>
  <c r="B47" i="9"/>
  <c r="B43" i="9"/>
  <c r="B42" i="9"/>
  <c r="B40" i="9"/>
  <c r="B39" i="9"/>
  <c r="B38" i="9"/>
  <c r="B36" i="9"/>
  <c r="B32" i="9"/>
  <c r="B31" i="9"/>
  <c r="B29" i="9"/>
  <c r="B28" i="9"/>
  <c r="B27" i="9"/>
  <c r="B25" i="9"/>
  <c r="P22" i="10"/>
  <c r="H22" i="10"/>
  <c r="G22" i="10" l="1"/>
  <c r="O22" i="10"/>
  <c r="B22" i="10"/>
  <c r="J22" i="10"/>
  <c r="I22" i="10"/>
  <c r="C22" i="10"/>
  <c r="K22" i="10"/>
  <c r="D22" i="10"/>
  <c r="L22" i="10"/>
  <c r="E22" i="10"/>
  <c r="M22" i="10"/>
  <c r="F22" i="10"/>
  <c r="N22" i="10"/>
  <c r="L50" i="8"/>
  <c r="L72" i="8" s="1"/>
  <c r="L109" i="8"/>
  <c r="L105" i="8"/>
  <c r="L110" i="8"/>
  <c r="L108" i="8"/>
  <c r="L106" i="8"/>
  <c r="L85" i="8"/>
  <c r="L118" i="8"/>
  <c r="L123" i="8"/>
  <c r="L89" i="8"/>
  <c r="L124" i="8"/>
  <c r="L122" i="8"/>
  <c r="L121" i="8"/>
  <c r="L119" i="8"/>
  <c r="L117" i="8"/>
  <c r="L120" i="8"/>
  <c r="L116" i="8"/>
  <c r="L56" i="8"/>
  <c r="L78" i="8" s="1"/>
  <c r="L113" i="8"/>
  <c r="L111" i="8"/>
  <c r="L112" i="8"/>
  <c r="L100" i="8"/>
  <c r="L52" i="8"/>
  <c r="L74" i="8" s="1"/>
  <c r="L107" i="8"/>
  <c r="L96" i="8"/>
  <c r="J102" i="8"/>
  <c r="I102" i="8"/>
  <c r="H102" i="8"/>
  <c r="G102" i="8"/>
  <c r="F102" i="8"/>
  <c r="E102" i="8"/>
  <c r="D102" i="8"/>
  <c r="C102" i="8"/>
  <c r="B102" i="8"/>
  <c r="J101" i="8"/>
  <c r="I101" i="8"/>
  <c r="H101" i="8"/>
  <c r="G101" i="8"/>
  <c r="F101" i="8"/>
  <c r="E101" i="8"/>
  <c r="D101" i="8"/>
  <c r="C101" i="8"/>
  <c r="B101" i="8"/>
  <c r="J99" i="8"/>
  <c r="I99" i="8"/>
  <c r="H99" i="8"/>
  <c r="G99" i="8"/>
  <c r="F99" i="8"/>
  <c r="E99" i="8"/>
  <c r="D99" i="8"/>
  <c r="C99" i="8"/>
  <c r="B99" i="8"/>
  <c r="J98" i="8"/>
  <c r="I98" i="8"/>
  <c r="H98" i="8"/>
  <c r="G98" i="8"/>
  <c r="F98" i="8"/>
  <c r="E98" i="8"/>
  <c r="D98" i="8"/>
  <c r="C98" i="8"/>
  <c r="B98" i="8"/>
  <c r="J97" i="8"/>
  <c r="I97" i="8"/>
  <c r="H97" i="8"/>
  <c r="G97" i="8"/>
  <c r="F97" i="8"/>
  <c r="E97" i="8"/>
  <c r="D97" i="8"/>
  <c r="C97" i="8"/>
  <c r="B97" i="8"/>
  <c r="J95" i="8"/>
  <c r="I95" i="8"/>
  <c r="H95" i="8"/>
  <c r="G95" i="8"/>
  <c r="F95" i="8"/>
  <c r="E95" i="8"/>
  <c r="D95" i="8"/>
  <c r="C95" i="8"/>
  <c r="B95" i="8"/>
  <c r="J91" i="8"/>
  <c r="I91" i="8"/>
  <c r="H91" i="8"/>
  <c r="G91" i="8"/>
  <c r="F91" i="8"/>
  <c r="E91" i="8"/>
  <c r="D91" i="8"/>
  <c r="C91" i="8"/>
  <c r="B91" i="8"/>
  <c r="J90" i="8"/>
  <c r="I90" i="8"/>
  <c r="H90" i="8"/>
  <c r="G90" i="8"/>
  <c r="F90" i="8"/>
  <c r="E90" i="8"/>
  <c r="D90" i="8"/>
  <c r="C90" i="8"/>
  <c r="B90" i="8"/>
  <c r="J88" i="8"/>
  <c r="I88" i="8"/>
  <c r="H88" i="8"/>
  <c r="G88" i="8"/>
  <c r="F88" i="8"/>
  <c r="E88" i="8"/>
  <c r="D88" i="8"/>
  <c r="C88" i="8"/>
  <c r="B88" i="8"/>
  <c r="J87" i="8"/>
  <c r="I87" i="8"/>
  <c r="H87" i="8"/>
  <c r="G87" i="8"/>
  <c r="F87" i="8"/>
  <c r="E87" i="8"/>
  <c r="D87" i="8"/>
  <c r="C87" i="8"/>
  <c r="B87" i="8"/>
  <c r="J86" i="8"/>
  <c r="I86" i="8"/>
  <c r="H86" i="8"/>
  <c r="G86" i="8"/>
  <c r="F86" i="8"/>
  <c r="E86" i="8"/>
  <c r="D86" i="8"/>
  <c r="C86" i="8"/>
  <c r="B86" i="8"/>
  <c r="J84" i="8"/>
  <c r="I84" i="8"/>
  <c r="H84" i="8"/>
  <c r="G84" i="8"/>
  <c r="F84" i="8"/>
  <c r="E84" i="8"/>
  <c r="D84" i="8"/>
  <c r="C84" i="8"/>
  <c r="B84" i="8"/>
  <c r="L83" i="8" l="1"/>
  <c r="L94" i="8"/>
  <c r="L82" i="8" l="1"/>
  <c r="S51" i="3" l="1"/>
  <c r="V81" i="3"/>
  <c r="U81" i="3"/>
  <c r="T81" i="3"/>
  <c r="S81" i="3"/>
  <c r="V72" i="3"/>
  <c r="V164" i="3" s="1"/>
  <c r="U72" i="3"/>
  <c r="U164" i="3" s="1"/>
  <c r="T72" i="3"/>
  <c r="T164" i="3" s="1"/>
  <c r="S72" i="3"/>
  <c r="S164" i="3" s="1"/>
  <c r="R72" i="3"/>
  <c r="R164" i="3" s="1"/>
  <c r="T71" i="3"/>
  <c r="S71" i="3"/>
  <c r="R71" i="3"/>
  <c r="V70" i="3"/>
  <c r="V162" i="3" s="1"/>
  <c r="U70" i="3"/>
  <c r="U162" i="3" s="1"/>
  <c r="T70" i="3"/>
  <c r="T162" i="3" s="1"/>
  <c r="S70" i="3"/>
  <c r="S162" i="3" s="1"/>
  <c r="R70" i="3"/>
  <c r="R162" i="3" s="1"/>
  <c r="U51" i="3"/>
  <c r="T51" i="3"/>
  <c r="R51" i="3"/>
  <c r="V42" i="3"/>
  <c r="U42" i="3"/>
  <c r="T42" i="3"/>
  <c r="S42" i="3"/>
  <c r="R42" i="3"/>
  <c r="V41" i="3"/>
  <c r="T41" i="3"/>
  <c r="R41" i="3"/>
  <c r="V40" i="3"/>
  <c r="U40" i="3"/>
  <c r="T40" i="3"/>
  <c r="S40" i="3"/>
  <c r="R40" i="3"/>
  <c r="V21" i="3"/>
  <c r="T21" i="3"/>
  <c r="S21" i="3"/>
  <c r="S233" i="3" s="1"/>
  <c r="V12" i="3"/>
  <c r="U12" i="3"/>
  <c r="T12" i="3"/>
  <c r="T224" i="3" s="1"/>
  <c r="S12" i="3"/>
  <c r="S224" i="3" s="1"/>
  <c r="R12" i="3"/>
  <c r="V11" i="3"/>
  <c r="U11" i="3"/>
  <c r="T11" i="3"/>
  <c r="S11" i="3"/>
  <c r="V10" i="3"/>
  <c r="U10" i="3"/>
  <c r="T10" i="3"/>
  <c r="S10" i="3"/>
  <c r="R10" i="3"/>
  <c r="Q72" i="3"/>
  <c r="Q164" i="3" s="1"/>
  <c r="P72" i="3"/>
  <c r="P164" i="3" s="1"/>
  <c r="O72" i="3"/>
  <c r="O164" i="3" s="1"/>
  <c r="N72" i="3"/>
  <c r="N164" i="3" s="1"/>
  <c r="M72" i="3"/>
  <c r="M164" i="3" s="1"/>
  <c r="L72" i="3"/>
  <c r="L164" i="3" s="1"/>
  <c r="K72" i="3"/>
  <c r="K164" i="3" s="1"/>
  <c r="J72" i="3"/>
  <c r="J164" i="3" s="1"/>
  <c r="I72" i="3"/>
  <c r="I164" i="3" s="1"/>
  <c r="H72" i="3"/>
  <c r="H164" i="3" s="1"/>
  <c r="G72" i="3"/>
  <c r="G164" i="3" s="1"/>
  <c r="F72" i="3"/>
  <c r="F164" i="3" s="1"/>
  <c r="E72" i="3"/>
  <c r="E164" i="3" s="1"/>
  <c r="D72" i="3"/>
  <c r="D164" i="3" s="1"/>
  <c r="C72" i="3"/>
  <c r="C164" i="3" s="1"/>
  <c r="B72" i="3"/>
  <c r="B164" i="3" s="1"/>
  <c r="Q70" i="3"/>
  <c r="Q162" i="3" s="1"/>
  <c r="P70" i="3"/>
  <c r="P162" i="3" s="1"/>
  <c r="O70" i="3"/>
  <c r="O162" i="3" s="1"/>
  <c r="N70" i="3"/>
  <c r="N162" i="3" s="1"/>
  <c r="M70" i="3"/>
  <c r="M162" i="3" s="1"/>
  <c r="L70" i="3"/>
  <c r="L162" i="3" s="1"/>
  <c r="K70" i="3"/>
  <c r="K162" i="3" s="1"/>
  <c r="J70" i="3"/>
  <c r="J162" i="3" s="1"/>
  <c r="I70" i="3"/>
  <c r="I162" i="3" s="1"/>
  <c r="H70" i="3"/>
  <c r="H162" i="3" s="1"/>
  <c r="G70" i="3"/>
  <c r="G162" i="3" s="1"/>
  <c r="F70" i="3"/>
  <c r="F162" i="3" s="1"/>
  <c r="E70" i="3"/>
  <c r="E162" i="3" s="1"/>
  <c r="D70" i="3"/>
  <c r="D162" i="3" s="1"/>
  <c r="C70" i="3"/>
  <c r="C162" i="3" s="1"/>
  <c r="B70" i="3"/>
  <c r="B162" i="3" s="1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A28" i="3"/>
  <c r="A27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A11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A10" i="3"/>
  <c r="A20" i="3"/>
  <c r="A19" i="3"/>
  <c r="A8" i="3"/>
  <c r="A7" i="3"/>
  <c r="A6" i="3"/>
  <c r="G58" i="8"/>
  <c r="G80" i="8" s="1"/>
  <c r="J57" i="8"/>
  <c r="G57" i="8"/>
  <c r="J55" i="8"/>
  <c r="J77" i="8" s="1"/>
  <c r="G55" i="8"/>
  <c r="G77" i="8" s="1"/>
  <c r="G54" i="8"/>
  <c r="G76" i="8" s="1"/>
  <c r="J53" i="8"/>
  <c r="G53" i="8"/>
  <c r="J51" i="8"/>
  <c r="G51" i="8"/>
  <c r="G73" i="8" s="1"/>
  <c r="J58" i="8"/>
  <c r="J80" i="8" s="1"/>
  <c r="H58" i="8"/>
  <c r="H57" i="8"/>
  <c r="B55" i="8"/>
  <c r="J54" i="8"/>
  <c r="J76" i="8" s="1"/>
  <c r="H54" i="8"/>
  <c r="H53" i="8"/>
  <c r="L51" i="3"/>
  <c r="D51" i="3"/>
  <c r="B51" i="3"/>
  <c r="L41" i="3"/>
  <c r="D41" i="3"/>
  <c r="B68" i="10"/>
  <c r="B81" i="3"/>
  <c r="B65" i="10"/>
  <c r="B64" i="10"/>
  <c r="G71" i="3"/>
  <c r="B71" i="3"/>
  <c r="B61" i="10"/>
  <c r="A234" i="3"/>
  <c r="A233" i="3"/>
  <c r="A230" i="3"/>
  <c r="A225" i="3"/>
  <c r="A221" i="3"/>
  <c r="A217" i="3"/>
  <c r="A204" i="3"/>
  <c r="A203" i="3"/>
  <c r="A200" i="3"/>
  <c r="A195" i="3"/>
  <c r="A191" i="3"/>
  <c r="A187" i="3"/>
  <c r="A174" i="3"/>
  <c r="A173" i="3"/>
  <c r="A170" i="3"/>
  <c r="A165" i="3"/>
  <c r="A161" i="3"/>
  <c r="A157" i="3"/>
  <c r="A144" i="3"/>
  <c r="A143" i="3"/>
  <c r="A140" i="3"/>
  <c r="A135" i="3"/>
  <c r="A131" i="3"/>
  <c r="A127" i="3"/>
  <c r="A114" i="3"/>
  <c r="A113" i="3"/>
  <c r="A110" i="3"/>
  <c r="A105" i="3"/>
  <c r="A101" i="3"/>
  <c r="A97" i="3"/>
  <c r="A82" i="3"/>
  <c r="A81" i="3"/>
  <c r="A78" i="3"/>
  <c r="A75" i="3"/>
  <c r="A73" i="3"/>
  <c r="A69" i="3"/>
  <c r="A65" i="3"/>
  <c r="A52" i="3"/>
  <c r="A51" i="3"/>
  <c r="A48" i="3"/>
  <c r="A44" i="3"/>
  <c r="A43" i="3"/>
  <c r="A39" i="3"/>
  <c r="A35" i="3"/>
  <c r="A137" i="3"/>
  <c r="A74" i="3"/>
  <c r="B6" i="1"/>
  <c r="B11" i="1"/>
  <c r="B4" i="1"/>
  <c r="B18" i="1"/>
  <c r="B13" i="1"/>
  <c r="B20" i="1"/>
  <c r="B17" i="1"/>
  <c r="B9" i="1"/>
  <c r="B12" i="1"/>
  <c r="B7" i="1"/>
  <c r="B8" i="1"/>
  <c r="B21" i="1"/>
  <c r="B16" i="1"/>
  <c r="B15" i="1"/>
  <c r="B22" i="1"/>
  <c r="A71" i="3" l="1"/>
  <c r="A42" i="3"/>
  <c r="A66" i="3"/>
  <c r="A67" i="3"/>
  <c r="A100" i="3"/>
  <c r="A49" i="3"/>
  <c r="A192" i="3"/>
  <c r="A134" i="3"/>
  <c r="G222" i="3"/>
  <c r="O222" i="3"/>
  <c r="T222" i="3"/>
  <c r="E224" i="3"/>
  <c r="M224" i="3"/>
  <c r="V233" i="3"/>
  <c r="V222" i="3"/>
  <c r="V224" i="3"/>
  <c r="B224" i="3"/>
  <c r="J224" i="3"/>
  <c r="A149" i="3"/>
  <c r="A120" i="3"/>
  <c r="T193" i="3"/>
  <c r="T203" i="3"/>
  <c r="R222" i="3"/>
  <c r="N222" i="3"/>
  <c r="S222" i="3"/>
  <c r="R224" i="3"/>
  <c r="F222" i="3"/>
  <c r="V192" i="3"/>
  <c r="V194" i="3"/>
  <c r="S223" i="3"/>
  <c r="V193" i="3"/>
  <c r="S203" i="3"/>
  <c r="T223" i="3"/>
  <c r="R192" i="3"/>
  <c r="R194" i="3"/>
  <c r="S192" i="3"/>
  <c r="S194" i="3"/>
  <c r="T192" i="3"/>
  <c r="T194" i="3"/>
  <c r="T233" i="3"/>
  <c r="U192" i="3"/>
  <c r="U194" i="3"/>
  <c r="U222" i="3"/>
  <c r="U224" i="3"/>
  <c r="D222" i="3"/>
  <c r="L222" i="3"/>
  <c r="D224" i="3"/>
  <c r="L224" i="3"/>
  <c r="Q49" i="10"/>
  <c r="Q38" i="10"/>
  <c r="Q60" i="10"/>
  <c r="S57" i="9"/>
  <c r="S46" i="9"/>
  <c r="S35" i="9"/>
  <c r="S24" i="9"/>
  <c r="G67" i="10"/>
  <c r="G63" i="10"/>
  <c r="G59" i="10"/>
  <c r="F57" i="9"/>
  <c r="N57" i="9"/>
  <c r="L64" i="9"/>
  <c r="L62" i="9"/>
  <c r="L60" i="9"/>
  <c r="L58" i="9"/>
  <c r="L56" i="9"/>
  <c r="L65" i="9"/>
  <c r="L61" i="9"/>
  <c r="L23" i="9"/>
  <c r="L45" i="9"/>
  <c r="M67" i="10"/>
  <c r="M63" i="10"/>
  <c r="M59" i="10"/>
  <c r="K65" i="9"/>
  <c r="K61" i="9"/>
  <c r="K64" i="9"/>
  <c r="K62" i="9"/>
  <c r="K60" i="9"/>
  <c r="K58" i="9"/>
  <c r="K56" i="9"/>
  <c r="N51" i="3"/>
  <c r="R24" i="9"/>
  <c r="R57" i="9"/>
  <c r="R46" i="9"/>
  <c r="R35" i="9"/>
  <c r="C67" i="10"/>
  <c r="C59" i="10"/>
  <c r="C63" i="10"/>
  <c r="N67" i="10"/>
  <c r="N63" i="10"/>
  <c r="N59" i="10"/>
  <c r="H71" i="3"/>
  <c r="H62" i="10"/>
  <c r="P71" i="3"/>
  <c r="F81" i="3"/>
  <c r="F66" i="10"/>
  <c r="N81" i="3"/>
  <c r="N66" i="10"/>
  <c r="O24" i="9"/>
  <c r="F41" i="3"/>
  <c r="U62" i="10"/>
  <c r="U51" i="10"/>
  <c r="U40" i="10"/>
  <c r="T30" i="9"/>
  <c r="T41" i="9"/>
  <c r="T52" i="9"/>
  <c r="T63" i="9"/>
  <c r="E81" i="3"/>
  <c r="E66" i="10"/>
  <c r="F63" i="9"/>
  <c r="T62" i="10"/>
  <c r="T51" i="10"/>
  <c r="T40" i="10"/>
  <c r="S63" i="9"/>
  <c r="S52" i="9"/>
  <c r="S30" i="9"/>
  <c r="S41" i="9"/>
  <c r="I60" i="10"/>
  <c r="I62" i="10"/>
  <c r="Q40" i="10"/>
  <c r="Q62" i="10"/>
  <c r="Q51" i="10"/>
  <c r="G66" i="10"/>
  <c r="C57" i="9"/>
  <c r="H41" i="3"/>
  <c r="H39" i="3" s="1"/>
  <c r="H59" i="9"/>
  <c r="P41" i="3"/>
  <c r="H63" i="9"/>
  <c r="P59" i="9"/>
  <c r="H222" i="3"/>
  <c r="P222" i="3"/>
  <c r="F224" i="3"/>
  <c r="N224" i="3"/>
  <c r="V51" i="10"/>
  <c r="V40" i="10"/>
  <c r="V62" i="10"/>
  <c r="R59" i="9"/>
  <c r="R26" i="9"/>
  <c r="R48" i="9"/>
  <c r="R37" i="9"/>
  <c r="U63" i="9"/>
  <c r="U30" i="9"/>
  <c r="U41" i="9"/>
  <c r="U52" i="9"/>
  <c r="P60" i="10"/>
  <c r="F67" i="10"/>
  <c r="F63" i="10"/>
  <c r="F59" i="10"/>
  <c r="H81" i="3"/>
  <c r="P81" i="3"/>
  <c r="P66" i="10"/>
  <c r="Q51" i="3"/>
  <c r="N41" i="3"/>
  <c r="O71" i="3"/>
  <c r="R66" i="10"/>
  <c r="R55" i="10"/>
  <c r="R44" i="10"/>
  <c r="S59" i="9"/>
  <c r="S37" i="9"/>
  <c r="S48" i="9"/>
  <c r="S26" i="9"/>
  <c r="V30" i="9"/>
  <c r="V41" i="9"/>
  <c r="V52" i="9"/>
  <c r="V63" i="9"/>
  <c r="P57" i="9"/>
  <c r="C60" i="10"/>
  <c r="L62" i="10"/>
  <c r="L38" i="10"/>
  <c r="L49" i="10"/>
  <c r="C71" i="3"/>
  <c r="C62" i="10"/>
  <c r="K71" i="3"/>
  <c r="I81" i="3"/>
  <c r="I66" i="10"/>
  <c r="Q66" i="10"/>
  <c r="Q55" i="10"/>
  <c r="Q44" i="10"/>
  <c r="E57" i="9"/>
  <c r="J46" i="9"/>
  <c r="J51" i="3"/>
  <c r="G81" i="3"/>
  <c r="V51" i="3"/>
  <c r="S66" i="10"/>
  <c r="S55" i="10"/>
  <c r="S44" i="10"/>
  <c r="T48" i="9"/>
  <c r="T26" i="9"/>
  <c r="T37" i="9"/>
  <c r="T59" i="9"/>
  <c r="L57" i="9"/>
  <c r="L24" i="9"/>
  <c r="L35" i="9"/>
  <c r="L46" i="9"/>
  <c r="H60" i="10"/>
  <c r="D60" i="10"/>
  <c r="M60" i="10"/>
  <c r="D71" i="3"/>
  <c r="D62" i="10"/>
  <c r="L71" i="3"/>
  <c r="L51" i="10"/>
  <c r="L40" i="10"/>
  <c r="J81" i="3"/>
  <c r="C59" i="9"/>
  <c r="K59" i="9"/>
  <c r="C63" i="9"/>
  <c r="K63" i="9"/>
  <c r="Q52" i="9"/>
  <c r="O81" i="3"/>
  <c r="R60" i="10"/>
  <c r="R49" i="10"/>
  <c r="R38" i="10"/>
  <c r="T66" i="10"/>
  <c r="T55" i="10"/>
  <c r="T44" i="10"/>
  <c r="U41" i="3"/>
  <c r="U59" i="9"/>
  <c r="U26" i="9"/>
  <c r="U37" i="9"/>
  <c r="U48" i="9"/>
  <c r="G62" i="10"/>
  <c r="M81" i="3"/>
  <c r="M66" i="10"/>
  <c r="I67" i="10"/>
  <c r="I63" i="10"/>
  <c r="I59" i="10"/>
  <c r="E60" i="10"/>
  <c r="N60" i="10"/>
  <c r="E71" i="3"/>
  <c r="E62" i="10"/>
  <c r="M71" i="3"/>
  <c r="M62" i="10"/>
  <c r="C81" i="3"/>
  <c r="C66" i="10"/>
  <c r="K81" i="3"/>
  <c r="C65" i="9"/>
  <c r="C61" i="9"/>
  <c r="C64" i="9"/>
  <c r="C62" i="9"/>
  <c r="C60" i="9"/>
  <c r="C58" i="9"/>
  <c r="C56" i="9"/>
  <c r="H57" i="9"/>
  <c r="L59" i="9"/>
  <c r="L26" i="9"/>
  <c r="L48" i="9"/>
  <c r="L37" i="9"/>
  <c r="L63" i="9"/>
  <c r="L30" i="9"/>
  <c r="L52" i="9"/>
  <c r="L41" i="9"/>
  <c r="Q48" i="9"/>
  <c r="R51" i="10"/>
  <c r="R62" i="10"/>
  <c r="R40" i="10"/>
  <c r="U66" i="10"/>
  <c r="U55" i="10"/>
  <c r="U44" i="10"/>
  <c r="V26" i="9"/>
  <c r="V59" i="9"/>
  <c r="V37" i="9"/>
  <c r="V48" i="9"/>
  <c r="G60" i="10"/>
  <c r="F59" i="9"/>
  <c r="Q63" i="9"/>
  <c r="F60" i="10"/>
  <c r="O38" i="10"/>
  <c r="F71" i="3"/>
  <c r="F62" i="10"/>
  <c r="N71" i="3"/>
  <c r="N62" i="10"/>
  <c r="D81" i="3"/>
  <c r="D66" i="10"/>
  <c r="L81" i="3"/>
  <c r="L44" i="10"/>
  <c r="L55" i="10"/>
  <c r="D63" i="9"/>
  <c r="K57" i="9"/>
  <c r="E41" i="3"/>
  <c r="M41" i="3"/>
  <c r="E51" i="3"/>
  <c r="M51" i="3"/>
  <c r="S41" i="3"/>
  <c r="S62" i="10"/>
  <c r="S51" i="10"/>
  <c r="S40" i="10"/>
  <c r="V66" i="10"/>
  <c r="V55" i="10"/>
  <c r="V44" i="10"/>
  <c r="R63" i="9"/>
  <c r="R52" i="9"/>
  <c r="R30" i="9"/>
  <c r="R41" i="9"/>
  <c r="O120" i="8"/>
  <c r="O116" i="8"/>
  <c r="O121" i="8"/>
  <c r="O119" i="8"/>
  <c r="O117" i="8"/>
  <c r="O83" i="8"/>
  <c r="M48" i="10"/>
  <c r="P23" i="9"/>
  <c r="H49" i="10"/>
  <c r="H46" i="9"/>
  <c r="E49" i="10"/>
  <c r="E46" i="9"/>
  <c r="G44" i="10"/>
  <c r="G41" i="9"/>
  <c r="K85" i="8"/>
  <c r="K26" i="9"/>
  <c r="N51" i="10"/>
  <c r="N48" i="9"/>
  <c r="R100" i="8"/>
  <c r="R56" i="8"/>
  <c r="R78" i="8" s="1"/>
  <c r="R111" i="8"/>
  <c r="T85" i="8"/>
  <c r="T118" i="8"/>
  <c r="C40" i="10"/>
  <c r="C37" i="9"/>
  <c r="K40" i="10"/>
  <c r="K37" i="9"/>
  <c r="K52" i="8"/>
  <c r="K74" i="8" s="1"/>
  <c r="K96" i="8"/>
  <c r="H100" i="8"/>
  <c r="H44" i="10"/>
  <c r="H41" i="9"/>
  <c r="Q112" i="8"/>
  <c r="Q41" i="9"/>
  <c r="Q56" i="8"/>
  <c r="Q78" i="8" s="1"/>
  <c r="Q113" i="8"/>
  <c r="Q111" i="8"/>
  <c r="Q100" i="8"/>
  <c r="D85" i="8"/>
  <c r="D26" i="9"/>
  <c r="M26" i="9"/>
  <c r="M85" i="8"/>
  <c r="E30" i="9"/>
  <c r="N123" i="8"/>
  <c r="N89" i="8"/>
  <c r="N30" i="9"/>
  <c r="N124" i="8"/>
  <c r="N122" i="8"/>
  <c r="F51" i="10"/>
  <c r="F48" i="9"/>
  <c r="O51" i="10"/>
  <c r="O48" i="9"/>
  <c r="G55" i="10"/>
  <c r="G52" i="9"/>
  <c r="P55" i="10"/>
  <c r="P52" i="9"/>
  <c r="S56" i="8"/>
  <c r="S78" i="8" s="1"/>
  <c r="S111" i="8"/>
  <c r="S100" i="8"/>
  <c r="U118" i="8"/>
  <c r="U85" i="8"/>
  <c r="J96" i="8"/>
  <c r="J40" i="10"/>
  <c r="J37" i="9"/>
  <c r="D30" i="9"/>
  <c r="E51" i="10"/>
  <c r="E48" i="9"/>
  <c r="F55" i="10"/>
  <c r="F52" i="9"/>
  <c r="D38" i="10"/>
  <c r="D35" i="9"/>
  <c r="D96" i="8"/>
  <c r="D40" i="10"/>
  <c r="D37" i="9"/>
  <c r="M40" i="10"/>
  <c r="M37" i="9"/>
  <c r="M52" i="8"/>
  <c r="M74" i="8" s="1"/>
  <c r="M96" i="8"/>
  <c r="I100" i="8"/>
  <c r="I44" i="10"/>
  <c r="I41" i="9"/>
  <c r="K118" i="8"/>
  <c r="E26" i="9"/>
  <c r="N85" i="8"/>
  <c r="N26" i="9"/>
  <c r="N118" i="8"/>
  <c r="F89" i="8"/>
  <c r="F30" i="9"/>
  <c r="O30" i="9"/>
  <c r="O124" i="8"/>
  <c r="O122" i="8"/>
  <c r="O123" i="8"/>
  <c r="O89" i="8"/>
  <c r="F49" i="10"/>
  <c r="F46" i="9"/>
  <c r="G51" i="10"/>
  <c r="G48" i="9"/>
  <c r="P51" i="10"/>
  <c r="P48" i="9"/>
  <c r="H55" i="10"/>
  <c r="H52" i="9"/>
  <c r="T56" i="8"/>
  <c r="T78" i="8" s="1"/>
  <c r="T111" i="8"/>
  <c r="T100" i="8"/>
  <c r="V85" i="8"/>
  <c r="V118" i="8"/>
  <c r="B96" i="8"/>
  <c r="B40" i="10"/>
  <c r="B37" i="9"/>
  <c r="P112" i="8"/>
  <c r="P100" i="8"/>
  <c r="P44" i="10"/>
  <c r="P41" i="9"/>
  <c r="P56" i="8"/>
  <c r="P78" i="8" s="1"/>
  <c r="P113" i="8"/>
  <c r="P111" i="8"/>
  <c r="G48" i="10"/>
  <c r="B41" i="9"/>
  <c r="B44" i="10"/>
  <c r="B24" i="9"/>
  <c r="F85" i="8"/>
  <c r="F26" i="9"/>
  <c r="G30" i="9"/>
  <c r="P30" i="9"/>
  <c r="P124" i="8"/>
  <c r="P122" i="8"/>
  <c r="P123" i="8"/>
  <c r="P89" i="8"/>
  <c r="H38" i="10"/>
  <c r="H35" i="9"/>
  <c r="F40" i="10"/>
  <c r="F37" i="9"/>
  <c r="O96" i="8"/>
  <c r="O40" i="10"/>
  <c r="O37" i="9"/>
  <c r="O52" i="8"/>
  <c r="O74" i="8" s="1"/>
  <c r="O107" i="8"/>
  <c r="C44" i="10"/>
  <c r="C41" i="9"/>
  <c r="K44" i="10"/>
  <c r="K41" i="9"/>
  <c r="K56" i="8"/>
  <c r="K78" i="8" s="1"/>
  <c r="K113" i="8"/>
  <c r="K111" i="8"/>
  <c r="K112" i="8"/>
  <c r="K100" i="8"/>
  <c r="D24" i="9"/>
  <c r="G85" i="8"/>
  <c r="G26" i="9"/>
  <c r="P26" i="9"/>
  <c r="P118" i="8"/>
  <c r="P85" i="8"/>
  <c r="H30" i="9"/>
  <c r="Q30" i="9"/>
  <c r="Q124" i="8"/>
  <c r="Q122" i="8"/>
  <c r="Q123" i="8"/>
  <c r="Q89" i="8"/>
  <c r="Q83" i="8"/>
  <c r="I51" i="10"/>
  <c r="I48" i="9"/>
  <c r="B55" i="10"/>
  <c r="B52" i="9"/>
  <c r="J55" i="10"/>
  <c r="J52" i="9"/>
  <c r="S52" i="8"/>
  <c r="S74" i="8" s="1"/>
  <c r="S107" i="8"/>
  <c r="S96" i="8"/>
  <c r="V56" i="8"/>
  <c r="V78" i="8" s="1"/>
  <c r="V111" i="8"/>
  <c r="V100" i="8"/>
  <c r="S89" i="8"/>
  <c r="S122" i="8"/>
  <c r="M49" i="10"/>
  <c r="M46" i="9"/>
  <c r="N121" i="8"/>
  <c r="N119" i="8"/>
  <c r="N117" i="8"/>
  <c r="N83" i="8"/>
  <c r="N24" i="9"/>
  <c r="N120" i="8"/>
  <c r="N116" i="8"/>
  <c r="P49" i="10"/>
  <c r="P46" i="9"/>
  <c r="H51" i="10"/>
  <c r="H48" i="9"/>
  <c r="I55" i="10"/>
  <c r="I52" i="9"/>
  <c r="G96" i="8"/>
  <c r="G40" i="10"/>
  <c r="G37" i="9"/>
  <c r="P96" i="8"/>
  <c r="P40" i="10"/>
  <c r="P37" i="9"/>
  <c r="P52" i="8"/>
  <c r="P74" i="8" s="1"/>
  <c r="P107" i="8"/>
  <c r="D44" i="10"/>
  <c r="D41" i="9"/>
  <c r="M44" i="10"/>
  <c r="M41" i="9"/>
  <c r="M56" i="8"/>
  <c r="M78" i="8" s="1"/>
  <c r="M113" i="8"/>
  <c r="M111" i="8"/>
  <c r="M112" i="8"/>
  <c r="M100" i="8"/>
  <c r="P24" i="9"/>
  <c r="P120" i="8"/>
  <c r="P116" i="8"/>
  <c r="P121" i="8"/>
  <c r="P119" i="8"/>
  <c r="P117" i="8"/>
  <c r="P83" i="8"/>
  <c r="H85" i="8"/>
  <c r="H26" i="9"/>
  <c r="Q26" i="9"/>
  <c r="Q118" i="8"/>
  <c r="Q85" i="8"/>
  <c r="I89" i="8"/>
  <c r="I30" i="9"/>
  <c r="P82" i="8"/>
  <c r="I49" i="10"/>
  <c r="B51" i="10"/>
  <c r="B48" i="9"/>
  <c r="J51" i="10"/>
  <c r="J48" i="9"/>
  <c r="C55" i="10"/>
  <c r="C52" i="9"/>
  <c r="K55" i="10"/>
  <c r="K52" i="9"/>
  <c r="T52" i="8"/>
  <c r="T74" i="8" s="1"/>
  <c r="T107" i="8"/>
  <c r="T96" i="8"/>
  <c r="T89" i="8"/>
  <c r="T122" i="8"/>
  <c r="D49" i="10"/>
  <c r="D46" i="9"/>
  <c r="O55" i="10"/>
  <c r="O52" i="9"/>
  <c r="G94" i="8"/>
  <c r="G38" i="10"/>
  <c r="N40" i="10"/>
  <c r="N37" i="9"/>
  <c r="N52" i="8"/>
  <c r="N74" i="8" s="1"/>
  <c r="N96" i="8"/>
  <c r="O26" i="9"/>
  <c r="O118" i="8"/>
  <c r="O85" i="8"/>
  <c r="G49" i="10"/>
  <c r="R21" i="3"/>
  <c r="R203" i="3" s="1"/>
  <c r="U56" i="8"/>
  <c r="U78" i="8" s="1"/>
  <c r="U111" i="8"/>
  <c r="U100" i="8"/>
  <c r="A40" i="3"/>
  <c r="O110" i="8"/>
  <c r="O108" i="8"/>
  <c r="O106" i="8"/>
  <c r="O94" i="8"/>
  <c r="O50" i="8"/>
  <c r="O72" i="8" s="1"/>
  <c r="O109" i="8"/>
  <c r="O105" i="8"/>
  <c r="H96" i="8"/>
  <c r="H40" i="10"/>
  <c r="H37" i="9"/>
  <c r="Q37" i="9"/>
  <c r="Q52" i="8"/>
  <c r="Q74" i="8" s="1"/>
  <c r="Q96" i="8"/>
  <c r="E44" i="10"/>
  <c r="E41" i="9"/>
  <c r="N44" i="10"/>
  <c r="N41" i="9"/>
  <c r="N56" i="8"/>
  <c r="N78" i="8" s="1"/>
  <c r="N113" i="8"/>
  <c r="N111" i="8"/>
  <c r="N112" i="8"/>
  <c r="N100" i="8"/>
  <c r="G83" i="8"/>
  <c r="Q120" i="8"/>
  <c r="Q116" i="8"/>
  <c r="Q121" i="8"/>
  <c r="Q119" i="8"/>
  <c r="Q117" i="8"/>
  <c r="I85" i="8"/>
  <c r="I26" i="9"/>
  <c r="B30" i="9"/>
  <c r="J30" i="9"/>
  <c r="B46" i="9"/>
  <c r="J49" i="10"/>
  <c r="C51" i="10"/>
  <c r="C48" i="9"/>
  <c r="K51" i="10"/>
  <c r="K48" i="9"/>
  <c r="D55" i="10"/>
  <c r="D52" i="9"/>
  <c r="M55" i="10"/>
  <c r="M52" i="9"/>
  <c r="U52" i="8"/>
  <c r="U74" i="8" s="1"/>
  <c r="U107" i="8"/>
  <c r="U96" i="8"/>
  <c r="R118" i="8"/>
  <c r="R85" i="8"/>
  <c r="U122" i="8"/>
  <c r="U89" i="8"/>
  <c r="C85" i="8"/>
  <c r="C26" i="9"/>
  <c r="M123" i="8"/>
  <c r="M30" i="9"/>
  <c r="M124" i="8"/>
  <c r="M122" i="8"/>
  <c r="M89" i="8"/>
  <c r="E40" i="10"/>
  <c r="E37" i="9"/>
  <c r="J44" i="10"/>
  <c r="J41" i="9"/>
  <c r="R96" i="8"/>
  <c r="R52" i="8"/>
  <c r="R74" i="8" s="1"/>
  <c r="R107" i="8"/>
  <c r="R122" i="8"/>
  <c r="R89" i="8"/>
  <c r="P110" i="8"/>
  <c r="P108" i="8"/>
  <c r="P106" i="8"/>
  <c r="P94" i="8"/>
  <c r="P38" i="10"/>
  <c r="P35" i="9"/>
  <c r="P50" i="8"/>
  <c r="P72" i="8" s="1"/>
  <c r="P109" i="8"/>
  <c r="P105" i="8"/>
  <c r="I40" i="10"/>
  <c r="I37" i="9"/>
  <c r="F100" i="8"/>
  <c r="F44" i="10"/>
  <c r="F41" i="9"/>
  <c r="O112" i="8"/>
  <c r="O100" i="8"/>
  <c r="O44" i="10"/>
  <c r="O41" i="9"/>
  <c r="O56" i="8"/>
  <c r="O78" i="8" s="1"/>
  <c r="O113" i="8"/>
  <c r="O111" i="8"/>
  <c r="H24" i="9"/>
  <c r="B26" i="9"/>
  <c r="J85" i="8"/>
  <c r="J26" i="9"/>
  <c r="C30" i="9"/>
  <c r="K123" i="8"/>
  <c r="K89" i="8"/>
  <c r="K30" i="9"/>
  <c r="K124" i="8"/>
  <c r="K122" i="8"/>
  <c r="D51" i="10"/>
  <c r="D48" i="9"/>
  <c r="M51" i="10"/>
  <c r="M48" i="9"/>
  <c r="E55" i="10"/>
  <c r="E52" i="9"/>
  <c r="N55" i="10"/>
  <c r="N52" i="9"/>
  <c r="R11" i="3"/>
  <c r="R223" i="3" s="1"/>
  <c r="V52" i="8"/>
  <c r="V74" i="8" s="1"/>
  <c r="V107" i="8"/>
  <c r="V96" i="8"/>
  <c r="S85" i="8"/>
  <c r="S118" i="8"/>
  <c r="V89" i="8"/>
  <c r="V122" i="8"/>
  <c r="A104" i="3"/>
  <c r="I222" i="3"/>
  <c r="Q222" i="3"/>
  <c r="G224" i="3"/>
  <c r="O224" i="3"/>
  <c r="A194" i="3"/>
  <c r="E222" i="3"/>
  <c r="M222" i="3"/>
  <c r="C224" i="3"/>
  <c r="K224" i="3"/>
  <c r="B222" i="3"/>
  <c r="J222" i="3"/>
  <c r="H224" i="3"/>
  <c r="P224" i="3"/>
  <c r="I192" i="3"/>
  <c r="Q192" i="3"/>
  <c r="E194" i="3"/>
  <c r="M194" i="3"/>
  <c r="H192" i="3"/>
  <c r="P192" i="3"/>
  <c r="D194" i="3"/>
  <c r="L194" i="3"/>
  <c r="A88" i="3"/>
  <c r="B192" i="3"/>
  <c r="J192" i="3"/>
  <c r="F194" i="3"/>
  <c r="N194" i="3"/>
  <c r="C192" i="3"/>
  <c r="K192" i="3"/>
  <c r="G194" i="3"/>
  <c r="O194" i="3"/>
  <c r="D192" i="3"/>
  <c r="L192" i="3"/>
  <c r="H194" i="3"/>
  <c r="P194" i="3"/>
  <c r="E192" i="3"/>
  <c r="M192" i="3"/>
  <c r="I194" i="3"/>
  <c r="Q194" i="3"/>
  <c r="F192" i="3"/>
  <c r="N192" i="3"/>
  <c r="B194" i="3"/>
  <c r="J194" i="3"/>
  <c r="T39" i="3"/>
  <c r="C222" i="3"/>
  <c r="K222" i="3"/>
  <c r="I224" i="3"/>
  <c r="Q224" i="3"/>
  <c r="G192" i="3"/>
  <c r="O192" i="3"/>
  <c r="C194" i="3"/>
  <c r="K194" i="3"/>
  <c r="Q81" i="3"/>
  <c r="U71" i="3"/>
  <c r="V71" i="3"/>
  <c r="T69" i="3"/>
  <c r="I71" i="3"/>
  <c r="Q71" i="3"/>
  <c r="R81" i="3"/>
  <c r="J71" i="3"/>
  <c r="M11" i="3"/>
  <c r="N11" i="3"/>
  <c r="U21" i="3"/>
  <c r="U233" i="3" s="1"/>
  <c r="Q11" i="3"/>
  <c r="Q9" i="3" s="1"/>
  <c r="M21" i="3"/>
  <c r="C111" i="8"/>
  <c r="C100" i="8"/>
  <c r="G122" i="8"/>
  <c r="G89" i="8"/>
  <c r="D111" i="8"/>
  <c r="D100" i="8"/>
  <c r="H122" i="8"/>
  <c r="H89" i="8"/>
  <c r="I11" i="3"/>
  <c r="I9" i="3" s="1"/>
  <c r="I96" i="8"/>
  <c r="E21" i="3"/>
  <c r="E100" i="8"/>
  <c r="H116" i="8"/>
  <c r="H83" i="8"/>
  <c r="D105" i="8"/>
  <c r="D94" i="8"/>
  <c r="I116" i="8"/>
  <c r="I83" i="8"/>
  <c r="B85" i="8"/>
  <c r="B89" i="8"/>
  <c r="J122" i="8"/>
  <c r="J89" i="8"/>
  <c r="C96" i="8"/>
  <c r="G111" i="8"/>
  <c r="G100" i="8"/>
  <c r="D82" i="8"/>
  <c r="J116" i="8"/>
  <c r="J83" i="8"/>
  <c r="C122" i="8"/>
  <c r="C89" i="8"/>
  <c r="H50" i="8"/>
  <c r="H72" i="8" s="1"/>
  <c r="H94" i="8"/>
  <c r="B116" i="8"/>
  <c r="B83" i="8"/>
  <c r="D122" i="8"/>
  <c r="D89" i="8"/>
  <c r="E11" i="3"/>
  <c r="E96" i="8"/>
  <c r="E85" i="8"/>
  <c r="E89" i="8"/>
  <c r="F11" i="3"/>
  <c r="F96" i="8"/>
  <c r="B111" i="8"/>
  <c r="B100" i="8"/>
  <c r="J111" i="8"/>
  <c r="J100" i="8"/>
  <c r="I82" i="8"/>
  <c r="D116" i="8"/>
  <c r="D83" i="8"/>
  <c r="B56" i="9"/>
  <c r="F51" i="3"/>
  <c r="G41" i="3"/>
  <c r="O41" i="3"/>
  <c r="G51" i="3"/>
  <c r="O51" i="3"/>
  <c r="H51" i="3"/>
  <c r="P51" i="3"/>
  <c r="I41" i="3"/>
  <c r="Q41" i="3"/>
  <c r="I51" i="3"/>
  <c r="I46" i="9"/>
  <c r="B41" i="3"/>
  <c r="J41" i="3"/>
  <c r="M45" i="9"/>
  <c r="C41" i="3"/>
  <c r="K41" i="3"/>
  <c r="C51" i="3"/>
  <c r="K51" i="3"/>
  <c r="B50" i="8"/>
  <c r="M118" i="8"/>
  <c r="Q107" i="8"/>
  <c r="G107" i="8"/>
  <c r="I123" i="8"/>
  <c r="T82" i="8"/>
  <c r="S82" i="8"/>
  <c r="C105" i="8"/>
  <c r="C110" i="8"/>
  <c r="I109" i="8"/>
  <c r="C112" i="8"/>
  <c r="G123" i="8"/>
  <c r="I111" i="8"/>
  <c r="C116" i="8"/>
  <c r="I122" i="8"/>
  <c r="G11" i="3"/>
  <c r="O11" i="3"/>
  <c r="F21" i="3"/>
  <c r="N21" i="3"/>
  <c r="D106" i="8"/>
  <c r="G52" i="8"/>
  <c r="G74" i="8" s="1"/>
  <c r="I108" i="8"/>
  <c r="G116" i="8"/>
  <c r="C120" i="8"/>
  <c r="H11" i="3"/>
  <c r="P11" i="3"/>
  <c r="P9" i="3" s="1"/>
  <c r="G21" i="3"/>
  <c r="O21" i="3"/>
  <c r="E108" i="8"/>
  <c r="M107" i="8"/>
  <c r="I106" i="8"/>
  <c r="D107" i="8"/>
  <c r="G108" i="8"/>
  <c r="I110" i="8"/>
  <c r="G112" i="8"/>
  <c r="G119" i="8"/>
  <c r="I124" i="8"/>
  <c r="I112" i="8"/>
  <c r="G117" i="8"/>
  <c r="G120" i="8"/>
  <c r="H21" i="3"/>
  <c r="P21" i="3"/>
  <c r="J106" i="8"/>
  <c r="G118" i="8"/>
  <c r="I119" i="8"/>
  <c r="G50" i="8"/>
  <c r="G105" i="8"/>
  <c r="I117" i="8"/>
  <c r="E123" i="8"/>
  <c r="B11" i="3"/>
  <c r="J11" i="3"/>
  <c r="J9" i="3" s="1"/>
  <c r="I21" i="3"/>
  <c r="Q21" i="3"/>
  <c r="C121" i="8"/>
  <c r="G121" i="8"/>
  <c r="C11" i="3"/>
  <c r="K11" i="3"/>
  <c r="B21" i="3"/>
  <c r="B233" i="3" s="1"/>
  <c r="J21" i="3"/>
  <c r="G113" i="8"/>
  <c r="G56" i="8"/>
  <c r="G106" i="8"/>
  <c r="E113" i="8"/>
  <c r="I118" i="8"/>
  <c r="I121" i="8"/>
  <c r="C124" i="8"/>
  <c r="D11" i="3"/>
  <c r="D9" i="3" s="1"/>
  <c r="L11" i="3"/>
  <c r="C21" i="3"/>
  <c r="K21" i="3"/>
  <c r="G109" i="8"/>
  <c r="C117" i="8"/>
  <c r="B118" i="8"/>
  <c r="I120" i="8"/>
  <c r="J56" i="8"/>
  <c r="G110" i="8"/>
  <c r="G124" i="8"/>
  <c r="D21" i="3"/>
  <c r="L21" i="3"/>
  <c r="U9" i="3"/>
  <c r="B106" i="8"/>
  <c r="I107" i="8"/>
  <c r="I113" i="8"/>
  <c r="C118" i="8"/>
  <c r="B122" i="8"/>
  <c r="V39" i="3"/>
  <c r="S9" i="3"/>
  <c r="R69" i="3"/>
  <c r="T9" i="3"/>
  <c r="S69" i="3"/>
  <c r="V9" i="3"/>
  <c r="R39" i="3"/>
  <c r="V82" i="8"/>
  <c r="A198" i="3"/>
  <c r="A228" i="3"/>
  <c r="A168" i="3"/>
  <c r="A189" i="3"/>
  <c r="A219" i="3"/>
  <c r="A141" i="3"/>
  <c r="A231" i="3"/>
  <c r="A171" i="3"/>
  <c r="A111" i="3"/>
  <c r="A37" i="3"/>
  <c r="A45" i="3"/>
  <c r="B69" i="3"/>
  <c r="A70" i="3"/>
  <c r="A79" i="3"/>
  <c r="A190" i="3"/>
  <c r="A220" i="3"/>
  <c r="A160" i="3"/>
  <c r="A232" i="3"/>
  <c r="A172" i="3"/>
  <c r="A202" i="3"/>
  <c r="A142" i="3"/>
  <c r="A38" i="3"/>
  <c r="A46" i="3"/>
  <c r="A57" i="3"/>
  <c r="A80" i="3"/>
  <c r="A98" i="3"/>
  <c r="A106" i="3"/>
  <c r="A119" i="3"/>
  <c r="A129" i="3"/>
  <c r="A136" i="3"/>
  <c r="A201" i="3"/>
  <c r="A132" i="3"/>
  <c r="A222" i="3"/>
  <c r="A162" i="3"/>
  <c r="A58" i="3"/>
  <c r="A72" i="3"/>
  <c r="A99" i="3"/>
  <c r="A107" i="3"/>
  <c r="A112" i="3"/>
  <c r="A159" i="3"/>
  <c r="A180" i="3"/>
  <c r="A108" i="3"/>
  <c r="A138" i="3"/>
  <c r="A36" i="3"/>
  <c r="A223" i="3"/>
  <c r="A193" i="3"/>
  <c r="A164" i="3"/>
  <c r="A224" i="3"/>
  <c r="A209" i="3"/>
  <c r="A239" i="3"/>
  <c r="A179" i="3"/>
  <c r="A41" i="3"/>
  <c r="A50" i="3"/>
  <c r="A130" i="3"/>
  <c r="A133" i="3"/>
  <c r="A163" i="3"/>
  <c r="A188" i="3"/>
  <c r="A218" i="3"/>
  <c r="A158" i="3"/>
  <c r="A196" i="3"/>
  <c r="A226" i="3"/>
  <c r="A166" i="3"/>
  <c r="D39" i="3"/>
  <c r="A102" i="3"/>
  <c r="A150" i="3"/>
  <c r="A240" i="3"/>
  <c r="A210" i="3"/>
  <c r="L39" i="3"/>
  <c r="G69" i="3"/>
  <c r="A197" i="3"/>
  <c r="A227" i="3"/>
  <c r="A68" i="3"/>
  <c r="A76" i="3"/>
  <c r="A87" i="3"/>
  <c r="A103" i="3"/>
  <c r="A128" i="3"/>
  <c r="A167" i="3"/>
  <c r="H80" i="8"/>
  <c r="G75" i="8"/>
  <c r="B57" i="9"/>
  <c r="B58" i="9"/>
  <c r="B59" i="9"/>
  <c r="B60" i="9"/>
  <c r="B61" i="9"/>
  <c r="B62" i="9"/>
  <c r="B63" i="9"/>
  <c r="B64" i="9"/>
  <c r="B65" i="9"/>
  <c r="G79" i="8"/>
  <c r="J73" i="8"/>
  <c r="B53" i="8"/>
  <c r="B75" i="8" s="1"/>
  <c r="B57" i="8"/>
  <c r="B79" i="8" s="1"/>
  <c r="B105" i="8"/>
  <c r="B107" i="8"/>
  <c r="E51" i="8"/>
  <c r="E73" i="8" s="1"/>
  <c r="E52" i="8"/>
  <c r="E53" i="8"/>
  <c r="E75" i="8" s="1"/>
  <c r="E54" i="8"/>
  <c r="E76" i="8" s="1"/>
  <c r="E55" i="8"/>
  <c r="E77" i="8" s="1"/>
  <c r="E111" i="8"/>
  <c r="E56" i="8"/>
  <c r="E57" i="8"/>
  <c r="E79" i="8" s="1"/>
  <c r="E112" i="8"/>
  <c r="E58" i="8"/>
  <c r="E80" i="8" s="1"/>
  <c r="E116" i="8"/>
  <c r="E117" i="8"/>
  <c r="E118" i="8"/>
  <c r="E120" i="8"/>
  <c r="E121" i="8"/>
  <c r="E122" i="8"/>
  <c r="E124" i="8"/>
  <c r="B112" i="8"/>
  <c r="F105" i="8"/>
  <c r="F50" i="8"/>
  <c r="F106" i="8"/>
  <c r="F51" i="8"/>
  <c r="F107" i="8"/>
  <c r="F52" i="8"/>
  <c r="F53" i="8"/>
  <c r="F75" i="8" s="1"/>
  <c r="F108" i="8"/>
  <c r="F54" i="8"/>
  <c r="F76" i="8" s="1"/>
  <c r="F109" i="8"/>
  <c r="F55" i="8"/>
  <c r="F77" i="8" s="1"/>
  <c r="F110" i="8"/>
  <c r="F111" i="8"/>
  <c r="F56" i="8"/>
  <c r="F57" i="8"/>
  <c r="F79" i="8" s="1"/>
  <c r="F112" i="8"/>
  <c r="F58" i="8"/>
  <c r="F80" i="8" s="1"/>
  <c r="F113" i="8"/>
  <c r="F116" i="8"/>
  <c r="F117" i="8"/>
  <c r="F118" i="8"/>
  <c r="F119" i="8"/>
  <c r="F120" i="8"/>
  <c r="F121" i="8"/>
  <c r="F122" i="8"/>
  <c r="F123" i="8"/>
  <c r="F124" i="8"/>
  <c r="B52" i="8"/>
  <c r="B56" i="8"/>
  <c r="B77" i="8"/>
  <c r="E119" i="8"/>
  <c r="H105" i="8"/>
  <c r="H106" i="8"/>
  <c r="H107" i="8"/>
  <c r="H108" i="8"/>
  <c r="H109" i="8"/>
  <c r="H110" i="8"/>
  <c r="H111" i="8"/>
  <c r="H112" i="8"/>
  <c r="H113" i="8"/>
  <c r="H117" i="8"/>
  <c r="H118" i="8"/>
  <c r="H119" i="8"/>
  <c r="H120" i="8"/>
  <c r="H121" i="8"/>
  <c r="H123" i="8"/>
  <c r="H124" i="8"/>
  <c r="B51" i="8"/>
  <c r="H52" i="8"/>
  <c r="H56" i="8"/>
  <c r="B108" i="8"/>
  <c r="J52" i="8"/>
  <c r="B109" i="8"/>
  <c r="B110" i="8"/>
  <c r="J110" i="8"/>
  <c r="J112" i="8"/>
  <c r="B113" i="8"/>
  <c r="J113" i="8"/>
  <c r="B117" i="8"/>
  <c r="J117" i="8"/>
  <c r="J118" i="8"/>
  <c r="B119" i="8"/>
  <c r="J119" i="8"/>
  <c r="B120" i="8"/>
  <c r="J120" i="8"/>
  <c r="B121" i="8"/>
  <c r="J121" i="8"/>
  <c r="B123" i="8"/>
  <c r="J123" i="8"/>
  <c r="B124" i="8"/>
  <c r="J124" i="8"/>
  <c r="H51" i="8"/>
  <c r="H73" i="8" s="1"/>
  <c r="B54" i="8"/>
  <c r="B76" i="8" s="1"/>
  <c r="H55" i="8"/>
  <c r="H77" i="8" s="1"/>
  <c r="B58" i="8"/>
  <c r="B80" i="8" s="1"/>
  <c r="H76" i="8"/>
  <c r="I50" i="8"/>
  <c r="I51" i="8"/>
  <c r="I52" i="8"/>
  <c r="I53" i="8"/>
  <c r="I75" i="8" s="1"/>
  <c r="I54" i="8"/>
  <c r="I55" i="8"/>
  <c r="I77" i="8" s="1"/>
  <c r="I56" i="8"/>
  <c r="I57" i="8"/>
  <c r="I79" i="8" s="1"/>
  <c r="I58" i="8"/>
  <c r="C109" i="8"/>
  <c r="C113" i="8"/>
  <c r="C119" i="8"/>
  <c r="C123" i="8"/>
  <c r="C50" i="8"/>
  <c r="C51" i="8"/>
  <c r="C52" i="8"/>
  <c r="C53" i="8"/>
  <c r="C54" i="8"/>
  <c r="C76" i="8" s="1"/>
  <c r="C55" i="8"/>
  <c r="C56" i="8"/>
  <c r="C57" i="8"/>
  <c r="C79" i="8" s="1"/>
  <c r="C58" i="8"/>
  <c r="D50" i="8"/>
  <c r="D51" i="8"/>
  <c r="D52" i="8"/>
  <c r="D53" i="8"/>
  <c r="D54" i="8"/>
  <c r="D76" i="8" s="1"/>
  <c r="D55" i="8"/>
  <c r="D56" i="8"/>
  <c r="D57" i="8"/>
  <c r="D79" i="8" s="1"/>
  <c r="D58" i="8"/>
  <c r="D108" i="8"/>
  <c r="D109" i="8"/>
  <c r="D110" i="8"/>
  <c r="D112" i="8"/>
  <c r="D113" i="8"/>
  <c r="D117" i="8"/>
  <c r="D118" i="8"/>
  <c r="D119" i="8"/>
  <c r="D120" i="8"/>
  <c r="D121" i="8"/>
  <c r="D123" i="8"/>
  <c r="D124" i="8"/>
  <c r="H193" i="3" l="1"/>
  <c r="M223" i="3"/>
  <c r="I233" i="3"/>
  <c r="P233" i="3"/>
  <c r="J69" i="3"/>
  <c r="J221" i="3" s="1"/>
  <c r="M69" i="3"/>
  <c r="N69" i="3"/>
  <c r="D69" i="3"/>
  <c r="D221" i="3" s="1"/>
  <c r="P69" i="3"/>
  <c r="P221" i="3" s="1"/>
  <c r="Q69" i="3"/>
  <c r="Q221" i="3" s="1"/>
  <c r="E69" i="3"/>
  <c r="K69" i="3"/>
  <c r="I69" i="3"/>
  <c r="F69" i="3"/>
  <c r="H69" i="3"/>
  <c r="U223" i="3"/>
  <c r="L69" i="3"/>
  <c r="C69" i="3"/>
  <c r="V69" i="3"/>
  <c r="V221" i="3" s="1"/>
  <c r="O69" i="3"/>
  <c r="K39" i="3"/>
  <c r="O233" i="3"/>
  <c r="M39" i="3"/>
  <c r="U193" i="3"/>
  <c r="E39" i="3"/>
  <c r="V203" i="3"/>
  <c r="P39" i="3"/>
  <c r="P191" i="3" s="1"/>
  <c r="N39" i="3"/>
  <c r="F39" i="3"/>
  <c r="S193" i="3"/>
  <c r="E223" i="3"/>
  <c r="C223" i="3"/>
  <c r="C233" i="3"/>
  <c r="J233" i="3"/>
  <c r="K223" i="3"/>
  <c r="U39" i="3"/>
  <c r="N223" i="3"/>
  <c r="D233" i="3"/>
  <c r="E233" i="3"/>
  <c r="G233" i="3"/>
  <c r="U69" i="3"/>
  <c r="D223" i="3"/>
  <c r="P223" i="3"/>
  <c r="R9" i="3"/>
  <c r="R191" i="3" s="1"/>
  <c r="S39" i="3"/>
  <c r="M9" i="3"/>
  <c r="M221" i="3" s="1"/>
  <c r="F223" i="3"/>
  <c r="T191" i="3"/>
  <c r="V191" i="3"/>
  <c r="N233" i="3"/>
  <c r="M233" i="3"/>
  <c r="U203" i="3"/>
  <c r="N9" i="3"/>
  <c r="H233" i="3"/>
  <c r="R193" i="3"/>
  <c r="S221" i="3"/>
  <c r="R233" i="3"/>
  <c r="V223" i="3"/>
  <c r="F233" i="3"/>
  <c r="K233" i="3"/>
  <c r="L66" i="10"/>
  <c r="L223" i="3"/>
  <c r="L233" i="3"/>
  <c r="L60" i="10"/>
  <c r="O35" i="9"/>
  <c r="O46" i="9"/>
  <c r="D57" i="9"/>
  <c r="P63" i="9"/>
  <c r="O61" i="9"/>
  <c r="Q24" i="9"/>
  <c r="J24" i="9"/>
  <c r="J65" i="9"/>
  <c r="R48" i="10"/>
  <c r="R59" i="10"/>
  <c r="S23" i="9"/>
  <c r="S56" i="9"/>
  <c r="S45" i="9"/>
  <c r="O60" i="9"/>
  <c r="O56" i="9"/>
  <c r="O65" i="9"/>
  <c r="E59" i="9"/>
  <c r="N59" i="9"/>
  <c r="M57" i="9"/>
  <c r="B49" i="10"/>
  <c r="K59" i="10"/>
  <c r="K67" i="10"/>
  <c r="K63" i="10"/>
  <c r="K62" i="10"/>
  <c r="L63" i="10"/>
  <c r="L59" i="10"/>
  <c r="L67" i="10"/>
  <c r="L48" i="10"/>
  <c r="H66" i="10"/>
  <c r="M65" i="9"/>
  <c r="M64" i="9"/>
  <c r="M62" i="9"/>
  <c r="M60" i="9"/>
  <c r="M58" i="9"/>
  <c r="M56" i="9"/>
  <c r="M61" i="9"/>
  <c r="R45" i="9"/>
  <c r="R23" i="9"/>
  <c r="R56" i="9"/>
  <c r="G24" i="9"/>
  <c r="G46" i="9"/>
  <c r="M63" i="9"/>
  <c r="Q59" i="9"/>
  <c r="E61" i="9"/>
  <c r="E64" i="9"/>
  <c r="E62" i="9"/>
  <c r="E60" i="9"/>
  <c r="E58" i="9"/>
  <c r="E56" i="9"/>
  <c r="E65" i="9"/>
  <c r="N65" i="9"/>
  <c r="N64" i="9"/>
  <c r="N62" i="9"/>
  <c r="N60" i="9"/>
  <c r="N58" i="9"/>
  <c r="N56" i="9"/>
  <c r="N61" i="9"/>
  <c r="S38" i="10"/>
  <c r="S60" i="10"/>
  <c r="S49" i="10"/>
  <c r="J61" i="9"/>
  <c r="V49" i="10"/>
  <c r="V38" i="10"/>
  <c r="V60" i="10"/>
  <c r="I24" i="9"/>
  <c r="N23" i="9"/>
  <c r="D64" i="9"/>
  <c r="D62" i="9"/>
  <c r="D60" i="9"/>
  <c r="D58" i="9"/>
  <c r="D56" i="9"/>
  <c r="D65" i="9"/>
  <c r="D61" i="9"/>
  <c r="Q57" i="9"/>
  <c r="D67" i="10"/>
  <c r="D63" i="10"/>
  <c r="D59" i="10"/>
  <c r="P65" i="9"/>
  <c r="P61" i="9"/>
  <c r="P62" i="9"/>
  <c r="P58" i="9"/>
  <c r="P56" i="9"/>
  <c r="P60" i="9"/>
  <c r="P64" i="9"/>
  <c r="E67" i="10"/>
  <c r="E63" i="10"/>
  <c r="E59" i="10"/>
  <c r="T23" i="9"/>
  <c r="T45" i="9"/>
  <c r="T56" i="9"/>
  <c r="Q58" i="9"/>
  <c r="Q65" i="9"/>
  <c r="Q61" i="9"/>
  <c r="Q56" i="9"/>
  <c r="Q64" i="9"/>
  <c r="Q62" i="9"/>
  <c r="Q60" i="9"/>
  <c r="G35" i="9"/>
  <c r="E63" i="9"/>
  <c r="D59" i="9"/>
  <c r="H67" i="10"/>
  <c r="H63" i="10"/>
  <c r="H59" i="10"/>
  <c r="P67" i="10"/>
  <c r="P63" i="10"/>
  <c r="P59" i="10"/>
  <c r="N63" i="9"/>
  <c r="I223" i="3"/>
  <c r="V57" i="9"/>
  <c r="V24" i="9"/>
  <c r="V35" i="9"/>
  <c r="V46" i="9"/>
  <c r="U46" i="9"/>
  <c r="U57" i="9"/>
  <c r="U24" i="9"/>
  <c r="U35" i="9"/>
  <c r="Q59" i="10"/>
  <c r="Q48" i="10"/>
  <c r="O49" i="10"/>
  <c r="K66" i="10"/>
  <c r="K60" i="10"/>
  <c r="H65" i="9"/>
  <c r="H61" i="9"/>
  <c r="H64" i="9"/>
  <c r="H60" i="9"/>
  <c r="H58" i="9"/>
  <c r="H62" i="9"/>
  <c r="H56" i="9"/>
  <c r="F64" i="9"/>
  <c r="F62" i="9"/>
  <c r="F60" i="9"/>
  <c r="F58" i="9"/>
  <c r="F56" i="9"/>
  <c r="F65" i="9"/>
  <c r="F61" i="9"/>
  <c r="O57" i="9"/>
  <c r="P62" i="10"/>
  <c r="G57" i="9"/>
  <c r="U60" i="10"/>
  <c r="U49" i="10"/>
  <c r="U38" i="10"/>
  <c r="T49" i="10"/>
  <c r="T60" i="10"/>
  <c r="T38" i="10"/>
  <c r="M59" i="9"/>
  <c r="T46" i="9"/>
  <c r="T35" i="9"/>
  <c r="T24" i="9"/>
  <c r="T57" i="9"/>
  <c r="J94" i="8"/>
  <c r="J38" i="10"/>
  <c r="J35" i="9"/>
  <c r="J107" i="8"/>
  <c r="U116" i="8"/>
  <c r="U83" i="8"/>
  <c r="N38" i="10"/>
  <c r="N35" i="9"/>
  <c r="N50" i="8"/>
  <c r="N72" i="8" s="1"/>
  <c r="N109" i="8"/>
  <c r="N105" i="8"/>
  <c r="N110" i="8"/>
  <c r="N108" i="8"/>
  <c r="N106" i="8"/>
  <c r="N94" i="8"/>
  <c r="B23" i="9"/>
  <c r="C24" i="9"/>
  <c r="S83" i="8"/>
  <c r="S116" i="8"/>
  <c r="F48" i="10"/>
  <c r="F45" i="9"/>
  <c r="J109" i="8"/>
  <c r="J105" i="8"/>
  <c r="U50" i="8"/>
  <c r="U72" i="8" s="1"/>
  <c r="U105" i="8"/>
  <c r="U94" i="8"/>
  <c r="F94" i="8"/>
  <c r="F38" i="10"/>
  <c r="F35" i="9"/>
  <c r="H23" i="9"/>
  <c r="I48" i="10"/>
  <c r="I45" i="9"/>
  <c r="C49" i="10"/>
  <c r="C46" i="9"/>
  <c r="J50" i="8"/>
  <c r="J72" i="8" s="1"/>
  <c r="T50" i="8"/>
  <c r="T72" i="8" s="1"/>
  <c r="T105" i="8"/>
  <c r="T94" i="8"/>
  <c r="I38" i="10"/>
  <c r="I35" i="9"/>
  <c r="K38" i="10"/>
  <c r="K35" i="9"/>
  <c r="K50" i="8"/>
  <c r="K72" i="8" s="1"/>
  <c r="K109" i="8"/>
  <c r="K105" i="8"/>
  <c r="K110" i="8"/>
  <c r="K108" i="8"/>
  <c r="K94" i="8"/>
  <c r="K106" i="8"/>
  <c r="P48" i="10"/>
  <c r="P45" i="9"/>
  <c r="O48" i="10"/>
  <c r="O45" i="9"/>
  <c r="N49" i="10"/>
  <c r="N46" i="9"/>
  <c r="J108" i="8"/>
  <c r="R94" i="8"/>
  <c r="R50" i="8"/>
  <c r="R72" i="8" s="1"/>
  <c r="R105" i="8"/>
  <c r="B94" i="8"/>
  <c r="B35" i="9"/>
  <c r="B38" i="10"/>
  <c r="B45" i="9"/>
  <c r="Q23" i="9"/>
  <c r="Q82" i="8"/>
  <c r="T83" i="8"/>
  <c r="T116" i="8"/>
  <c r="E48" i="10"/>
  <c r="E45" i="9"/>
  <c r="S50" i="8"/>
  <c r="S72" i="8" s="1"/>
  <c r="S105" i="8"/>
  <c r="S94" i="8"/>
  <c r="Q110" i="8"/>
  <c r="Q108" i="8"/>
  <c r="Q106" i="8"/>
  <c r="Q35" i="9"/>
  <c r="Q50" i="8"/>
  <c r="Q72" i="8" s="1"/>
  <c r="Q109" i="8"/>
  <c r="Q105" i="8"/>
  <c r="Q94" i="8"/>
  <c r="C94" i="8"/>
  <c r="C38" i="10"/>
  <c r="C35" i="9"/>
  <c r="D48" i="10"/>
  <c r="D45" i="9"/>
  <c r="N107" i="8"/>
  <c r="F83" i="8"/>
  <c r="F24" i="9"/>
  <c r="H48" i="10"/>
  <c r="H45" i="9"/>
  <c r="E38" i="10"/>
  <c r="E35" i="9"/>
  <c r="Q45" i="9"/>
  <c r="Q46" i="9"/>
  <c r="R116" i="8"/>
  <c r="R83" i="8"/>
  <c r="O82" i="8"/>
  <c r="O23" i="9"/>
  <c r="M121" i="8"/>
  <c r="M119" i="8"/>
  <c r="M117" i="8"/>
  <c r="M24" i="9"/>
  <c r="M120" i="8"/>
  <c r="M116" i="8"/>
  <c r="M83" i="8"/>
  <c r="D23" i="9"/>
  <c r="E107" i="8"/>
  <c r="V50" i="8"/>
  <c r="V72" i="8" s="1"/>
  <c r="V105" i="8"/>
  <c r="V94" i="8"/>
  <c r="V83" i="8"/>
  <c r="V116" i="8"/>
  <c r="G23" i="9"/>
  <c r="M38" i="10"/>
  <c r="M35" i="9"/>
  <c r="M50" i="8"/>
  <c r="M72" i="8" s="1"/>
  <c r="M109" i="8"/>
  <c r="M105" i="8"/>
  <c r="M110" i="8"/>
  <c r="M108" i="8"/>
  <c r="M106" i="8"/>
  <c r="M94" i="8"/>
  <c r="E83" i="8"/>
  <c r="E24" i="9"/>
  <c r="K49" i="10"/>
  <c r="K46" i="9"/>
  <c r="K121" i="8"/>
  <c r="K119" i="8"/>
  <c r="K117" i="8"/>
  <c r="K83" i="8"/>
  <c r="K24" i="9"/>
  <c r="K120" i="8"/>
  <c r="K116" i="8"/>
  <c r="K107" i="8"/>
  <c r="J223" i="3"/>
  <c r="F9" i="3"/>
  <c r="Q233" i="3"/>
  <c r="G203" i="3"/>
  <c r="Q223" i="3"/>
  <c r="M193" i="3"/>
  <c r="N193" i="3"/>
  <c r="H203" i="3"/>
  <c r="F193" i="3"/>
  <c r="O203" i="3"/>
  <c r="E203" i="3"/>
  <c r="E9" i="3"/>
  <c r="J39" i="3"/>
  <c r="J193" i="3"/>
  <c r="P203" i="3"/>
  <c r="O39" i="3"/>
  <c r="O193" i="3"/>
  <c r="N203" i="3"/>
  <c r="E193" i="3"/>
  <c r="J203" i="3"/>
  <c r="K203" i="3"/>
  <c r="B39" i="3"/>
  <c r="B193" i="3"/>
  <c r="I203" i="3"/>
  <c r="G39" i="3"/>
  <c r="G193" i="3"/>
  <c r="D193" i="3"/>
  <c r="B203" i="3"/>
  <c r="C203" i="3"/>
  <c r="Q39" i="3"/>
  <c r="Q193" i="3"/>
  <c r="L203" i="3"/>
  <c r="L193" i="3"/>
  <c r="P193" i="3"/>
  <c r="B9" i="3"/>
  <c r="B221" i="3" s="1"/>
  <c r="B223" i="3"/>
  <c r="K193" i="3"/>
  <c r="I39" i="3"/>
  <c r="I193" i="3"/>
  <c r="F203" i="3"/>
  <c r="Q203" i="3"/>
  <c r="D203" i="3"/>
  <c r="O9" i="3"/>
  <c r="O223" i="3"/>
  <c r="C39" i="3"/>
  <c r="C193" i="3"/>
  <c r="H9" i="3"/>
  <c r="H223" i="3"/>
  <c r="G9" i="3"/>
  <c r="G223" i="3"/>
  <c r="M203" i="3"/>
  <c r="D191" i="3"/>
  <c r="T221" i="3"/>
  <c r="B60" i="10"/>
  <c r="J82" i="8"/>
  <c r="G82" i="8"/>
  <c r="E110" i="8"/>
  <c r="E94" i="8"/>
  <c r="C107" i="8"/>
  <c r="C106" i="8"/>
  <c r="I105" i="8"/>
  <c r="I94" i="8"/>
  <c r="C83" i="8"/>
  <c r="C108" i="8"/>
  <c r="B82" i="8"/>
  <c r="H82" i="8"/>
  <c r="I23" i="9"/>
  <c r="E50" i="8"/>
  <c r="E72" i="8" s="1"/>
  <c r="E105" i="8"/>
  <c r="G78" i="8"/>
  <c r="E106" i="8"/>
  <c r="F78" i="8"/>
  <c r="K9" i="3"/>
  <c r="E109" i="8"/>
  <c r="C9" i="3"/>
  <c r="L9" i="3"/>
  <c r="R82" i="8"/>
  <c r="U82" i="8"/>
  <c r="B72" i="8"/>
  <c r="H74" i="8"/>
  <c r="D80" i="8"/>
  <c r="C80" i="8"/>
  <c r="C72" i="8"/>
  <c r="H78" i="8"/>
  <c r="F73" i="8"/>
  <c r="G72" i="8"/>
  <c r="J78" i="8"/>
  <c r="J79" i="8"/>
  <c r="D75" i="8"/>
  <c r="C75" i="8"/>
  <c r="B73" i="8"/>
  <c r="B78" i="8"/>
  <c r="J75" i="8"/>
  <c r="H79" i="8"/>
  <c r="I78" i="8"/>
  <c r="I74" i="8"/>
  <c r="B74" i="8"/>
  <c r="F74" i="8"/>
  <c r="D74" i="8"/>
  <c r="C78" i="8"/>
  <c r="C74" i="8"/>
  <c r="E74" i="8"/>
  <c r="H75" i="8"/>
  <c r="I73" i="8"/>
  <c r="J74" i="8"/>
  <c r="D78" i="8"/>
  <c r="D72" i="8"/>
  <c r="D77" i="8"/>
  <c r="D73" i="8"/>
  <c r="C77" i="8"/>
  <c r="C73" i="8"/>
  <c r="I80" i="8"/>
  <c r="I76" i="8"/>
  <c r="I72" i="8"/>
  <c r="F72" i="8"/>
  <c r="E78" i="8"/>
  <c r="K221" i="3" l="1"/>
  <c r="F221" i="3"/>
  <c r="H221" i="3"/>
  <c r="N221" i="3"/>
  <c r="E221" i="3"/>
  <c r="M191" i="3"/>
  <c r="O221" i="3"/>
  <c r="U221" i="3"/>
  <c r="I221" i="3"/>
  <c r="S191" i="3"/>
  <c r="U191" i="3"/>
  <c r="I191" i="3"/>
  <c r="N191" i="3"/>
  <c r="R221" i="3"/>
  <c r="J45" i="9"/>
  <c r="J59" i="9"/>
  <c r="J56" i="9"/>
  <c r="O58" i="9"/>
  <c r="J60" i="9"/>
  <c r="J23" i="9"/>
  <c r="J63" i="9"/>
  <c r="O62" i="9"/>
  <c r="J64" i="9"/>
  <c r="J57" i="9"/>
  <c r="O64" i="9"/>
  <c r="O59" i="9"/>
  <c r="J58" i="9"/>
  <c r="J62" i="9"/>
  <c r="O63" i="9"/>
  <c r="U23" i="9"/>
  <c r="U56" i="9"/>
  <c r="U45" i="9"/>
  <c r="V48" i="10"/>
  <c r="V59" i="10"/>
  <c r="O67" i="10"/>
  <c r="O63" i="10"/>
  <c r="O59" i="10"/>
  <c r="O66" i="10"/>
  <c r="O62" i="10"/>
  <c r="V56" i="9"/>
  <c r="V45" i="9"/>
  <c r="V23" i="9"/>
  <c r="S59" i="10"/>
  <c r="S48" i="10"/>
  <c r="G64" i="9"/>
  <c r="G62" i="9"/>
  <c r="G60" i="9"/>
  <c r="G58" i="9"/>
  <c r="G56" i="9"/>
  <c r="G65" i="9"/>
  <c r="G61" i="9"/>
  <c r="G59" i="9"/>
  <c r="G45" i="9"/>
  <c r="G63" i="9"/>
  <c r="O60" i="10"/>
  <c r="T48" i="10"/>
  <c r="T59" i="10"/>
  <c r="B48" i="10"/>
  <c r="U48" i="10"/>
  <c r="U59" i="10"/>
  <c r="J67" i="10"/>
  <c r="J59" i="10"/>
  <c r="J63" i="10"/>
  <c r="J62" i="10"/>
  <c r="J48" i="10"/>
  <c r="J66" i="10"/>
  <c r="J60" i="10"/>
  <c r="I62" i="9"/>
  <c r="I65" i="9"/>
  <c r="I61" i="9"/>
  <c r="I64" i="9"/>
  <c r="I60" i="9"/>
  <c r="I58" i="9"/>
  <c r="I56" i="9"/>
  <c r="I59" i="9"/>
  <c r="I63" i="9"/>
  <c r="I57" i="9"/>
  <c r="N48" i="10"/>
  <c r="N45" i="9"/>
  <c r="N82" i="8"/>
  <c r="F23" i="9"/>
  <c r="F82" i="8"/>
  <c r="C23" i="9"/>
  <c r="K48" i="10"/>
  <c r="K45" i="9"/>
  <c r="E23" i="9"/>
  <c r="F191" i="3"/>
  <c r="C48" i="10"/>
  <c r="C45" i="9"/>
  <c r="M23" i="9"/>
  <c r="M82" i="8"/>
  <c r="K23" i="9"/>
  <c r="K82" i="8"/>
  <c r="G191" i="3"/>
  <c r="C191" i="3"/>
  <c r="B191" i="3"/>
  <c r="H191" i="3"/>
  <c r="Q191" i="3"/>
  <c r="G221" i="3"/>
  <c r="J191" i="3"/>
  <c r="O191" i="3"/>
  <c r="E191" i="3"/>
  <c r="L221" i="3"/>
  <c r="K191" i="3"/>
  <c r="C221" i="3"/>
  <c r="L191" i="3"/>
  <c r="B59" i="10"/>
  <c r="B67" i="10"/>
  <c r="B63" i="10"/>
  <c r="B66" i="10"/>
  <c r="B62" i="10"/>
  <c r="C82" i="8"/>
  <c r="E82" i="8"/>
  <c r="Q28" i="3" l="1"/>
  <c r="D28" i="3"/>
  <c r="K28" i="3"/>
  <c r="N28" i="3"/>
  <c r="E28" i="3"/>
  <c r="M28" i="3"/>
  <c r="L28" i="3"/>
  <c r="J28" i="3"/>
  <c r="S28" i="3"/>
  <c r="G28" i="3"/>
  <c r="R28" i="3"/>
  <c r="T28" i="3"/>
  <c r="H28" i="3"/>
  <c r="B28" i="3"/>
  <c r="O28" i="3"/>
  <c r="I28" i="3"/>
  <c r="C28" i="3"/>
  <c r="F28" i="3"/>
  <c r="P28" i="3"/>
  <c r="U28" i="3" l="1"/>
  <c r="V28" i="3" l="1"/>
  <c r="O15" i="15" l="1"/>
  <c r="N15" i="15" l="1"/>
  <c r="P15" i="15"/>
  <c r="Q15" i="15"/>
  <c r="M15" i="15" l="1"/>
  <c r="L15" i="15" l="1"/>
  <c r="K15" i="15" l="1"/>
  <c r="J15" i="15" l="1"/>
  <c r="I15" i="15"/>
  <c r="H15" i="15" l="1"/>
  <c r="G15" i="15" l="1"/>
  <c r="F15" i="15" l="1"/>
  <c r="E15" i="15" l="1"/>
  <c r="D15" i="15"/>
  <c r="C15" i="15" l="1"/>
  <c r="B15" i="15"/>
  <c r="R15" i="15" l="1"/>
  <c r="S15" i="15" l="1"/>
  <c r="L14" i="15" l="1"/>
  <c r="E27" i="3"/>
  <c r="Q7" i="15"/>
  <c r="G14" i="15"/>
  <c r="M14" i="15"/>
  <c r="R14" i="15"/>
  <c r="P7" i="15"/>
  <c r="P21" i="15" s="1"/>
  <c r="J14" i="15"/>
  <c r="I7" i="15"/>
  <c r="I22" i="15" s="1"/>
  <c r="H7" i="15"/>
  <c r="H22" i="15" s="1"/>
  <c r="B7" i="15"/>
  <c r="F7" i="15"/>
  <c r="F22" i="15" s="1"/>
  <c r="J3" i="15"/>
  <c r="J27" i="3"/>
  <c r="J18" i="15"/>
  <c r="P27" i="3"/>
  <c r="P3" i="15"/>
  <c r="N7" i="15"/>
  <c r="U27" i="3"/>
  <c r="U3" i="15"/>
  <c r="U14" i="15"/>
  <c r="S27" i="3"/>
  <c r="S3" i="15"/>
  <c r="S18" i="15" s="1"/>
  <c r="S14" i="15"/>
  <c r="I27" i="3"/>
  <c r="I3" i="15"/>
  <c r="L3" i="15"/>
  <c r="L18" i="15" s="1"/>
  <c r="L27" i="3"/>
  <c r="S7" i="15"/>
  <c r="S22" i="15" s="1"/>
  <c r="O3" i="15"/>
  <c r="O27" i="3"/>
  <c r="O14" i="15"/>
  <c r="B27" i="3"/>
  <c r="B3" i="15"/>
  <c r="B18" i="15"/>
  <c r="T3" i="15"/>
  <c r="T27" i="3"/>
  <c r="T14" i="15"/>
  <c r="N3" i="15"/>
  <c r="N27" i="3"/>
  <c r="N14" i="15"/>
  <c r="T15" i="15"/>
  <c r="M3" i="15"/>
  <c r="M18" i="15" s="1"/>
  <c r="M27" i="3"/>
  <c r="H3" i="15"/>
  <c r="H18" i="15" s="1"/>
  <c r="H27" i="3"/>
  <c r="T7" i="15"/>
  <c r="T21" i="15" s="1"/>
  <c r="G27" i="3"/>
  <c r="G3" i="15"/>
  <c r="Q27" i="3"/>
  <c r="Q3" i="15"/>
  <c r="J7" i="15"/>
  <c r="J22" i="15" s="1"/>
  <c r="F3" i="15"/>
  <c r="F18" i="15" s="1"/>
  <c r="F27" i="3"/>
  <c r="K27" i="3"/>
  <c r="K3" i="15"/>
  <c r="K18" i="15" s="1"/>
  <c r="K14" i="15"/>
  <c r="O7" i="15"/>
  <c r="O22" i="15" s="1"/>
  <c r="R27" i="3"/>
  <c r="R3" i="15"/>
  <c r="K7" i="15"/>
  <c r="K22" i="15" s="1"/>
  <c r="V27" i="3"/>
  <c r="V3" i="15"/>
  <c r="U7" i="15"/>
  <c r="P23" i="15" l="1"/>
  <c r="I14" i="15"/>
  <c r="H14" i="15"/>
  <c r="Q14" i="15"/>
  <c r="M7" i="15"/>
  <c r="M22" i="15" s="1"/>
  <c r="L7" i="15"/>
  <c r="L22" i="15" s="1"/>
  <c r="G7" i="15"/>
  <c r="G22" i="15" s="1"/>
  <c r="P22" i="15"/>
  <c r="P14" i="15"/>
  <c r="F14" i="15"/>
  <c r="B22" i="15"/>
  <c r="B14" i="15"/>
  <c r="R7" i="15"/>
  <c r="R22" i="15" s="1"/>
  <c r="E3" i="15"/>
  <c r="E17" i="15" s="1"/>
  <c r="U21" i="15"/>
  <c r="U22" i="15"/>
  <c r="Q17" i="15"/>
  <c r="Q13" i="15"/>
  <c r="Q19" i="15"/>
  <c r="K26" i="3"/>
  <c r="Q18" i="15"/>
  <c r="M26" i="3"/>
  <c r="Q23" i="15"/>
  <c r="Q21" i="15"/>
  <c r="I17" i="15"/>
  <c r="I13" i="15"/>
  <c r="I19" i="15"/>
  <c r="S17" i="15"/>
  <c r="S13" i="15"/>
  <c r="S19" i="15"/>
  <c r="N23" i="15"/>
  <c r="N21" i="15"/>
  <c r="E26" i="3"/>
  <c r="Q26" i="3"/>
  <c r="M17" i="15"/>
  <c r="M19" i="15"/>
  <c r="T18" i="15"/>
  <c r="T17" i="15"/>
  <c r="T13" i="15"/>
  <c r="T19" i="15"/>
  <c r="B21" i="15"/>
  <c r="B23" i="15"/>
  <c r="S26" i="3"/>
  <c r="P18" i="15"/>
  <c r="P17" i="15"/>
  <c r="P13" i="15"/>
  <c r="P19" i="15"/>
  <c r="U23" i="15"/>
  <c r="U15" i="15"/>
  <c r="F21" i="15"/>
  <c r="F23" i="15"/>
  <c r="F26" i="3"/>
  <c r="H21" i="15"/>
  <c r="H23" i="15"/>
  <c r="P26" i="3"/>
  <c r="I23" i="15"/>
  <c r="I21" i="15"/>
  <c r="I26" i="3"/>
  <c r="K21" i="15"/>
  <c r="K23" i="15"/>
  <c r="O23" i="15"/>
  <c r="O21" i="15"/>
  <c r="F17" i="15"/>
  <c r="F13" i="15"/>
  <c r="F19" i="15"/>
  <c r="G18" i="15"/>
  <c r="G17" i="15"/>
  <c r="G19" i="15"/>
  <c r="T23" i="15"/>
  <c r="O26" i="3"/>
  <c r="L26" i="3"/>
  <c r="U18" i="15"/>
  <c r="U17" i="15"/>
  <c r="U13" i="15"/>
  <c r="U19" i="15"/>
  <c r="T26" i="3"/>
  <c r="V18" i="15"/>
  <c r="V17" i="15"/>
  <c r="V19" i="15"/>
  <c r="G26" i="3"/>
  <c r="H26" i="3"/>
  <c r="B17" i="15"/>
  <c r="B13" i="15"/>
  <c r="B19" i="15"/>
  <c r="O18" i="15"/>
  <c r="O17" i="15"/>
  <c r="O13" i="15"/>
  <c r="O19" i="15"/>
  <c r="L17" i="15"/>
  <c r="L19" i="15"/>
  <c r="U26" i="3"/>
  <c r="S21" i="15"/>
  <c r="S23" i="15"/>
  <c r="V26" i="3"/>
  <c r="R18" i="15"/>
  <c r="R17" i="15"/>
  <c r="R19" i="15"/>
  <c r="J21" i="15"/>
  <c r="J23" i="15"/>
  <c r="H17" i="15"/>
  <c r="H13" i="15"/>
  <c r="H19" i="15"/>
  <c r="N26" i="3"/>
  <c r="B26" i="3"/>
  <c r="J26" i="3"/>
  <c r="R26" i="3"/>
  <c r="K17" i="15"/>
  <c r="K13" i="15"/>
  <c r="K19" i="15"/>
  <c r="T22" i="15"/>
  <c r="N18" i="15"/>
  <c r="N17" i="15"/>
  <c r="N13" i="15"/>
  <c r="N19" i="15"/>
  <c r="Q22" i="15"/>
  <c r="I18" i="15"/>
  <c r="N22" i="15"/>
  <c r="J17" i="15"/>
  <c r="J13" i="15"/>
  <c r="J19" i="15"/>
  <c r="V15" i="15"/>
  <c r="M23" i="15" l="1"/>
  <c r="M21" i="15"/>
  <c r="G13" i="15"/>
  <c r="M13" i="15"/>
  <c r="G23" i="15"/>
  <c r="G21" i="15"/>
  <c r="L21" i="15"/>
  <c r="E18" i="15"/>
  <c r="R21" i="15"/>
  <c r="L23" i="15"/>
  <c r="R23" i="15"/>
  <c r="R13" i="15"/>
  <c r="L13" i="15"/>
  <c r="E19" i="15"/>
  <c r="C14" i="15"/>
  <c r="D7" i="15"/>
  <c r="C27" i="3"/>
  <c r="C3" i="15"/>
  <c r="V7" i="15"/>
  <c r="V22" i="15" s="1"/>
  <c r="V14" i="15"/>
  <c r="D27" i="3"/>
  <c r="D3" i="15"/>
  <c r="D18" i="15" s="1"/>
  <c r="D14" i="15" l="1"/>
  <c r="C7" i="15"/>
  <c r="C22" i="15" s="1"/>
  <c r="E7" i="15"/>
  <c r="E14" i="15"/>
  <c r="D23" i="15"/>
  <c r="D21" i="15"/>
  <c r="C21" i="15"/>
  <c r="C23" i="15"/>
  <c r="V23" i="15"/>
  <c r="V21" i="15"/>
  <c r="V13" i="15"/>
  <c r="D17" i="15"/>
  <c r="D13" i="15"/>
  <c r="D19" i="15"/>
  <c r="C18" i="15"/>
  <c r="C17" i="15"/>
  <c r="C19" i="15"/>
  <c r="D26" i="3"/>
  <c r="C26" i="3"/>
  <c r="D22" i="15"/>
  <c r="C13" i="15" l="1"/>
  <c r="E13" i="15"/>
  <c r="E21" i="15"/>
  <c r="E23" i="15"/>
  <c r="E22" i="15"/>
  <c r="G88" i="3" l="1"/>
  <c r="L19" i="17"/>
  <c r="L88" i="3"/>
  <c r="L87" i="3"/>
  <c r="L18" i="17"/>
  <c r="S87" i="3"/>
  <c r="S18" i="17"/>
  <c r="K19" i="17"/>
  <c r="L10" i="17"/>
  <c r="K88" i="3" l="1"/>
  <c r="G19" i="17"/>
  <c r="L3" i="17"/>
  <c r="E18" i="17"/>
  <c r="G240" i="3"/>
  <c r="J21" i="16"/>
  <c r="J25" i="16"/>
  <c r="J58" i="3"/>
  <c r="Q11" i="17"/>
  <c r="Q21" i="16"/>
  <c r="Q25" i="16"/>
  <c r="Q58" i="3"/>
  <c r="S239" i="3"/>
  <c r="K87" i="3"/>
  <c r="K3" i="17"/>
  <c r="K18" i="17"/>
  <c r="F19" i="17"/>
  <c r="F88" i="3"/>
  <c r="F11" i="17"/>
  <c r="O58" i="3"/>
  <c r="O25" i="16"/>
  <c r="O21" i="16"/>
  <c r="Q19" i="17"/>
  <c r="Q88" i="3"/>
  <c r="S58" i="3"/>
  <c r="S21" i="16"/>
  <c r="S25" i="16"/>
  <c r="I58" i="3"/>
  <c r="I21" i="16"/>
  <c r="I25" i="16"/>
  <c r="F18" i="17"/>
  <c r="F3" i="17"/>
  <c r="F87" i="3"/>
  <c r="I18" i="17"/>
  <c r="I3" i="17"/>
  <c r="I87" i="3"/>
  <c r="O87" i="3"/>
  <c r="O3" i="17"/>
  <c r="O18" i="17"/>
  <c r="M18" i="17"/>
  <c r="M87" i="3"/>
  <c r="M3" i="17"/>
  <c r="L86" i="3"/>
  <c r="L239" i="3"/>
  <c r="L240" i="3"/>
  <c r="K21" i="16"/>
  <c r="K58" i="3"/>
  <c r="K25" i="16"/>
  <c r="J18" i="17"/>
  <c r="J3" i="17"/>
  <c r="J87" i="3"/>
  <c r="P3" i="17"/>
  <c r="P18" i="17"/>
  <c r="P87" i="3"/>
  <c r="P25" i="16"/>
  <c r="P21" i="16"/>
  <c r="P58" i="3"/>
  <c r="M11" i="17"/>
  <c r="M25" i="16"/>
  <c r="M21" i="16"/>
  <c r="M58" i="3"/>
  <c r="K11" i="17"/>
  <c r="L20" i="16"/>
  <c r="L57" i="3"/>
  <c r="L24" i="16"/>
  <c r="M88" i="3"/>
  <c r="M19" i="17"/>
  <c r="J19" i="17"/>
  <c r="J88" i="3"/>
  <c r="J11" i="17"/>
  <c r="I19" i="17"/>
  <c r="I88" i="3"/>
  <c r="I11" i="17"/>
  <c r="P88" i="3"/>
  <c r="P19" i="17"/>
  <c r="P11" i="17"/>
  <c r="O88" i="3"/>
  <c r="O19" i="17"/>
  <c r="O11" i="17"/>
  <c r="G87" i="3"/>
  <c r="G3" i="17"/>
  <c r="G18" i="17"/>
  <c r="Q18" i="17"/>
  <c r="Q3" i="17"/>
  <c r="Q87" i="3"/>
  <c r="Q10" i="17"/>
  <c r="K10" i="17"/>
  <c r="F10" i="17"/>
  <c r="I23" i="17" l="1"/>
  <c r="I13" i="17"/>
  <c r="J23" i="17"/>
  <c r="J13" i="17"/>
  <c r="L22" i="17"/>
  <c r="L13" i="17"/>
  <c r="O23" i="17"/>
  <c r="O13" i="17"/>
  <c r="K22" i="17"/>
  <c r="K13" i="17"/>
  <c r="Q22" i="17"/>
  <c r="Q13" i="17"/>
  <c r="M22" i="17"/>
  <c r="M13" i="17"/>
  <c r="F23" i="17"/>
  <c r="F13" i="17"/>
  <c r="L17" i="17"/>
  <c r="P23" i="17"/>
  <c r="P13" i="17"/>
  <c r="G22" i="17"/>
  <c r="G13" i="17"/>
  <c r="L23" i="17"/>
  <c r="K240" i="3"/>
  <c r="E3" i="17"/>
  <c r="L21" i="17"/>
  <c r="E87" i="3"/>
  <c r="F22" i="17"/>
  <c r="R58" i="3"/>
  <c r="M23" i="17"/>
  <c r="E10" i="17"/>
  <c r="E20" i="16"/>
  <c r="E57" i="3"/>
  <c r="E28" i="16"/>
  <c r="E24" i="16"/>
  <c r="L29" i="16"/>
  <c r="L27" i="16"/>
  <c r="L23" i="16"/>
  <c r="L19" i="16"/>
  <c r="P86" i="3"/>
  <c r="P239" i="3"/>
  <c r="O86" i="3"/>
  <c r="O239" i="3"/>
  <c r="K86" i="3"/>
  <c r="K239" i="3"/>
  <c r="O10" i="17"/>
  <c r="O24" i="16"/>
  <c r="O20" i="16"/>
  <c r="O9" i="17"/>
  <c r="O57" i="3"/>
  <c r="M17" i="17"/>
  <c r="M21" i="17"/>
  <c r="L25" i="16"/>
  <c r="L21" i="16"/>
  <c r="L58" i="3"/>
  <c r="L11" i="17"/>
  <c r="J210" i="3"/>
  <c r="R21" i="16"/>
  <c r="T19" i="17"/>
  <c r="T11" i="17"/>
  <c r="T88" i="3"/>
  <c r="N19" i="17"/>
  <c r="N88" i="3"/>
  <c r="N11" i="17"/>
  <c r="Q24" i="16"/>
  <c r="Q20" i="16"/>
  <c r="Q57" i="3"/>
  <c r="Q28" i="16"/>
  <c r="Q86" i="3"/>
  <c r="Q239" i="3"/>
  <c r="G21" i="17"/>
  <c r="G17" i="17"/>
  <c r="G23" i="17"/>
  <c r="I240" i="3"/>
  <c r="L209" i="3"/>
  <c r="P210" i="3"/>
  <c r="J86" i="3"/>
  <c r="J239" i="3"/>
  <c r="K210" i="3"/>
  <c r="M86" i="3"/>
  <c r="M239" i="3"/>
  <c r="F86" i="3"/>
  <c r="F239" i="3"/>
  <c r="B3" i="17"/>
  <c r="B18" i="17"/>
  <c r="B87" i="3"/>
  <c r="G86" i="3"/>
  <c r="G239" i="3"/>
  <c r="P17" i="17"/>
  <c r="P21" i="17"/>
  <c r="I210" i="3"/>
  <c r="L9" i="17"/>
  <c r="E58" i="3"/>
  <c r="E21" i="16"/>
  <c r="E25" i="16"/>
  <c r="R18" i="17"/>
  <c r="R87" i="3"/>
  <c r="R3" i="17"/>
  <c r="N21" i="16"/>
  <c r="N25" i="16"/>
  <c r="N58" i="3"/>
  <c r="M24" i="16"/>
  <c r="M20" i="16"/>
  <c r="M57" i="3"/>
  <c r="Q21" i="17"/>
  <c r="Q17" i="17"/>
  <c r="Q9" i="17"/>
  <c r="M210" i="3"/>
  <c r="J22" i="17"/>
  <c r="J21" i="17"/>
  <c r="J17" i="17"/>
  <c r="I86" i="3"/>
  <c r="I239" i="3"/>
  <c r="F21" i="17"/>
  <c r="F17" i="17"/>
  <c r="F240" i="3"/>
  <c r="S19" i="17"/>
  <c r="S88" i="3"/>
  <c r="S11" i="17"/>
  <c r="S3" i="17"/>
  <c r="S13" i="17" s="1"/>
  <c r="R19" i="17"/>
  <c r="R88" i="3"/>
  <c r="B88" i="3"/>
  <c r="B19" i="17"/>
  <c r="H3" i="17"/>
  <c r="H13" i="17" s="1"/>
  <c r="H87" i="3"/>
  <c r="H18" i="17"/>
  <c r="H19" i="17"/>
  <c r="H88" i="3"/>
  <c r="K57" i="3"/>
  <c r="K9" i="17"/>
  <c r="K24" i="16"/>
  <c r="K20" i="16"/>
  <c r="P240" i="3"/>
  <c r="Q23" i="17"/>
  <c r="S24" i="16"/>
  <c r="S20" i="16"/>
  <c r="S57" i="3"/>
  <c r="S10" i="17"/>
  <c r="T25" i="16"/>
  <c r="T21" i="16"/>
  <c r="T58" i="3"/>
  <c r="G57" i="3"/>
  <c r="G20" i="16"/>
  <c r="G24" i="16"/>
  <c r="G28" i="16"/>
  <c r="P20" i="16"/>
  <c r="P57" i="3"/>
  <c r="P24" i="16"/>
  <c r="H11" i="17"/>
  <c r="H21" i="16"/>
  <c r="H58" i="3"/>
  <c r="H25" i="16"/>
  <c r="E19" i="17"/>
  <c r="E88" i="3"/>
  <c r="E11" i="17"/>
  <c r="G10" i="17"/>
  <c r="J240" i="3"/>
  <c r="M240" i="3"/>
  <c r="P10" i="17"/>
  <c r="L238" i="3"/>
  <c r="I22" i="17"/>
  <c r="I17" i="17"/>
  <c r="I21" i="17"/>
  <c r="Q240" i="3"/>
  <c r="O210" i="3"/>
  <c r="Q210" i="3"/>
  <c r="G58" i="3"/>
  <c r="G21" i="16"/>
  <c r="G25" i="16"/>
  <c r="G29" i="16"/>
  <c r="G11" i="17"/>
  <c r="F9" i="17"/>
  <c r="F24" i="16"/>
  <c r="F57" i="3"/>
  <c r="F20" i="16"/>
  <c r="N3" i="17"/>
  <c r="N87" i="3"/>
  <c r="N18" i="17"/>
  <c r="T3" i="17"/>
  <c r="T18" i="17"/>
  <c r="T87" i="3"/>
  <c r="O240" i="3"/>
  <c r="L28" i="16"/>
  <c r="P22" i="17"/>
  <c r="M10" i="17"/>
  <c r="O22" i="17"/>
  <c r="O17" i="17"/>
  <c r="O21" i="17"/>
  <c r="S210" i="3"/>
  <c r="F25" i="16"/>
  <c r="F58" i="3"/>
  <c r="F21" i="16"/>
  <c r="K23" i="17"/>
  <c r="K17" i="17"/>
  <c r="K21" i="17"/>
  <c r="R10" i="17"/>
  <c r="N10" i="17"/>
  <c r="E17" i="17" l="1"/>
  <c r="E13" i="17"/>
  <c r="E21" i="17"/>
  <c r="B23" i="17"/>
  <c r="B13" i="17"/>
  <c r="R22" i="17"/>
  <c r="R13" i="17"/>
  <c r="T23" i="17"/>
  <c r="T13" i="17"/>
  <c r="N22" i="17"/>
  <c r="N13" i="17"/>
  <c r="E239" i="3"/>
  <c r="E86" i="3"/>
  <c r="L56" i="3"/>
  <c r="L208" i="3" s="1"/>
  <c r="E22" i="17"/>
  <c r="E23" i="17"/>
  <c r="R23" i="17"/>
  <c r="R11" i="17"/>
  <c r="R25" i="16"/>
  <c r="F29" i="16"/>
  <c r="K28" i="16"/>
  <c r="C25" i="16"/>
  <c r="C21" i="16"/>
  <c r="C58" i="3"/>
  <c r="D19" i="17"/>
  <c r="D88" i="3"/>
  <c r="D11" i="17"/>
  <c r="P56" i="3"/>
  <c r="P209" i="3"/>
  <c r="S28" i="16"/>
  <c r="S23" i="16"/>
  <c r="S27" i="16"/>
  <c r="S19" i="16"/>
  <c r="S29" i="16"/>
  <c r="S240" i="3"/>
  <c r="S86" i="3"/>
  <c r="I238" i="3"/>
  <c r="R21" i="17"/>
  <c r="R17" i="17"/>
  <c r="E210" i="3"/>
  <c r="N240" i="3"/>
  <c r="K238" i="3"/>
  <c r="D3" i="17"/>
  <c r="D18" i="17"/>
  <c r="D87" i="3"/>
  <c r="U3" i="17"/>
  <c r="U18" i="17"/>
  <c r="U87" i="3"/>
  <c r="U21" i="16"/>
  <c r="U58" i="3"/>
  <c r="U25" i="16"/>
  <c r="P27" i="16"/>
  <c r="P23" i="16"/>
  <c r="P19" i="16"/>
  <c r="P29" i="16"/>
  <c r="S209" i="3"/>
  <c r="S56" i="3"/>
  <c r="M28" i="16"/>
  <c r="M23" i="16"/>
  <c r="M19" i="16"/>
  <c r="M27" i="16"/>
  <c r="M29" i="16"/>
  <c r="R86" i="3"/>
  <c r="R239" i="3"/>
  <c r="O238" i="3"/>
  <c r="T210" i="3"/>
  <c r="K19" i="16"/>
  <c r="K23" i="16"/>
  <c r="K27" i="16"/>
  <c r="K29" i="16"/>
  <c r="B240" i="3"/>
  <c r="M56" i="3"/>
  <c r="M209" i="3"/>
  <c r="B22" i="17"/>
  <c r="B21" i="17"/>
  <c r="B17" i="17"/>
  <c r="F238" i="3"/>
  <c r="Q19" i="16"/>
  <c r="Q27" i="16"/>
  <c r="Q23" i="16"/>
  <c r="Q29" i="16"/>
  <c r="R210" i="3"/>
  <c r="L210" i="3"/>
  <c r="M9" i="17"/>
  <c r="C19" i="17"/>
  <c r="C88" i="3"/>
  <c r="C11" i="17"/>
  <c r="D58" i="3"/>
  <c r="D25" i="16"/>
  <c r="D21" i="16"/>
  <c r="C87" i="3"/>
  <c r="C3" i="17"/>
  <c r="C18" i="17"/>
  <c r="N86" i="3"/>
  <c r="N239" i="3"/>
  <c r="F56" i="3"/>
  <c r="F209" i="3"/>
  <c r="G210" i="3"/>
  <c r="H210" i="3"/>
  <c r="K209" i="3"/>
  <c r="K56" i="3"/>
  <c r="N210" i="3"/>
  <c r="G238" i="3"/>
  <c r="J238" i="3"/>
  <c r="Q209" i="3"/>
  <c r="Q56" i="3"/>
  <c r="O209" i="3"/>
  <c r="O56" i="3"/>
  <c r="E29" i="16"/>
  <c r="E23" i="16"/>
  <c r="E27" i="16"/>
  <c r="E19" i="16"/>
  <c r="C10" i="17"/>
  <c r="G27" i="16"/>
  <c r="G19" i="16"/>
  <c r="G23" i="16"/>
  <c r="H86" i="3"/>
  <c r="H239" i="3"/>
  <c r="Q238" i="3"/>
  <c r="O28" i="16"/>
  <c r="O23" i="16"/>
  <c r="O27" i="16"/>
  <c r="O19" i="16"/>
  <c r="O29" i="16"/>
  <c r="E209" i="3"/>
  <c r="E56" i="3"/>
  <c r="I20" i="16"/>
  <c r="I57" i="3"/>
  <c r="I24" i="16"/>
  <c r="I10" i="17"/>
  <c r="E9" i="17"/>
  <c r="T86" i="3"/>
  <c r="T239" i="3"/>
  <c r="N21" i="17"/>
  <c r="N17" i="17"/>
  <c r="F28" i="16"/>
  <c r="F19" i="16"/>
  <c r="F27" i="16"/>
  <c r="F23" i="16"/>
  <c r="H22" i="17"/>
  <c r="H17" i="17"/>
  <c r="H21" i="17"/>
  <c r="R240" i="3"/>
  <c r="S17" i="17"/>
  <c r="S21" i="17"/>
  <c r="S9" i="17"/>
  <c r="S22" i="17"/>
  <c r="B25" i="16"/>
  <c r="B58" i="3"/>
  <c r="B21" i="16"/>
  <c r="T240" i="3"/>
  <c r="B24" i="16"/>
  <c r="B20" i="16"/>
  <c r="B57" i="3"/>
  <c r="B9" i="17"/>
  <c r="N20" i="16"/>
  <c r="N57" i="3"/>
  <c r="N24" i="16"/>
  <c r="E238" i="3"/>
  <c r="E240" i="3"/>
  <c r="P28" i="16"/>
  <c r="H23" i="17"/>
  <c r="B11" i="17"/>
  <c r="S23" i="17"/>
  <c r="B10" i="17"/>
  <c r="M238" i="3"/>
  <c r="G9" i="17"/>
  <c r="P238" i="3"/>
  <c r="R20" i="16"/>
  <c r="R24" i="16"/>
  <c r="R57" i="3"/>
  <c r="R9" i="17"/>
  <c r="U19" i="17"/>
  <c r="U88" i="3"/>
  <c r="U11" i="17"/>
  <c r="F210" i="3"/>
  <c r="T22" i="17"/>
  <c r="T17" i="17"/>
  <c r="T21" i="17"/>
  <c r="G56" i="3"/>
  <c r="G209" i="3"/>
  <c r="H240" i="3"/>
  <c r="P9" i="17"/>
  <c r="B86" i="3"/>
  <c r="B239" i="3"/>
  <c r="N23" i="17"/>
  <c r="J20" i="16"/>
  <c r="J57" i="3"/>
  <c r="J24" i="16"/>
  <c r="J10" i="17"/>
  <c r="U23" i="17" l="1"/>
  <c r="U13" i="17"/>
  <c r="C23" i="17"/>
  <c r="C13" i="17"/>
  <c r="D23" i="17"/>
  <c r="D13" i="17"/>
  <c r="R28" i="16"/>
  <c r="B29" i="16"/>
  <c r="D22" i="17"/>
  <c r="C22" i="17"/>
  <c r="G208" i="3"/>
  <c r="R209" i="3"/>
  <c r="R56" i="3"/>
  <c r="N209" i="3"/>
  <c r="N56" i="3"/>
  <c r="H10" i="17"/>
  <c r="H57" i="3"/>
  <c r="H20" i="16"/>
  <c r="H28" i="16"/>
  <c r="H24" i="16"/>
  <c r="H238" i="3"/>
  <c r="C24" i="16"/>
  <c r="C20" i="16"/>
  <c r="C28" i="16"/>
  <c r="C57" i="3"/>
  <c r="S208" i="3"/>
  <c r="U10" i="17"/>
  <c r="U20" i="16"/>
  <c r="U24" i="16"/>
  <c r="U57" i="3"/>
  <c r="U28" i="16"/>
  <c r="J28" i="16"/>
  <c r="J27" i="16"/>
  <c r="J23" i="16"/>
  <c r="J19" i="16"/>
  <c r="J29" i="16"/>
  <c r="J9" i="17"/>
  <c r="T238" i="3"/>
  <c r="D210" i="3"/>
  <c r="M208" i="3"/>
  <c r="R238" i="3"/>
  <c r="D86" i="3"/>
  <c r="D239" i="3"/>
  <c r="N27" i="16"/>
  <c r="N23" i="16"/>
  <c r="N19" i="16"/>
  <c r="N29" i="16"/>
  <c r="T24" i="16"/>
  <c r="T20" i="16"/>
  <c r="T57" i="3"/>
  <c r="T10" i="17"/>
  <c r="I209" i="3"/>
  <c r="I56" i="3"/>
  <c r="Q208" i="3"/>
  <c r="U210" i="3"/>
  <c r="V3" i="17"/>
  <c r="V18" i="17"/>
  <c r="V87" i="3"/>
  <c r="J209" i="3"/>
  <c r="J56" i="3"/>
  <c r="U240" i="3"/>
  <c r="N9" i="17"/>
  <c r="S238" i="3"/>
  <c r="C210" i="3"/>
  <c r="B28" i="16"/>
  <c r="B19" i="16"/>
  <c r="B23" i="16"/>
  <c r="B27" i="16"/>
  <c r="I28" i="16"/>
  <c r="I23" i="16"/>
  <c r="I19" i="16"/>
  <c r="I27" i="16"/>
  <c r="I29" i="16"/>
  <c r="I9" i="17"/>
  <c r="F208" i="3"/>
  <c r="U86" i="3"/>
  <c r="U239" i="3"/>
  <c r="D21" i="17"/>
  <c r="D17" i="17"/>
  <c r="D240" i="3"/>
  <c r="V19" i="17"/>
  <c r="V88" i="3"/>
  <c r="V11" i="17"/>
  <c r="B209" i="3"/>
  <c r="B56" i="3"/>
  <c r="B210" i="3"/>
  <c r="C17" i="17"/>
  <c r="C21" i="17"/>
  <c r="V25" i="16"/>
  <c r="V21" i="16"/>
  <c r="V58" i="3"/>
  <c r="N28" i="16"/>
  <c r="C86" i="3"/>
  <c r="C239" i="3"/>
  <c r="C240" i="3"/>
  <c r="P208" i="3"/>
  <c r="D10" i="17"/>
  <c r="D20" i="16"/>
  <c r="D57" i="3"/>
  <c r="D9" i="17"/>
  <c r="D24" i="16"/>
  <c r="B238" i="3"/>
  <c r="R27" i="16"/>
  <c r="R19" i="16"/>
  <c r="R23" i="16"/>
  <c r="R29" i="16"/>
  <c r="E208" i="3"/>
  <c r="O208" i="3"/>
  <c r="K208" i="3"/>
  <c r="N238" i="3"/>
  <c r="U22" i="17"/>
  <c r="U21" i="17"/>
  <c r="U17" i="17"/>
  <c r="U9" i="17"/>
  <c r="V23" i="17" l="1"/>
  <c r="V13" i="17"/>
  <c r="C9" i="17"/>
  <c r="D28" i="16"/>
  <c r="T27" i="16"/>
  <c r="T23" i="16"/>
  <c r="T19" i="16"/>
  <c r="T29" i="16"/>
  <c r="T9" i="17"/>
  <c r="V17" i="17"/>
  <c r="V21" i="17"/>
  <c r="T209" i="3"/>
  <c r="T56" i="3"/>
  <c r="D238" i="3"/>
  <c r="C19" i="16"/>
  <c r="C27" i="16"/>
  <c r="C23" i="16"/>
  <c r="C29" i="16"/>
  <c r="H27" i="16"/>
  <c r="H23" i="16"/>
  <c r="H19" i="16"/>
  <c r="H29" i="16"/>
  <c r="H9" i="17"/>
  <c r="R208" i="3"/>
  <c r="J208" i="3"/>
  <c r="V20" i="16"/>
  <c r="V24" i="16"/>
  <c r="V9" i="17"/>
  <c r="V57" i="3"/>
  <c r="C238" i="3"/>
  <c r="V210" i="3"/>
  <c r="H56" i="3"/>
  <c r="H209" i="3"/>
  <c r="I208" i="3"/>
  <c r="D27" i="16"/>
  <c r="D23" i="16"/>
  <c r="D19" i="16"/>
  <c r="D29" i="16"/>
  <c r="V22" i="17"/>
  <c r="U29" i="16"/>
  <c r="U23" i="16"/>
  <c r="U27" i="16"/>
  <c r="U19" i="16"/>
  <c r="D209" i="3"/>
  <c r="V240" i="3"/>
  <c r="U238" i="3"/>
  <c r="V10" i="17"/>
  <c r="D56" i="3"/>
  <c r="U209" i="3"/>
  <c r="U56" i="3"/>
  <c r="N208" i="3"/>
  <c r="B208" i="3"/>
  <c r="V86" i="3"/>
  <c r="V239" i="3"/>
  <c r="T28" i="16"/>
  <c r="C209" i="3"/>
  <c r="C56" i="3"/>
  <c r="V28" i="16" l="1"/>
  <c r="H208" i="3"/>
  <c r="V238" i="3"/>
  <c r="C208" i="3"/>
  <c r="U208" i="3"/>
  <c r="V209" i="3"/>
  <c r="V56" i="3"/>
  <c r="T208" i="3"/>
  <c r="V27" i="16"/>
  <c r="V23" i="16"/>
  <c r="V19" i="16"/>
  <c r="V29" i="16"/>
  <c r="D208" i="3"/>
  <c r="V208" i="3" l="1"/>
  <c r="S68" i="11" l="1"/>
  <c r="L68" i="11"/>
  <c r="M68" i="11"/>
  <c r="U68" i="11" l="1"/>
  <c r="R68" i="11"/>
  <c r="N68" i="11"/>
  <c r="Q68" i="11"/>
  <c r="V68" i="11"/>
  <c r="J68" i="11"/>
  <c r="O67" i="11"/>
  <c r="K67" i="11"/>
  <c r="O13" i="14" l="1"/>
  <c r="O19" i="14" s="1"/>
  <c r="N13" i="14"/>
  <c r="N19" i="14" s="1"/>
  <c r="T13" i="14"/>
  <c r="T19" i="14" s="1"/>
  <c r="M13" i="14"/>
  <c r="M19" i="14" s="1"/>
  <c r="Q14" i="14"/>
  <c r="T67" i="11"/>
  <c r="L14" i="14"/>
  <c r="L20" i="14" s="1"/>
  <c r="U14" i="14"/>
  <c r="U20" i="14" s="1"/>
  <c r="T14" i="14"/>
  <c r="R14" i="14"/>
  <c r="R20" i="14" s="1"/>
  <c r="N14" i="14"/>
  <c r="N20" i="14" s="1"/>
  <c r="U67" i="11"/>
  <c r="M67" i="11"/>
  <c r="S14" i="14"/>
  <c r="S20" i="14" s="1"/>
  <c r="S13" i="14"/>
  <c r="S19" i="14" s="1"/>
  <c r="R13" i="14"/>
  <c r="R19" i="14" s="1"/>
  <c r="P14" i="14"/>
  <c r="P20" i="14" s="1"/>
  <c r="P13" i="14"/>
  <c r="P19" i="14" s="1"/>
  <c r="Q67" i="11"/>
  <c r="P67" i="11"/>
  <c r="R67" i="11"/>
  <c r="L13" i="14"/>
  <c r="L19" i="14" s="1"/>
  <c r="U13" i="14"/>
  <c r="U19" i="14" s="1"/>
  <c r="N67" i="11"/>
  <c r="I68" i="11"/>
  <c r="S67" i="11"/>
  <c r="L67" i="11"/>
  <c r="V67" i="11"/>
  <c r="M14" i="14"/>
  <c r="M20" i="14" s="1"/>
  <c r="Q13" i="14"/>
  <c r="Q19" i="14" s="1"/>
  <c r="O14" i="14"/>
  <c r="P68" i="11"/>
  <c r="J67" i="11"/>
  <c r="T24" i="11"/>
  <c r="U34" i="11"/>
  <c r="R24" i="11"/>
  <c r="M24" i="11"/>
  <c r="J24" i="11"/>
  <c r="N24" i="11"/>
  <c r="R69" i="11" l="1"/>
  <c r="V14" i="14"/>
  <c r="T69" i="11"/>
  <c r="T20" i="14"/>
  <c r="T68" i="11"/>
  <c r="Q20" i="14"/>
  <c r="Q24" i="11"/>
  <c r="R34" i="11"/>
  <c r="K14" i="14"/>
  <c r="K20" i="14" s="1"/>
  <c r="I67" i="11"/>
  <c r="U24" i="11"/>
  <c r="O24" i="11"/>
  <c r="T34" i="11"/>
  <c r="S24" i="11"/>
  <c r="K68" i="11"/>
  <c r="P24" i="11"/>
  <c r="U69" i="11"/>
  <c r="O68" i="11"/>
  <c r="O20" i="14"/>
  <c r="U15" i="14"/>
  <c r="U21" i="14" s="1"/>
  <c r="R66" i="11" l="1"/>
  <c r="V20" i="14"/>
  <c r="K13" i="14"/>
  <c r="K19" i="14" s="1"/>
  <c r="N69" i="11"/>
  <c r="N34" i="11"/>
  <c r="I24" i="11"/>
  <c r="L24" i="11"/>
  <c r="S69" i="11"/>
  <c r="S34" i="11"/>
  <c r="V13" i="14"/>
  <c r="K24" i="11"/>
  <c r="H68" i="11"/>
  <c r="H24" i="11"/>
  <c r="U4" i="14"/>
  <c r="U12" i="14" s="1"/>
  <c r="U18" i="14" s="1"/>
  <c r="T66" i="11"/>
  <c r="U66" i="11"/>
  <c r="S15" i="14" l="1"/>
  <c r="S4" i="14"/>
  <c r="S12" i="14" s="1"/>
  <c r="S18" i="14" s="1"/>
  <c r="Q15" i="14"/>
  <c r="Q4" i="14"/>
  <c r="Q12" i="14" s="1"/>
  <c r="N15" i="14"/>
  <c r="N4" i="14"/>
  <c r="N12" i="14" s="1"/>
  <c r="N18" i="14" s="1"/>
  <c r="V24" i="11"/>
  <c r="L14" i="3"/>
  <c r="L87" i="11"/>
  <c r="I14" i="3"/>
  <c r="I87" i="11"/>
  <c r="S16" i="3"/>
  <c r="S89" i="11"/>
  <c r="U14" i="3"/>
  <c r="U87" i="11"/>
  <c r="S66" i="11"/>
  <c r="M15" i="14"/>
  <c r="M4" i="14"/>
  <c r="M12" i="14" s="1"/>
  <c r="O14" i="3"/>
  <c r="O87" i="11"/>
  <c r="H67" i="11"/>
  <c r="V69" i="11"/>
  <c r="V34" i="11"/>
  <c r="O15" i="14"/>
  <c r="O21" i="14" s="1"/>
  <c r="O4" i="14"/>
  <c r="O12" i="14" s="1"/>
  <c r="P15" i="14"/>
  <c r="P4" i="14"/>
  <c r="P12" i="14" s="1"/>
  <c r="R15" i="14"/>
  <c r="R21" i="14" s="1"/>
  <c r="R4" i="14"/>
  <c r="R12" i="14" s="1"/>
  <c r="M69" i="11"/>
  <c r="M34" i="11"/>
  <c r="K14" i="3"/>
  <c r="K87" i="11"/>
  <c r="M14" i="3"/>
  <c r="M87" i="11"/>
  <c r="J13" i="14"/>
  <c r="J19" i="14" s="1"/>
  <c r="J14" i="14"/>
  <c r="J20" i="14" s="1"/>
  <c r="R14" i="3"/>
  <c r="R87" i="11"/>
  <c r="T15" i="14"/>
  <c r="T21" i="14" s="1"/>
  <c r="T4" i="14"/>
  <c r="T12" i="14" s="1"/>
  <c r="T18" i="14" s="1"/>
  <c r="T14" i="3"/>
  <c r="T87" i="11"/>
  <c r="V14" i="3"/>
  <c r="V87" i="11"/>
  <c r="N66" i="11"/>
  <c r="S14" i="3"/>
  <c r="S87" i="11"/>
  <c r="N14" i="3"/>
  <c r="N87" i="11"/>
  <c r="P14" i="3"/>
  <c r="P87" i="11"/>
  <c r="O69" i="11"/>
  <c r="O34" i="11"/>
  <c r="G24" i="11"/>
  <c r="J14" i="3"/>
  <c r="J87" i="11"/>
  <c r="Q14" i="3"/>
  <c r="Q87" i="11"/>
  <c r="L69" i="11"/>
  <c r="L34" i="11"/>
  <c r="V19" i="14"/>
  <c r="U16" i="3" l="1"/>
  <c r="U89" i="11"/>
  <c r="L66" i="11"/>
  <c r="R18" i="14"/>
  <c r="I14" i="14"/>
  <c r="V15" i="14"/>
  <c r="V4" i="14"/>
  <c r="V12" i="14" s="1"/>
  <c r="V18" i="14" s="1"/>
  <c r="T16" i="3"/>
  <c r="T89" i="11"/>
  <c r="N21" i="14"/>
  <c r="E24" i="11"/>
  <c r="R16" i="3"/>
  <c r="R89" i="11"/>
  <c r="O18" i="14"/>
  <c r="O66" i="11"/>
  <c r="F24" i="11"/>
  <c r="G68" i="11"/>
  <c r="M16" i="3"/>
  <c r="M89" i="11"/>
  <c r="K69" i="11"/>
  <c r="K34" i="11"/>
  <c r="P69" i="11"/>
  <c r="P21" i="14"/>
  <c r="P34" i="11"/>
  <c r="V16" i="3"/>
  <c r="V89" i="11"/>
  <c r="M18" i="14"/>
  <c r="M66" i="11"/>
  <c r="L15" i="14"/>
  <c r="L21" i="14" s="1"/>
  <c r="L4" i="14"/>
  <c r="L12" i="14" s="1"/>
  <c r="L18" i="14" s="1"/>
  <c r="M21" i="14"/>
  <c r="V66" i="11"/>
  <c r="S21" i="14"/>
  <c r="L16" i="3" l="1"/>
  <c r="L89" i="11"/>
  <c r="U15" i="3"/>
  <c r="U88" i="11"/>
  <c r="U4" i="11"/>
  <c r="Q77" i="11"/>
  <c r="I13" i="14"/>
  <c r="I19" i="14" s="1"/>
  <c r="N77" i="11"/>
  <c r="P15" i="3"/>
  <c r="P88" i="11"/>
  <c r="M77" i="11"/>
  <c r="R15" i="3"/>
  <c r="R88" i="11"/>
  <c r="R4" i="11"/>
  <c r="K15" i="3"/>
  <c r="K88" i="11"/>
  <c r="O15" i="3"/>
  <c r="O88" i="11"/>
  <c r="J15" i="3"/>
  <c r="J88" i="11"/>
  <c r="P18" i="14"/>
  <c r="P66" i="11"/>
  <c r="L77" i="11"/>
  <c r="I77" i="11"/>
  <c r="T77" i="11"/>
  <c r="J77" i="11"/>
  <c r="Q15" i="3"/>
  <c r="Q88" i="11"/>
  <c r="Q69" i="11"/>
  <c r="Q34" i="11"/>
  <c r="I20" i="14"/>
  <c r="S15" i="3"/>
  <c r="S88" i="11"/>
  <c r="S4" i="11"/>
  <c r="O77" i="11"/>
  <c r="U72" i="11"/>
  <c r="K77" i="11"/>
  <c r="M15" i="3"/>
  <c r="M88" i="11"/>
  <c r="M4" i="11"/>
  <c r="N15" i="3"/>
  <c r="N88" i="11"/>
  <c r="N4" i="11"/>
  <c r="J69" i="11"/>
  <c r="J34" i="11"/>
  <c r="L15" i="3"/>
  <c r="L88" i="11"/>
  <c r="L4" i="11"/>
  <c r="S77" i="11"/>
  <c r="S79" i="11"/>
  <c r="R77" i="11"/>
  <c r="U77" i="11"/>
  <c r="Q21" i="14"/>
  <c r="N16" i="3"/>
  <c r="N109" i="11"/>
  <c r="N89" i="11"/>
  <c r="T15" i="3"/>
  <c r="T88" i="11"/>
  <c r="T4" i="11"/>
  <c r="T72" i="11"/>
  <c r="I15" i="3"/>
  <c r="I88" i="11"/>
  <c r="K66" i="11"/>
  <c r="V77" i="11"/>
  <c r="G67" i="11"/>
  <c r="P77" i="11"/>
  <c r="V21" i="14"/>
  <c r="U79" i="11"/>
  <c r="H14" i="3" l="1"/>
  <c r="H87" i="11"/>
  <c r="D24" i="11"/>
  <c r="V15" i="3"/>
  <c r="V88" i="11"/>
  <c r="V4" i="11"/>
  <c r="V108" i="11" s="1"/>
  <c r="R79" i="11"/>
  <c r="J66" i="11"/>
  <c r="M13" i="3"/>
  <c r="U106" i="11"/>
  <c r="U86" i="11"/>
  <c r="U107" i="11"/>
  <c r="U109" i="11"/>
  <c r="S72" i="11"/>
  <c r="L106" i="11"/>
  <c r="L86" i="11"/>
  <c r="L107" i="11"/>
  <c r="S107" i="11"/>
  <c r="S106" i="11"/>
  <c r="S86" i="11"/>
  <c r="S109" i="11"/>
  <c r="R13" i="3"/>
  <c r="U108" i="11"/>
  <c r="M79" i="11"/>
  <c r="O89" i="11"/>
  <c r="O16" i="3"/>
  <c r="V79" i="11"/>
  <c r="F68" i="11"/>
  <c r="T106" i="11"/>
  <c r="T86" i="11"/>
  <c r="T107" i="11"/>
  <c r="T109" i="11"/>
  <c r="L108" i="11"/>
  <c r="N106" i="11"/>
  <c r="N86" i="11"/>
  <c r="N107" i="11"/>
  <c r="S108" i="11"/>
  <c r="T108" i="11"/>
  <c r="U13" i="3"/>
  <c r="I69" i="11"/>
  <c r="I34" i="11"/>
  <c r="L13" i="3"/>
  <c r="N108" i="11"/>
  <c r="S13" i="3"/>
  <c r="L109" i="11"/>
  <c r="T13" i="3"/>
  <c r="N13" i="3"/>
  <c r="T79" i="11"/>
  <c r="M108" i="11"/>
  <c r="M106" i="11"/>
  <c r="M86" i="11"/>
  <c r="M107" i="11"/>
  <c r="M109" i="11"/>
  <c r="Q66" i="11"/>
  <c r="Q18" i="14"/>
  <c r="O4" i="11"/>
  <c r="O109" i="11" s="1"/>
  <c r="R109" i="11"/>
  <c r="R86" i="11"/>
  <c r="R106" i="11"/>
  <c r="R107" i="11"/>
  <c r="R108" i="11"/>
  <c r="T73" i="11"/>
  <c r="L78" i="11" l="1"/>
  <c r="O78" i="11"/>
  <c r="H13" i="14"/>
  <c r="H19" i="14" s="1"/>
  <c r="U73" i="11"/>
  <c r="N78" i="11"/>
  <c r="N14" i="11"/>
  <c r="H14" i="14"/>
  <c r="H20" i="14" s="1"/>
  <c r="C24" i="11"/>
  <c r="F67" i="11"/>
  <c r="V13" i="3"/>
  <c r="S78" i="11"/>
  <c r="S14" i="11"/>
  <c r="S118" i="11" s="1"/>
  <c r="O108" i="11"/>
  <c r="O106" i="11"/>
  <c r="O86" i="11"/>
  <c r="O107" i="11"/>
  <c r="I66" i="11"/>
  <c r="N79" i="11"/>
  <c r="Q78" i="11"/>
  <c r="M78" i="11"/>
  <c r="M14" i="11"/>
  <c r="M118" i="11" s="1"/>
  <c r="V78" i="11"/>
  <c r="V14" i="11"/>
  <c r="K16" i="3"/>
  <c r="K89" i="11"/>
  <c r="K4" i="11"/>
  <c r="K109" i="11" s="1"/>
  <c r="B24" i="11"/>
  <c r="J78" i="11"/>
  <c r="P78" i="11"/>
  <c r="E68" i="11"/>
  <c r="R72" i="11"/>
  <c r="R78" i="11"/>
  <c r="R14" i="11"/>
  <c r="R118" i="11" s="1"/>
  <c r="P16" i="3"/>
  <c r="P89" i="11"/>
  <c r="P4" i="11"/>
  <c r="U78" i="11"/>
  <c r="U14" i="11"/>
  <c r="U118" i="11" s="1"/>
  <c r="K78" i="11"/>
  <c r="T78" i="11"/>
  <c r="T14" i="11"/>
  <c r="I78" i="11"/>
  <c r="O13" i="3"/>
  <c r="V106" i="11"/>
  <c r="V86" i="11"/>
  <c r="V107" i="11"/>
  <c r="V109" i="11"/>
  <c r="O14" i="11"/>
  <c r="V72" i="11"/>
  <c r="Q72" i="11"/>
  <c r="O116" i="11" l="1"/>
  <c r="O76" i="11"/>
  <c r="O117" i="11"/>
  <c r="O118" i="11"/>
  <c r="S73" i="11"/>
  <c r="K13" i="3"/>
  <c r="H77" i="11"/>
  <c r="H15" i="3"/>
  <c r="H88" i="11"/>
  <c r="O79" i="11"/>
  <c r="O119" i="11"/>
  <c r="V118" i="11"/>
  <c r="V116" i="11"/>
  <c r="V76" i="11"/>
  <c r="V117" i="11"/>
  <c r="V119" i="11"/>
  <c r="N116" i="11"/>
  <c r="N76" i="11"/>
  <c r="N117" i="11"/>
  <c r="T116" i="11"/>
  <c r="T76" i="11"/>
  <c r="T117" i="11"/>
  <c r="T119" i="11"/>
  <c r="P109" i="11"/>
  <c r="P106" i="11"/>
  <c r="P86" i="11"/>
  <c r="P107" i="11"/>
  <c r="P108" i="11"/>
  <c r="J16" i="3"/>
  <c r="J89" i="11"/>
  <c r="J4" i="11"/>
  <c r="T118" i="11"/>
  <c r="M116" i="11"/>
  <c r="M76" i="11"/>
  <c r="M117" i="11"/>
  <c r="M119" i="11"/>
  <c r="N119" i="11"/>
  <c r="N118" i="11"/>
  <c r="K15" i="14"/>
  <c r="K21" i="14" s="1"/>
  <c r="K4" i="14"/>
  <c r="K12" i="14" s="1"/>
  <c r="G87" i="11"/>
  <c r="G14" i="3"/>
  <c r="P13" i="3"/>
  <c r="Q89" i="11"/>
  <c r="Q16" i="3"/>
  <c r="Q4" i="11"/>
  <c r="Q109" i="11" s="1"/>
  <c r="H69" i="11"/>
  <c r="H34" i="11"/>
  <c r="U119" i="11"/>
  <c r="U76" i="11"/>
  <c r="U116" i="11"/>
  <c r="U117" i="11"/>
  <c r="R116" i="11"/>
  <c r="R76" i="11"/>
  <c r="R117" i="11"/>
  <c r="R119" i="11"/>
  <c r="K106" i="11"/>
  <c r="K86" i="11"/>
  <c r="K107" i="11"/>
  <c r="K108" i="11"/>
  <c r="S116" i="11"/>
  <c r="S76" i="11"/>
  <c r="S117" i="11"/>
  <c r="S119" i="11"/>
  <c r="P72" i="11"/>
  <c r="I16" i="3" l="1"/>
  <c r="I89" i="11"/>
  <c r="I4" i="11"/>
  <c r="K18" i="14"/>
  <c r="L79" i="11"/>
  <c r="L14" i="11"/>
  <c r="H66" i="11"/>
  <c r="E67" i="11"/>
  <c r="K79" i="11"/>
  <c r="K14" i="11"/>
  <c r="D68" i="11"/>
  <c r="R73" i="11"/>
  <c r="Q108" i="11"/>
  <c r="Q86" i="11"/>
  <c r="Q106" i="11"/>
  <c r="Q107" i="11"/>
  <c r="J15" i="14"/>
  <c r="J21" i="14" s="1"/>
  <c r="J4" i="14"/>
  <c r="J12" i="14" s="1"/>
  <c r="P79" i="11"/>
  <c r="P14" i="11"/>
  <c r="Q13" i="3"/>
  <c r="J109" i="11"/>
  <c r="J86" i="11"/>
  <c r="J106" i="11"/>
  <c r="J107" i="11"/>
  <c r="J108" i="11"/>
  <c r="G13" i="14"/>
  <c r="G19" i="14" s="1"/>
  <c r="G14" i="14"/>
  <c r="G20" i="14" s="1"/>
  <c r="J13" i="3"/>
  <c r="O72" i="11"/>
  <c r="I15" i="14" l="1"/>
  <c r="I21" i="14" s="1"/>
  <c r="I4" i="14"/>
  <c r="I12" i="14" s="1"/>
  <c r="Q73" i="11"/>
  <c r="J18" i="14"/>
  <c r="F14" i="14"/>
  <c r="F14" i="3"/>
  <c r="F87" i="11"/>
  <c r="Q79" i="11"/>
  <c r="Q14" i="11"/>
  <c r="G77" i="11"/>
  <c r="G69" i="11"/>
  <c r="G34" i="11"/>
  <c r="K116" i="11"/>
  <c r="K76" i="11"/>
  <c r="K117" i="11"/>
  <c r="K118" i="11"/>
  <c r="I109" i="11"/>
  <c r="I86" i="11"/>
  <c r="I106" i="11"/>
  <c r="I107" i="11"/>
  <c r="I108" i="11"/>
  <c r="J79" i="11"/>
  <c r="J14" i="11"/>
  <c r="K119" i="11"/>
  <c r="P116" i="11"/>
  <c r="P76" i="11"/>
  <c r="P117" i="11"/>
  <c r="P118" i="11"/>
  <c r="L116" i="11"/>
  <c r="L76" i="11"/>
  <c r="L117" i="11"/>
  <c r="L118" i="11"/>
  <c r="I13" i="3"/>
  <c r="V73" i="11"/>
  <c r="L119" i="11"/>
  <c r="G15" i="3"/>
  <c r="G88" i="11"/>
  <c r="H78" i="11"/>
  <c r="P119" i="11"/>
  <c r="P73" i="11"/>
  <c r="H16" i="3" l="1"/>
  <c r="H89" i="11"/>
  <c r="H4" i="11"/>
  <c r="F20" i="14"/>
  <c r="D67" i="11"/>
  <c r="J76" i="11"/>
  <c r="J116" i="11"/>
  <c r="J117" i="11"/>
  <c r="J118" i="11"/>
  <c r="Q117" i="11"/>
  <c r="Q116" i="11"/>
  <c r="Q76" i="11"/>
  <c r="Q118" i="11"/>
  <c r="J119" i="11"/>
  <c r="F13" i="14"/>
  <c r="F19" i="14" s="1"/>
  <c r="Q119" i="11"/>
  <c r="N72" i="11"/>
  <c r="I79" i="11"/>
  <c r="I14" i="11"/>
  <c r="I18" i="14"/>
  <c r="G66" i="11"/>
  <c r="O73" i="11"/>
  <c r="F69" i="11" l="1"/>
  <c r="F34" i="11"/>
  <c r="F66" i="11" s="1"/>
  <c r="F77" i="11"/>
  <c r="I116" i="11"/>
  <c r="I76" i="11"/>
  <c r="I117" i="11"/>
  <c r="I118" i="11"/>
  <c r="G78" i="11"/>
  <c r="I119" i="11"/>
  <c r="H107" i="11"/>
  <c r="H86" i="11"/>
  <c r="H106" i="11"/>
  <c r="H108" i="11"/>
  <c r="H15" i="14"/>
  <c r="H21" i="14" s="1"/>
  <c r="H4" i="14"/>
  <c r="H12" i="14" s="1"/>
  <c r="H18" i="14" s="1"/>
  <c r="H109" i="11"/>
  <c r="C68" i="11"/>
  <c r="E14" i="3"/>
  <c r="E87" i="11"/>
  <c r="F15" i="3"/>
  <c r="F88" i="11"/>
  <c r="H13" i="3"/>
  <c r="L72" i="11"/>
  <c r="N73" i="11" l="1"/>
  <c r="M72" i="11"/>
  <c r="E14" i="14"/>
  <c r="E20" i="14" s="1"/>
  <c r="E15" i="3"/>
  <c r="E88" i="11"/>
  <c r="C67" i="11"/>
  <c r="G89" i="11"/>
  <c r="G16" i="3"/>
  <c r="G4" i="11"/>
  <c r="E13" i="14"/>
  <c r="E19" i="14" s="1"/>
  <c r="H79" i="11"/>
  <c r="H14" i="11"/>
  <c r="D14" i="3" l="1"/>
  <c r="D87" i="11"/>
  <c r="E69" i="11"/>
  <c r="E34" i="11"/>
  <c r="G15" i="14"/>
  <c r="G21" i="14" s="1"/>
  <c r="G4" i="14"/>
  <c r="G12" i="14" s="1"/>
  <c r="K72" i="11"/>
  <c r="H117" i="11"/>
  <c r="H116" i="11"/>
  <c r="H76" i="11"/>
  <c r="H118" i="11"/>
  <c r="G106" i="11"/>
  <c r="G86" i="11"/>
  <c r="G107" i="11"/>
  <c r="G108" i="11"/>
  <c r="H119" i="11"/>
  <c r="G109" i="11"/>
  <c r="G13" i="3"/>
  <c r="B68" i="11"/>
  <c r="F78" i="11"/>
  <c r="E77" i="11"/>
  <c r="E78" i="11"/>
  <c r="J72" i="11" l="1"/>
  <c r="D15" i="3"/>
  <c r="D88" i="11"/>
  <c r="B67" i="11"/>
  <c r="G79" i="11"/>
  <c r="G14" i="11"/>
  <c r="G119" i="11" s="1"/>
  <c r="D13" i="14"/>
  <c r="D19" i="14" s="1"/>
  <c r="L73" i="11"/>
  <c r="M73" i="11"/>
  <c r="G18" i="14"/>
  <c r="F16" i="3"/>
  <c r="F89" i="11"/>
  <c r="F4" i="11"/>
  <c r="D14" i="14"/>
  <c r="D20" i="14" s="1"/>
  <c r="E66" i="11"/>
  <c r="F109" i="11" l="1"/>
  <c r="F106" i="11"/>
  <c r="F86" i="11"/>
  <c r="F107" i="11"/>
  <c r="F108" i="11"/>
  <c r="F15" i="14"/>
  <c r="F21" i="14" s="1"/>
  <c r="F4" i="14"/>
  <c r="F12" i="14" s="1"/>
  <c r="F18" i="14" s="1"/>
  <c r="D77" i="11"/>
  <c r="F13" i="3"/>
  <c r="C14" i="14"/>
  <c r="C20" i="14" s="1"/>
  <c r="C87" i="11"/>
  <c r="C14" i="3"/>
  <c r="I72" i="11"/>
  <c r="K73" i="11"/>
  <c r="D69" i="11"/>
  <c r="D34" i="11"/>
  <c r="G116" i="11"/>
  <c r="G76" i="11"/>
  <c r="G117" i="11"/>
  <c r="G118" i="11"/>
  <c r="H72" i="11"/>
  <c r="C13" i="14" l="1"/>
  <c r="C19" i="14" s="1"/>
  <c r="J73" i="11"/>
  <c r="C15" i="3"/>
  <c r="C88" i="11"/>
  <c r="F79" i="11"/>
  <c r="F14" i="11"/>
  <c r="D66" i="11"/>
  <c r="D78" i="11"/>
  <c r="E16" i="3"/>
  <c r="E89" i="11"/>
  <c r="E4" i="11"/>
  <c r="B14" i="3" l="1"/>
  <c r="B87" i="11"/>
  <c r="E106" i="11"/>
  <c r="E86" i="11"/>
  <c r="E107" i="11"/>
  <c r="E108" i="11"/>
  <c r="F116" i="11"/>
  <c r="F76" i="11"/>
  <c r="F117" i="11"/>
  <c r="F118" i="11"/>
  <c r="I73" i="11"/>
  <c r="E109" i="11"/>
  <c r="E15" i="14"/>
  <c r="E21" i="14" s="1"/>
  <c r="E4" i="14"/>
  <c r="E12" i="14" s="1"/>
  <c r="E18" i="14" s="1"/>
  <c r="F119" i="11"/>
  <c r="E13" i="3"/>
  <c r="G72" i="11"/>
  <c r="C77" i="11"/>
  <c r="C69" i="11"/>
  <c r="C34" i="11"/>
  <c r="C66" i="11" s="1"/>
  <c r="H73" i="11" l="1"/>
  <c r="F72" i="11"/>
  <c r="D16" i="3"/>
  <c r="D89" i="11"/>
  <c r="D4" i="11"/>
  <c r="B13" i="14"/>
  <c r="B19" i="14" s="1"/>
  <c r="B14" i="14"/>
  <c r="C78" i="11"/>
  <c r="B15" i="3"/>
  <c r="B88" i="11"/>
  <c r="E79" i="11"/>
  <c r="E14" i="11"/>
  <c r="D13" i="3" l="1"/>
  <c r="B69" i="11"/>
  <c r="B34" i="11"/>
  <c r="G73" i="11"/>
  <c r="D15" i="14"/>
  <c r="D4" i="14"/>
  <c r="D12" i="14" s="1"/>
  <c r="E72" i="11"/>
  <c r="B77" i="11"/>
  <c r="E118" i="11"/>
  <c r="E76" i="11"/>
  <c r="E116" i="11"/>
  <c r="E117" i="11"/>
  <c r="D108" i="11"/>
  <c r="D86" i="11"/>
  <c r="D106" i="11"/>
  <c r="D107" i="11"/>
  <c r="E119" i="11"/>
  <c r="B20" i="14"/>
  <c r="D109" i="11"/>
  <c r="B78" i="11" l="1"/>
  <c r="C89" i="11"/>
  <c r="C16" i="3"/>
  <c r="C4" i="11"/>
  <c r="D79" i="11"/>
  <c r="D14" i="11"/>
  <c r="F73" i="11"/>
  <c r="D21" i="14"/>
  <c r="B66" i="11"/>
  <c r="D18" i="14"/>
  <c r="D72" i="11"/>
  <c r="B97" i="11"/>
  <c r="C72" i="11" l="1"/>
  <c r="C108" i="11"/>
  <c r="C86" i="11"/>
  <c r="C106" i="11"/>
  <c r="C107" i="11"/>
  <c r="C109" i="11"/>
  <c r="E73" i="11"/>
  <c r="D116" i="11"/>
  <c r="D76" i="11"/>
  <c r="D117" i="11"/>
  <c r="D118" i="11"/>
  <c r="C13" i="3"/>
  <c r="D119" i="11"/>
  <c r="C15" i="14"/>
  <c r="C21" i="14" s="1"/>
  <c r="C4" i="14"/>
  <c r="C12" i="14" s="1"/>
  <c r="C18" i="14" s="1"/>
  <c r="C97" i="11"/>
  <c r="B72" i="11" l="1"/>
  <c r="C79" i="11"/>
  <c r="C14" i="11"/>
  <c r="B16" i="3"/>
  <c r="B89" i="11"/>
  <c r="B4" i="11"/>
  <c r="B98" i="11"/>
  <c r="D73" i="11"/>
  <c r="C73" i="11"/>
  <c r="B13" i="3" l="1"/>
  <c r="E97" i="11"/>
  <c r="B15" i="14"/>
  <c r="B21" i="14" s="1"/>
  <c r="B4" i="14"/>
  <c r="B12" i="14" s="1"/>
  <c r="C119" i="11"/>
  <c r="C116" i="11"/>
  <c r="C76" i="11"/>
  <c r="C117" i="11"/>
  <c r="C118" i="11"/>
  <c r="D97" i="11"/>
  <c r="D98" i="11"/>
  <c r="C98" i="11"/>
  <c r="B106" i="11"/>
  <c r="B86" i="11"/>
  <c r="B107" i="11"/>
  <c r="B108" i="11"/>
  <c r="B109" i="11"/>
  <c r="B73" i="11"/>
  <c r="F97" i="11" l="1"/>
  <c r="B18" i="14"/>
  <c r="B79" i="11"/>
  <c r="B14" i="11"/>
  <c r="B99" i="11" l="1"/>
  <c r="B44" i="11"/>
  <c r="E98" i="11"/>
  <c r="G97" i="11"/>
  <c r="B119" i="11"/>
  <c r="B76" i="11"/>
  <c r="B116" i="11"/>
  <c r="B117" i="11"/>
  <c r="B118" i="11"/>
  <c r="H97" i="11" l="1"/>
  <c r="C99" i="11"/>
  <c r="C44" i="11"/>
  <c r="B96" i="11"/>
  <c r="F98" i="11"/>
  <c r="D99" i="11" l="1"/>
  <c r="D44" i="11"/>
  <c r="C96" i="11"/>
  <c r="B54" i="11"/>
  <c r="G98" i="11"/>
  <c r="I97" i="11"/>
  <c r="H98" i="11" l="1"/>
  <c r="J97" i="11"/>
  <c r="C54" i="11"/>
  <c r="E99" i="11"/>
  <c r="E44" i="11"/>
  <c r="D54" i="11"/>
  <c r="D96" i="11"/>
  <c r="E54" i="11" l="1"/>
  <c r="I98" i="11"/>
  <c r="F99" i="11"/>
  <c r="F44" i="11"/>
  <c r="K97" i="11"/>
  <c r="E96" i="11"/>
  <c r="F96" i="11" l="1"/>
  <c r="L97" i="11"/>
  <c r="G99" i="11"/>
  <c r="G44" i="11"/>
  <c r="F54" i="11"/>
  <c r="J98" i="11"/>
  <c r="M97" i="11" l="1"/>
  <c r="H99" i="11"/>
  <c r="H44" i="11"/>
  <c r="H96" i="11" s="1"/>
  <c r="G96" i="11"/>
  <c r="K98" i="11"/>
  <c r="G54" i="11" l="1"/>
  <c r="I99" i="11"/>
  <c r="I44" i="11"/>
  <c r="N97" i="11"/>
  <c r="L98" i="11"/>
  <c r="J99" i="11" l="1"/>
  <c r="J44" i="11"/>
  <c r="J96" i="11" s="1"/>
  <c r="H54" i="11"/>
  <c r="I96" i="11"/>
  <c r="O97" i="11"/>
  <c r="I54" i="11"/>
  <c r="M98" i="11"/>
  <c r="N98" i="11" l="1"/>
  <c r="K99" i="11"/>
  <c r="K44" i="11"/>
  <c r="P97" i="11"/>
  <c r="J54" i="11"/>
  <c r="K54" i="11" l="1"/>
  <c r="K96" i="11"/>
  <c r="Q97" i="11"/>
  <c r="L99" i="11"/>
  <c r="L44" i="11"/>
  <c r="O98" i="11"/>
  <c r="L54" i="11" l="1"/>
  <c r="L96" i="11"/>
  <c r="P98" i="11"/>
  <c r="M99" i="11"/>
  <c r="M44" i="11"/>
  <c r="R97" i="11"/>
  <c r="M54" i="11" l="1"/>
  <c r="Q98" i="11"/>
  <c r="N99" i="11"/>
  <c r="N44" i="11"/>
  <c r="M96" i="11"/>
  <c r="S97" i="11"/>
  <c r="N96" i="11" l="1"/>
  <c r="R98" i="11"/>
  <c r="T97" i="11"/>
  <c r="O99" i="11"/>
  <c r="O44" i="11"/>
  <c r="P99" i="11" l="1"/>
  <c r="P44" i="11"/>
  <c r="U97" i="11"/>
  <c r="O54" i="11"/>
  <c r="S98" i="11"/>
  <c r="N54" i="11"/>
  <c r="O96" i="11"/>
  <c r="T98" i="11" l="1"/>
  <c r="Q99" i="11"/>
  <c r="Q44" i="11"/>
  <c r="Q96" i="11" s="1"/>
  <c r="P54" i="11"/>
  <c r="P96" i="11"/>
  <c r="Q54" i="11" l="1"/>
  <c r="U98" i="11"/>
  <c r="R99" i="11"/>
  <c r="R44" i="11"/>
  <c r="R96" i="11" s="1"/>
  <c r="V97" i="11"/>
  <c r="R54" i="11" l="1"/>
  <c r="S99" i="11"/>
  <c r="S44" i="11"/>
  <c r="V98" i="11" l="1"/>
  <c r="T99" i="11"/>
  <c r="T44" i="11"/>
  <c r="S96" i="11"/>
  <c r="S54" i="11"/>
  <c r="U99" i="11" l="1"/>
  <c r="U44" i="11"/>
  <c r="T96" i="11"/>
  <c r="T54" i="11" l="1"/>
  <c r="U96" i="11"/>
  <c r="V99" i="11" l="1"/>
  <c r="V44" i="11"/>
  <c r="V54" i="11"/>
  <c r="U54" i="11"/>
  <c r="V96" i="11" l="1"/>
  <c r="U28" i="11" l="1"/>
  <c r="H28" i="11"/>
  <c r="K28" i="11"/>
  <c r="T28" i="11"/>
  <c r="E28" i="11"/>
  <c r="N28" i="11"/>
  <c r="O28" i="11"/>
  <c r="L28" i="11"/>
  <c r="L23" i="11" s="1"/>
  <c r="J28" i="11"/>
  <c r="R28" i="11"/>
  <c r="P28" i="11"/>
  <c r="M28" i="11"/>
  <c r="Q28" i="11"/>
  <c r="S28" i="11"/>
  <c r="F28" i="11"/>
  <c r="G28" i="11"/>
  <c r="I28" i="11"/>
  <c r="M23" i="11" l="1"/>
  <c r="F23" i="11"/>
  <c r="T23" i="11"/>
  <c r="P23" i="11"/>
  <c r="D28" i="11"/>
  <c r="R23" i="11"/>
  <c r="N23" i="11"/>
  <c r="H23" i="11"/>
  <c r="I23" i="11"/>
  <c r="S23" i="11"/>
  <c r="K23" i="11"/>
  <c r="Q23" i="11"/>
  <c r="J23" i="11"/>
  <c r="E23" i="11"/>
  <c r="U23" i="11"/>
  <c r="O23" i="11"/>
  <c r="V28" i="11"/>
  <c r="G23" i="11"/>
  <c r="I71" i="11" l="1"/>
  <c r="I38" i="11"/>
  <c r="I70" i="11" s="1"/>
  <c r="C28" i="11"/>
  <c r="V23" i="11"/>
  <c r="D23" i="11"/>
  <c r="M38" i="11"/>
  <c r="M70" i="11" s="1"/>
  <c r="M71" i="11"/>
  <c r="G71" i="11"/>
  <c r="G38" i="11"/>
  <c r="G70" i="11" s="1"/>
  <c r="L38" i="11"/>
  <c r="L70" i="11" s="1"/>
  <c r="L71" i="11"/>
  <c r="K71" i="11"/>
  <c r="K38" i="11"/>
  <c r="K70" i="11" s="1"/>
  <c r="R71" i="11"/>
  <c r="R38" i="11"/>
  <c r="R70" i="11" s="1"/>
  <c r="F38" i="11"/>
  <c r="F70" i="11" s="1"/>
  <c r="F71" i="11"/>
  <c r="H71" i="11"/>
  <c r="H38" i="11"/>
  <c r="H70" i="11" s="1"/>
  <c r="N71" i="11"/>
  <c r="N38" i="11"/>
  <c r="N70" i="11" s="1"/>
  <c r="F23" i="3" l="1"/>
  <c r="F91" i="11"/>
  <c r="M23" i="3"/>
  <c r="M91" i="11"/>
  <c r="J71" i="11"/>
  <c r="J38" i="11"/>
  <c r="J70" i="11" s="1"/>
  <c r="T71" i="11"/>
  <c r="T38" i="11"/>
  <c r="T70" i="11" s="1"/>
  <c r="S71" i="11"/>
  <c r="S38" i="11"/>
  <c r="S70" i="11" s="1"/>
  <c r="U71" i="11"/>
  <c r="U38" i="11"/>
  <c r="U70" i="11" s="1"/>
  <c r="P71" i="11"/>
  <c r="P38" i="11"/>
  <c r="P70" i="11" s="1"/>
  <c r="P23" i="3"/>
  <c r="P91" i="11"/>
  <c r="S23" i="3"/>
  <c r="S91" i="11"/>
  <c r="K23" i="3"/>
  <c r="K91" i="11"/>
  <c r="L91" i="11"/>
  <c r="L23" i="3"/>
  <c r="N23" i="3"/>
  <c r="N91" i="11"/>
  <c r="U23" i="3"/>
  <c r="U91" i="11"/>
  <c r="O71" i="11"/>
  <c r="O38" i="11"/>
  <c r="O70" i="11" s="1"/>
  <c r="Q23" i="3"/>
  <c r="Q91" i="11"/>
  <c r="E23" i="3"/>
  <c r="E91" i="11"/>
  <c r="O23" i="3"/>
  <c r="O91" i="11"/>
  <c r="Q38" i="11"/>
  <c r="Q70" i="11" s="1"/>
  <c r="Q71" i="11"/>
  <c r="G23" i="3"/>
  <c r="G91" i="11"/>
  <c r="R91" i="11"/>
  <c r="R23" i="3"/>
  <c r="E71" i="11"/>
  <c r="E38" i="11"/>
  <c r="E70" i="11" s="1"/>
  <c r="H91" i="11"/>
  <c r="H23" i="3"/>
  <c r="I23" i="3"/>
  <c r="I91" i="11"/>
  <c r="T23" i="3"/>
  <c r="T91" i="11"/>
  <c r="V38" i="11"/>
  <c r="V70" i="11" s="1"/>
  <c r="V71" i="11"/>
  <c r="J91" i="11"/>
  <c r="J23" i="3"/>
  <c r="C23" i="11"/>
  <c r="D23" i="3" l="1"/>
  <c r="D91" i="11"/>
  <c r="D38" i="11"/>
  <c r="D70" i="11" s="1"/>
  <c r="D71" i="11"/>
  <c r="B28" i="11"/>
  <c r="V23" i="3"/>
  <c r="V91" i="11"/>
  <c r="H81" i="11" l="1"/>
  <c r="M81" i="11"/>
  <c r="I24" i="3"/>
  <c r="I92" i="11"/>
  <c r="G92" i="11"/>
  <c r="G24" i="3"/>
  <c r="N24" i="3"/>
  <c r="N92" i="11"/>
  <c r="F81" i="11"/>
  <c r="R24" i="3"/>
  <c r="R92" i="11"/>
  <c r="P24" i="3"/>
  <c r="P92" i="11"/>
  <c r="U81" i="11"/>
  <c r="Q24" i="3"/>
  <c r="Q92" i="11"/>
  <c r="O24" i="3"/>
  <c r="O92" i="11"/>
  <c r="S92" i="11"/>
  <c r="S24" i="3"/>
  <c r="O81" i="11"/>
  <c r="E81" i="11"/>
  <c r="C71" i="11"/>
  <c r="C38" i="11"/>
  <c r="C70" i="11" s="1"/>
  <c r="L24" i="3"/>
  <c r="L92" i="11"/>
  <c r="J24" i="3"/>
  <c r="J92" i="11"/>
  <c r="P81" i="11"/>
  <c r="K92" i="11"/>
  <c r="K24" i="3"/>
  <c r="M92" i="11"/>
  <c r="M24" i="3"/>
  <c r="R81" i="11"/>
  <c r="C23" i="3"/>
  <c r="C91" i="11"/>
  <c r="J81" i="11"/>
  <c r="F24" i="3"/>
  <c r="F92" i="11"/>
  <c r="B23" i="11"/>
  <c r="T81" i="11"/>
  <c r="N81" i="11"/>
  <c r="U92" i="11"/>
  <c r="U24" i="3"/>
  <c r="G81" i="11"/>
  <c r="I81" i="11"/>
  <c r="E24" i="3"/>
  <c r="E92" i="11"/>
  <c r="S81" i="11"/>
  <c r="H24" i="3"/>
  <c r="H92" i="11"/>
  <c r="L81" i="11"/>
  <c r="T24" i="3"/>
  <c r="T92" i="11"/>
  <c r="Q81" i="11"/>
  <c r="K81" i="11"/>
  <c r="S8" i="11"/>
  <c r="H8" i="11"/>
  <c r="U8" i="11"/>
  <c r="L8" i="11"/>
  <c r="P8" i="11"/>
  <c r="P113" i="11" l="1"/>
  <c r="P110" i="11"/>
  <c r="P90" i="11"/>
  <c r="P111" i="11"/>
  <c r="P112" i="11"/>
  <c r="L113" i="11"/>
  <c r="L90" i="11"/>
  <c r="L110" i="11"/>
  <c r="L111" i="11"/>
  <c r="L112" i="11"/>
  <c r="U90" i="11"/>
  <c r="U110" i="11"/>
  <c r="U111" i="11"/>
  <c r="U112" i="11"/>
  <c r="H112" i="11"/>
  <c r="H110" i="11"/>
  <c r="H90" i="11"/>
  <c r="H111" i="11"/>
  <c r="S113" i="11"/>
  <c r="S90" i="11"/>
  <c r="S110" i="11"/>
  <c r="S111" i="11"/>
  <c r="S112" i="11"/>
  <c r="T25" i="3"/>
  <c r="T93" i="11"/>
  <c r="N25" i="3"/>
  <c r="N22" i="3" s="1"/>
  <c r="N93" i="11"/>
  <c r="U25" i="3"/>
  <c r="U22" i="3" s="1"/>
  <c r="U93" i="11"/>
  <c r="U113" i="11"/>
  <c r="R93" i="11"/>
  <c r="R25" i="3"/>
  <c r="T8" i="11"/>
  <c r="T113" i="11" s="1"/>
  <c r="G25" i="3"/>
  <c r="G22" i="3" s="1"/>
  <c r="G93" i="11"/>
  <c r="D81" i="11"/>
  <c r="G8" i="11"/>
  <c r="G113" i="11" s="1"/>
  <c r="I25" i="3"/>
  <c r="I93" i="11"/>
  <c r="H93" i="11"/>
  <c r="H25" i="3"/>
  <c r="H22" i="3" s="1"/>
  <c r="H113" i="11"/>
  <c r="P93" i="11"/>
  <c r="P25" i="3"/>
  <c r="D92" i="11"/>
  <c r="D24" i="3"/>
  <c r="S25" i="3"/>
  <c r="S22" i="3" s="1"/>
  <c r="S93" i="11"/>
  <c r="L25" i="3"/>
  <c r="L93" i="11"/>
  <c r="V24" i="3"/>
  <c r="V92" i="11"/>
  <c r="V81" i="11"/>
  <c r="N8" i="11"/>
  <c r="I8" i="11"/>
  <c r="I113" i="11" s="1"/>
  <c r="B38" i="11"/>
  <c r="B70" i="11" s="1"/>
  <c r="B71" i="11"/>
  <c r="R8" i="11"/>
  <c r="R113" i="11" s="1"/>
  <c r="T83" i="11"/>
  <c r="F83" i="11"/>
  <c r="V8" i="11"/>
  <c r="S83" i="11"/>
  <c r="V110" i="11" l="1"/>
  <c r="V90" i="11"/>
  <c r="V111" i="11"/>
  <c r="V112" i="11"/>
  <c r="P82" i="11"/>
  <c r="P18" i="11"/>
  <c r="P123" i="11" s="1"/>
  <c r="T82" i="11"/>
  <c r="T18" i="11"/>
  <c r="H83" i="11"/>
  <c r="S82" i="11"/>
  <c r="S18" i="11"/>
  <c r="J83" i="11"/>
  <c r="M83" i="11"/>
  <c r="K83" i="11"/>
  <c r="E83" i="11"/>
  <c r="L82" i="11"/>
  <c r="L18" i="11"/>
  <c r="L123" i="11" s="1"/>
  <c r="K25" i="3"/>
  <c r="K93" i="11"/>
  <c r="K8" i="11"/>
  <c r="K113" i="11" s="1"/>
  <c r="J25" i="3"/>
  <c r="J93" i="11"/>
  <c r="J8" i="11"/>
  <c r="J113" i="11" s="1"/>
  <c r="T22" i="3"/>
  <c r="C92" i="11"/>
  <c r="C24" i="3"/>
  <c r="N83" i="11"/>
  <c r="E25" i="3"/>
  <c r="E93" i="11"/>
  <c r="E8" i="11"/>
  <c r="F82" i="11"/>
  <c r="F18" i="11"/>
  <c r="F122" i="11" s="1"/>
  <c r="L83" i="11"/>
  <c r="H82" i="11"/>
  <c r="H18" i="11"/>
  <c r="N82" i="11"/>
  <c r="N18" i="11"/>
  <c r="N122" i="11" s="1"/>
  <c r="V25" i="3"/>
  <c r="V22" i="3" s="1"/>
  <c r="V113" i="11"/>
  <c r="V93" i="11"/>
  <c r="I83" i="11"/>
  <c r="Q82" i="11"/>
  <c r="Q18" i="11"/>
  <c r="Q122" i="11" s="1"/>
  <c r="O82" i="11"/>
  <c r="O18" i="11"/>
  <c r="O123" i="11" s="1"/>
  <c r="Q83" i="11"/>
  <c r="M25" i="3"/>
  <c r="M93" i="11"/>
  <c r="M8" i="11"/>
  <c r="O83" i="11"/>
  <c r="J82" i="11"/>
  <c r="J18" i="11"/>
  <c r="R82" i="11"/>
  <c r="R18" i="11"/>
  <c r="R123" i="11" s="1"/>
  <c r="R83" i="11"/>
  <c r="G82" i="11"/>
  <c r="G18" i="11"/>
  <c r="G123" i="11" s="1"/>
  <c r="U83" i="11"/>
  <c r="F25" i="3"/>
  <c r="F93" i="11"/>
  <c r="F8" i="11"/>
  <c r="I82" i="11"/>
  <c r="I18" i="11"/>
  <c r="I123" i="11" s="1"/>
  <c r="U82" i="11"/>
  <c r="U18" i="11"/>
  <c r="Q25" i="3"/>
  <c r="Q93" i="11"/>
  <c r="Q8" i="11"/>
  <c r="C81" i="11"/>
  <c r="P83" i="11"/>
  <c r="K82" i="11"/>
  <c r="K18" i="11"/>
  <c r="K123" i="11" s="1"/>
  <c r="I90" i="11"/>
  <c r="I110" i="11"/>
  <c r="I111" i="11"/>
  <c r="I112" i="11"/>
  <c r="L22" i="3"/>
  <c r="G110" i="11"/>
  <c r="G90" i="11"/>
  <c r="G111" i="11"/>
  <c r="G112" i="11"/>
  <c r="I22" i="3"/>
  <c r="G83" i="11"/>
  <c r="R110" i="11"/>
  <c r="R90" i="11"/>
  <c r="R111" i="11"/>
  <c r="R112" i="11"/>
  <c r="N113" i="11"/>
  <c r="N90" i="11"/>
  <c r="N110" i="11"/>
  <c r="N111" i="11"/>
  <c r="N112" i="11"/>
  <c r="R22" i="3"/>
  <c r="B23" i="3"/>
  <c r="B91" i="11"/>
  <c r="E82" i="11"/>
  <c r="E18" i="11"/>
  <c r="E122" i="11" s="1"/>
  <c r="M82" i="11"/>
  <c r="M18" i="11"/>
  <c r="O25" i="3"/>
  <c r="O93" i="11"/>
  <c r="O8" i="11"/>
  <c r="P22" i="3"/>
  <c r="T111" i="11"/>
  <c r="T90" i="11"/>
  <c r="T110" i="11"/>
  <c r="T112" i="11"/>
  <c r="D83" i="11"/>
  <c r="E123" i="11" l="1"/>
  <c r="K122" i="11"/>
  <c r="O111" i="11"/>
  <c r="O90" i="11"/>
  <c r="O110" i="11"/>
  <c r="O112" i="11"/>
  <c r="Q22" i="3"/>
  <c r="Q120" i="11"/>
  <c r="Q13" i="11"/>
  <c r="Q80" i="11"/>
  <c r="Q121" i="11"/>
  <c r="N121" i="11"/>
  <c r="N120" i="11"/>
  <c r="N80" i="11"/>
  <c r="N13" i="11"/>
  <c r="F123" i="11"/>
  <c r="F120" i="11"/>
  <c r="F80" i="11"/>
  <c r="F13" i="11"/>
  <c r="F121" i="11"/>
  <c r="K111" i="11"/>
  <c r="K110" i="11"/>
  <c r="K90" i="11"/>
  <c r="K112" i="11"/>
  <c r="O113" i="11"/>
  <c r="F110" i="11"/>
  <c r="F90" i="11"/>
  <c r="F111" i="11"/>
  <c r="F112" i="11"/>
  <c r="S123" i="11"/>
  <c r="S80" i="11"/>
  <c r="S120" i="11"/>
  <c r="S13" i="11"/>
  <c r="S121" i="11"/>
  <c r="P13" i="11"/>
  <c r="P75" i="11" s="1"/>
  <c r="P120" i="11"/>
  <c r="P80" i="11"/>
  <c r="P121" i="11"/>
  <c r="J22" i="3"/>
  <c r="S122" i="11"/>
  <c r="P122" i="11"/>
  <c r="O22" i="3"/>
  <c r="U120" i="11"/>
  <c r="U80" i="11"/>
  <c r="U13" i="11"/>
  <c r="U121" i="11"/>
  <c r="F113" i="11"/>
  <c r="R121" i="11"/>
  <c r="R80" i="11"/>
  <c r="R120" i="11"/>
  <c r="R13" i="11"/>
  <c r="M113" i="11"/>
  <c r="M90" i="11"/>
  <c r="M110" i="11"/>
  <c r="M111" i="11"/>
  <c r="M112" i="11"/>
  <c r="H120" i="11"/>
  <c r="H13" i="11"/>
  <c r="H80" i="11"/>
  <c r="H121" i="11"/>
  <c r="E110" i="11"/>
  <c r="E90" i="11"/>
  <c r="E111" i="11"/>
  <c r="E112" i="11"/>
  <c r="K22" i="3"/>
  <c r="D82" i="11"/>
  <c r="D18" i="11"/>
  <c r="D122" i="11" s="1"/>
  <c r="M120" i="11"/>
  <c r="M80" i="11"/>
  <c r="M13" i="11"/>
  <c r="M75" i="11" s="1"/>
  <c r="M121" i="11"/>
  <c r="F22" i="3"/>
  <c r="R122" i="11"/>
  <c r="E113" i="11"/>
  <c r="D25" i="3"/>
  <c r="D93" i="11"/>
  <c r="D8" i="11"/>
  <c r="U122" i="11"/>
  <c r="M22" i="3"/>
  <c r="Q123" i="11"/>
  <c r="H122" i="11"/>
  <c r="M123" i="11"/>
  <c r="H123" i="11"/>
  <c r="V82" i="11"/>
  <c r="V18" i="11"/>
  <c r="V123" i="11" s="1"/>
  <c r="M122" i="11"/>
  <c r="K120" i="11"/>
  <c r="K80" i="11"/>
  <c r="K13" i="11"/>
  <c r="K121" i="11"/>
  <c r="Q113" i="11"/>
  <c r="Q110" i="11"/>
  <c r="Q90" i="11"/>
  <c r="Q111" i="11"/>
  <c r="Q112" i="11"/>
  <c r="I120" i="11"/>
  <c r="I80" i="11"/>
  <c r="I13" i="11"/>
  <c r="I121" i="11"/>
  <c r="U123" i="11"/>
  <c r="J120" i="11"/>
  <c r="J80" i="11"/>
  <c r="J13" i="11"/>
  <c r="J75" i="11" s="1"/>
  <c r="J121" i="11"/>
  <c r="O122" i="11"/>
  <c r="O120" i="11"/>
  <c r="O80" i="11"/>
  <c r="O13" i="11"/>
  <c r="O121" i="11"/>
  <c r="E22" i="3"/>
  <c r="L120" i="11"/>
  <c r="L80" i="11"/>
  <c r="L13" i="11"/>
  <c r="L75" i="11" s="1"/>
  <c r="L121" i="11"/>
  <c r="T123" i="11"/>
  <c r="T120" i="11"/>
  <c r="T80" i="11"/>
  <c r="T13" i="11"/>
  <c r="T75" i="11" s="1"/>
  <c r="T121" i="11"/>
  <c r="V83" i="11"/>
  <c r="E120" i="11"/>
  <c r="E80" i="11"/>
  <c r="E13" i="11"/>
  <c r="E121" i="11"/>
  <c r="I122" i="11"/>
  <c r="G122" i="11"/>
  <c r="G120" i="11"/>
  <c r="G80" i="11"/>
  <c r="G13" i="11"/>
  <c r="G121" i="11"/>
  <c r="J122" i="11"/>
  <c r="N123" i="11"/>
  <c r="J111" i="11"/>
  <c r="J110" i="11"/>
  <c r="J90" i="11"/>
  <c r="J112" i="11"/>
  <c r="L122" i="11"/>
  <c r="J123" i="11"/>
  <c r="T122" i="11"/>
  <c r="T43" i="12" l="1"/>
  <c r="T23" i="12"/>
  <c r="T73" i="12" s="1"/>
  <c r="T53" i="3"/>
  <c r="T33" i="12"/>
  <c r="O75" i="11"/>
  <c r="K75" i="11"/>
  <c r="V120" i="11"/>
  <c r="V80" i="11"/>
  <c r="V13" i="11"/>
  <c r="V121" i="11"/>
  <c r="G53" i="3"/>
  <c r="G43" i="12"/>
  <c r="G23" i="12"/>
  <c r="G73" i="12" s="1"/>
  <c r="G33" i="12"/>
  <c r="U53" i="3"/>
  <c r="U23" i="12"/>
  <c r="U73" i="12" s="1"/>
  <c r="U43" i="12"/>
  <c r="U33" i="12"/>
  <c r="B81" i="11"/>
  <c r="V122" i="11"/>
  <c r="R75" i="11"/>
  <c r="N75" i="11"/>
  <c r="C83" i="11"/>
  <c r="C82" i="11"/>
  <c r="C18" i="11"/>
  <c r="C122" i="11" s="1"/>
  <c r="G75" i="11"/>
  <c r="H75" i="11"/>
  <c r="M53" i="3"/>
  <c r="M43" i="12"/>
  <c r="M23" i="12"/>
  <c r="M73" i="12" s="1"/>
  <c r="M33" i="12"/>
  <c r="E75" i="11"/>
  <c r="N53" i="3"/>
  <c r="N23" i="12"/>
  <c r="N73" i="12" s="1"/>
  <c r="N33" i="12"/>
  <c r="N43" i="12"/>
  <c r="D123" i="11"/>
  <c r="D80" i="11"/>
  <c r="D120" i="11"/>
  <c r="D13" i="11"/>
  <c r="D75" i="11" s="1"/>
  <c r="D121" i="11"/>
  <c r="S75" i="11"/>
  <c r="D113" i="11"/>
  <c r="D110" i="11"/>
  <c r="D90" i="11"/>
  <c r="D111" i="11"/>
  <c r="D112" i="11"/>
  <c r="F75" i="11"/>
  <c r="B24" i="3"/>
  <c r="B92" i="11"/>
  <c r="I75" i="11"/>
  <c r="L23" i="12"/>
  <c r="L73" i="12" s="1"/>
  <c r="L53" i="3"/>
  <c r="L33" i="12"/>
  <c r="L43" i="12"/>
  <c r="D22" i="3"/>
  <c r="C25" i="3"/>
  <c r="C93" i="11"/>
  <c r="C8" i="11"/>
  <c r="C113" i="11" s="1"/>
  <c r="U75" i="11"/>
  <c r="Q75" i="11"/>
  <c r="F53" i="3"/>
  <c r="F43" i="12"/>
  <c r="F23" i="12"/>
  <c r="F73" i="12" s="1"/>
  <c r="F33" i="12"/>
  <c r="B8" i="11"/>
  <c r="B112" i="11" l="1"/>
  <c r="B90" i="11"/>
  <c r="B110" i="11"/>
  <c r="B111" i="11"/>
  <c r="N33" i="13"/>
  <c r="N43" i="13"/>
  <c r="N74" i="3"/>
  <c r="M25" i="14"/>
  <c r="M19" i="12"/>
  <c r="M69" i="12" s="1"/>
  <c r="M4" i="12"/>
  <c r="M39" i="12"/>
  <c r="M29" i="12"/>
  <c r="M44" i="3"/>
  <c r="L19" i="12"/>
  <c r="L69" i="12" s="1"/>
  <c r="L29" i="12"/>
  <c r="L4" i="12"/>
  <c r="L39" i="12"/>
  <c r="L44" i="3"/>
  <c r="L25" i="14"/>
  <c r="B101" i="11"/>
  <c r="M4" i="13"/>
  <c r="M33" i="13"/>
  <c r="M43" i="13"/>
  <c r="M74" i="3"/>
  <c r="F205" i="3"/>
  <c r="C120" i="11"/>
  <c r="C80" i="11"/>
  <c r="C13" i="11"/>
  <c r="C75" i="11" s="1"/>
  <c r="C121" i="11"/>
  <c r="N25" i="14"/>
  <c r="N19" i="12"/>
  <c r="N69" i="12" s="1"/>
  <c r="N29" i="12"/>
  <c r="N39" i="12"/>
  <c r="N44" i="3"/>
  <c r="G205" i="3"/>
  <c r="U4" i="13"/>
  <c r="U33" i="13"/>
  <c r="U43" i="13"/>
  <c r="U74" i="3"/>
  <c r="C22" i="3"/>
  <c r="E53" i="3"/>
  <c r="E33" i="12"/>
  <c r="E23" i="12"/>
  <c r="E73" i="12" s="1"/>
  <c r="E43" i="12"/>
  <c r="G83" i="3"/>
  <c r="G37" i="13"/>
  <c r="G47" i="13"/>
  <c r="L83" i="3"/>
  <c r="L47" i="13"/>
  <c r="L37" i="13"/>
  <c r="O53" i="3"/>
  <c r="O23" i="12"/>
  <c r="O73" i="12" s="1"/>
  <c r="O43" i="12"/>
  <c r="O33" i="12"/>
  <c r="L205" i="3"/>
  <c r="N205" i="3"/>
  <c r="V53" i="3"/>
  <c r="V43" i="12"/>
  <c r="V23" i="12"/>
  <c r="V73" i="12" s="1"/>
  <c r="V33" i="12"/>
  <c r="U205" i="3"/>
  <c r="V75" i="11"/>
  <c r="F83" i="3"/>
  <c r="F37" i="13"/>
  <c r="F47" i="13"/>
  <c r="N4" i="12"/>
  <c r="C123" i="11"/>
  <c r="T205" i="3"/>
  <c r="U29" i="12"/>
  <c r="U25" i="14"/>
  <c r="U4" i="12"/>
  <c r="U19" i="12"/>
  <c r="U69" i="12" s="1"/>
  <c r="U39" i="12"/>
  <c r="U44" i="3"/>
  <c r="M83" i="3"/>
  <c r="M37" i="13"/>
  <c r="M47" i="13"/>
  <c r="N4" i="13"/>
  <c r="N37" i="13"/>
  <c r="N47" i="13"/>
  <c r="N83" i="3"/>
  <c r="H53" i="3"/>
  <c r="H33" i="12"/>
  <c r="H43" i="12"/>
  <c r="H23" i="12"/>
  <c r="H73" i="12" s="1"/>
  <c r="U83" i="3"/>
  <c r="U47" i="13"/>
  <c r="U37" i="13"/>
  <c r="L4" i="13"/>
  <c r="L43" i="13"/>
  <c r="L33" i="13"/>
  <c r="L74" i="3"/>
  <c r="T43" i="13"/>
  <c r="T33" i="13"/>
  <c r="T4" i="13"/>
  <c r="T74" i="3"/>
  <c r="B25" i="3"/>
  <c r="B22" i="3" s="1"/>
  <c r="B93" i="11"/>
  <c r="B113" i="11"/>
  <c r="T83" i="3"/>
  <c r="T47" i="13"/>
  <c r="T37" i="13"/>
  <c r="M205" i="3"/>
  <c r="C112" i="11"/>
  <c r="C110" i="11"/>
  <c r="C90" i="11"/>
  <c r="C111" i="11"/>
  <c r="U235" i="3" l="1"/>
  <c r="M235" i="3"/>
  <c r="T25" i="14"/>
  <c r="T29" i="12"/>
  <c r="T4" i="12"/>
  <c r="T18" i="13" s="1"/>
  <c r="T39" i="12"/>
  <c r="T44" i="3"/>
  <c r="T19" i="12"/>
  <c r="T69" i="12" s="1"/>
  <c r="D33" i="12"/>
  <c r="D23" i="12"/>
  <c r="D73" i="12" s="1"/>
  <c r="D53" i="3"/>
  <c r="D43" i="12"/>
  <c r="M18" i="13"/>
  <c r="O4" i="13"/>
  <c r="O33" i="13"/>
  <c r="O43" i="13"/>
  <c r="O74" i="3"/>
  <c r="U196" i="3"/>
  <c r="F235" i="3"/>
  <c r="L235" i="3"/>
  <c r="H37" i="13"/>
  <c r="H47" i="13"/>
  <c r="H83" i="3"/>
  <c r="V37" i="13"/>
  <c r="V83" i="3"/>
  <c r="V47" i="13"/>
  <c r="E83" i="3"/>
  <c r="E47" i="13"/>
  <c r="E37" i="13"/>
  <c r="E25" i="14"/>
  <c r="E4" i="12"/>
  <c r="E19" i="12"/>
  <c r="E69" i="12" s="1"/>
  <c r="E29" i="12"/>
  <c r="E39" i="12"/>
  <c r="E44" i="3"/>
  <c r="T235" i="3"/>
  <c r="G25" i="14"/>
  <c r="G29" i="12"/>
  <c r="G4" i="12"/>
  <c r="G19" i="12"/>
  <c r="G69" i="12" s="1"/>
  <c r="G39" i="12"/>
  <c r="G44" i="3"/>
  <c r="F33" i="13"/>
  <c r="F4" i="13"/>
  <c r="F43" i="13"/>
  <c r="F74" i="3"/>
  <c r="O83" i="3"/>
  <c r="O47" i="13"/>
  <c r="O37" i="13"/>
  <c r="G4" i="13"/>
  <c r="G43" i="13"/>
  <c r="G33" i="13"/>
  <c r="G74" i="3"/>
  <c r="B83" i="11"/>
  <c r="L18" i="13"/>
  <c r="I23" i="12"/>
  <c r="I73" i="12" s="1"/>
  <c r="I53" i="3"/>
  <c r="I33" i="12"/>
  <c r="I43" i="12"/>
  <c r="V4" i="12"/>
  <c r="V19" i="12"/>
  <c r="V69" i="12" s="1"/>
  <c r="V29" i="12"/>
  <c r="V39" i="12"/>
  <c r="V44" i="3"/>
  <c r="V25" i="14"/>
  <c r="E205" i="3"/>
  <c r="F44" i="12"/>
  <c r="F54" i="3"/>
  <c r="F24" i="12"/>
  <c r="F74" i="12" s="1"/>
  <c r="F34" i="12"/>
  <c r="U18" i="13"/>
  <c r="M196" i="3"/>
  <c r="N18" i="13"/>
  <c r="O205" i="3"/>
  <c r="H4" i="12"/>
  <c r="H25" i="14"/>
  <c r="H39" i="12"/>
  <c r="H19" i="12"/>
  <c r="H69" i="12" s="1"/>
  <c r="H29" i="12"/>
  <c r="H44" i="3"/>
  <c r="L196" i="3"/>
  <c r="N226" i="3"/>
  <c r="E4" i="13"/>
  <c r="E43" i="13"/>
  <c r="E33" i="13"/>
  <c r="E74" i="3"/>
  <c r="B82" i="11"/>
  <c r="B18" i="11"/>
  <c r="L226" i="3"/>
  <c r="H205" i="3"/>
  <c r="O25" i="14"/>
  <c r="O4" i="12"/>
  <c r="O19" i="12"/>
  <c r="O69" i="12" s="1"/>
  <c r="O39" i="12"/>
  <c r="O29" i="12"/>
  <c r="O44" i="3"/>
  <c r="F25" i="14"/>
  <c r="F19" i="12"/>
  <c r="F69" i="12" s="1"/>
  <c r="F39" i="12"/>
  <c r="F29" i="12"/>
  <c r="F44" i="3"/>
  <c r="F4" i="12"/>
  <c r="U226" i="3"/>
  <c r="N196" i="3"/>
  <c r="H43" i="13"/>
  <c r="H33" i="13"/>
  <c r="H4" i="13"/>
  <c r="H74" i="3"/>
  <c r="T226" i="3"/>
  <c r="V205" i="3"/>
  <c r="G235" i="3"/>
  <c r="M226" i="3"/>
  <c r="C101" i="11"/>
  <c r="V4" i="13"/>
  <c r="V43" i="13"/>
  <c r="V33" i="13"/>
  <c r="V74" i="3"/>
  <c r="N235" i="3"/>
  <c r="P53" i="3"/>
  <c r="P23" i="12"/>
  <c r="P73" i="12" s="1"/>
  <c r="P43" i="12"/>
  <c r="P33" i="12"/>
  <c r="I37" i="13" l="1"/>
  <c r="I83" i="3"/>
  <c r="I47" i="13"/>
  <c r="N84" i="3"/>
  <c r="N38" i="13"/>
  <c r="N48" i="13"/>
  <c r="N10" i="13"/>
  <c r="N26" i="13" s="1"/>
  <c r="T85" i="3"/>
  <c r="T49" i="13"/>
  <c r="T39" i="13"/>
  <c r="G196" i="3"/>
  <c r="V235" i="3"/>
  <c r="L44" i="13"/>
  <c r="L34" i="13"/>
  <c r="L75" i="3"/>
  <c r="L6" i="13"/>
  <c r="L22" i="13" s="1"/>
  <c r="G85" i="3"/>
  <c r="G39" i="13"/>
  <c r="G49" i="13"/>
  <c r="N34" i="13"/>
  <c r="N44" i="13"/>
  <c r="N75" i="3"/>
  <c r="F27" i="14"/>
  <c r="F21" i="12"/>
  <c r="F71" i="12" s="1"/>
  <c r="F31" i="12"/>
  <c r="F41" i="12"/>
  <c r="F46" i="3"/>
  <c r="K43" i="12"/>
  <c r="K33" i="12"/>
  <c r="K53" i="3"/>
  <c r="K23" i="12"/>
  <c r="K73" i="12" s="1"/>
  <c r="J53" i="3"/>
  <c r="J23" i="12"/>
  <c r="J73" i="12" s="1"/>
  <c r="J43" i="12"/>
  <c r="J33" i="12"/>
  <c r="H44" i="12"/>
  <c r="H34" i="12"/>
  <c r="H54" i="3"/>
  <c r="H24" i="12"/>
  <c r="H74" i="12" s="1"/>
  <c r="L35" i="13"/>
  <c r="L45" i="13"/>
  <c r="L76" i="3"/>
  <c r="U44" i="13"/>
  <c r="U34" i="13"/>
  <c r="U75" i="3"/>
  <c r="B103" i="11"/>
  <c r="V226" i="3"/>
  <c r="G5" i="12"/>
  <c r="G3" i="12" s="1"/>
  <c r="G20" i="12"/>
  <c r="G70" i="12" s="1"/>
  <c r="G30" i="12"/>
  <c r="G40" i="12"/>
  <c r="G26" i="14"/>
  <c r="G45" i="3"/>
  <c r="N21" i="12"/>
  <c r="N71" i="12" s="1"/>
  <c r="N31" i="12"/>
  <c r="N41" i="12"/>
  <c r="N46" i="3"/>
  <c r="N27" i="14"/>
  <c r="P83" i="3"/>
  <c r="P37" i="13"/>
  <c r="P47" i="13"/>
  <c r="M54" i="3"/>
  <c r="M24" i="12"/>
  <c r="M74" i="12" s="1"/>
  <c r="M34" i="12"/>
  <c r="M44" i="12"/>
  <c r="M10" i="12"/>
  <c r="U20" i="12"/>
  <c r="U70" i="12" s="1"/>
  <c r="U26" i="14"/>
  <c r="U40" i="12"/>
  <c r="U30" i="12"/>
  <c r="U45" i="3"/>
  <c r="U6" i="12"/>
  <c r="E18" i="13"/>
  <c r="L54" i="3"/>
  <c r="L24" i="12"/>
  <c r="L74" i="12" s="1"/>
  <c r="L44" i="12"/>
  <c r="L34" i="12"/>
  <c r="L10" i="12"/>
  <c r="T26" i="14"/>
  <c r="T20" i="12"/>
  <c r="T70" i="12" s="1"/>
  <c r="T40" i="12"/>
  <c r="T30" i="12"/>
  <c r="T45" i="3"/>
  <c r="F18" i="13"/>
  <c r="E235" i="3"/>
  <c r="L21" i="12"/>
  <c r="L71" i="12" s="1"/>
  <c r="L27" i="14"/>
  <c r="L41" i="12"/>
  <c r="L31" i="12"/>
  <c r="L46" i="3"/>
  <c r="O226" i="3"/>
  <c r="D83" i="3"/>
  <c r="D47" i="13"/>
  <c r="D37" i="13"/>
  <c r="P43" i="13"/>
  <c r="P33" i="13"/>
  <c r="P4" i="13"/>
  <c r="P74" i="3"/>
  <c r="T84" i="3"/>
  <c r="T48" i="13"/>
  <c r="T38" i="13"/>
  <c r="T10" i="13"/>
  <c r="T26" i="13" s="1"/>
  <c r="L84" i="3"/>
  <c r="L48" i="13"/>
  <c r="L38" i="13"/>
  <c r="U48" i="13"/>
  <c r="U38" i="13"/>
  <c r="U84" i="3"/>
  <c r="G34" i="13"/>
  <c r="G44" i="13"/>
  <c r="G75" i="3"/>
  <c r="L55" i="3"/>
  <c r="L25" i="12"/>
  <c r="L75" i="12" s="1"/>
  <c r="L35" i="12"/>
  <c r="L45" i="12"/>
  <c r="T55" i="3"/>
  <c r="T35" i="12"/>
  <c r="T45" i="12"/>
  <c r="T25" i="12"/>
  <c r="T75" i="12" s="1"/>
  <c r="B122" i="11"/>
  <c r="B120" i="11"/>
  <c r="B80" i="11"/>
  <c r="B13" i="11"/>
  <c r="B75" i="11" s="1"/>
  <c r="B121" i="11"/>
  <c r="N54" i="3"/>
  <c r="N24" i="12"/>
  <c r="N74" i="12" s="1"/>
  <c r="N44" i="12"/>
  <c r="N34" i="12"/>
  <c r="N10" i="12"/>
  <c r="V196" i="3"/>
  <c r="B123" i="11"/>
  <c r="O235" i="3"/>
  <c r="G6" i="12"/>
  <c r="E196" i="3"/>
  <c r="D33" i="13"/>
  <c r="D4" i="13"/>
  <c r="D43" i="13"/>
  <c r="D74" i="3"/>
  <c r="T44" i="13"/>
  <c r="T34" i="13"/>
  <c r="T75" i="3"/>
  <c r="T5" i="12"/>
  <c r="F84" i="3"/>
  <c r="F48" i="13"/>
  <c r="F38" i="13"/>
  <c r="L26" i="14"/>
  <c r="L40" i="12"/>
  <c r="L30" i="12"/>
  <c r="L5" i="12"/>
  <c r="L20" i="12"/>
  <c r="L70" i="12" s="1"/>
  <c r="L45" i="3"/>
  <c r="L6" i="12"/>
  <c r="H226" i="3"/>
  <c r="U27" i="14"/>
  <c r="U21" i="12"/>
  <c r="U71" i="12" s="1"/>
  <c r="U41" i="12"/>
  <c r="U31" i="12"/>
  <c r="U46" i="3"/>
  <c r="G18" i="13"/>
  <c r="H235" i="3"/>
  <c r="D205" i="3"/>
  <c r="T196" i="3"/>
  <c r="E54" i="3"/>
  <c r="E24" i="12"/>
  <c r="E74" i="12" s="1"/>
  <c r="E44" i="12"/>
  <c r="E34" i="12"/>
  <c r="N85" i="3"/>
  <c r="N49" i="13"/>
  <c r="N39" i="13"/>
  <c r="G84" i="3"/>
  <c r="G38" i="13"/>
  <c r="G48" i="13"/>
  <c r="G10" i="13"/>
  <c r="G26" i="13" s="1"/>
  <c r="C53" i="3"/>
  <c r="C43" i="12"/>
  <c r="C23" i="12"/>
  <c r="C73" i="12" s="1"/>
  <c r="C33" i="12"/>
  <c r="F196" i="3"/>
  <c r="O18" i="13"/>
  <c r="E226" i="3"/>
  <c r="F206" i="3"/>
  <c r="G226" i="3"/>
  <c r="F226" i="3"/>
  <c r="D101" i="11"/>
  <c r="B102" i="11"/>
  <c r="B48" i="11"/>
  <c r="P205" i="3"/>
  <c r="V18" i="13"/>
  <c r="T54" i="3"/>
  <c r="T24" i="12"/>
  <c r="T74" i="12" s="1"/>
  <c r="T44" i="12"/>
  <c r="T34" i="12"/>
  <c r="T10" i="12"/>
  <c r="H18" i="13"/>
  <c r="O196" i="3"/>
  <c r="Q43" i="12"/>
  <c r="Q33" i="12"/>
  <c r="Q53" i="3"/>
  <c r="Q23" i="12"/>
  <c r="Q73" i="12" s="1"/>
  <c r="G41" i="12"/>
  <c r="G21" i="12"/>
  <c r="G71" i="12" s="1"/>
  <c r="G31" i="12"/>
  <c r="G27" i="14"/>
  <c r="G46" i="3"/>
  <c r="H196" i="3"/>
  <c r="G54" i="3"/>
  <c r="G24" i="12"/>
  <c r="G74" i="12" s="1"/>
  <c r="G34" i="12"/>
  <c r="G44" i="12"/>
  <c r="G10" i="12"/>
  <c r="I205" i="3"/>
  <c r="G55" i="3"/>
  <c r="G45" i="12"/>
  <c r="G35" i="12"/>
  <c r="G25" i="12"/>
  <c r="G75" i="12" s="1"/>
  <c r="D19" i="12"/>
  <c r="D69" i="12" s="1"/>
  <c r="D25" i="14"/>
  <c r="D29" i="12"/>
  <c r="D39" i="12"/>
  <c r="D4" i="12"/>
  <c r="D44" i="3"/>
  <c r="N5" i="12"/>
  <c r="N26" i="14"/>
  <c r="N30" i="12"/>
  <c r="N20" i="12"/>
  <c r="N70" i="12" s="1"/>
  <c r="N40" i="12"/>
  <c r="N45" i="3"/>
  <c r="N6" i="12"/>
  <c r="U10" i="13"/>
  <c r="U26" i="13" s="1"/>
  <c r="L10" i="13"/>
  <c r="L26" i="13" s="1"/>
  <c r="N5" i="13"/>
  <c r="G50" i="12" l="1"/>
  <c r="G55" i="12"/>
  <c r="G54" i="12"/>
  <c r="U5" i="13"/>
  <c r="L36" i="13"/>
  <c r="L46" i="13"/>
  <c r="T3" i="12"/>
  <c r="N19" i="13"/>
  <c r="N3" i="13"/>
  <c r="N21" i="13" s="1"/>
  <c r="U36" i="13"/>
  <c r="U46" i="13"/>
  <c r="U3" i="13"/>
  <c r="U21" i="13" s="1"/>
  <c r="C102" i="11"/>
  <c r="U198" i="3"/>
  <c r="D18" i="13"/>
  <c r="N206" i="3"/>
  <c r="T236" i="3"/>
  <c r="T82" i="3"/>
  <c r="M42" i="12"/>
  <c r="M32" i="12"/>
  <c r="M22" i="12"/>
  <c r="M72" i="12" s="1"/>
  <c r="H206" i="3"/>
  <c r="K205" i="3"/>
  <c r="O55" i="3"/>
  <c r="O25" i="12"/>
  <c r="O75" i="12" s="1"/>
  <c r="O45" i="12"/>
  <c r="O35" i="12"/>
  <c r="L227" i="3"/>
  <c r="L73" i="3"/>
  <c r="C83" i="3"/>
  <c r="C47" i="13"/>
  <c r="C37" i="13"/>
  <c r="L85" i="3"/>
  <c r="L39" i="13"/>
  <c r="L49" i="13"/>
  <c r="F45" i="13"/>
  <c r="F35" i="13"/>
  <c r="F76" i="3"/>
  <c r="F85" i="3"/>
  <c r="F39" i="13"/>
  <c r="F49" i="13"/>
  <c r="I4" i="13"/>
  <c r="I43" i="13"/>
  <c r="I33" i="13"/>
  <c r="I74" i="3"/>
  <c r="C33" i="13"/>
  <c r="C4" i="13"/>
  <c r="C43" i="13"/>
  <c r="C74" i="3"/>
  <c r="N3" i="12"/>
  <c r="G236" i="3"/>
  <c r="G82" i="3"/>
  <c r="L38" i="12"/>
  <c r="L28" i="12"/>
  <c r="L18" i="12"/>
  <c r="L68" i="12" s="1"/>
  <c r="L24" i="14"/>
  <c r="F10" i="13"/>
  <c r="F26" i="13" s="1"/>
  <c r="L207" i="3"/>
  <c r="U28" i="12"/>
  <c r="U18" i="12"/>
  <c r="U68" i="12" s="1"/>
  <c r="U38" i="12"/>
  <c r="U24" i="14"/>
  <c r="S53" i="3"/>
  <c r="S23" i="12"/>
  <c r="S73" i="12" s="1"/>
  <c r="S43" i="12"/>
  <c r="S33" i="12"/>
  <c r="V40" i="12"/>
  <c r="V30" i="12"/>
  <c r="V20" i="12"/>
  <c r="V70" i="12" s="1"/>
  <c r="V45" i="3"/>
  <c r="V26" i="14"/>
  <c r="G197" i="3"/>
  <c r="F5" i="12"/>
  <c r="F40" i="12"/>
  <c r="F30" i="12"/>
  <c r="F20" i="12"/>
  <c r="F70" i="12" s="1"/>
  <c r="F45" i="3"/>
  <c r="F26" i="14"/>
  <c r="F6" i="12"/>
  <c r="U55" i="3"/>
  <c r="U35" i="12"/>
  <c r="U25" i="12"/>
  <c r="U75" i="12" s="1"/>
  <c r="U45" i="12"/>
  <c r="R53" i="3"/>
  <c r="R23" i="12"/>
  <c r="R73" i="12" s="1"/>
  <c r="R33" i="12"/>
  <c r="R43" i="12"/>
  <c r="N28" i="12"/>
  <c r="N18" i="12"/>
  <c r="N68" i="12" s="1"/>
  <c r="N38" i="12"/>
  <c r="N24" i="14"/>
  <c r="G32" i="12"/>
  <c r="G42" i="12"/>
  <c r="G22" i="12"/>
  <c r="G72" i="12" s="1"/>
  <c r="G52" i="12"/>
  <c r="L197" i="3"/>
  <c r="L43" i="3"/>
  <c r="U54" i="3"/>
  <c r="U24" i="12"/>
  <c r="U74" i="12" s="1"/>
  <c r="U34" i="12"/>
  <c r="U44" i="12"/>
  <c r="U10" i="12"/>
  <c r="G28" i="12"/>
  <c r="G48" i="12"/>
  <c r="G38" i="12"/>
  <c r="G18" i="12"/>
  <c r="G68" i="12" s="1"/>
  <c r="G24" i="14"/>
  <c r="B43" i="12"/>
  <c r="B23" i="12"/>
  <c r="B73" i="12" s="1"/>
  <c r="B33" i="12"/>
  <c r="B53" i="3"/>
  <c r="D235" i="3"/>
  <c r="U197" i="3"/>
  <c r="U43" i="3"/>
  <c r="M55" i="3"/>
  <c r="M45" i="12"/>
  <c r="M35" i="12"/>
  <c r="M25" i="12"/>
  <c r="M75" i="12" s="1"/>
  <c r="G43" i="3"/>
  <c r="I235" i="3"/>
  <c r="N45" i="13"/>
  <c r="N35" i="13"/>
  <c r="N55" i="13"/>
  <c r="N76" i="3"/>
  <c r="V84" i="3"/>
  <c r="V48" i="13"/>
  <c r="V38" i="13"/>
  <c r="J83" i="3"/>
  <c r="J47" i="13"/>
  <c r="J37" i="13"/>
  <c r="Q43" i="13"/>
  <c r="Q4" i="13"/>
  <c r="Q33" i="13"/>
  <c r="Q74" i="3"/>
  <c r="N197" i="3"/>
  <c r="N43" i="3"/>
  <c r="D196" i="3"/>
  <c r="G37" i="12"/>
  <c r="G17" i="12"/>
  <c r="G67" i="12" s="1"/>
  <c r="G47" i="12"/>
  <c r="G53" i="12"/>
  <c r="G49" i="12"/>
  <c r="N42" i="12"/>
  <c r="N22" i="12"/>
  <c r="N72" i="12" s="1"/>
  <c r="N32" i="12"/>
  <c r="T207" i="3"/>
  <c r="T36" i="13"/>
  <c r="T46" i="13"/>
  <c r="L198" i="3"/>
  <c r="L206" i="3"/>
  <c r="L52" i="3"/>
  <c r="N198" i="3"/>
  <c r="N6" i="13"/>
  <c r="N22" i="13" s="1"/>
  <c r="F5" i="13"/>
  <c r="F34" i="13"/>
  <c r="F44" i="13"/>
  <c r="F75" i="3"/>
  <c r="F6" i="13"/>
  <c r="F22" i="13" s="1"/>
  <c r="V45" i="13"/>
  <c r="V35" i="13"/>
  <c r="V76" i="3"/>
  <c r="O85" i="3"/>
  <c r="O39" i="13"/>
  <c r="O49" i="13"/>
  <c r="H45" i="13"/>
  <c r="H35" i="13"/>
  <c r="H76" i="3"/>
  <c r="Q83" i="3"/>
  <c r="Q47" i="13"/>
  <c r="Q37" i="13"/>
  <c r="M45" i="13"/>
  <c r="M35" i="13"/>
  <c r="M76" i="3"/>
  <c r="O84" i="3"/>
  <c r="O38" i="13"/>
  <c r="O48" i="13"/>
  <c r="O10" i="13"/>
  <c r="O26" i="13" s="1"/>
  <c r="G198" i="3"/>
  <c r="Q205" i="3"/>
  <c r="T206" i="3"/>
  <c r="T52" i="3"/>
  <c r="P4" i="12"/>
  <c r="P29" i="12"/>
  <c r="P19" i="12"/>
  <c r="P69" i="12" s="1"/>
  <c r="P25" i="14"/>
  <c r="P39" i="12"/>
  <c r="P44" i="3"/>
  <c r="G36" i="13"/>
  <c r="G46" i="13"/>
  <c r="T41" i="12"/>
  <c r="T27" i="14"/>
  <c r="T21" i="12"/>
  <c r="T71" i="12" s="1"/>
  <c r="T31" i="12"/>
  <c r="T46" i="3"/>
  <c r="G227" i="3"/>
  <c r="U236" i="3"/>
  <c r="V54" i="3"/>
  <c r="V34" i="12"/>
  <c r="V24" i="12"/>
  <c r="V74" i="12" s="1"/>
  <c r="V44" i="12"/>
  <c r="P235" i="3"/>
  <c r="N55" i="3"/>
  <c r="N45" i="12"/>
  <c r="N35" i="12"/>
  <c r="N25" i="12"/>
  <c r="N75" i="12" s="1"/>
  <c r="M26" i="14"/>
  <c r="M20" i="12"/>
  <c r="M70" i="12" s="1"/>
  <c r="M40" i="12"/>
  <c r="M30" i="12"/>
  <c r="M45" i="3"/>
  <c r="M6" i="12"/>
  <c r="J205" i="3"/>
  <c r="F198" i="3"/>
  <c r="N227" i="3"/>
  <c r="O20" i="12"/>
  <c r="O70" i="12" s="1"/>
  <c r="O40" i="12"/>
  <c r="O5" i="12"/>
  <c r="O30" i="12"/>
  <c r="O45" i="3"/>
  <c r="O26" i="14"/>
  <c r="O6" i="12"/>
  <c r="N236" i="3"/>
  <c r="N82" i="3"/>
  <c r="E44" i="13"/>
  <c r="E34" i="13"/>
  <c r="E75" i="3"/>
  <c r="M85" i="3"/>
  <c r="M49" i="13"/>
  <c r="M39" i="13"/>
  <c r="E101" i="11"/>
  <c r="G51" i="12"/>
  <c r="E30" i="12"/>
  <c r="E40" i="12"/>
  <c r="E20" i="12"/>
  <c r="E70" i="12" s="1"/>
  <c r="E26" i="14"/>
  <c r="E45" i="3"/>
  <c r="I4" i="12"/>
  <c r="I39" i="12"/>
  <c r="I29" i="12"/>
  <c r="I19" i="12"/>
  <c r="I69" i="12" s="1"/>
  <c r="I25" i="14"/>
  <c r="I44" i="3"/>
  <c r="E206" i="3"/>
  <c r="L3" i="12"/>
  <c r="D226" i="3"/>
  <c r="L236" i="3"/>
  <c r="L82" i="3"/>
  <c r="M206" i="3"/>
  <c r="M52" i="3"/>
  <c r="F55" i="3"/>
  <c r="F35" i="12"/>
  <c r="F45" i="12"/>
  <c r="F25" i="12"/>
  <c r="F75" i="12" s="1"/>
  <c r="F10" i="12"/>
  <c r="O54" i="3"/>
  <c r="O34" i="12"/>
  <c r="O24" i="12"/>
  <c r="O74" i="12" s="1"/>
  <c r="O44" i="12"/>
  <c r="O10" i="12"/>
  <c r="L5" i="13"/>
  <c r="O21" i="12"/>
  <c r="O71" i="12" s="1"/>
  <c r="O31" i="12"/>
  <c r="O27" i="14"/>
  <c r="O41" i="12"/>
  <c r="O46" i="3"/>
  <c r="U35" i="13"/>
  <c r="U45" i="13"/>
  <c r="U76" i="3"/>
  <c r="U73" i="3" s="1"/>
  <c r="O35" i="13"/>
  <c r="O45" i="13"/>
  <c r="O76" i="3"/>
  <c r="C103" i="11"/>
  <c r="V44" i="13"/>
  <c r="V34" i="13"/>
  <c r="V75" i="3"/>
  <c r="V6" i="13"/>
  <c r="V22" i="13" s="1"/>
  <c r="U85" i="3"/>
  <c r="U49" i="13"/>
  <c r="U39" i="13"/>
  <c r="G207" i="3"/>
  <c r="B43" i="11"/>
  <c r="B95" i="11" s="1"/>
  <c r="B100" i="11"/>
  <c r="C205" i="3"/>
  <c r="F236" i="3"/>
  <c r="M5" i="12"/>
  <c r="M21" i="12"/>
  <c r="M71" i="12" s="1"/>
  <c r="M41" i="12"/>
  <c r="M31" i="12"/>
  <c r="M46" i="3"/>
  <c r="M27" i="14"/>
  <c r="P226" i="3"/>
  <c r="L32" i="12"/>
  <c r="L22" i="12"/>
  <c r="L72" i="12" s="1"/>
  <c r="L42" i="12"/>
  <c r="U6" i="13"/>
  <c r="U22" i="13" s="1"/>
  <c r="M84" i="3"/>
  <c r="M48" i="13"/>
  <c r="M38" i="13"/>
  <c r="M10" i="13"/>
  <c r="M26" i="13" s="1"/>
  <c r="G237" i="3"/>
  <c r="T237" i="3"/>
  <c r="T6" i="12"/>
  <c r="K83" i="3"/>
  <c r="K47" i="13"/>
  <c r="K37" i="13"/>
  <c r="H44" i="13"/>
  <c r="H34" i="13"/>
  <c r="H75" i="3"/>
  <c r="H6" i="13"/>
  <c r="H22" i="13" s="1"/>
  <c r="G206" i="3"/>
  <c r="G52" i="3"/>
  <c r="T42" i="12"/>
  <c r="T32" i="12"/>
  <c r="T22" i="12"/>
  <c r="T72" i="12" s="1"/>
  <c r="N237" i="3"/>
  <c r="T227" i="3"/>
  <c r="T197" i="3"/>
  <c r="U5" i="12"/>
  <c r="U19" i="13" s="1"/>
  <c r="U227" i="3"/>
  <c r="L228" i="3"/>
  <c r="L32" i="13"/>
  <c r="L42" i="13"/>
  <c r="N36" i="13"/>
  <c r="N46" i="13"/>
  <c r="N56" i="13"/>
  <c r="H5" i="13"/>
  <c r="L52" i="12" l="1"/>
  <c r="N55" i="12"/>
  <c r="T51" i="12"/>
  <c r="N73" i="3"/>
  <c r="F82" i="3"/>
  <c r="F234" i="3" s="1"/>
  <c r="N52" i="3"/>
  <c r="N48" i="12"/>
  <c r="N52" i="12"/>
  <c r="H3" i="13"/>
  <c r="H21" i="13" s="1"/>
  <c r="S83" i="3"/>
  <c r="S37" i="13"/>
  <c r="S47" i="13"/>
  <c r="I34" i="13"/>
  <c r="I44" i="13"/>
  <c r="I75" i="3"/>
  <c r="K4" i="13"/>
  <c r="K43" i="13"/>
  <c r="K33" i="13"/>
  <c r="K74" i="3"/>
  <c r="I84" i="3"/>
  <c r="I48" i="13"/>
  <c r="I38" i="13"/>
  <c r="T28" i="12"/>
  <c r="T18" i="12"/>
  <c r="T68" i="12" s="1"/>
  <c r="T24" i="14"/>
  <c r="T38" i="12"/>
  <c r="T48" i="12"/>
  <c r="M236" i="3"/>
  <c r="M82" i="3"/>
  <c r="M198" i="3"/>
  <c r="O237" i="3"/>
  <c r="V21" i="12"/>
  <c r="V71" i="12" s="1"/>
  <c r="V41" i="12"/>
  <c r="V31" i="12"/>
  <c r="V46" i="3"/>
  <c r="V27" i="14"/>
  <c r="R205" i="3"/>
  <c r="F24" i="14"/>
  <c r="F18" i="12"/>
  <c r="F68" i="12" s="1"/>
  <c r="F38" i="12"/>
  <c r="F28" i="12"/>
  <c r="O207" i="3"/>
  <c r="E55" i="3"/>
  <c r="E25" i="12"/>
  <c r="E75" i="12" s="1"/>
  <c r="E45" i="12"/>
  <c r="E35" i="12"/>
  <c r="E10" i="12"/>
  <c r="U57" i="13"/>
  <c r="U51" i="13"/>
  <c r="U41" i="13"/>
  <c r="U53" i="13"/>
  <c r="U58" i="13"/>
  <c r="U54" i="13"/>
  <c r="D44" i="13"/>
  <c r="D34" i="13"/>
  <c r="D75" i="3"/>
  <c r="P5" i="12"/>
  <c r="B47" i="13"/>
  <c r="B37" i="13"/>
  <c r="B83" i="3"/>
  <c r="G204" i="3"/>
  <c r="E21" i="12"/>
  <c r="E71" i="12" s="1"/>
  <c r="E41" i="12"/>
  <c r="E27" i="14"/>
  <c r="E31" i="12"/>
  <c r="E46" i="3"/>
  <c r="O28" i="12"/>
  <c r="O24" i="14"/>
  <c r="O38" i="12"/>
  <c r="O18" i="12"/>
  <c r="O68" i="12" s="1"/>
  <c r="V228" i="3"/>
  <c r="F32" i="13"/>
  <c r="F42" i="13"/>
  <c r="U42" i="12"/>
  <c r="U32" i="12"/>
  <c r="U22" i="12"/>
  <c r="U72" i="12" s="1"/>
  <c r="V5" i="12"/>
  <c r="F46" i="13"/>
  <c r="F36" i="13"/>
  <c r="N47" i="12"/>
  <c r="N37" i="12"/>
  <c r="N17" i="12"/>
  <c r="N67" i="12" s="1"/>
  <c r="N53" i="12"/>
  <c r="N49" i="12"/>
  <c r="N51" i="12"/>
  <c r="N54" i="12"/>
  <c r="N50" i="12"/>
  <c r="F228" i="3"/>
  <c r="C235" i="3"/>
  <c r="L225" i="3"/>
  <c r="P84" i="3"/>
  <c r="P48" i="13"/>
  <c r="P38" i="13"/>
  <c r="P10" i="12"/>
  <c r="I54" i="3"/>
  <c r="I44" i="12"/>
  <c r="I24" i="12"/>
  <c r="I74" i="12" s="1"/>
  <c r="I34" i="12"/>
  <c r="O206" i="3"/>
  <c r="O52" i="3"/>
  <c r="F207" i="3"/>
  <c r="F52" i="3"/>
  <c r="V206" i="3"/>
  <c r="O236" i="3"/>
  <c r="O82" i="3"/>
  <c r="Q235" i="3"/>
  <c r="F227" i="3"/>
  <c r="F73" i="3"/>
  <c r="N32" i="13"/>
  <c r="N42" i="13"/>
  <c r="N52" i="13"/>
  <c r="L204" i="3"/>
  <c r="Q226" i="3"/>
  <c r="F197" i="3"/>
  <c r="F43" i="3"/>
  <c r="V6" i="12"/>
  <c r="O5" i="13"/>
  <c r="O34" i="13"/>
  <c r="O44" i="13"/>
  <c r="O75" i="3"/>
  <c r="O6" i="13"/>
  <c r="O22" i="13" s="1"/>
  <c r="I18" i="13"/>
  <c r="L237" i="3"/>
  <c r="G35" i="13"/>
  <c r="G45" i="13"/>
  <c r="G76" i="3"/>
  <c r="G6" i="13"/>
  <c r="G22" i="13" s="1"/>
  <c r="G5" i="13"/>
  <c r="P44" i="12"/>
  <c r="P34" i="12"/>
  <c r="P54" i="3"/>
  <c r="P24" i="12"/>
  <c r="P74" i="12" s="1"/>
  <c r="T52" i="12"/>
  <c r="T17" i="12"/>
  <c r="T67" i="12" s="1"/>
  <c r="T37" i="12"/>
  <c r="T47" i="12"/>
  <c r="T53" i="12"/>
  <c r="T49" i="12"/>
  <c r="T55" i="12"/>
  <c r="T50" i="12"/>
  <c r="T54" i="12"/>
  <c r="D84" i="3"/>
  <c r="D38" i="13"/>
  <c r="D48" i="13"/>
  <c r="R83" i="3"/>
  <c r="R47" i="13"/>
  <c r="R37" i="13"/>
  <c r="P44" i="13"/>
  <c r="P34" i="13"/>
  <c r="P75" i="3"/>
  <c r="P40" i="12"/>
  <c r="P20" i="12"/>
  <c r="P70" i="12" s="1"/>
  <c r="P26" i="14"/>
  <c r="P30" i="12"/>
  <c r="P45" i="3"/>
  <c r="H42" i="13"/>
  <c r="H32" i="13"/>
  <c r="M36" i="13"/>
  <c r="M46" i="13"/>
  <c r="U32" i="13"/>
  <c r="U42" i="13"/>
  <c r="U52" i="13"/>
  <c r="U237" i="3"/>
  <c r="H55" i="3"/>
  <c r="H35" i="12"/>
  <c r="H45" i="12"/>
  <c r="H25" i="12"/>
  <c r="H75" i="12" s="1"/>
  <c r="H10" i="12"/>
  <c r="M204" i="3"/>
  <c r="Q6" i="12"/>
  <c r="Q39" i="12"/>
  <c r="Q19" i="12"/>
  <c r="Q69" i="12" s="1"/>
  <c r="Q29" i="12"/>
  <c r="Q25" i="14"/>
  <c r="Q44" i="3"/>
  <c r="Q4" i="12"/>
  <c r="Q18" i="13" s="1"/>
  <c r="M237" i="3"/>
  <c r="O197" i="3"/>
  <c r="O43" i="3"/>
  <c r="N225" i="3"/>
  <c r="P196" i="3"/>
  <c r="M228" i="3"/>
  <c r="B205" i="3"/>
  <c r="H20" i="12"/>
  <c r="H70" i="12" s="1"/>
  <c r="H26" i="14"/>
  <c r="H5" i="12"/>
  <c r="H30" i="12"/>
  <c r="H40" i="12"/>
  <c r="H45" i="3"/>
  <c r="H6" i="12"/>
  <c r="P18" i="13"/>
  <c r="R4" i="12"/>
  <c r="R39" i="12"/>
  <c r="R29" i="12"/>
  <c r="R19" i="12"/>
  <c r="R69" i="12" s="1"/>
  <c r="R25" i="14"/>
  <c r="R44" i="3"/>
  <c r="C25" i="14"/>
  <c r="C19" i="12"/>
  <c r="C69" i="12" s="1"/>
  <c r="C39" i="12"/>
  <c r="C29" i="12"/>
  <c r="C4" i="12"/>
  <c r="C44" i="3"/>
  <c r="U56" i="13"/>
  <c r="H85" i="3"/>
  <c r="H49" i="13"/>
  <c r="H39" i="13"/>
  <c r="E85" i="3"/>
  <c r="E49" i="13"/>
  <c r="E39" i="13"/>
  <c r="B33" i="13"/>
  <c r="B4" i="13"/>
  <c r="B43" i="13"/>
  <c r="B74" i="3"/>
  <c r="E38" i="13"/>
  <c r="E48" i="13"/>
  <c r="E84" i="3"/>
  <c r="E10" i="13"/>
  <c r="E26" i="13" s="1"/>
  <c r="H227" i="3"/>
  <c r="H73" i="3"/>
  <c r="V42" i="13"/>
  <c r="V32" i="13"/>
  <c r="U228" i="3"/>
  <c r="V55" i="3"/>
  <c r="V45" i="12"/>
  <c r="V35" i="12"/>
  <c r="V25" i="12"/>
  <c r="V75" i="12" s="1"/>
  <c r="L19" i="13"/>
  <c r="L3" i="13"/>
  <c r="L21" i="13" s="1"/>
  <c r="L48" i="12"/>
  <c r="L37" i="12"/>
  <c r="L47" i="12"/>
  <c r="L17" i="12"/>
  <c r="L67" i="12" s="1"/>
  <c r="L53" i="12"/>
  <c r="L49" i="12"/>
  <c r="L54" i="12"/>
  <c r="L55" i="12"/>
  <c r="L51" i="12"/>
  <c r="L50" i="12"/>
  <c r="E5" i="12"/>
  <c r="M18" i="12"/>
  <c r="M68" i="12" s="1"/>
  <c r="M28" i="12"/>
  <c r="M38" i="12"/>
  <c r="M24" i="14"/>
  <c r="C54" i="3"/>
  <c r="C44" i="12"/>
  <c r="C34" i="12"/>
  <c r="C24" i="12"/>
  <c r="C74" i="12" s="1"/>
  <c r="V236" i="3"/>
  <c r="M207" i="3"/>
  <c r="V197" i="3"/>
  <c r="I226" i="3"/>
  <c r="T234" i="3"/>
  <c r="C48" i="11"/>
  <c r="R4" i="13"/>
  <c r="R33" i="13"/>
  <c r="R43" i="13"/>
  <c r="R74" i="3"/>
  <c r="D5" i="12"/>
  <c r="B58" i="11"/>
  <c r="B53" i="11" s="1"/>
  <c r="J4" i="13"/>
  <c r="J33" i="13"/>
  <c r="J43" i="13"/>
  <c r="J74" i="3"/>
  <c r="M3" i="12"/>
  <c r="V227" i="3"/>
  <c r="V73" i="3"/>
  <c r="O228" i="3"/>
  <c r="U55" i="13"/>
  <c r="O198" i="3"/>
  <c r="O22" i="12"/>
  <c r="O72" i="12" s="1"/>
  <c r="O42" i="12"/>
  <c r="O32" i="12"/>
  <c r="F32" i="12"/>
  <c r="F22" i="12"/>
  <c r="F72" i="12" s="1"/>
  <c r="F42" i="12"/>
  <c r="I196" i="3"/>
  <c r="E6" i="12"/>
  <c r="M197" i="3"/>
  <c r="M43" i="3"/>
  <c r="V10" i="12"/>
  <c r="U82" i="3"/>
  <c r="T198" i="3"/>
  <c r="T43" i="3"/>
  <c r="T204" i="3"/>
  <c r="O36" i="13"/>
  <c r="O46" i="13"/>
  <c r="N228" i="3"/>
  <c r="U195" i="3"/>
  <c r="U207" i="3"/>
  <c r="C226" i="3"/>
  <c r="I20" i="12"/>
  <c r="I70" i="12" s="1"/>
  <c r="I40" i="12"/>
  <c r="I30" i="12"/>
  <c r="I45" i="3"/>
  <c r="I26" i="14"/>
  <c r="D103" i="11"/>
  <c r="Q5" i="12"/>
  <c r="U3" i="12"/>
  <c r="H27" i="14"/>
  <c r="H41" i="12"/>
  <c r="H31" i="12"/>
  <c r="H21" i="12"/>
  <c r="H71" i="12" s="1"/>
  <c r="H46" i="3"/>
  <c r="L234" i="3"/>
  <c r="E197" i="3"/>
  <c r="E43" i="3"/>
  <c r="M34" i="13"/>
  <c r="M5" i="13"/>
  <c r="M44" i="13"/>
  <c r="M75" i="3"/>
  <c r="M6" i="13"/>
  <c r="M22" i="13" s="1"/>
  <c r="E227" i="3"/>
  <c r="N234" i="3"/>
  <c r="O3" i="12"/>
  <c r="P6" i="12"/>
  <c r="D26" i="14"/>
  <c r="D40" i="12"/>
  <c r="D30" i="12"/>
  <c r="D20" i="12"/>
  <c r="D70" i="12" s="1"/>
  <c r="D45" i="3"/>
  <c r="D6" i="12"/>
  <c r="J235" i="3"/>
  <c r="U206" i="3"/>
  <c r="U52" i="3"/>
  <c r="K19" i="12"/>
  <c r="K69" i="12" s="1"/>
  <c r="K39" i="12"/>
  <c r="K29" i="12"/>
  <c r="K4" i="12"/>
  <c r="K25" i="14"/>
  <c r="K44" i="3"/>
  <c r="H84" i="3"/>
  <c r="H48" i="13"/>
  <c r="H38" i="13"/>
  <c r="H10" i="13"/>
  <c r="H26" i="13" s="1"/>
  <c r="N51" i="13"/>
  <c r="N41" i="13"/>
  <c r="N57" i="13"/>
  <c r="N53" i="13"/>
  <c r="N54" i="13"/>
  <c r="N59" i="13"/>
  <c r="N58" i="13"/>
  <c r="Q44" i="13"/>
  <c r="Q34" i="13"/>
  <c r="Q75" i="3"/>
  <c r="C58" i="11"/>
  <c r="C53" i="11" s="1"/>
  <c r="U225" i="3"/>
  <c r="K235" i="3"/>
  <c r="U59" i="13"/>
  <c r="J4" i="12"/>
  <c r="J19" i="12"/>
  <c r="J69" i="12" s="1"/>
  <c r="J29" i="12"/>
  <c r="J39" i="12"/>
  <c r="J25" i="14"/>
  <c r="J44" i="3"/>
  <c r="N207" i="3"/>
  <c r="H228" i="3"/>
  <c r="T35" i="13"/>
  <c r="T45" i="13"/>
  <c r="T76" i="3"/>
  <c r="T6" i="13"/>
  <c r="T22" i="13" s="1"/>
  <c r="T5" i="13"/>
  <c r="F19" i="13"/>
  <c r="F3" i="13"/>
  <c r="N195" i="3"/>
  <c r="G195" i="3"/>
  <c r="L195" i="3"/>
  <c r="Q30" i="12"/>
  <c r="Q40" i="12"/>
  <c r="Q45" i="3"/>
  <c r="Q26" i="14"/>
  <c r="Q20" i="12"/>
  <c r="Q70" i="12" s="1"/>
  <c r="F3" i="12"/>
  <c r="S205" i="3"/>
  <c r="G234" i="3"/>
  <c r="F237" i="3"/>
  <c r="I6" i="13"/>
  <c r="I22" i="13" s="1"/>
  <c r="P6" i="13"/>
  <c r="P22" i="13" s="1"/>
  <c r="P10" i="13"/>
  <c r="P26" i="13" s="1"/>
  <c r="U52" i="12" l="1"/>
  <c r="O52" i="12"/>
  <c r="H58" i="13"/>
  <c r="H59" i="13"/>
  <c r="F52" i="13"/>
  <c r="F21" i="13"/>
  <c r="V43" i="3"/>
  <c r="V195" i="3" s="1"/>
  <c r="V52" i="3"/>
  <c r="V204" i="3" s="1"/>
  <c r="N204" i="3"/>
  <c r="I5" i="12"/>
  <c r="P3" i="12"/>
  <c r="P49" i="12" s="1"/>
  <c r="P32" i="13"/>
  <c r="P42" i="13"/>
  <c r="I32" i="13"/>
  <c r="I42" i="13"/>
  <c r="P46" i="13"/>
  <c r="P36" i="13"/>
  <c r="C34" i="13"/>
  <c r="C44" i="13"/>
  <c r="C75" i="3"/>
  <c r="D102" i="11"/>
  <c r="D48" i="11"/>
  <c r="K44" i="13"/>
  <c r="K75" i="3"/>
  <c r="K34" i="13"/>
  <c r="E102" i="11"/>
  <c r="G101" i="11"/>
  <c r="T42" i="13"/>
  <c r="T32" i="13"/>
  <c r="K196" i="3"/>
  <c r="D3" i="12"/>
  <c r="V32" i="12"/>
  <c r="V22" i="12"/>
  <c r="V72" i="12" s="1"/>
  <c r="V42" i="12"/>
  <c r="R226" i="3"/>
  <c r="E3" i="12"/>
  <c r="R235" i="3"/>
  <c r="F225" i="3"/>
  <c r="P55" i="3"/>
  <c r="P52" i="3" s="1"/>
  <c r="P45" i="12"/>
  <c r="P35" i="12"/>
  <c r="P25" i="12"/>
  <c r="P75" i="12" s="1"/>
  <c r="B235" i="3"/>
  <c r="D21" i="12"/>
  <c r="D71" i="12" s="1"/>
  <c r="D41" i="12"/>
  <c r="D31" i="12"/>
  <c r="D46" i="3"/>
  <c r="D43" i="3" s="1"/>
  <c r="D27" i="14"/>
  <c r="K226" i="3"/>
  <c r="J44" i="13"/>
  <c r="J34" i="13"/>
  <c r="J75" i="3"/>
  <c r="D85" i="3"/>
  <c r="D49" i="13"/>
  <c r="D39" i="13"/>
  <c r="Q197" i="3"/>
  <c r="T228" i="3"/>
  <c r="T73" i="3"/>
  <c r="M19" i="13"/>
  <c r="M3" i="13"/>
  <c r="M21" i="13" s="1"/>
  <c r="M195" i="3"/>
  <c r="Q54" i="3"/>
  <c r="Q44" i="12"/>
  <c r="Q34" i="12"/>
  <c r="Q24" i="12"/>
  <c r="Q74" i="12" s="1"/>
  <c r="Q10" i="12"/>
  <c r="P42" i="12"/>
  <c r="P32" i="12"/>
  <c r="P22" i="12"/>
  <c r="P72" i="12" s="1"/>
  <c r="G3" i="13"/>
  <c r="G19" i="13"/>
  <c r="J26" i="14"/>
  <c r="J20" i="12"/>
  <c r="J70" i="12" s="1"/>
  <c r="J40" i="12"/>
  <c r="J30" i="12"/>
  <c r="J45" i="3"/>
  <c r="V3" i="12"/>
  <c r="I236" i="3"/>
  <c r="H52" i="13"/>
  <c r="H41" i="13"/>
  <c r="H51" i="13"/>
  <c r="H53" i="13"/>
  <c r="H57" i="13"/>
  <c r="H54" i="13"/>
  <c r="H55" i="13"/>
  <c r="R34" i="13"/>
  <c r="R44" i="13"/>
  <c r="R75" i="3"/>
  <c r="F52" i="12"/>
  <c r="F47" i="12"/>
  <c r="F37" i="12"/>
  <c r="F17" i="12"/>
  <c r="F67" i="12" s="1"/>
  <c r="F53" i="12"/>
  <c r="F49" i="12"/>
  <c r="F54" i="12"/>
  <c r="F51" i="12"/>
  <c r="F55" i="12"/>
  <c r="F50" i="12"/>
  <c r="H236" i="3"/>
  <c r="H82" i="3"/>
  <c r="I197" i="3"/>
  <c r="M37" i="12"/>
  <c r="M47" i="12"/>
  <c r="M17" i="12"/>
  <c r="M67" i="12" s="1"/>
  <c r="M53" i="12"/>
  <c r="M49" i="12"/>
  <c r="M54" i="12"/>
  <c r="M50" i="12"/>
  <c r="M52" i="12"/>
  <c r="M51" i="12"/>
  <c r="M55" i="12"/>
  <c r="J226" i="3"/>
  <c r="J54" i="3"/>
  <c r="J44" i="12"/>
  <c r="J34" i="12"/>
  <c r="J24" i="12"/>
  <c r="J74" i="12" s="1"/>
  <c r="J10" i="12"/>
  <c r="B226" i="3"/>
  <c r="H237" i="3"/>
  <c r="H3" i="12"/>
  <c r="Q28" i="12"/>
  <c r="Q18" i="12"/>
  <c r="Q68" i="12" s="1"/>
  <c r="Q38" i="12"/>
  <c r="Q24" i="14"/>
  <c r="D10" i="13"/>
  <c r="D26" i="13" s="1"/>
  <c r="G42" i="13"/>
  <c r="G32" i="13"/>
  <c r="O19" i="13"/>
  <c r="O3" i="13"/>
  <c r="O204" i="3"/>
  <c r="V198" i="3"/>
  <c r="M234" i="3"/>
  <c r="C40" i="12"/>
  <c r="C20" i="12"/>
  <c r="C70" i="12" s="1"/>
  <c r="C30" i="12"/>
  <c r="C26" i="14"/>
  <c r="C45" i="3"/>
  <c r="H19" i="13"/>
  <c r="R84" i="3"/>
  <c r="R48" i="13"/>
  <c r="R38" i="13"/>
  <c r="U204" i="3"/>
  <c r="D54" i="3"/>
  <c r="D24" i="12"/>
  <c r="D74" i="12" s="1"/>
  <c r="D44" i="12"/>
  <c r="D34" i="12"/>
  <c r="D10" i="12"/>
  <c r="E36" i="13"/>
  <c r="E46" i="13"/>
  <c r="Q3" i="12"/>
  <c r="R20" i="12"/>
  <c r="R70" i="12" s="1"/>
  <c r="R40" i="12"/>
  <c r="R30" i="12"/>
  <c r="R26" i="14"/>
  <c r="R45" i="3"/>
  <c r="G228" i="3"/>
  <c r="G73" i="3"/>
  <c r="D227" i="3"/>
  <c r="J55" i="3"/>
  <c r="J25" i="12"/>
  <c r="J75" i="12" s="1"/>
  <c r="J35" i="12"/>
  <c r="J45" i="12"/>
  <c r="Q41" i="12"/>
  <c r="Q31" i="12"/>
  <c r="Q21" i="12"/>
  <c r="Q71" i="12" s="1"/>
  <c r="Q27" i="14"/>
  <c r="Q46" i="3"/>
  <c r="I227" i="3"/>
  <c r="D58" i="11"/>
  <c r="D53" i="11" s="1"/>
  <c r="I5" i="13"/>
  <c r="J84" i="3"/>
  <c r="J48" i="13"/>
  <c r="J38" i="13"/>
  <c r="K48" i="13"/>
  <c r="K38" i="13"/>
  <c r="K84" i="3"/>
  <c r="J196" i="3"/>
  <c r="D18" i="12"/>
  <c r="D68" i="12" s="1"/>
  <c r="D38" i="12"/>
  <c r="D28" i="12"/>
  <c r="D24" i="14"/>
  <c r="P24" i="14"/>
  <c r="P28" i="12"/>
  <c r="P38" i="12"/>
  <c r="P18" i="12"/>
  <c r="P68" i="12" s="1"/>
  <c r="E195" i="3"/>
  <c r="Q55" i="3"/>
  <c r="Q45" i="12"/>
  <c r="Q35" i="12"/>
  <c r="Q25" i="12"/>
  <c r="Q75" i="12" s="1"/>
  <c r="T195" i="3"/>
  <c r="E28" i="12"/>
  <c r="E18" i="12"/>
  <c r="E68" i="12" s="1"/>
  <c r="E24" i="14"/>
  <c r="E38" i="12"/>
  <c r="V207" i="3"/>
  <c r="Q196" i="3"/>
  <c r="H207" i="3"/>
  <c r="H52" i="3"/>
  <c r="P206" i="3"/>
  <c r="O32" i="13"/>
  <c r="O42" i="13"/>
  <c r="I206" i="3"/>
  <c r="F101" i="11"/>
  <c r="C18" i="13"/>
  <c r="K54" i="3"/>
  <c r="K24" i="12"/>
  <c r="K74" i="12" s="1"/>
  <c r="K44" i="12"/>
  <c r="K34" i="12"/>
  <c r="K10" i="12"/>
  <c r="E207" i="3"/>
  <c r="E52" i="3"/>
  <c r="E103" i="11"/>
  <c r="C84" i="3"/>
  <c r="C48" i="13"/>
  <c r="C38" i="13"/>
  <c r="F51" i="13"/>
  <c r="F41" i="13"/>
  <c r="F57" i="13"/>
  <c r="F53" i="13"/>
  <c r="F58" i="13"/>
  <c r="F59" i="13"/>
  <c r="F54" i="13"/>
  <c r="F55" i="13"/>
  <c r="Q227" i="3"/>
  <c r="H46" i="13"/>
  <c r="H36" i="13"/>
  <c r="H56" i="13"/>
  <c r="D197" i="3"/>
  <c r="O37" i="12"/>
  <c r="O47" i="12"/>
  <c r="O17" i="12"/>
  <c r="O67" i="12" s="1"/>
  <c r="O53" i="12"/>
  <c r="O49" i="12"/>
  <c r="O54" i="12"/>
  <c r="O51" i="12"/>
  <c r="O55" i="12"/>
  <c r="O50" i="12"/>
  <c r="M32" i="13"/>
  <c r="M52" i="13"/>
  <c r="M42" i="13"/>
  <c r="I3" i="12"/>
  <c r="I27" i="14"/>
  <c r="I41" i="12"/>
  <c r="I31" i="12"/>
  <c r="I21" i="12"/>
  <c r="I71" i="12" s="1"/>
  <c r="I46" i="3"/>
  <c r="I6" i="12"/>
  <c r="H225" i="3"/>
  <c r="E237" i="3"/>
  <c r="C196" i="3"/>
  <c r="H24" i="14"/>
  <c r="H38" i="12"/>
  <c r="H28" i="12"/>
  <c r="H18" i="12"/>
  <c r="H68" i="12" s="1"/>
  <c r="E45" i="13"/>
  <c r="E35" i="13"/>
  <c r="E76" i="3"/>
  <c r="E6" i="13"/>
  <c r="E22" i="13" s="1"/>
  <c r="E5" i="13"/>
  <c r="P227" i="3"/>
  <c r="O227" i="3"/>
  <c r="O73" i="3"/>
  <c r="V28" i="12"/>
  <c r="V18" i="12"/>
  <c r="V68" i="12" s="1"/>
  <c r="V38" i="12"/>
  <c r="V24" i="14"/>
  <c r="F56" i="13"/>
  <c r="E198" i="3"/>
  <c r="D55" i="3"/>
  <c r="D35" i="12"/>
  <c r="D25" i="12"/>
  <c r="D75" i="12" s="1"/>
  <c r="D45" i="12"/>
  <c r="P85" i="3"/>
  <c r="P39" i="13"/>
  <c r="P49" i="13"/>
  <c r="P45" i="13"/>
  <c r="P35" i="13"/>
  <c r="P76" i="3"/>
  <c r="I45" i="13"/>
  <c r="I35" i="13"/>
  <c r="I76" i="3"/>
  <c r="S4" i="13"/>
  <c r="S33" i="13"/>
  <c r="S43" i="13"/>
  <c r="S74" i="3"/>
  <c r="C5" i="12"/>
  <c r="R54" i="3"/>
  <c r="R44" i="12"/>
  <c r="R34" i="12"/>
  <c r="R24" i="12"/>
  <c r="R74" i="12" s="1"/>
  <c r="M227" i="3"/>
  <c r="M73" i="3"/>
  <c r="I55" i="3"/>
  <c r="I45" i="12"/>
  <c r="I35" i="12"/>
  <c r="I25" i="12"/>
  <c r="I75" i="12" s="1"/>
  <c r="R18" i="13"/>
  <c r="C206" i="3"/>
  <c r="M48" i="12"/>
  <c r="L52" i="13"/>
  <c r="L41" i="13"/>
  <c r="L51" i="13"/>
  <c r="L53" i="13"/>
  <c r="L57" i="13"/>
  <c r="L54" i="13"/>
  <c r="L58" i="13"/>
  <c r="L55" i="13"/>
  <c r="L59" i="13"/>
  <c r="L56" i="13"/>
  <c r="E82" i="3"/>
  <c r="E236" i="3"/>
  <c r="B19" i="12"/>
  <c r="B69" i="12" s="1"/>
  <c r="B29" i="12"/>
  <c r="B4" i="12"/>
  <c r="B18" i="13" s="1"/>
  <c r="B39" i="12"/>
  <c r="B25" i="14"/>
  <c r="B44" i="3"/>
  <c r="H197" i="3"/>
  <c r="H43" i="3"/>
  <c r="O195" i="3"/>
  <c r="P197" i="3"/>
  <c r="F195" i="3"/>
  <c r="V85" i="3"/>
  <c r="V39" i="13"/>
  <c r="V49" i="13"/>
  <c r="V10" i="13"/>
  <c r="V26" i="13" s="1"/>
  <c r="V5" i="13"/>
  <c r="K18" i="13"/>
  <c r="S235" i="3"/>
  <c r="T19" i="13"/>
  <c r="T3" i="13"/>
  <c r="T21" i="13" s="1"/>
  <c r="H198" i="3"/>
  <c r="U49" i="12"/>
  <c r="U47" i="12"/>
  <c r="U37" i="12"/>
  <c r="U53" i="12"/>
  <c r="U17" i="12"/>
  <c r="U67" i="12" s="1"/>
  <c r="U50" i="12"/>
  <c r="U51" i="12"/>
  <c r="U48" i="12"/>
  <c r="U54" i="12"/>
  <c r="U55" i="12"/>
  <c r="U234" i="3"/>
  <c r="V225" i="3"/>
  <c r="J18" i="13"/>
  <c r="S39" i="12"/>
  <c r="S19" i="12"/>
  <c r="S69" i="12" s="1"/>
  <c r="S29" i="12"/>
  <c r="S4" i="12"/>
  <c r="S25" i="14"/>
  <c r="S44" i="3"/>
  <c r="C43" i="11"/>
  <c r="C95" i="11" s="1"/>
  <c r="C100" i="11"/>
  <c r="R196" i="3"/>
  <c r="H42" i="12"/>
  <c r="H32" i="12"/>
  <c r="H22" i="12"/>
  <c r="H72" i="12" s="1"/>
  <c r="P50" i="12"/>
  <c r="P5" i="13"/>
  <c r="D236" i="3"/>
  <c r="O234" i="3"/>
  <c r="F204" i="3"/>
  <c r="I10" i="12"/>
  <c r="P236" i="3"/>
  <c r="O48" i="12"/>
  <c r="P31" i="12"/>
  <c r="P41" i="12"/>
  <c r="P21" i="12"/>
  <c r="P71" i="12" s="1"/>
  <c r="P46" i="3"/>
  <c r="P27" i="14"/>
  <c r="E42" i="12"/>
  <c r="E32" i="12"/>
  <c r="E22" i="12"/>
  <c r="E72" i="12" s="1"/>
  <c r="F48" i="12"/>
  <c r="K5" i="12"/>
  <c r="K3" i="12" s="1"/>
  <c r="K30" i="12"/>
  <c r="K26" i="14"/>
  <c r="K20" i="12"/>
  <c r="K70" i="12" s="1"/>
  <c r="K40" i="12"/>
  <c r="K45" i="3"/>
  <c r="F103" i="11"/>
  <c r="J10" i="13"/>
  <c r="J26" i="13" s="1"/>
  <c r="C6" i="13"/>
  <c r="C22" i="13" s="1"/>
  <c r="V48" i="12" l="1"/>
  <c r="P54" i="12"/>
  <c r="Q55" i="12"/>
  <c r="H52" i="12"/>
  <c r="D54" i="12"/>
  <c r="I51" i="12"/>
  <c r="E52" i="12"/>
  <c r="P53" i="12"/>
  <c r="P52" i="12"/>
  <c r="P37" i="12"/>
  <c r="P51" i="12"/>
  <c r="P47" i="12"/>
  <c r="P48" i="12"/>
  <c r="P17" i="12"/>
  <c r="P67" i="12" s="1"/>
  <c r="P55" i="12"/>
  <c r="G52" i="13"/>
  <c r="G21" i="13"/>
  <c r="O52" i="13"/>
  <c r="O21" i="13"/>
  <c r="D82" i="3"/>
  <c r="D234" i="3" s="1"/>
  <c r="P82" i="3"/>
  <c r="P234" i="3" s="1"/>
  <c r="I52" i="3"/>
  <c r="I204" i="3" s="1"/>
  <c r="Q43" i="3"/>
  <c r="Q195" i="3" s="1"/>
  <c r="I43" i="3"/>
  <c r="D55" i="12"/>
  <c r="E48" i="12"/>
  <c r="I55" i="12"/>
  <c r="Q51" i="12"/>
  <c r="H48" i="12"/>
  <c r="D51" i="12"/>
  <c r="C3" i="12"/>
  <c r="C32" i="13"/>
  <c r="C42" i="13"/>
  <c r="J36" i="13"/>
  <c r="J46" i="13"/>
  <c r="K17" i="12"/>
  <c r="K67" i="12" s="1"/>
  <c r="K47" i="12"/>
  <c r="K37" i="12"/>
  <c r="K53" i="12"/>
  <c r="K49" i="12"/>
  <c r="K54" i="12"/>
  <c r="K50" i="12"/>
  <c r="S84" i="3"/>
  <c r="S38" i="13"/>
  <c r="S48" i="13"/>
  <c r="R45" i="13"/>
  <c r="R35" i="13"/>
  <c r="R76" i="3"/>
  <c r="I19" i="13"/>
  <c r="I3" i="13"/>
  <c r="I21" i="13" s="1"/>
  <c r="H195" i="3"/>
  <c r="E234" i="3"/>
  <c r="M225" i="3"/>
  <c r="R55" i="3"/>
  <c r="R25" i="12"/>
  <c r="R75" i="12" s="1"/>
  <c r="R45" i="12"/>
  <c r="R35" i="12"/>
  <c r="E42" i="13"/>
  <c r="E32" i="13"/>
  <c r="E204" i="3"/>
  <c r="Q45" i="13"/>
  <c r="Q35" i="13"/>
  <c r="Q76" i="3"/>
  <c r="Q5" i="13"/>
  <c r="Q6" i="13"/>
  <c r="Q22" i="13" s="1"/>
  <c r="Q198" i="3"/>
  <c r="R197" i="3"/>
  <c r="C197" i="3"/>
  <c r="Q206" i="3"/>
  <c r="Q52" i="3"/>
  <c r="M41" i="13"/>
  <c r="M51" i="13"/>
  <c r="M53" i="13"/>
  <c r="M57" i="13"/>
  <c r="M59" i="13"/>
  <c r="M55" i="13"/>
  <c r="M58" i="13"/>
  <c r="M54" i="13"/>
  <c r="M56" i="13"/>
  <c r="D198" i="3"/>
  <c r="E48" i="11"/>
  <c r="D43" i="11"/>
  <c r="D95" i="11" s="1"/>
  <c r="D100" i="11"/>
  <c r="H101" i="11"/>
  <c r="C85" i="3"/>
  <c r="C49" i="13"/>
  <c r="C39" i="13"/>
  <c r="K45" i="13"/>
  <c r="K35" i="13"/>
  <c r="K76" i="3"/>
  <c r="V19" i="13"/>
  <c r="V3" i="13"/>
  <c r="V21" i="13" s="1"/>
  <c r="R206" i="3"/>
  <c r="P228" i="3"/>
  <c r="O225" i="3"/>
  <c r="E228" i="3"/>
  <c r="E73" i="3"/>
  <c r="C236" i="3"/>
  <c r="K206" i="3"/>
  <c r="Q54" i="12"/>
  <c r="Q47" i="12"/>
  <c r="Q37" i="12"/>
  <c r="Q17" i="12"/>
  <c r="Q67" i="12" s="1"/>
  <c r="Q53" i="12"/>
  <c r="Q49" i="12"/>
  <c r="Q50" i="12"/>
  <c r="K45" i="12"/>
  <c r="K35" i="12"/>
  <c r="K55" i="3"/>
  <c r="K25" i="12"/>
  <c r="K75" i="12" s="1"/>
  <c r="K55" i="12"/>
  <c r="Q48" i="12"/>
  <c r="J52" i="3"/>
  <c r="J206" i="3"/>
  <c r="V53" i="12"/>
  <c r="V47" i="12"/>
  <c r="V37" i="12"/>
  <c r="V17" i="12"/>
  <c r="V67" i="12" s="1"/>
  <c r="V49" i="12"/>
  <c r="V54" i="12"/>
  <c r="V50" i="12"/>
  <c r="V51" i="12"/>
  <c r="V55" i="12"/>
  <c r="K197" i="3"/>
  <c r="I52" i="12"/>
  <c r="I42" i="12"/>
  <c r="I32" i="12"/>
  <c r="I22" i="12"/>
  <c r="I72" i="12" s="1"/>
  <c r="S196" i="3"/>
  <c r="Q85" i="3"/>
  <c r="Q39" i="13"/>
  <c r="Q49" i="13"/>
  <c r="V46" i="13"/>
  <c r="V36" i="13"/>
  <c r="D207" i="3"/>
  <c r="K41" i="12"/>
  <c r="K31" i="12"/>
  <c r="K21" i="12"/>
  <c r="K71" i="12" s="1"/>
  <c r="K27" i="14"/>
  <c r="K51" i="12"/>
  <c r="K46" i="3"/>
  <c r="K6" i="12"/>
  <c r="P204" i="3"/>
  <c r="J207" i="3"/>
  <c r="D206" i="3"/>
  <c r="D52" i="3"/>
  <c r="R236" i="3"/>
  <c r="D46" i="13"/>
  <c r="D36" i="13"/>
  <c r="R5" i="13"/>
  <c r="G51" i="13"/>
  <c r="G41" i="13"/>
  <c r="G57" i="13"/>
  <c r="G53" i="13"/>
  <c r="G54" i="13"/>
  <c r="G59" i="13"/>
  <c r="G58" i="13"/>
  <c r="G56" i="13"/>
  <c r="G55" i="13"/>
  <c r="C21" i="12"/>
  <c r="C71" i="12" s="1"/>
  <c r="C27" i="14"/>
  <c r="C31" i="12"/>
  <c r="C41" i="12"/>
  <c r="C46" i="3"/>
  <c r="C6" i="12"/>
  <c r="I228" i="3"/>
  <c r="I73" i="3"/>
  <c r="I28" i="12"/>
  <c r="I18" i="12"/>
  <c r="I68" i="12" s="1"/>
  <c r="I48" i="12"/>
  <c r="I38" i="12"/>
  <c r="I24" i="14"/>
  <c r="D35" i="13"/>
  <c r="D45" i="13"/>
  <c r="D76" i="3"/>
  <c r="D6" i="13"/>
  <c r="D22" i="13" s="1"/>
  <c r="D5" i="13"/>
  <c r="R6" i="13"/>
  <c r="R22" i="13" s="1"/>
  <c r="J197" i="3"/>
  <c r="K227" i="3"/>
  <c r="C227" i="3"/>
  <c r="S44" i="13"/>
  <c r="S34" i="13"/>
  <c r="S75" i="3"/>
  <c r="S10" i="12"/>
  <c r="R10" i="12"/>
  <c r="S26" i="14"/>
  <c r="S30" i="12"/>
  <c r="S40" i="12"/>
  <c r="S20" i="12"/>
  <c r="S70" i="12" s="1"/>
  <c r="S45" i="3"/>
  <c r="P73" i="3"/>
  <c r="I198" i="3"/>
  <c r="D195" i="3"/>
  <c r="C10" i="13"/>
  <c r="C26" i="13" s="1"/>
  <c r="K32" i="12"/>
  <c r="K42" i="12"/>
  <c r="K22" i="12"/>
  <c r="K72" i="12" s="1"/>
  <c r="K52" i="12"/>
  <c r="K6" i="13"/>
  <c r="K22" i="13" s="1"/>
  <c r="O53" i="13"/>
  <c r="O51" i="13"/>
  <c r="O41" i="13"/>
  <c r="O57" i="13"/>
  <c r="O58" i="13"/>
  <c r="O55" i="13"/>
  <c r="O59" i="13"/>
  <c r="O54" i="13"/>
  <c r="O56" i="13"/>
  <c r="J32" i="12"/>
  <c r="J22" i="12"/>
  <c r="J72" i="12" s="1"/>
  <c r="J42" i="12"/>
  <c r="Q32" i="12"/>
  <c r="Q52" i="12"/>
  <c r="Q22" i="12"/>
  <c r="Q72" i="12" s="1"/>
  <c r="Q42" i="12"/>
  <c r="D237" i="3"/>
  <c r="C45" i="13"/>
  <c r="C35" i="13"/>
  <c r="C76" i="3"/>
  <c r="E58" i="11"/>
  <c r="E53" i="11" s="1"/>
  <c r="B84" i="3"/>
  <c r="B38" i="13"/>
  <c r="B48" i="13"/>
  <c r="P198" i="3"/>
  <c r="S18" i="13"/>
  <c r="B196" i="3"/>
  <c r="I207" i="3"/>
  <c r="S226" i="3"/>
  <c r="P237" i="3"/>
  <c r="H204" i="3"/>
  <c r="Q207" i="3"/>
  <c r="K236" i="3"/>
  <c r="J236" i="3"/>
  <c r="G225" i="3"/>
  <c r="D42" i="12"/>
  <c r="D32" i="12"/>
  <c r="D22" i="12"/>
  <c r="D72" i="12" s="1"/>
  <c r="D52" i="12"/>
  <c r="S54" i="3"/>
  <c r="S34" i="12"/>
  <c r="S24" i="12"/>
  <c r="S74" i="12" s="1"/>
  <c r="S44" i="12"/>
  <c r="Q84" i="3"/>
  <c r="Q48" i="13"/>
  <c r="Q38" i="13"/>
  <c r="Q10" i="13"/>
  <c r="Q26" i="13" s="1"/>
  <c r="H47" i="12"/>
  <c r="H37" i="12"/>
  <c r="H17" i="12"/>
  <c r="H67" i="12" s="1"/>
  <c r="H53" i="12"/>
  <c r="H49" i="12"/>
  <c r="H54" i="12"/>
  <c r="H50" i="12"/>
  <c r="H55" i="12"/>
  <c r="H51" i="12"/>
  <c r="H234" i="3"/>
  <c r="R227" i="3"/>
  <c r="B20" i="12"/>
  <c r="B70" i="12" s="1"/>
  <c r="B40" i="12"/>
  <c r="B30" i="12"/>
  <c r="B45" i="3"/>
  <c r="B26" i="14"/>
  <c r="T225" i="3"/>
  <c r="E47" i="12"/>
  <c r="E37" i="12"/>
  <c r="E17" i="12"/>
  <c r="E67" i="12" s="1"/>
  <c r="E53" i="12"/>
  <c r="E49" i="12"/>
  <c r="E54" i="12"/>
  <c r="E50" i="12"/>
  <c r="E51" i="12"/>
  <c r="E55" i="12"/>
  <c r="R27" i="14"/>
  <c r="R21" i="12"/>
  <c r="R71" i="12" s="1"/>
  <c r="R31" i="12"/>
  <c r="R41" i="12"/>
  <c r="R46" i="3"/>
  <c r="R6" i="12"/>
  <c r="C5" i="13"/>
  <c r="J39" i="13"/>
  <c r="J49" i="13"/>
  <c r="J85" i="3"/>
  <c r="R49" i="13"/>
  <c r="R39" i="13"/>
  <c r="R85" i="3"/>
  <c r="T52" i="13"/>
  <c r="T51" i="13"/>
  <c r="T41" i="13"/>
  <c r="T53" i="13"/>
  <c r="T57" i="13"/>
  <c r="T58" i="13"/>
  <c r="T59" i="13"/>
  <c r="T54" i="13"/>
  <c r="T56" i="13"/>
  <c r="T55" i="13"/>
  <c r="I47" i="12"/>
  <c r="I37" i="12"/>
  <c r="I17" i="12"/>
  <c r="I67" i="12" s="1"/>
  <c r="I53" i="12"/>
  <c r="I49" i="12"/>
  <c r="I50" i="12"/>
  <c r="I54" i="12"/>
  <c r="J41" i="12"/>
  <c r="J31" i="12"/>
  <c r="J21" i="12"/>
  <c r="J71" i="12" s="1"/>
  <c r="J27" i="14"/>
  <c r="J46" i="3"/>
  <c r="J6" i="12"/>
  <c r="I85" i="3"/>
  <c r="I39" i="13"/>
  <c r="I49" i="13"/>
  <c r="I10" i="13"/>
  <c r="I26" i="13" s="1"/>
  <c r="R5" i="12"/>
  <c r="J5" i="12"/>
  <c r="J227" i="3"/>
  <c r="P207" i="3"/>
  <c r="B34" i="13"/>
  <c r="B44" i="13"/>
  <c r="B75" i="3"/>
  <c r="P19" i="13"/>
  <c r="P3" i="13"/>
  <c r="P21" i="13" s="1"/>
  <c r="P43" i="3"/>
  <c r="V237" i="3"/>
  <c r="V82" i="3"/>
  <c r="R10" i="13"/>
  <c r="R26" i="13" s="1"/>
  <c r="C55" i="3"/>
  <c r="C25" i="12"/>
  <c r="C75" i="12" s="1"/>
  <c r="C45" i="12"/>
  <c r="C35" i="12"/>
  <c r="C10" i="12"/>
  <c r="E19" i="13"/>
  <c r="E3" i="13"/>
  <c r="E21" i="13" s="1"/>
  <c r="V52" i="12"/>
  <c r="D48" i="12"/>
  <c r="D37" i="12"/>
  <c r="D17" i="12"/>
  <c r="D67" i="12" s="1"/>
  <c r="D47" i="12"/>
  <c r="D53" i="12"/>
  <c r="D49" i="12"/>
  <c r="D50" i="12"/>
  <c r="S10" i="13"/>
  <c r="S26" i="13" s="1"/>
  <c r="C51" i="12" l="1"/>
  <c r="C82" i="3"/>
  <c r="C234" i="3" s="1"/>
  <c r="R73" i="3"/>
  <c r="K43" i="3"/>
  <c r="R52" i="3"/>
  <c r="R204" i="3" s="1"/>
  <c r="I195" i="3"/>
  <c r="B5" i="12"/>
  <c r="C55" i="12"/>
  <c r="S36" i="13"/>
  <c r="S46" i="13"/>
  <c r="V234" i="3"/>
  <c r="B227" i="3"/>
  <c r="J198" i="3"/>
  <c r="J43" i="3"/>
  <c r="C228" i="3"/>
  <c r="I237" i="3"/>
  <c r="I82" i="3"/>
  <c r="J82" i="3"/>
  <c r="J237" i="3"/>
  <c r="R198" i="3"/>
  <c r="R43" i="3"/>
  <c r="Q36" i="13"/>
  <c r="Q46" i="13"/>
  <c r="C18" i="12"/>
  <c r="C68" i="12" s="1"/>
  <c r="C28" i="12"/>
  <c r="C48" i="12"/>
  <c r="C38" i="12"/>
  <c r="C24" i="14"/>
  <c r="S6" i="13"/>
  <c r="S22" i="13" s="1"/>
  <c r="S35" i="13"/>
  <c r="S45" i="13"/>
  <c r="S76" i="3"/>
  <c r="S21" i="12"/>
  <c r="S71" i="12" s="1"/>
  <c r="S41" i="12"/>
  <c r="S31" i="12"/>
  <c r="S46" i="3"/>
  <c r="S27" i="14"/>
  <c r="S6" i="12"/>
  <c r="C73" i="3"/>
  <c r="K198" i="3"/>
  <c r="G103" i="11"/>
  <c r="S55" i="3"/>
  <c r="S45" i="12"/>
  <c r="S25" i="12"/>
  <c r="S75" i="12" s="1"/>
  <c r="S35" i="12"/>
  <c r="R42" i="13"/>
  <c r="R32" i="13"/>
  <c r="J45" i="13"/>
  <c r="J35" i="13"/>
  <c r="J76" i="3"/>
  <c r="J6" i="13"/>
  <c r="J22" i="13" s="1"/>
  <c r="J5" i="13"/>
  <c r="R207" i="3"/>
  <c r="Q228" i="3"/>
  <c r="Q73" i="3"/>
  <c r="C207" i="3"/>
  <c r="C52" i="3"/>
  <c r="K85" i="3"/>
  <c r="K39" i="13"/>
  <c r="K49" i="13"/>
  <c r="K10" i="13"/>
  <c r="K26" i="13" s="1"/>
  <c r="R3" i="12"/>
  <c r="S5" i="12"/>
  <c r="C198" i="3"/>
  <c r="C43" i="3"/>
  <c r="D204" i="3"/>
  <c r="K207" i="3"/>
  <c r="Q204" i="3"/>
  <c r="I41" i="13"/>
  <c r="I51" i="13"/>
  <c r="I57" i="13"/>
  <c r="I53" i="13"/>
  <c r="I58" i="13"/>
  <c r="I54" i="13"/>
  <c r="I55" i="13"/>
  <c r="I52" i="13"/>
  <c r="B35" i="13"/>
  <c r="B45" i="13"/>
  <c r="B76" i="3"/>
  <c r="E52" i="13"/>
  <c r="E41" i="13"/>
  <c r="E51" i="13"/>
  <c r="E53" i="13"/>
  <c r="E57" i="13"/>
  <c r="E54" i="13"/>
  <c r="E58" i="13"/>
  <c r="E59" i="13"/>
  <c r="E56" i="13"/>
  <c r="E55" i="13"/>
  <c r="I36" i="13"/>
  <c r="I46" i="13"/>
  <c r="I56" i="13"/>
  <c r="R82" i="3"/>
  <c r="R237" i="3"/>
  <c r="S206" i="3"/>
  <c r="S227" i="3"/>
  <c r="B35" i="12"/>
  <c r="B45" i="12"/>
  <c r="B25" i="12"/>
  <c r="B75" i="12" s="1"/>
  <c r="B55" i="3"/>
  <c r="Q237" i="3"/>
  <c r="B54" i="3"/>
  <c r="B44" i="12"/>
  <c r="B34" i="12"/>
  <c r="B24" i="12"/>
  <c r="B74" i="12" s="1"/>
  <c r="B10" i="12"/>
  <c r="I101" i="11"/>
  <c r="S39" i="13"/>
  <c r="S85" i="3"/>
  <c r="S49" i="13"/>
  <c r="F58" i="11"/>
  <c r="F53" i="11" s="1"/>
  <c r="R36" i="13"/>
  <c r="R46" i="13"/>
  <c r="P195" i="3"/>
  <c r="I59" i="13"/>
  <c r="C19" i="13"/>
  <c r="C3" i="13"/>
  <c r="B197" i="3"/>
  <c r="B236" i="3"/>
  <c r="C46" i="13"/>
  <c r="C36" i="13"/>
  <c r="P225" i="3"/>
  <c r="R22" i="12"/>
  <c r="R72" i="12" s="1"/>
  <c r="R42" i="12"/>
  <c r="R32" i="12"/>
  <c r="D19" i="13"/>
  <c r="D3" i="13"/>
  <c r="D21" i="13" s="1"/>
  <c r="R19" i="13"/>
  <c r="R3" i="13"/>
  <c r="J204" i="3"/>
  <c r="K228" i="3"/>
  <c r="K73" i="3"/>
  <c r="C22" i="12"/>
  <c r="C72" i="12" s="1"/>
  <c r="C42" i="12"/>
  <c r="C32" i="12"/>
  <c r="C52" i="12"/>
  <c r="P56" i="13"/>
  <c r="P51" i="13"/>
  <c r="P41" i="13"/>
  <c r="P57" i="13"/>
  <c r="P53" i="13"/>
  <c r="P54" i="13"/>
  <c r="P58" i="13"/>
  <c r="P52" i="13"/>
  <c r="P55" i="13"/>
  <c r="P59" i="13"/>
  <c r="K5" i="13"/>
  <c r="Q236" i="3"/>
  <c r="Q82" i="3"/>
  <c r="K32" i="13"/>
  <c r="K42" i="13"/>
  <c r="S197" i="3"/>
  <c r="S5" i="13"/>
  <c r="D42" i="13"/>
  <c r="D32" i="13"/>
  <c r="K28" i="12"/>
  <c r="K18" i="12"/>
  <c r="K68" i="12" s="1"/>
  <c r="K38" i="12"/>
  <c r="K48" i="12"/>
  <c r="K24" i="14"/>
  <c r="B21" i="12"/>
  <c r="B71" i="12" s="1"/>
  <c r="B41" i="12"/>
  <c r="B31" i="12"/>
  <c r="B27" i="14"/>
  <c r="B46" i="3"/>
  <c r="B6" i="12"/>
  <c r="C237" i="3"/>
  <c r="E43" i="11"/>
  <c r="E95" i="11" s="1"/>
  <c r="E100" i="11"/>
  <c r="Q42" i="13"/>
  <c r="Q32" i="13"/>
  <c r="R228" i="3"/>
  <c r="C37" i="12"/>
  <c r="C47" i="12"/>
  <c r="C17" i="12"/>
  <c r="C67" i="12" s="1"/>
  <c r="C53" i="12"/>
  <c r="C49" i="12"/>
  <c r="C54" i="12"/>
  <c r="C50" i="12"/>
  <c r="G102" i="11"/>
  <c r="G48" i="11"/>
  <c r="B5" i="13"/>
  <c r="B6" i="13"/>
  <c r="B22" i="13" s="1"/>
  <c r="J3" i="12"/>
  <c r="J28" i="12"/>
  <c r="J38" i="12"/>
  <c r="J24" i="14"/>
  <c r="J18" i="12"/>
  <c r="J68" i="12" s="1"/>
  <c r="R28" i="12"/>
  <c r="R38" i="12"/>
  <c r="R18" i="12"/>
  <c r="R68" i="12" s="1"/>
  <c r="R24" i="14"/>
  <c r="S42" i="12"/>
  <c r="S22" i="12"/>
  <c r="S72" i="12" s="1"/>
  <c r="S32" i="12"/>
  <c r="D228" i="3"/>
  <c r="D73" i="3"/>
  <c r="I225" i="3"/>
  <c r="K52" i="3"/>
  <c r="E225" i="3"/>
  <c r="V56" i="13"/>
  <c r="V41" i="13"/>
  <c r="V51" i="13"/>
  <c r="V57" i="13"/>
  <c r="V53" i="13"/>
  <c r="V54" i="13"/>
  <c r="V55" i="13"/>
  <c r="V58" i="13"/>
  <c r="V52" i="13"/>
  <c r="V59" i="13"/>
  <c r="F102" i="11"/>
  <c r="F48" i="11"/>
  <c r="Q19" i="13"/>
  <c r="Q3" i="13"/>
  <c r="Q21" i="13" s="1"/>
  <c r="S236" i="3"/>
  <c r="J48" i="12" l="1"/>
  <c r="R52" i="12"/>
  <c r="C56" i="13"/>
  <c r="C21" i="13"/>
  <c r="R52" i="13"/>
  <c r="R21" i="13"/>
  <c r="S82" i="3"/>
  <c r="B73" i="3"/>
  <c r="B225" i="3" s="1"/>
  <c r="R225" i="3"/>
  <c r="S43" i="3"/>
  <c r="S195" i="3" s="1"/>
  <c r="S52" i="3"/>
  <c r="S204" i="3" s="1"/>
  <c r="K195" i="3"/>
  <c r="B3" i="12"/>
  <c r="B54" i="12" s="1"/>
  <c r="R56" i="13"/>
  <c r="B19" i="13"/>
  <c r="B3" i="13"/>
  <c r="B52" i="13" s="1"/>
  <c r="K204" i="3"/>
  <c r="B38" i="12"/>
  <c r="B28" i="12"/>
  <c r="B18" i="12"/>
  <c r="B68" i="12" s="1"/>
  <c r="B24" i="14"/>
  <c r="B207" i="3"/>
  <c r="J19" i="13"/>
  <c r="J3" i="13"/>
  <c r="S18" i="12"/>
  <c r="S68" i="12" s="1"/>
  <c r="S38" i="12"/>
  <c r="S28" i="12"/>
  <c r="S24" i="14"/>
  <c r="S32" i="13"/>
  <c r="S42" i="13"/>
  <c r="R195" i="3"/>
  <c r="B42" i="13"/>
  <c r="B32" i="13"/>
  <c r="S19" i="13"/>
  <c r="S3" i="13"/>
  <c r="K19" i="13"/>
  <c r="K3" i="13"/>
  <c r="K21" i="13" s="1"/>
  <c r="K225" i="3"/>
  <c r="D52" i="13"/>
  <c r="D41" i="13"/>
  <c r="D51" i="13"/>
  <c r="D53" i="13"/>
  <c r="D57" i="13"/>
  <c r="D54" i="13"/>
  <c r="D58" i="13"/>
  <c r="D59" i="13"/>
  <c r="D55" i="13"/>
  <c r="D56" i="13"/>
  <c r="J42" i="13"/>
  <c r="J32" i="13"/>
  <c r="H103" i="11"/>
  <c r="H102" i="11"/>
  <c r="Q234" i="3"/>
  <c r="B206" i="3"/>
  <c r="B52" i="3"/>
  <c r="K237" i="3"/>
  <c r="K82" i="3"/>
  <c r="S198" i="3"/>
  <c r="S228" i="3"/>
  <c r="Q59" i="13"/>
  <c r="Q51" i="13"/>
  <c r="Q41" i="13"/>
  <c r="Q57" i="13"/>
  <c r="Q53" i="13"/>
  <c r="Q54" i="13"/>
  <c r="Q55" i="13"/>
  <c r="Q58" i="13"/>
  <c r="J101" i="11"/>
  <c r="G58" i="11"/>
  <c r="G53" i="11" s="1"/>
  <c r="F43" i="11"/>
  <c r="F95" i="11" s="1"/>
  <c r="F100" i="11"/>
  <c r="S3" i="12"/>
  <c r="R48" i="12"/>
  <c r="R47" i="12"/>
  <c r="R17" i="12"/>
  <c r="R67" i="12" s="1"/>
  <c r="R37" i="12"/>
  <c r="R53" i="12"/>
  <c r="R49" i="12"/>
  <c r="R54" i="12"/>
  <c r="R50" i="12"/>
  <c r="R55" i="12"/>
  <c r="R51" i="12"/>
  <c r="C204" i="3"/>
  <c r="S207" i="3"/>
  <c r="Q56" i="13"/>
  <c r="D225" i="3"/>
  <c r="C52" i="13"/>
  <c r="C41" i="13"/>
  <c r="C51" i="13"/>
  <c r="C53" i="13"/>
  <c r="C57" i="13"/>
  <c r="C58" i="13"/>
  <c r="C54" i="13"/>
  <c r="C59" i="13"/>
  <c r="C55" i="13"/>
  <c r="Q225" i="3"/>
  <c r="J228" i="3"/>
  <c r="J73" i="3"/>
  <c r="J50" i="12"/>
  <c r="J47" i="12"/>
  <c r="J37" i="12"/>
  <c r="J17" i="12"/>
  <c r="J67" i="12" s="1"/>
  <c r="J53" i="12"/>
  <c r="J49" i="12"/>
  <c r="J55" i="12"/>
  <c r="J54" i="12"/>
  <c r="J52" i="12"/>
  <c r="J51" i="12"/>
  <c r="Q52" i="13"/>
  <c r="R55" i="13"/>
  <c r="R51" i="13"/>
  <c r="R41" i="13"/>
  <c r="R57" i="13"/>
  <c r="R53" i="13"/>
  <c r="R54" i="13"/>
  <c r="R58" i="13"/>
  <c r="R59" i="13"/>
  <c r="S237" i="3"/>
  <c r="C195" i="3"/>
  <c r="J234" i="3"/>
  <c r="S73" i="3"/>
  <c r="B39" i="13"/>
  <c r="B49" i="13"/>
  <c r="B85" i="3"/>
  <c r="B10" i="13"/>
  <c r="B26" i="13" s="1"/>
  <c r="B198" i="3"/>
  <c r="G43" i="11"/>
  <c r="G95" i="11" s="1"/>
  <c r="G100" i="11"/>
  <c r="B42" i="12"/>
  <c r="B32" i="12"/>
  <c r="B22" i="12"/>
  <c r="B72" i="12" s="1"/>
  <c r="R234" i="3"/>
  <c r="B228" i="3"/>
  <c r="K36" i="13"/>
  <c r="K46" i="13"/>
  <c r="C225" i="3"/>
  <c r="I234" i="3"/>
  <c r="J195" i="3"/>
  <c r="B43" i="3"/>
  <c r="B53" i="12" l="1"/>
  <c r="B17" i="12"/>
  <c r="B67" i="12" s="1"/>
  <c r="K56" i="13"/>
  <c r="B49" i="12"/>
  <c r="J52" i="13"/>
  <c r="J21" i="13"/>
  <c r="B51" i="12"/>
  <c r="B47" i="12"/>
  <c r="B37" i="12"/>
  <c r="B52" i="12"/>
  <c r="B48" i="12"/>
  <c r="S234" i="3"/>
  <c r="B59" i="13"/>
  <c r="B21" i="13"/>
  <c r="S52" i="13"/>
  <c r="S21" i="13"/>
  <c r="B50" i="12"/>
  <c r="B55" i="12"/>
  <c r="I103" i="11"/>
  <c r="B56" i="13"/>
  <c r="B51" i="13"/>
  <c r="B41" i="13"/>
  <c r="B53" i="13"/>
  <c r="B57" i="13"/>
  <c r="B58" i="13"/>
  <c r="B54" i="13"/>
  <c r="B55" i="13"/>
  <c r="B195" i="3"/>
  <c r="K51" i="13"/>
  <c r="K41" i="13"/>
  <c r="K57" i="13"/>
  <c r="K53" i="13"/>
  <c r="K54" i="13"/>
  <c r="K58" i="13"/>
  <c r="K55" i="13"/>
  <c r="K52" i="13"/>
  <c r="K59" i="13"/>
  <c r="I102" i="11"/>
  <c r="J225" i="3"/>
  <c r="S17" i="12"/>
  <c r="S67" i="12" s="1"/>
  <c r="S47" i="12"/>
  <c r="S37" i="12"/>
  <c r="S53" i="12"/>
  <c r="S49" i="12"/>
  <c r="S50" i="12"/>
  <c r="S54" i="12"/>
  <c r="S51" i="12"/>
  <c r="S52" i="12"/>
  <c r="S55" i="12"/>
  <c r="B204" i="3"/>
  <c r="H48" i="11"/>
  <c r="S51" i="13"/>
  <c r="S41" i="13"/>
  <c r="S57" i="13"/>
  <c r="S53" i="13"/>
  <c r="S54" i="13"/>
  <c r="S58" i="13"/>
  <c r="S55" i="13"/>
  <c r="S59" i="13"/>
  <c r="S56" i="13"/>
  <c r="J53" i="13"/>
  <c r="J51" i="13"/>
  <c r="J41" i="13"/>
  <c r="J57" i="13"/>
  <c r="J54" i="13"/>
  <c r="J58" i="13"/>
  <c r="J59" i="13"/>
  <c r="J56" i="13"/>
  <c r="J55" i="13"/>
  <c r="H58" i="11"/>
  <c r="H53" i="11" s="1"/>
  <c r="K101" i="11"/>
  <c r="B36" i="13"/>
  <c r="B46" i="13"/>
  <c r="S225" i="3"/>
  <c r="S48" i="12"/>
  <c r="B237" i="3"/>
  <c r="B82" i="3"/>
  <c r="K234" i="3"/>
  <c r="I48" i="11" l="1"/>
  <c r="I43" i="11" s="1"/>
  <c r="I95" i="11" s="1"/>
  <c r="L101" i="11"/>
  <c r="J103" i="11"/>
  <c r="B234" i="3"/>
  <c r="I58" i="11"/>
  <c r="I53" i="11" s="1"/>
  <c r="H43" i="11"/>
  <c r="H95" i="11" s="1"/>
  <c r="H100" i="11"/>
  <c r="J102" i="11"/>
  <c r="I100" i="11" l="1"/>
  <c r="J48" i="11"/>
  <c r="J100" i="11" s="1"/>
  <c r="K103" i="11"/>
  <c r="J58" i="11"/>
  <c r="J53" i="11" s="1"/>
  <c r="K102" i="11"/>
  <c r="K48" i="11"/>
  <c r="M101" i="11"/>
  <c r="J43" i="11" l="1"/>
  <c r="J95" i="11" s="1"/>
  <c r="L103" i="11"/>
  <c r="K43" i="11"/>
  <c r="K95" i="11" s="1"/>
  <c r="K100" i="11"/>
  <c r="K58" i="11"/>
  <c r="K53" i="11" s="1"/>
  <c r="L102" i="11"/>
  <c r="L48" i="11"/>
  <c r="N101" i="11"/>
  <c r="L58" i="11" l="1"/>
  <c r="L53" i="11" s="1"/>
  <c r="L100" i="11"/>
  <c r="L43" i="11"/>
  <c r="L95" i="11" s="1"/>
  <c r="O101" i="11"/>
  <c r="M102" i="11"/>
  <c r="M103" i="11"/>
  <c r="M48" i="11" l="1"/>
  <c r="M43" i="11" s="1"/>
  <c r="M95" i="11" s="1"/>
  <c r="N103" i="11"/>
  <c r="P101" i="11"/>
  <c r="N102" i="11"/>
  <c r="M58" i="11"/>
  <c r="M53" i="11" s="1"/>
  <c r="M100" i="11" l="1"/>
  <c r="Q101" i="11"/>
  <c r="O103" i="11"/>
  <c r="O102" i="11"/>
  <c r="O48" i="11"/>
  <c r="N48" i="11"/>
  <c r="P102" i="11" l="1"/>
  <c r="P103" i="11"/>
  <c r="O58" i="11"/>
  <c r="O53" i="11" s="1"/>
  <c r="N43" i="11"/>
  <c r="N95" i="11" s="1"/>
  <c r="N100" i="11"/>
  <c r="O43" i="11"/>
  <c r="O95" i="11" s="1"/>
  <c r="O100" i="11"/>
  <c r="R101" i="11"/>
  <c r="N58" i="11"/>
  <c r="N53" i="11" s="1"/>
  <c r="S101" i="11" l="1"/>
  <c r="Q102" i="11"/>
  <c r="P58" i="11"/>
  <c r="P53" i="11" s="1"/>
  <c r="Q103" i="11"/>
  <c r="P48" i="11"/>
  <c r="Q48" i="11" l="1"/>
  <c r="Q100" i="11" s="1"/>
  <c r="Q58" i="11"/>
  <c r="Q53" i="11" s="1"/>
  <c r="P43" i="11"/>
  <c r="P95" i="11" s="1"/>
  <c r="P100" i="11"/>
  <c r="R103" i="11"/>
  <c r="R102" i="11"/>
  <c r="T101" i="11"/>
  <c r="Q43" i="11" l="1"/>
  <c r="Q95" i="11" s="1"/>
  <c r="R48" i="11"/>
  <c r="U101" i="11"/>
  <c r="R58" i="11"/>
  <c r="R53" i="11" s="1"/>
  <c r="S103" i="11"/>
  <c r="R43" i="11"/>
  <c r="R95" i="11" s="1"/>
  <c r="R100" i="11"/>
  <c r="S102" i="11"/>
  <c r="S48" i="11"/>
  <c r="S43" i="11" l="1"/>
  <c r="S95" i="11" s="1"/>
  <c r="S100" i="11"/>
  <c r="V101" i="11"/>
  <c r="T102" i="11"/>
  <c r="S58" i="11"/>
  <c r="S53" i="11" s="1"/>
  <c r="T103" i="11"/>
  <c r="T48" i="11" l="1"/>
  <c r="T58" i="11"/>
  <c r="T53" i="11" s="1"/>
  <c r="T43" i="11"/>
  <c r="T95" i="11" s="1"/>
  <c r="T100" i="11"/>
  <c r="U102" i="11"/>
  <c r="U103" i="11"/>
  <c r="U48" i="11" l="1"/>
  <c r="V102" i="11"/>
  <c r="U58" i="11"/>
  <c r="U53" i="11" s="1"/>
  <c r="V103" i="11"/>
  <c r="U43" i="11"/>
  <c r="U95" i="11" s="1"/>
  <c r="U100" i="11"/>
  <c r="V58" i="11" l="1"/>
  <c r="V53" i="11" s="1"/>
  <c r="V48" i="11"/>
  <c r="V43" i="11" l="1"/>
  <c r="V95" i="11" s="1"/>
  <c r="V100" i="11"/>
  <c r="X10" i="5" l="1"/>
  <c r="X5" i="5"/>
  <c r="Y51" i="6"/>
  <c r="X51" i="6"/>
  <c r="X50" i="6"/>
  <c r="X5" i="6"/>
  <c r="Y5" i="6"/>
  <c r="Y5" i="5"/>
  <c r="X48" i="6"/>
  <c r="Y10" i="5"/>
  <c r="Y50" i="6"/>
  <c r="X10" i="6" l="1"/>
  <c r="Y10" i="6"/>
  <c r="Y4" i="6" s="1"/>
  <c r="X49" i="6"/>
  <c r="X4" i="6"/>
  <c r="Y49" i="6"/>
  <c r="Y48" i="6"/>
  <c r="W10" i="6" l="1"/>
  <c r="L10" i="6" l="1"/>
  <c r="M10" i="6"/>
  <c r="J10" i="6" l="1"/>
  <c r="N10" i="6"/>
  <c r="B10" i="6"/>
  <c r="K10" i="6"/>
  <c r="U10" i="6"/>
  <c r="C10" i="6"/>
  <c r="F10" i="6"/>
  <c r="I10" i="6"/>
  <c r="E10" i="6"/>
  <c r="H10" i="6"/>
  <c r="G10" i="6"/>
  <c r="Q10" i="6"/>
  <c r="T10" i="6"/>
  <c r="S10" i="6"/>
  <c r="R10" i="6"/>
  <c r="P10" i="6"/>
  <c r="O10" i="6"/>
  <c r="D10" i="6"/>
  <c r="V10" i="6"/>
  <c r="I49" i="6" l="1"/>
  <c r="I5" i="5"/>
  <c r="S49" i="6"/>
  <c r="I48" i="6"/>
  <c r="D49" i="6"/>
  <c r="L49" i="6"/>
  <c r="G51" i="6"/>
  <c r="O51" i="6"/>
  <c r="C10" i="5" l="1"/>
  <c r="D10" i="5"/>
  <c r="B10" i="5"/>
  <c r="I10" i="5"/>
  <c r="S10" i="5"/>
  <c r="S5" i="5"/>
  <c r="L5" i="5"/>
  <c r="D5" i="5"/>
  <c r="Q10" i="5"/>
  <c r="T5" i="5"/>
  <c r="N51" i="6"/>
  <c r="K10" i="5"/>
  <c r="J5" i="5"/>
  <c r="C5" i="5"/>
  <c r="O48" i="6"/>
  <c r="T10" i="5"/>
  <c r="L10" i="5"/>
  <c r="J49" i="6"/>
  <c r="W51" i="6"/>
  <c r="Q5" i="5"/>
  <c r="R10" i="5"/>
  <c r="B49" i="6"/>
  <c r="F51" i="6"/>
  <c r="J10" i="5"/>
  <c r="B5" i="5"/>
  <c r="K49" i="6"/>
  <c r="B48" i="6"/>
  <c r="U50" i="6"/>
  <c r="U5" i="6"/>
  <c r="D50" i="6"/>
  <c r="D5" i="6"/>
  <c r="J51" i="6"/>
  <c r="I5" i="6"/>
  <c r="I4" i="6" s="1"/>
  <c r="I50" i="6"/>
  <c r="I51" i="6"/>
  <c r="N10" i="5"/>
  <c r="F5" i="5"/>
  <c r="M49" i="6"/>
  <c r="W50" i="6"/>
  <c r="E10" i="5"/>
  <c r="Q48" i="6"/>
  <c r="C49" i="6"/>
  <c r="R49" i="6"/>
  <c r="G48" i="6"/>
  <c r="S5" i="6"/>
  <c r="S50" i="6"/>
  <c r="R50" i="6"/>
  <c r="S48" i="6"/>
  <c r="U51" i="6"/>
  <c r="B51" i="6"/>
  <c r="H5" i="5"/>
  <c r="T51" i="6"/>
  <c r="S51" i="6"/>
  <c r="H49" i="6"/>
  <c r="W49" i="6"/>
  <c r="L48" i="6"/>
  <c r="O10" i="5"/>
  <c r="V49" i="6"/>
  <c r="K48" i="6"/>
  <c r="H50" i="6"/>
  <c r="F10" i="5"/>
  <c r="P51" i="6"/>
  <c r="E49" i="6"/>
  <c r="U5" i="5"/>
  <c r="N5" i="6"/>
  <c r="N4" i="6" s="1"/>
  <c r="N50" i="6"/>
  <c r="T49" i="6"/>
  <c r="L51" i="6"/>
  <c r="V48" i="6"/>
  <c r="K51" i="6"/>
  <c r="U48" i="6"/>
  <c r="P10" i="5"/>
  <c r="G10" i="5"/>
  <c r="P48" i="6"/>
  <c r="M50" i="6"/>
  <c r="M5" i="6"/>
  <c r="W48" i="6"/>
  <c r="T50" i="6"/>
  <c r="K5" i="6"/>
  <c r="K50" i="6"/>
  <c r="O49" i="6"/>
  <c r="D48" i="6"/>
  <c r="N49" i="6"/>
  <c r="C48" i="6"/>
  <c r="H51" i="6"/>
  <c r="R48" i="6"/>
  <c r="U10" i="5"/>
  <c r="M5" i="5"/>
  <c r="E50" i="6"/>
  <c r="E5" i="6"/>
  <c r="K5" i="5"/>
  <c r="M51" i="6"/>
  <c r="L5" i="6"/>
  <c r="L50" i="6"/>
  <c r="D51" i="6"/>
  <c r="N48" i="6"/>
  <c r="C51" i="6"/>
  <c r="M48" i="6"/>
  <c r="H10" i="5"/>
  <c r="P5" i="5"/>
  <c r="Q50" i="6"/>
  <c r="W5" i="5"/>
  <c r="V5" i="5"/>
  <c r="O5" i="6"/>
  <c r="O4" i="6" s="1"/>
  <c r="O50" i="6"/>
  <c r="F5" i="6"/>
  <c r="F4" i="6" s="1"/>
  <c r="F50" i="6"/>
  <c r="V5" i="6"/>
  <c r="V50" i="6"/>
  <c r="H48" i="6"/>
  <c r="G5" i="5"/>
  <c r="E51" i="6"/>
  <c r="J5" i="6"/>
  <c r="J4" i="6" s="1"/>
  <c r="J50" i="6"/>
  <c r="R51" i="6"/>
  <c r="G49" i="6"/>
  <c r="V10" i="5"/>
  <c r="N5" i="5"/>
  <c r="U49" i="6"/>
  <c r="J48" i="6"/>
  <c r="M10" i="5"/>
  <c r="V51" i="6"/>
  <c r="R5" i="5"/>
  <c r="Q49" i="6"/>
  <c r="F48" i="6"/>
  <c r="C50" i="6"/>
  <c r="P49" i="6"/>
  <c r="E48" i="6"/>
  <c r="T48" i="6"/>
  <c r="W10" i="5"/>
  <c r="O5" i="5"/>
  <c r="Q51" i="6"/>
  <c r="F49" i="6"/>
  <c r="P50" i="6"/>
  <c r="G5" i="6"/>
  <c r="G4" i="6" s="1"/>
  <c r="G50" i="6"/>
  <c r="B5" i="6"/>
  <c r="B4" i="6" s="1"/>
  <c r="B50" i="6"/>
  <c r="E5" i="5"/>
  <c r="C5" i="6" l="1"/>
  <c r="C4" i="6" s="1"/>
  <c r="L4" i="6"/>
  <c r="T5" i="6"/>
  <c r="T4" i="6" s="1"/>
  <c r="E4" i="6"/>
  <c r="H5" i="6"/>
  <c r="H4" i="6" s="1"/>
  <c r="W5" i="6"/>
  <c r="W4" i="6" s="1"/>
  <c r="D4" i="6"/>
  <c r="P5" i="6"/>
  <c r="P4" i="6" s="1"/>
  <c r="R5" i="6"/>
  <c r="R4" i="6" s="1"/>
  <c r="U4" i="6"/>
  <c r="M4" i="6"/>
  <c r="V4" i="6"/>
  <c r="Q5" i="6"/>
  <c r="Q4" i="6" s="1"/>
  <c r="K4" i="6"/>
  <c r="S4" i="6"/>
  <c r="J11" i="7" l="1"/>
  <c r="K11" i="7" l="1"/>
  <c r="B38" i="7" l="1"/>
  <c r="H38" i="7" l="1"/>
  <c r="E38" i="7"/>
  <c r="D38" i="7"/>
  <c r="J38" i="7"/>
  <c r="F38" i="7"/>
  <c r="I38" i="7"/>
  <c r="C38" i="7"/>
  <c r="G38" i="7"/>
  <c r="I123" i="7" l="1"/>
  <c r="I204" i="7"/>
  <c r="I11" i="7"/>
  <c r="C123" i="7"/>
  <c r="C204" i="7"/>
  <c r="C11" i="7"/>
  <c r="G204" i="7"/>
  <c r="G123" i="7"/>
  <c r="G11" i="7"/>
  <c r="H123" i="7"/>
  <c r="H204" i="7"/>
  <c r="H11" i="7"/>
  <c r="B204" i="7"/>
  <c r="B11" i="7"/>
  <c r="B123" i="7"/>
  <c r="F11" i="7"/>
  <c r="F204" i="7"/>
  <c r="F123" i="7"/>
  <c r="D123" i="7"/>
  <c r="D204" i="7"/>
  <c r="D11" i="7"/>
  <c r="E204" i="7"/>
  <c r="E123" i="7"/>
  <c r="E11" i="7"/>
  <c r="K38" i="7"/>
  <c r="L11" i="7" l="1"/>
  <c r="L38" i="7"/>
  <c r="M11" i="7" l="1"/>
  <c r="N11" i="7" l="1"/>
  <c r="P32" i="7" l="1"/>
  <c r="M32" i="7"/>
  <c r="O32" i="7"/>
  <c r="Q32" i="7" l="1"/>
  <c r="N32" i="7"/>
  <c r="L32" i="7" l="1"/>
  <c r="R32" i="7"/>
  <c r="B32" i="7"/>
  <c r="S32" i="7"/>
  <c r="O5" i="7"/>
  <c r="K5" i="7" l="1"/>
  <c r="K32" i="7"/>
  <c r="M5" i="7"/>
  <c r="N5" i="7"/>
  <c r="P5" i="7"/>
  <c r="R5" i="7"/>
  <c r="L5" i="7"/>
  <c r="Q5" i="7"/>
  <c r="T32" i="7" l="1"/>
  <c r="T5" i="7" l="1"/>
  <c r="J5" i="7"/>
  <c r="S5" i="7"/>
  <c r="M38" i="7" l="1"/>
  <c r="N38" i="7" l="1"/>
  <c r="B44" i="7" l="1"/>
  <c r="B43" i="7"/>
  <c r="B51" i="7"/>
  <c r="B52" i="7"/>
  <c r="B45" i="7"/>
  <c r="B37" i="7"/>
  <c r="D32" i="7"/>
  <c r="B50" i="7"/>
  <c r="C32" i="7" l="1"/>
  <c r="F32" i="7"/>
  <c r="B41" i="7"/>
  <c r="E32" i="7"/>
  <c r="G32" i="7"/>
  <c r="H32" i="7"/>
  <c r="B36" i="7"/>
  <c r="B39" i="7"/>
  <c r="B49" i="7"/>
  <c r="B35" i="7"/>
  <c r="U32" i="7" l="1"/>
  <c r="B16" i="7"/>
  <c r="B18" i="7"/>
  <c r="B24" i="7"/>
  <c r="B114" i="4"/>
  <c r="B34" i="7"/>
  <c r="I32" i="7"/>
  <c r="B25" i="7"/>
  <c r="B23" i="7"/>
  <c r="B10" i="7"/>
  <c r="J32" i="7"/>
  <c r="V32" i="7"/>
  <c r="O38" i="7"/>
  <c r="O11" i="7" l="1"/>
  <c r="H5" i="7"/>
  <c r="C5" i="7"/>
  <c r="P11" i="7"/>
  <c r="B33" i="7"/>
  <c r="I5" i="7"/>
  <c r="B5" i="7"/>
  <c r="B124" i="7"/>
  <c r="B12" i="7"/>
  <c r="B8" i="7"/>
  <c r="F5" i="7"/>
  <c r="B128" i="4"/>
  <c r="B48" i="7"/>
  <c r="B14" i="7"/>
  <c r="D5" i="7"/>
  <c r="E5" i="7"/>
  <c r="U5" i="7"/>
  <c r="G5" i="7"/>
  <c r="C52" i="7"/>
  <c r="C39" i="7"/>
  <c r="C50" i="7"/>
  <c r="C37" i="7"/>
  <c r="C51" i="7"/>
  <c r="P38" i="7"/>
  <c r="C43" i="7"/>
  <c r="C45" i="7"/>
  <c r="C25" i="7" l="1"/>
  <c r="X32" i="7"/>
  <c r="C16" i="7"/>
  <c r="B42" i="7"/>
  <c r="B121" i="4"/>
  <c r="W32" i="7"/>
  <c r="C10" i="7"/>
  <c r="C41" i="7"/>
  <c r="C18" i="7"/>
  <c r="C23" i="7"/>
  <c r="B47" i="7"/>
  <c r="C24" i="7"/>
  <c r="V5" i="7"/>
  <c r="C124" i="7" l="1"/>
  <c r="C12" i="7"/>
  <c r="B40" i="7"/>
  <c r="B112" i="4"/>
  <c r="Y32" i="7"/>
  <c r="C14" i="7"/>
  <c r="X5" i="7"/>
  <c r="W5" i="7"/>
  <c r="D50" i="7"/>
  <c r="D39" i="7"/>
  <c r="D52" i="7"/>
  <c r="D37" i="7"/>
  <c r="D51" i="7"/>
  <c r="Q38" i="7"/>
  <c r="D43" i="7"/>
  <c r="D45" i="7"/>
  <c r="D23" i="7" l="1"/>
  <c r="D16" i="7"/>
  <c r="D18" i="7"/>
  <c r="Q11" i="7"/>
  <c r="D25" i="7"/>
  <c r="D10" i="7"/>
  <c r="B31" i="7"/>
  <c r="D24" i="7"/>
  <c r="D41" i="7"/>
  <c r="D12" i="7" l="1"/>
  <c r="D124" i="7"/>
  <c r="Y5" i="7"/>
  <c r="D14" i="7"/>
  <c r="E37" i="7"/>
  <c r="E39" i="7"/>
  <c r="E52" i="7"/>
  <c r="E51" i="7"/>
  <c r="E50" i="7"/>
  <c r="E45" i="7"/>
  <c r="E43" i="7"/>
  <c r="E12" i="7" l="1"/>
  <c r="E24" i="7"/>
  <c r="E18" i="7"/>
  <c r="E23" i="7"/>
  <c r="E16" i="7"/>
  <c r="E10" i="7"/>
  <c r="E25" i="7"/>
  <c r="R38" i="7"/>
  <c r="E41" i="7" l="1"/>
  <c r="R11" i="7"/>
  <c r="F37" i="7"/>
  <c r="F50" i="7"/>
  <c r="F51" i="7"/>
  <c r="F39" i="7"/>
  <c r="F52" i="7"/>
  <c r="F45" i="7"/>
  <c r="F43" i="7"/>
  <c r="F9" i="7" l="1"/>
  <c r="F18" i="7"/>
  <c r="F12" i="7"/>
  <c r="F23" i="7"/>
  <c r="F10" i="7"/>
  <c r="F24" i="7"/>
  <c r="E14" i="7"/>
  <c r="E9" i="7" l="1"/>
  <c r="F25" i="7"/>
  <c r="F41" i="7"/>
  <c r="F16" i="7"/>
  <c r="G39" i="7"/>
  <c r="G51" i="7"/>
  <c r="G37" i="7"/>
  <c r="G52" i="7"/>
  <c r="S38" i="7"/>
  <c r="G43" i="7"/>
  <c r="G45" i="7"/>
  <c r="D9" i="7" l="1"/>
  <c r="F8" i="7"/>
  <c r="F14" i="7"/>
  <c r="E8" i="7"/>
  <c r="G12" i="7"/>
  <c r="G24" i="7"/>
  <c r="G17" i="7"/>
  <c r="S11" i="7"/>
  <c r="G16" i="7"/>
  <c r="F17" i="7"/>
  <c r="G18" i="7"/>
  <c r="G10" i="7"/>
  <c r="G25" i="7"/>
  <c r="G50" i="7"/>
  <c r="G23" i="7" l="1"/>
  <c r="E17" i="7"/>
  <c r="E87" i="4"/>
  <c r="C9" i="7"/>
  <c r="G9" i="7"/>
  <c r="D8" i="7"/>
  <c r="H52" i="7"/>
  <c r="H37" i="7"/>
  <c r="H51" i="7"/>
  <c r="H39" i="7"/>
  <c r="H45" i="7"/>
  <c r="T38" i="7"/>
  <c r="C8" i="7" l="1"/>
  <c r="H12" i="7"/>
  <c r="G8" i="7"/>
  <c r="H18" i="7"/>
  <c r="H10" i="7"/>
  <c r="H25" i="7"/>
  <c r="F87" i="4"/>
  <c r="E60" i="4"/>
  <c r="E7" i="7"/>
  <c r="D87" i="4"/>
  <c r="F94" i="4"/>
  <c r="T11" i="7"/>
  <c r="B9" i="7"/>
  <c r="D17" i="7"/>
  <c r="G41" i="7"/>
  <c r="H17" i="7"/>
  <c r="H24" i="7"/>
  <c r="C36" i="7"/>
  <c r="H50" i="7"/>
  <c r="H43" i="7"/>
  <c r="C35" i="7"/>
  <c r="F85" i="4" l="1"/>
  <c r="J24" i="7"/>
  <c r="E6" i="7"/>
  <c r="E94" i="4"/>
  <c r="E85" i="4" s="1"/>
  <c r="F7" i="7"/>
  <c r="F60" i="4"/>
  <c r="B87" i="4"/>
  <c r="H9" i="7"/>
  <c r="J18" i="7"/>
  <c r="F15" i="7"/>
  <c r="F67" i="4"/>
  <c r="H23" i="7"/>
  <c r="G14" i="7"/>
  <c r="D7" i="7"/>
  <c r="D60" i="4"/>
  <c r="C87" i="4"/>
  <c r="C17" i="7"/>
  <c r="H16" i="7"/>
  <c r="I52" i="7"/>
  <c r="J51" i="7"/>
  <c r="I51" i="7"/>
  <c r="I39" i="7"/>
  <c r="D35" i="7"/>
  <c r="I45" i="7"/>
  <c r="H35" i="7"/>
  <c r="H8" i="7" l="1"/>
  <c r="D94" i="4"/>
  <c r="D85" i="4" s="1"/>
  <c r="B17" i="7"/>
  <c r="H41" i="7"/>
  <c r="I25" i="7"/>
  <c r="I12" i="7"/>
  <c r="B60" i="4"/>
  <c r="B7" i="7"/>
  <c r="G94" i="4"/>
  <c r="K18" i="7"/>
  <c r="I17" i="7"/>
  <c r="C7" i="7"/>
  <c r="C60" i="4"/>
  <c r="E15" i="7"/>
  <c r="E67" i="4"/>
  <c r="J16" i="7"/>
  <c r="F13" i="7"/>
  <c r="F6" i="7"/>
  <c r="F58" i="4"/>
  <c r="I24" i="7"/>
  <c r="C34" i="7"/>
  <c r="C114" i="4"/>
  <c r="G87" i="4"/>
  <c r="D6" i="7"/>
  <c r="C44" i="7"/>
  <c r="D36" i="7"/>
  <c r="I37" i="7"/>
  <c r="I50" i="7"/>
  <c r="J45" i="7"/>
  <c r="I43" i="7"/>
  <c r="C33" i="7" l="1"/>
  <c r="H94" i="4"/>
  <c r="H15" i="7"/>
  <c r="I18" i="7"/>
  <c r="C6" i="7"/>
  <c r="C94" i="4"/>
  <c r="C85" i="4" s="1"/>
  <c r="I23" i="7"/>
  <c r="B6" i="7"/>
  <c r="D15" i="7"/>
  <c r="D67" i="4"/>
  <c r="I16" i="7"/>
  <c r="F4" i="7"/>
  <c r="E13" i="7"/>
  <c r="E58" i="4"/>
  <c r="H87" i="4"/>
  <c r="G7" i="7"/>
  <c r="G60" i="4"/>
  <c r="H14" i="7"/>
  <c r="U11" i="7"/>
  <c r="I10" i="7"/>
  <c r="I9" i="7"/>
  <c r="K24" i="7"/>
  <c r="G85" i="4"/>
  <c r="G15" i="7"/>
  <c r="G67" i="4"/>
  <c r="D44" i="7"/>
  <c r="J39" i="7"/>
  <c r="K51" i="7"/>
  <c r="K45" i="7"/>
  <c r="J43" i="7"/>
  <c r="U38" i="7"/>
  <c r="L45" i="7"/>
  <c r="H67" i="4" l="1"/>
  <c r="E4" i="7"/>
  <c r="J17" i="7"/>
  <c r="I8" i="7"/>
  <c r="H13" i="7"/>
  <c r="D34" i="7"/>
  <c r="D114" i="4"/>
  <c r="D33" i="7" s="1"/>
  <c r="G6" i="7"/>
  <c r="G58" i="4"/>
  <c r="B94" i="4"/>
  <c r="B85" i="4" s="1"/>
  <c r="K16" i="7"/>
  <c r="J12" i="7"/>
  <c r="I41" i="7"/>
  <c r="G13" i="7"/>
  <c r="H85" i="4"/>
  <c r="M10" i="7"/>
  <c r="H7" i="7"/>
  <c r="H60" i="4"/>
  <c r="D13" i="7"/>
  <c r="D58" i="4"/>
  <c r="C15" i="7"/>
  <c r="C67" i="4"/>
  <c r="E36" i="7"/>
  <c r="J52" i="7"/>
  <c r="J37" i="7"/>
  <c r="M45" i="7"/>
  <c r="K43" i="7"/>
  <c r="V11" i="7" l="1"/>
  <c r="F22" i="7"/>
  <c r="B15" i="7"/>
  <c r="B67" i="4"/>
  <c r="C22" i="7"/>
  <c r="L18" i="7"/>
  <c r="H6" i="7"/>
  <c r="H58" i="4"/>
  <c r="G22" i="7"/>
  <c r="L24" i="7"/>
  <c r="G4" i="7"/>
  <c r="B22" i="7"/>
  <c r="H22" i="7"/>
  <c r="J10" i="7"/>
  <c r="E22" i="7"/>
  <c r="J9" i="7"/>
  <c r="C13" i="7"/>
  <c r="C58" i="4"/>
  <c r="D22" i="7"/>
  <c r="I14" i="7"/>
  <c r="C42" i="7"/>
  <c r="C121" i="4"/>
  <c r="I22" i="7"/>
  <c r="J25" i="7"/>
  <c r="D4" i="7"/>
  <c r="E44" i="7"/>
  <c r="K39" i="7"/>
  <c r="J50" i="7"/>
  <c r="V38" i="7"/>
  <c r="C49" i="7"/>
  <c r="E35" i="7"/>
  <c r="L43" i="7"/>
  <c r="L51" i="7"/>
  <c r="I87" i="4" l="1"/>
  <c r="M18" i="7"/>
  <c r="J23" i="7"/>
  <c r="G101" i="4"/>
  <c r="I94" i="4"/>
  <c r="K17" i="7"/>
  <c r="L16" i="7"/>
  <c r="C4" i="7"/>
  <c r="F101" i="4"/>
  <c r="J8" i="7"/>
  <c r="N10" i="7"/>
  <c r="C40" i="7"/>
  <c r="C112" i="4"/>
  <c r="B13" i="7"/>
  <c r="B58" i="4"/>
  <c r="C101" i="4"/>
  <c r="K12" i="7"/>
  <c r="H4" i="7"/>
  <c r="D101" i="4"/>
  <c r="B101" i="4"/>
  <c r="J41" i="7"/>
  <c r="E101" i="4"/>
  <c r="H101" i="4"/>
  <c r="I101" i="4"/>
  <c r="N45" i="7"/>
  <c r="F36" i="7"/>
  <c r="L39" i="7"/>
  <c r="K37" i="7"/>
  <c r="N51" i="7"/>
  <c r="M43" i="7"/>
  <c r="M51" i="7"/>
  <c r="O10" i="7" l="1"/>
  <c r="J14" i="7"/>
  <c r="C31" i="7"/>
  <c r="G21" i="7"/>
  <c r="G74" i="4"/>
  <c r="C48" i="7"/>
  <c r="C128" i="4"/>
  <c r="I21" i="7"/>
  <c r="I74" i="4"/>
  <c r="B74" i="4"/>
  <c r="B21" i="7"/>
  <c r="M16" i="7"/>
  <c r="R12" i="7"/>
  <c r="J22" i="7"/>
  <c r="O18" i="7"/>
  <c r="H21" i="7"/>
  <c r="H74" i="4"/>
  <c r="D74" i="4"/>
  <c r="D21" i="7"/>
  <c r="N24" i="7"/>
  <c r="C74" i="4"/>
  <c r="C21" i="7"/>
  <c r="D42" i="7"/>
  <c r="D121" i="4"/>
  <c r="M24" i="7"/>
  <c r="E74" i="4"/>
  <c r="E21" i="7"/>
  <c r="B4" i="7"/>
  <c r="I15" i="7"/>
  <c r="I67" i="4"/>
  <c r="I7" i="7"/>
  <c r="I60" i="4"/>
  <c r="I6" i="7" s="1"/>
  <c r="K10" i="7"/>
  <c r="L12" i="7"/>
  <c r="K9" i="7"/>
  <c r="F21" i="7"/>
  <c r="F74" i="4"/>
  <c r="I85" i="4"/>
  <c r="F44" i="7"/>
  <c r="L37" i="7"/>
  <c r="K50" i="7"/>
  <c r="K52" i="7"/>
  <c r="O51" i="7"/>
  <c r="O45" i="7"/>
  <c r="F35" i="7"/>
  <c r="D49" i="7"/>
  <c r="J87" i="4" l="1"/>
  <c r="O24" i="7"/>
  <c r="K8" i="7"/>
  <c r="K23" i="7"/>
  <c r="K41" i="7"/>
  <c r="I58" i="4"/>
  <c r="I13" i="7"/>
  <c r="B20" i="7"/>
  <c r="J94" i="4"/>
  <c r="J85" i="4" s="1"/>
  <c r="N18" i="7"/>
  <c r="D112" i="4"/>
  <c r="D40" i="7"/>
  <c r="I20" i="7"/>
  <c r="W11" i="7"/>
  <c r="L10" i="7"/>
  <c r="D20" i="7"/>
  <c r="J101" i="4"/>
  <c r="H20" i="7"/>
  <c r="C47" i="7"/>
  <c r="E34" i="7"/>
  <c r="E114" i="4"/>
  <c r="L17" i="7"/>
  <c r="C20" i="7"/>
  <c r="R10" i="7"/>
  <c r="F20" i="7"/>
  <c r="G20" i="7"/>
  <c r="K25" i="7"/>
  <c r="E20" i="7"/>
  <c r="M37" i="7"/>
  <c r="G36" i="7"/>
  <c r="P51" i="7"/>
  <c r="W38" i="7"/>
  <c r="K87" i="4" l="1"/>
  <c r="L8" i="7"/>
  <c r="N43" i="7"/>
  <c r="P10" i="7"/>
  <c r="E33" i="7"/>
  <c r="S12" i="7"/>
  <c r="D31" i="7"/>
  <c r="P24" i="7"/>
  <c r="K14" i="7"/>
  <c r="D48" i="7"/>
  <c r="D128" i="4"/>
  <c r="E42" i="7"/>
  <c r="E121" i="4"/>
  <c r="E40" i="7" s="1"/>
  <c r="M12" i="7"/>
  <c r="K22" i="7"/>
  <c r="I4" i="7"/>
  <c r="J74" i="4"/>
  <c r="J21" i="7"/>
  <c r="J15" i="7"/>
  <c r="J67" i="4"/>
  <c r="J60" i="4"/>
  <c r="J7" i="7"/>
  <c r="L9" i="7"/>
  <c r="G44" i="7"/>
  <c r="L52" i="7"/>
  <c r="L50" i="7"/>
  <c r="M39" i="7"/>
  <c r="E49" i="7"/>
  <c r="Q51" i="7"/>
  <c r="P45" i="7"/>
  <c r="G35" i="7"/>
  <c r="O43" i="7"/>
  <c r="Q24" i="7" l="1"/>
  <c r="X11" i="7"/>
  <c r="R25" i="7"/>
  <c r="L25" i="7"/>
  <c r="L41" i="7"/>
  <c r="L23" i="7"/>
  <c r="J20" i="7"/>
  <c r="D47" i="7"/>
  <c r="K94" i="4"/>
  <c r="K85" i="4" s="1"/>
  <c r="N16" i="7"/>
  <c r="S10" i="7"/>
  <c r="K101" i="4"/>
  <c r="M17" i="7"/>
  <c r="P18" i="7"/>
  <c r="T24" i="7"/>
  <c r="J6" i="7"/>
  <c r="J58" i="4"/>
  <c r="E112" i="4"/>
  <c r="K7" i="7"/>
  <c r="K60" i="4"/>
  <c r="F34" i="7"/>
  <c r="F114" i="4"/>
  <c r="Q25" i="7"/>
  <c r="J13" i="7"/>
  <c r="N37" i="7"/>
  <c r="H36" i="7"/>
  <c r="X38" i="7"/>
  <c r="Q10" i="7" l="1"/>
  <c r="T12" i="7"/>
  <c r="K6" i="7"/>
  <c r="L14" i="7"/>
  <c r="L94" i="4"/>
  <c r="L15" i="7"/>
  <c r="T10" i="7"/>
  <c r="E31" i="7"/>
  <c r="O16" i="7"/>
  <c r="J4" i="7"/>
  <c r="K15" i="7"/>
  <c r="K67" i="4"/>
  <c r="K13" i="7" s="1"/>
  <c r="L22" i="7"/>
  <c r="N12" i="7"/>
  <c r="K74" i="4"/>
  <c r="K21" i="7"/>
  <c r="F42" i="7"/>
  <c r="F121" i="4"/>
  <c r="F40" i="7" s="1"/>
  <c r="E48" i="7"/>
  <c r="E128" i="4"/>
  <c r="F33" i="7"/>
  <c r="H44" i="7"/>
  <c r="M50" i="7"/>
  <c r="O37" i="7"/>
  <c r="N39" i="7"/>
  <c r="F49" i="7"/>
  <c r="Q45" i="7"/>
  <c r="I35" i="7"/>
  <c r="K58" i="4" l="1"/>
  <c r="K4" i="7" s="1"/>
  <c r="F112" i="4"/>
  <c r="L67" i="4"/>
  <c r="L13" i="7" s="1"/>
  <c r="M9" i="7"/>
  <c r="F31" i="7"/>
  <c r="L101" i="4"/>
  <c r="G34" i="7"/>
  <c r="G114" i="4"/>
  <c r="E47" i="7"/>
  <c r="H114" i="4"/>
  <c r="H34" i="7"/>
  <c r="S25" i="7"/>
  <c r="L87" i="4"/>
  <c r="L85" i="4" s="1"/>
  <c r="U24" i="7"/>
  <c r="N17" i="7"/>
  <c r="Q18" i="7"/>
  <c r="R24" i="7"/>
  <c r="M23" i="7"/>
  <c r="K20" i="7"/>
  <c r="I36" i="7"/>
  <c r="M52" i="7"/>
  <c r="Y38" i="7"/>
  <c r="R51" i="7"/>
  <c r="P43" i="7"/>
  <c r="M8" i="7" l="1"/>
  <c r="R23" i="7"/>
  <c r="U12" i="7"/>
  <c r="F128" i="4"/>
  <c r="F48" i="7"/>
  <c r="Y11" i="7"/>
  <c r="U10" i="7"/>
  <c r="L74" i="4"/>
  <c r="L21" i="7"/>
  <c r="M25" i="7"/>
  <c r="H33" i="7"/>
  <c r="M41" i="7"/>
  <c r="T25" i="7"/>
  <c r="G42" i="7"/>
  <c r="G121" i="4"/>
  <c r="G40" i="7" s="1"/>
  <c r="O12" i="7"/>
  <c r="P16" i="7"/>
  <c r="L60" i="4"/>
  <c r="L7" i="7"/>
  <c r="G33" i="7"/>
  <c r="P37" i="7"/>
  <c r="N52" i="7"/>
  <c r="O39" i="7"/>
  <c r="I44" i="7"/>
  <c r="S51" i="7"/>
  <c r="J35" i="7"/>
  <c r="G49" i="7"/>
  <c r="T51" i="7"/>
  <c r="R45" i="7"/>
  <c r="G112" i="4" l="1"/>
  <c r="N25" i="7"/>
  <c r="V24" i="7"/>
  <c r="M87" i="4"/>
  <c r="O17" i="7"/>
  <c r="L6" i="7"/>
  <c r="L58" i="4"/>
  <c r="F47" i="7"/>
  <c r="N9" i="7"/>
  <c r="W12" i="7"/>
  <c r="N23" i="7"/>
  <c r="L20" i="7"/>
  <c r="I34" i="7"/>
  <c r="I114" i="4"/>
  <c r="R18" i="7"/>
  <c r="V25" i="7"/>
  <c r="M22" i="7"/>
  <c r="R22" i="7"/>
  <c r="G31" i="7"/>
  <c r="M94" i="4"/>
  <c r="M15" i="7"/>
  <c r="S24" i="7"/>
  <c r="M14" i="7"/>
  <c r="P39" i="7"/>
  <c r="N50" i="7"/>
  <c r="J36" i="7"/>
  <c r="U51" i="7"/>
  <c r="S45" i="7"/>
  <c r="M67" i="4" l="1"/>
  <c r="M13" i="7" s="1"/>
  <c r="H42" i="7"/>
  <c r="H121" i="4"/>
  <c r="R101" i="4"/>
  <c r="S18" i="7"/>
  <c r="W24" i="7"/>
  <c r="V12" i="7"/>
  <c r="S23" i="7"/>
  <c r="P12" i="7"/>
  <c r="I33" i="7"/>
  <c r="M85" i="4"/>
  <c r="N22" i="7"/>
  <c r="M7" i="7"/>
  <c r="M60" i="4"/>
  <c r="S22" i="7"/>
  <c r="M101" i="4"/>
  <c r="G128" i="4"/>
  <c r="G48" i="7"/>
  <c r="N8" i="7"/>
  <c r="U25" i="7"/>
  <c r="L4" i="7"/>
  <c r="W25" i="7"/>
  <c r="V10" i="7"/>
  <c r="J44" i="7"/>
  <c r="Q37" i="7"/>
  <c r="Q43" i="7"/>
  <c r="H49" i="7"/>
  <c r="K35" i="7"/>
  <c r="O9" i="7" l="1"/>
  <c r="O23" i="7"/>
  <c r="P17" i="7"/>
  <c r="J114" i="4"/>
  <c r="J34" i="7"/>
  <c r="Q16" i="7"/>
  <c r="N41" i="7"/>
  <c r="N87" i="4"/>
  <c r="M6" i="7"/>
  <c r="M58" i="4"/>
  <c r="R21" i="7"/>
  <c r="R74" i="4"/>
  <c r="N101" i="4"/>
  <c r="G47" i="7"/>
  <c r="H40" i="7"/>
  <c r="H112" i="4"/>
  <c r="M74" i="4"/>
  <c r="M21" i="7"/>
  <c r="V51" i="7"/>
  <c r="Q39" i="7"/>
  <c r="O52" i="7"/>
  <c r="K36" i="7"/>
  <c r="O50" i="7"/>
  <c r="T45" i="7"/>
  <c r="S101" i="4" l="1"/>
  <c r="M20" i="7"/>
  <c r="J33" i="7"/>
  <c r="U18" i="7"/>
  <c r="H31" i="7"/>
  <c r="X12" i="7"/>
  <c r="N15" i="7"/>
  <c r="N94" i="4"/>
  <c r="N85" i="4" s="1"/>
  <c r="O8" i="7"/>
  <c r="W10" i="7"/>
  <c r="X24" i="7"/>
  <c r="O25" i="7"/>
  <c r="R20" i="7"/>
  <c r="V18" i="7"/>
  <c r="M4" i="7"/>
  <c r="N14" i="7"/>
  <c r="H128" i="4"/>
  <c r="H48" i="7"/>
  <c r="T23" i="7"/>
  <c r="I42" i="7"/>
  <c r="I121" i="4"/>
  <c r="Q12" i="7"/>
  <c r="N74" i="4"/>
  <c r="N21" i="7"/>
  <c r="T18" i="7"/>
  <c r="N60" i="4"/>
  <c r="N7" i="7"/>
  <c r="R37" i="7"/>
  <c r="K44" i="7"/>
  <c r="R39" i="7"/>
  <c r="L35" i="7"/>
  <c r="I49" i="7"/>
  <c r="U45" i="7"/>
  <c r="N67" i="4" l="1"/>
  <c r="N13" i="7" s="1"/>
  <c r="T22" i="7"/>
  <c r="Q17" i="7"/>
  <c r="U23" i="7"/>
  <c r="K114" i="4"/>
  <c r="K34" i="7"/>
  <c r="O87" i="4"/>
  <c r="W18" i="7"/>
  <c r="Q176" i="4"/>
  <c r="N6" i="7"/>
  <c r="N58" i="4"/>
  <c r="I40" i="7"/>
  <c r="I112" i="4"/>
  <c r="O41" i="7"/>
  <c r="O22" i="7"/>
  <c r="P23" i="7"/>
  <c r="X25" i="7"/>
  <c r="Y12" i="7"/>
  <c r="N20" i="7"/>
  <c r="H47" i="7"/>
  <c r="S74" i="4"/>
  <c r="S21" i="7"/>
  <c r="P50" i="7"/>
  <c r="L36" i="7"/>
  <c r="R43" i="7"/>
  <c r="R16" i="7" l="1"/>
  <c r="K33" i="7"/>
  <c r="O14" i="7"/>
  <c r="X18" i="7"/>
  <c r="P25" i="7"/>
  <c r="T101" i="4"/>
  <c r="I31" i="7"/>
  <c r="I48" i="7"/>
  <c r="I128" i="4"/>
  <c r="S20" i="7"/>
  <c r="O101" i="4"/>
  <c r="N4" i="7"/>
  <c r="O7" i="7"/>
  <c r="O60" i="4"/>
  <c r="O6" i="7" s="1"/>
  <c r="J42" i="7"/>
  <c r="J121" i="4"/>
  <c r="Y24" i="7"/>
  <c r="S37" i="7"/>
  <c r="L44" i="7"/>
  <c r="W51" i="7"/>
  <c r="P52" i="7"/>
  <c r="Q52" i="7"/>
  <c r="S39" i="7"/>
  <c r="J49" i="7"/>
  <c r="M35" i="7"/>
  <c r="V45" i="7"/>
  <c r="R17" i="7" l="1"/>
  <c r="O21" i="7"/>
  <c r="O74" i="4"/>
  <c r="V23" i="7"/>
  <c r="X10" i="7"/>
  <c r="J40" i="7"/>
  <c r="J112" i="4"/>
  <c r="T74" i="4"/>
  <c r="T21" i="7"/>
  <c r="L34" i="7"/>
  <c r="L114" i="4"/>
  <c r="O94" i="4"/>
  <c r="O85" i="4" s="1"/>
  <c r="Y18" i="7"/>
  <c r="P22" i="7"/>
  <c r="I47" i="7"/>
  <c r="Y25" i="7"/>
  <c r="M36" i="7"/>
  <c r="T39" i="7"/>
  <c r="Q50" i="7"/>
  <c r="R52" i="7"/>
  <c r="O15" i="7" l="1"/>
  <c r="O67" i="4"/>
  <c r="L33" i="7"/>
  <c r="Q23" i="7"/>
  <c r="P41" i="7"/>
  <c r="P101" i="4"/>
  <c r="W23" i="7"/>
  <c r="T20" i="7"/>
  <c r="O20" i="7"/>
  <c r="Y10" i="7"/>
  <c r="J31" i="7"/>
  <c r="J128" i="4"/>
  <c r="J48" i="7"/>
  <c r="K42" i="7"/>
  <c r="K121" i="4"/>
  <c r="R50" i="7"/>
  <c r="S52" i="7"/>
  <c r="X51" i="7"/>
  <c r="M44" i="7"/>
  <c r="T37" i="7"/>
  <c r="N35" i="7"/>
  <c r="W45" i="7"/>
  <c r="K49" i="7"/>
  <c r="S43" i="7"/>
  <c r="J47" i="7" l="1"/>
  <c r="Q22" i="7"/>
  <c r="P14" i="7"/>
  <c r="S16" i="7"/>
  <c r="P21" i="7"/>
  <c r="P74" i="4"/>
  <c r="M114" i="4"/>
  <c r="M33" i="7" s="1"/>
  <c r="M34" i="7"/>
  <c r="K40" i="7"/>
  <c r="K112" i="4"/>
  <c r="O58" i="4"/>
  <c r="O13" i="7"/>
  <c r="S17" i="7"/>
  <c r="U39" i="7"/>
  <c r="N36" i="7"/>
  <c r="X45" i="7"/>
  <c r="K31" i="7" l="1"/>
  <c r="Q41" i="7"/>
  <c r="L42" i="7"/>
  <c r="L121" i="4"/>
  <c r="P20" i="7"/>
  <c r="P94" i="4"/>
  <c r="K48" i="7"/>
  <c r="K128" i="4"/>
  <c r="Q101" i="4"/>
  <c r="X23" i="7"/>
  <c r="O4" i="7"/>
  <c r="U37" i="7"/>
  <c r="T52" i="7"/>
  <c r="Y51" i="7"/>
  <c r="S50" i="7"/>
  <c r="N44" i="7"/>
  <c r="L49" i="7"/>
  <c r="T17" i="7" l="1"/>
  <c r="Q21" i="7"/>
  <c r="Q74" i="4"/>
  <c r="L40" i="7"/>
  <c r="L112" i="4"/>
  <c r="K47" i="7"/>
  <c r="N34" i="7"/>
  <c r="N114" i="4"/>
  <c r="Q14" i="7"/>
  <c r="P15" i="7"/>
  <c r="P67" i="4"/>
  <c r="U52" i="7"/>
  <c r="O36" i="7"/>
  <c r="V39" i="7"/>
  <c r="T43" i="7"/>
  <c r="Y45" i="7"/>
  <c r="L48" i="7" l="1"/>
  <c r="L128" i="4"/>
  <c r="Y23" i="7"/>
  <c r="P13" i="7"/>
  <c r="L31" i="7"/>
  <c r="M42" i="7"/>
  <c r="M121" i="4"/>
  <c r="T16" i="7"/>
  <c r="Q20" i="7"/>
  <c r="U17" i="7"/>
  <c r="N33" i="7"/>
  <c r="R41" i="7"/>
  <c r="Q94" i="4"/>
  <c r="T50" i="7"/>
  <c r="O44" i="7"/>
  <c r="V37" i="7"/>
  <c r="M49" i="7"/>
  <c r="R14" i="7" l="1"/>
  <c r="X22" i="7"/>
  <c r="M112" i="4"/>
  <c r="M40" i="7"/>
  <c r="Q15" i="7"/>
  <c r="Q67" i="4"/>
  <c r="Q13" i="7" s="1"/>
  <c r="L47" i="7"/>
  <c r="V52" i="7"/>
  <c r="U50" i="7"/>
  <c r="W39" i="7"/>
  <c r="W37" i="7"/>
  <c r="U43" i="7"/>
  <c r="M48" i="7" l="1"/>
  <c r="M128" i="4"/>
  <c r="M31" i="7"/>
  <c r="R94" i="4"/>
  <c r="V17" i="7"/>
  <c r="U16" i="7"/>
  <c r="S41" i="7"/>
  <c r="X101" i="4"/>
  <c r="N42" i="7"/>
  <c r="N121" i="4"/>
  <c r="W52" i="7"/>
  <c r="P36" i="7"/>
  <c r="P44" i="7"/>
  <c r="N49" i="7"/>
  <c r="P9" i="7" l="1"/>
  <c r="Y22" i="7"/>
  <c r="N40" i="7"/>
  <c r="N112" i="4"/>
  <c r="S14" i="7"/>
  <c r="X74" i="4"/>
  <c r="X21" i="7"/>
  <c r="R15" i="7"/>
  <c r="R67" i="4"/>
  <c r="M47" i="7"/>
  <c r="Y101" i="4"/>
  <c r="X39" i="7"/>
  <c r="V50" i="7"/>
  <c r="X37" i="7"/>
  <c r="P35" i="7"/>
  <c r="W17" i="7" l="1"/>
  <c r="N48" i="7"/>
  <c r="N128" i="4"/>
  <c r="T41" i="7"/>
  <c r="R13" i="7"/>
  <c r="N31" i="7"/>
  <c r="S94" i="4"/>
  <c r="P8" i="7"/>
  <c r="Y21" i="7"/>
  <c r="Y74" i="4"/>
  <c r="X20" i="7"/>
  <c r="O42" i="7"/>
  <c r="O121" i="4"/>
  <c r="Q44" i="7"/>
  <c r="X52" i="7"/>
  <c r="O49" i="7"/>
  <c r="V43" i="7"/>
  <c r="O35" i="7"/>
  <c r="T14" i="7" l="1"/>
  <c r="O40" i="7"/>
  <c r="S15" i="7"/>
  <c r="S67" i="4"/>
  <c r="N47" i="7"/>
  <c r="U9" i="7"/>
  <c r="V16" i="7"/>
  <c r="Y20" i="7"/>
  <c r="P87" i="4"/>
  <c r="P85" i="4" s="1"/>
  <c r="Y39" i="7"/>
  <c r="Y37" i="7"/>
  <c r="R44" i="7"/>
  <c r="W50" i="7"/>
  <c r="U8" i="7" l="1"/>
  <c r="S13" i="7"/>
  <c r="U22" i="7"/>
  <c r="Q9" i="7"/>
  <c r="T94" i="4"/>
  <c r="P42" i="7"/>
  <c r="P121" i="4"/>
  <c r="P40" i="7" s="1"/>
  <c r="P34" i="7"/>
  <c r="P114" i="4"/>
  <c r="O48" i="7"/>
  <c r="O128" i="4"/>
  <c r="P7" i="7"/>
  <c r="P60" i="4"/>
  <c r="Y52" i="7"/>
  <c r="Q36" i="7"/>
  <c r="X50" i="7"/>
  <c r="P49" i="7"/>
  <c r="W43" i="7"/>
  <c r="O114" i="4" l="1"/>
  <c r="O34" i="7"/>
  <c r="U41" i="7"/>
  <c r="W16" i="7"/>
  <c r="P33" i="7"/>
  <c r="P112" i="4"/>
  <c r="U101" i="4"/>
  <c r="U87" i="4"/>
  <c r="X17" i="7"/>
  <c r="P6" i="7"/>
  <c r="P58" i="4"/>
  <c r="Q8" i="7"/>
  <c r="V9" i="7"/>
  <c r="T15" i="7"/>
  <c r="T67" i="4"/>
  <c r="O47" i="7"/>
  <c r="S44" i="7"/>
  <c r="Q35" i="7"/>
  <c r="T13" i="7" l="1"/>
  <c r="P4" i="7"/>
  <c r="P31" i="7"/>
  <c r="P128" i="4"/>
  <c r="P48" i="7"/>
  <c r="U14" i="7"/>
  <c r="U94" i="4"/>
  <c r="U85" i="4" s="1"/>
  <c r="U15" i="7"/>
  <c r="U7" i="7"/>
  <c r="U60" i="4"/>
  <c r="R9" i="7"/>
  <c r="Q42" i="7"/>
  <c r="Q121" i="4"/>
  <c r="Q40" i="7" s="1"/>
  <c r="V22" i="7"/>
  <c r="U21" i="7"/>
  <c r="U74" i="4"/>
  <c r="Q87" i="4"/>
  <c r="Q85" i="4" s="1"/>
  <c r="V8" i="7"/>
  <c r="O33" i="7"/>
  <c r="O112" i="4"/>
  <c r="Y50" i="7"/>
  <c r="R36" i="7"/>
  <c r="Q49" i="7"/>
  <c r="U20" i="7" l="1"/>
  <c r="O31" i="7"/>
  <c r="U6" i="7"/>
  <c r="P47" i="7"/>
  <c r="V87" i="4"/>
  <c r="W9" i="7"/>
  <c r="Q34" i="7"/>
  <c r="Q114" i="4"/>
  <c r="U67" i="4"/>
  <c r="U58" i="4" s="1"/>
  <c r="R8" i="7"/>
  <c r="Q7" i="7"/>
  <c r="Q60" i="4"/>
  <c r="T44" i="7"/>
  <c r="S36" i="7"/>
  <c r="R35" i="7"/>
  <c r="X43" i="7"/>
  <c r="Q128" i="4" l="1"/>
  <c r="Q48" i="7"/>
  <c r="W22" i="7"/>
  <c r="R42" i="7"/>
  <c r="R121" i="4"/>
  <c r="R40" i="7" s="1"/>
  <c r="X16" i="7"/>
  <c r="Q33" i="7"/>
  <c r="Q112" i="4"/>
  <c r="U4" i="7"/>
  <c r="W8" i="7"/>
  <c r="V101" i="4"/>
  <c r="Q6" i="7"/>
  <c r="Q58" i="4"/>
  <c r="R87" i="4"/>
  <c r="R85" i="4" s="1"/>
  <c r="S9" i="7"/>
  <c r="V60" i="4"/>
  <c r="V7" i="7"/>
  <c r="V41" i="7"/>
  <c r="Y17" i="7"/>
  <c r="U13" i="7"/>
  <c r="R49" i="7"/>
  <c r="S35" i="7"/>
  <c r="W87" i="4" l="1"/>
  <c r="V14" i="7"/>
  <c r="V21" i="7"/>
  <c r="V74" i="4"/>
  <c r="X9" i="7"/>
  <c r="S8" i="7"/>
  <c r="R7" i="7"/>
  <c r="R60" i="4"/>
  <c r="Q4" i="7"/>
  <c r="W101" i="4"/>
  <c r="V6" i="7"/>
  <c r="Q31" i="7"/>
  <c r="Q47" i="7"/>
  <c r="U44" i="7"/>
  <c r="S42" i="7" l="1"/>
  <c r="S121" i="4"/>
  <c r="S40" i="7" s="1"/>
  <c r="R128" i="4"/>
  <c r="R48" i="7"/>
  <c r="R6" i="7"/>
  <c r="R58" i="4"/>
  <c r="V20" i="7"/>
  <c r="V94" i="4"/>
  <c r="V85" i="4" s="1"/>
  <c r="W41" i="7"/>
  <c r="R114" i="4"/>
  <c r="R34" i="7"/>
  <c r="W21" i="7"/>
  <c r="W74" i="4"/>
  <c r="S87" i="4"/>
  <c r="S85" i="4" s="1"/>
  <c r="W7" i="7"/>
  <c r="W60" i="4"/>
  <c r="S49" i="7"/>
  <c r="Y43" i="7"/>
  <c r="R4" i="7" l="1"/>
  <c r="Y9" i="7"/>
  <c r="W14" i="7"/>
  <c r="R33" i="7"/>
  <c r="R112" i="4"/>
  <c r="X8" i="7"/>
  <c r="S7" i="7"/>
  <c r="S60" i="4"/>
  <c r="X87" i="4"/>
  <c r="V15" i="7"/>
  <c r="V67" i="4"/>
  <c r="R47" i="7"/>
  <c r="Y16" i="7"/>
  <c r="W20" i="7"/>
  <c r="T9" i="7"/>
  <c r="W6" i="7"/>
  <c r="V44" i="7"/>
  <c r="T36" i="7"/>
  <c r="R31" i="7" l="1"/>
  <c r="X7" i="7"/>
  <c r="X60" i="4"/>
  <c r="X6" i="7" s="1"/>
  <c r="T42" i="7"/>
  <c r="T121" i="4"/>
  <c r="T40" i="7" s="1"/>
  <c r="S6" i="7"/>
  <c r="S58" i="4"/>
  <c r="S128" i="4"/>
  <c r="S48" i="7"/>
  <c r="Y8" i="7"/>
  <c r="T8" i="7"/>
  <c r="S114" i="4"/>
  <c r="S34" i="7"/>
  <c r="V13" i="7"/>
  <c r="V58" i="4"/>
  <c r="W94" i="4"/>
  <c r="W85" i="4" s="1"/>
  <c r="U36" i="7"/>
  <c r="T35" i="7"/>
  <c r="T49" i="7"/>
  <c r="S33" i="7" l="1"/>
  <c r="S112" i="4"/>
  <c r="W15" i="7"/>
  <c r="W67" i="4"/>
  <c r="Y87" i="4"/>
  <c r="T34" i="7"/>
  <c r="T114" i="4"/>
  <c r="V4" i="7"/>
  <c r="T87" i="4"/>
  <c r="T85" i="4" s="1"/>
  <c r="X41" i="7"/>
  <c r="S47" i="7"/>
  <c r="S4" i="7"/>
  <c r="W44" i="7"/>
  <c r="U35" i="7"/>
  <c r="T33" i="7" l="1"/>
  <c r="T112" i="4"/>
  <c r="T60" i="4"/>
  <c r="T7" i="7"/>
  <c r="U42" i="7"/>
  <c r="U121" i="4"/>
  <c r="U40" i="7" s="1"/>
  <c r="Y60" i="4"/>
  <c r="Y7" i="7"/>
  <c r="T48" i="7"/>
  <c r="T128" i="4"/>
  <c r="W13" i="7"/>
  <c r="W58" i="4"/>
  <c r="X94" i="4"/>
  <c r="X85" i="4" s="1"/>
  <c r="X15" i="7"/>
  <c r="X14" i="7"/>
  <c r="S31" i="7"/>
  <c r="Y41" i="7"/>
  <c r="V36" i="7"/>
  <c r="U49" i="7"/>
  <c r="X67" i="4" l="1"/>
  <c r="X58" i="4" s="1"/>
  <c r="W4" i="7"/>
  <c r="T47" i="7"/>
  <c r="T6" i="7"/>
  <c r="T58" i="4"/>
  <c r="U34" i="7"/>
  <c r="U114" i="4"/>
  <c r="T31" i="7"/>
  <c r="Y6" i="7"/>
  <c r="W36" i="7"/>
  <c r="X44" i="7"/>
  <c r="V35" i="7"/>
  <c r="X13" i="7" l="1"/>
  <c r="V42" i="7"/>
  <c r="V121" i="4"/>
  <c r="X4" i="7"/>
  <c r="U33" i="7"/>
  <c r="U112" i="4"/>
  <c r="Y94" i="4"/>
  <c r="Y85" i="4" s="1"/>
  <c r="T4" i="7"/>
  <c r="U128" i="4"/>
  <c r="U48" i="7"/>
  <c r="X36" i="7"/>
  <c r="V49" i="7"/>
  <c r="V34" i="7" l="1"/>
  <c r="V114" i="4"/>
  <c r="V33" i="7" s="1"/>
  <c r="U31" i="7"/>
  <c r="U47" i="7"/>
  <c r="V112" i="4"/>
  <c r="V40" i="7"/>
  <c r="Y14" i="7"/>
  <c r="Y67" i="4"/>
  <c r="Y15" i="7"/>
  <c r="Y44" i="7"/>
  <c r="W35" i="7"/>
  <c r="V31" i="7" l="1"/>
  <c r="W42" i="7"/>
  <c r="W121" i="4"/>
  <c r="W40" i="7" s="1"/>
  <c r="Y13" i="7"/>
  <c r="Y58" i="4"/>
  <c r="V128" i="4"/>
  <c r="V48" i="7"/>
  <c r="Y36" i="7"/>
  <c r="W49" i="7"/>
  <c r="V47" i="7" l="1"/>
  <c r="Y4" i="7"/>
  <c r="W114" i="4"/>
  <c r="W34" i="7"/>
  <c r="X35" i="7"/>
  <c r="X42" i="7" l="1"/>
  <c r="X121" i="4"/>
  <c r="X40" i="7" s="1"/>
  <c r="W48" i="7"/>
  <c r="W128" i="4"/>
  <c r="W33" i="7"/>
  <c r="W112" i="4"/>
  <c r="X49" i="7"/>
  <c r="W31" i="7" l="1"/>
  <c r="W47" i="7"/>
  <c r="X34" i="7"/>
  <c r="X114" i="4"/>
  <c r="Y35" i="7"/>
  <c r="X33" i="7" l="1"/>
  <c r="X112" i="4"/>
  <c r="X128" i="4"/>
  <c r="X48" i="7"/>
  <c r="Y121" i="4"/>
  <c r="Y40" i="7" s="1"/>
  <c r="Y42" i="7"/>
  <c r="Y49" i="7"/>
  <c r="Y114" i="4" l="1"/>
  <c r="Y34" i="7"/>
  <c r="Y69" i="7"/>
  <c r="X47" i="7"/>
  <c r="X31" i="7"/>
  <c r="Y48" i="7" l="1"/>
  <c r="Y128" i="4"/>
  <c r="Y62" i="7"/>
  <c r="Y60" i="7" s="1"/>
  <c r="Y33" i="7"/>
  <c r="Y112" i="4"/>
  <c r="Y76" i="7" l="1"/>
  <c r="Y31" i="7"/>
  <c r="Y47" i="7"/>
  <c r="B169" i="4" l="1"/>
  <c r="E169" i="4"/>
  <c r="L169" i="4"/>
  <c r="J169" i="4"/>
  <c r="M169" i="4"/>
  <c r="N169" i="4"/>
  <c r="F169" i="4"/>
  <c r="I169" i="4"/>
  <c r="C169" i="4"/>
  <c r="D169" i="4"/>
  <c r="Q169" i="4"/>
  <c r="O169" i="4"/>
  <c r="G169" i="4"/>
  <c r="H169" i="4"/>
  <c r="K169" i="4"/>
  <c r="P169" i="4"/>
  <c r="R169" i="4" l="1"/>
  <c r="S169" i="4" l="1"/>
  <c r="T169" i="4" l="1"/>
  <c r="U169" i="4" l="1"/>
  <c r="W169" i="4" l="1"/>
  <c r="V169" i="4"/>
  <c r="X169" i="4" l="1"/>
  <c r="Q178" i="4" l="1"/>
  <c r="P178" i="4" l="1"/>
  <c r="P182" i="4"/>
  <c r="Q182" i="4"/>
  <c r="O178" i="4" l="1"/>
  <c r="V27" i="4" l="1"/>
  <c r="W27" i="4"/>
  <c r="R182" i="4" l="1"/>
  <c r="X27" i="4"/>
  <c r="S182" i="4" l="1"/>
  <c r="Y27" i="4"/>
  <c r="W53" i="4" l="1"/>
  <c r="V53" i="4"/>
  <c r="W28" i="4"/>
  <c r="V28" i="4"/>
  <c r="W26" i="4" l="1"/>
  <c r="V26" i="4"/>
  <c r="X53" i="4"/>
  <c r="Y53" i="4"/>
  <c r="Q14" i="4"/>
  <c r="X28" i="4"/>
  <c r="Y28" i="4"/>
  <c r="X26" i="4" l="1"/>
  <c r="Y26" i="4"/>
  <c r="W163" i="4"/>
  <c r="W20" i="3"/>
  <c r="Q205" i="4"/>
  <c r="V163" i="4"/>
  <c r="V20" i="3"/>
  <c r="Q18" i="4"/>
  <c r="Q209" i="4" l="1"/>
  <c r="X163" i="4"/>
  <c r="X20" i="3"/>
  <c r="Y163" i="4"/>
  <c r="Y20" i="3"/>
  <c r="V28" i="7"/>
  <c r="V192" i="4"/>
  <c r="V219" i="4"/>
  <c r="W28" i="7" l="1"/>
  <c r="W192" i="4"/>
  <c r="W219" i="4"/>
  <c r="Y28" i="7" l="1"/>
  <c r="Y192" i="4"/>
  <c r="Y219" i="4"/>
  <c r="X28" i="7"/>
  <c r="X192" i="4"/>
  <c r="X219" i="4"/>
  <c r="P129" i="5" l="1"/>
  <c r="P75" i="5"/>
  <c r="P130" i="7" s="1"/>
  <c r="N178" i="4" l="1"/>
  <c r="P123" i="6"/>
  <c r="P150" i="6"/>
  <c r="P69" i="6"/>
  <c r="M178" i="4" l="1"/>
  <c r="L178" i="4" l="1"/>
  <c r="M27" i="4"/>
  <c r="Q27" i="4"/>
  <c r="N27" i="4"/>
  <c r="L27" i="4"/>
  <c r="P27" i="4"/>
  <c r="O27" i="4"/>
  <c r="K27" i="4" l="1"/>
  <c r="O53" i="4" l="1"/>
  <c r="N53" i="4"/>
  <c r="M28" i="4"/>
  <c r="M53" i="4"/>
  <c r="Q53" i="4"/>
  <c r="P53" i="4"/>
  <c r="Q28" i="4"/>
  <c r="J27" i="4"/>
  <c r="P28" i="4"/>
  <c r="N28" i="4"/>
  <c r="O28" i="4"/>
  <c r="N26" i="4" l="1"/>
  <c r="P26" i="4"/>
  <c r="Q26" i="4"/>
  <c r="O26" i="4"/>
  <c r="M26" i="4"/>
  <c r="L53" i="4"/>
  <c r="L28" i="4"/>
  <c r="I27" i="4"/>
  <c r="L26" i="4" l="1"/>
  <c r="Q163" i="4"/>
  <c r="Q20" i="3"/>
  <c r="P176" i="4"/>
  <c r="N163" i="4"/>
  <c r="N20" i="3"/>
  <c r="O163" i="4"/>
  <c r="O20" i="3"/>
  <c r="K53" i="4"/>
  <c r="P163" i="4"/>
  <c r="P20" i="3"/>
  <c r="K178" i="4"/>
  <c r="M163" i="4"/>
  <c r="M20" i="3"/>
  <c r="K28" i="4"/>
  <c r="H27" i="4"/>
  <c r="K26" i="4" l="1"/>
  <c r="J178" i="4"/>
  <c r="L163" i="4"/>
  <c r="L20" i="3"/>
  <c r="J53" i="4"/>
  <c r="O176" i="4"/>
  <c r="J28" i="4"/>
  <c r="G27" i="4"/>
  <c r="J26" i="4" l="1"/>
  <c r="M28" i="7"/>
  <c r="M192" i="4"/>
  <c r="M219" i="4"/>
  <c r="I178" i="4"/>
  <c r="O28" i="7"/>
  <c r="O192" i="4"/>
  <c r="O219" i="4"/>
  <c r="Q28" i="7"/>
  <c r="Q192" i="4"/>
  <c r="Q219" i="4"/>
  <c r="I53" i="4"/>
  <c r="N28" i="7"/>
  <c r="N192" i="4"/>
  <c r="N219" i="4"/>
  <c r="K163" i="4"/>
  <c r="K20" i="3"/>
  <c r="P28" i="7"/>
  <c r="P192" i="4"/>
  <c r="P219" i="4"/>
  <c r="N176" i="4"/>
  <c r="Q180" i="4"/>
  <c r="I28" i="4"/>
  <c r="I26" i="4" l="1"/>
  <c r="Q175" i="4"/>
  <c r="H178" i="4"/>
  <c r="J163" i="4"/>
  <c r="J20" i="3"/>
  <c r="H53" i="4"/>
  <c r="M176" i="4"/>
  <c r="L28" i="7"/>
  <c r="L192" i="4"/>
  <c r="L219" i="4"/>
  <c r="Q16" i="4"/>
  <c r="H28" i="4"/>
  <c r="H26" i="4" l="1"/>
  <c r="K28" i="7"/>
  <c r="K192" i="4"/>
  <c r="K219" i="4"/>
  <c r="G53" i="4"/>
  <c r="I163" i="4"/>
  <c r="I20" i="3"/>
  <c r="G178" i="4"/>
  <c r="L176" i="4"/>
  <c r="Q207" i="4"/>
  <c r="G28" i="4"/>
  <c r="G26" i="4" l="1"/>
  <c r="J28" i="7"/>
  <c r="J192" i="4"/>
  <c r="J219" i="4"/>
  <c r="K176" i="4"/>
  <c r="F178" i="4"/>
  <c r="H163" i="4"/>
  <c r="H20" i="3"/>
  <c r="I28" i="7" l="1"/>
  <c r="I192" i="4"/>
  <c r="I219" i="4"/>
  <c r="G163" i="4"/>
  <c r="G20" i="3"/>
  <c r="E178" i="4"/>
  <c r="T182" i="4"/>
  <c r="J176" i="4"/>
  <c r="Y182" i="4" l="1"/>
  <c r="D178" i="4"/>
  <c r="U182" i="4"/>
  <c r="H28" i="7"/>
  <c r="H192" i="4"/>
  <c r="H219" i="4"/>
  <c r="X182" i="4"/>
  <c r="I176" i="4"/>
  <c r="W182" i="4"/>
  <c r="V182" i="4"/>
  <c r="G28" i="7" l="1"/>
  <c r="G192" i="4"/>
  <c r="G219" i="4"/>
  <c r="H176" i="4"/>
  <c r="B178" i="4"/>
  <c r="C178" i="4"/>
  <c r="Q69" i="5" l="1"/>
  <c r="Q124" i="7" s="1"/>
  <c r="Q123" i="5"/>
  <c r="G176" i="4"/>
  <c r="Q117" i="6" l="1"/>
  <c r="Q144" i="6"/>
  <c r="Q63" i="6"/>
  <c r="P123" i="5"/>
  <c r="P69" i="5"/>
  <c r="P124" i="7" s="1"/>
  <c r="F176" i="4"/>
  <c r="P117" i="6" l="1"/>
  <c r="P144" i="6"/>
  <c r="P63" i="6"/>
  <c r="Q75" i="5"/>
  <c r="Q130" i="7" s="1"/>
  <c r="Q129" i="5"/>
  <c r="Q102" i="5"/>
  <c r="E176" i="4"/>
  <c r="N181" i="4"/>
  <c r="Q123" i="6" l="1"/>
  <c r="Q150" i="6"/>
  <c r="Q69" i="6"/>
  <c r="Q96" i="6"/>
  <c r="D12" i="4"/>
  <c r="D63" i="6"/>
  <c r="D257" i="4"/>
  <c r="D176" i="4"/>
  <c r="P175" i="4"/>
  <c r="G69" i="5"/>
  <c r="G124" i="7" s="1"/>
  <c r="G123" i="5"/>
  <c r="C12" i="4" l="1"/>
  <c r="C257" i="4"/>
  <c r="C176" i="4"/>
  <c r="C63" i="6"/>
  <c r="D90" i="6"/>
  <c r="D96" i="5"/>
  <c r="D230" i="4"/>
  <c r="D203" i="4"/>
  <c r="B257" i="4"/>
  <c r="B12" i="4"/>
  <c r="B176" i="4"/>
  <c r="B63" i="6"/>
  <c r="F123" i="5"/>
  <c r="F69" i="5"/>
  <c r="F124" i="7" s="1"/>
  <c r="G117" i="6"/>
  <c r="G144" i="6"/>
  <c r="G63" i="6"/>
  <c r="E69" i="5" l="1"/>
  <c r="E124" i="7" s="1"/>
  <c r="E123" i="5"/>
  <c r="B203" i="4"/>
  <c r="B90" i="6"/>
  <c r="B96" i="5"/>
  <c r="B230" i="4"/>
  <c r="F117" i="6"/>
  <c r="F144" i="6"/>
  <c r="F63" i="6"/>
  <c r="C90" i="6"/>
  <c r="C96" i="5"/>
  <c r="C230" i="4"/>
  <c r="C203" i="4"/>
  <c r="D123" i="5" l="1"/>
  <c r="D69" i="5"/>
  <c r="D150" i="5"/>
  <c r="Q189" i="4"/>
  <c r="E117" i="6"/>
  <c r="E144" i="6"/>
  <c r="E63" i="6"/>
  <c r="Q185" i="4"/>
  <c r="P189" i="4" l="1"/>
  <c r="Q186" i="4"/>
  <c r="D117" i="6"/>
  <c r="D144" i="6"/>
  <c r="O181" i="4"/>
  <c r="C123" i="5"/>
  <c r="C150" i="5"/>
  <c r="C69" i="5"/>
  <c r="Q174" i="4"/>
  <c r="P185" i="4"/>
  <c r="B150" i="5"/>
  <c r="B123" i="5"/>
  <c r="B69" i="5"/>
  <c r="Q21" i="4"/>
  <c r="Q25" i="4"/>
  <c r="B117" i="6" l="1"/>
  <c r="B144" i="6"/>
  <c r="O189" i="4"/>
  <c r="O185" i="4"/>
  <c r="Q216" i="4"/>
  <c r="C117" i="6"/>
  <c r="C144" i="6"/>
  <c r="P186" i="4"/>
  <c r="Q212" i="4"/>
  <c r="P21" i="4"/>
  <c r="Q22" i="4"/>
  <c r="P25" i="4"/>
  <c r="N189" i="4" l="1"/>
  <c r="P174" i="4"/>
  <c r="O186" i="4"/>
  <c r="N185" i="4"/>
  <c r="Q181" i="4"/>
  <c r="P216" i="4"/>
  <c r="Q213" i="4"/>
  <c r="P212" i="4"/>
  <c r="O21" i="4"/>
  <c r="P22" i="4"/>
  <c r="O25" i="4"/>
  <c r="Q179" i="4" l="1"/>
  <c r="Q40" i="4"/>
  <c r="P213" i="4"/>
  <c r="O212" i="4"/>
  <c r="M185" i="4"/>
  <c r="O174" i="4"/>
  <c r="O216" i="4"/>
  <c r="O22" i="4"/>
  <c r="Q4" i="5"/>
  <c r="Q47" i="6" s="1"/>
  <c r="N25" i="4"/>
  <c r="N21" i="4"/>
  <c r="Q17" i="4"/>
  <c r="Q73" i="5" l="1"/>
  <c r="Q128" i="7" s="1"/>
  <c r="Q127" i="5"/>
  <c r="Q100" i="5"/>
  <c r="L174" i="4"/>
  <c r="L185" i="4"/>
  <c r="N216" i="4"/>
  <c r="Q177" i="4"/>
  <c r="N212" i="4"/>
  <c r="O213" i="4"/>
  <c r="N174" i="4"/>
  <c r="Q136" i="5"/>
  <c r="Q82" i="5"/>
  <c r="Q137" i="7" s="1"/>
  <c r="Q109" i="5"/>
  <c r="Q208" i="4"/>
  <c r="M21" i="4"/>
  <c r="Q15" i="4"/>
  <c r="Q206" i="4" l="1"/>
  <c r="Q13" i="4"/>
  <c r="M212" i="4"/>
  <c r="K185" i="4"/>
  <c r="Q130" i="6"/>
  <c r="Q157" i="6"/>
  <c r="Q76" i="6"/>
  <c r="Q103" i="6"/>
  <c r="M174" i="4"/>
  <c r="P181" i="4"/>
  <c r="P4" i="5"/>
  <c r="P47" i="6" s="1"/>
  <c r="P136" i="5"/>
  <c r="P82" i="5"/>
  <c r="P137" i="7" s="1"/>
  <c r="P109" i="5"/>
  <c r="Q121" i="6"/>
  <c r="Q67" i="6"/>
  <c r="Q209" i="7" s="1"/>
  <c r="Q94" i="6"/>
  <c r="L21" i="4"/>
  <c r="J185" i="4" l="1"/>
  <c r="O82" i="5"/>
  <c r="O137" i="7" s="1"/>
  <c r="O136" i="5"/>
  <c r="O109" i="5"/>
  <c r="L212" i="4"/>
  <c r="Q204" i="4"/>
  <c r="Q150" i="4"/>
  <c r="Q8" i="3"/>
  <c r="P130" i="6"/>
  <c r="P157" i="6"/>
  <c r="P76" i="6"/>
  <c r="P103" i="6"/>
  <c r="K21" i="4"/>
  <c r="G12" i="4"/>
  <c r="G203" i="4" l="1"/>
  <c r="G90" i="6"/>
  <c r="G96" i="5"/>
  <c r="I185" i="4"/>
  <c r="N82" i="5"/>
  <c r="N137" i="7" s="1"/>
  <c r="N136" i="5"/>
  <c r="N109" i="5"/>
  <c r="H123" i="5"/>
  <c r="H69" i="5"/>
  <c r="H124" i="7" s="1"/>
  <c r="O157" i="6"/>
  <c r="O130" i="6"/>
  <c r="O76" i="6"/>
  <c r="O103" i="6"/>
  <c r="K212" i="4"/>
  <c r="I123" i="5"/>
  <c r="I69" i="5"/>
  <c r="I124" i="7" s="1"/>
  <c r="J21" i="4"/>
  <c r="F12" i="4"/>
  <c r="J212" i="4" l="1"/>
  <c r="N130" i="6"/>
  <c r="N157" i="6"/>
  <c r="N76" i="6"/>
  <c r="N103" i="6"/>
  <c r="H117" i="6"/>
  <c r="H144" i="6"/>
  <c r="H63" i="6"/>
  <c r="I117" i="6"/>
  <c r="I144" i="6"/>
  <c r="I63" i="6"/>
  <c r="H185" i="4"/>
  <c r="F203" i="4"/>
  <c r="F90" i="6"/>
  <c r="F96" i="5"/>
  <c r="I21" i="4"/>
  <c r="E12" i="4"/>
  <c r="I212" i="4" l="1"/>
  <c r="G185" i="4"/>
  <c r="E96" i="5"/>
  <c r="E90" i="6"/>
  <c r="E203" i="4"/>
  <c r="H21" i="4"/>
  <c r="F185" i="4" l="1"/>
  <c r="H212" i="4"/>
  <c r="G21" i="4"/>
  <c r="E185" i="4" l="1"/>
  <c r="G212" i="4"/>
  <c r="F21" i="4"/>
  <c r="D185" i="4" l="1"/>
  <c r="F212" i="4"/>
  <c r="E21" i="4"/>
  <c r="E212" i="4" l="1"/>
  <c r="R178" i="4"/>
  <c r="B185" i="4"/>
  <c r="C185" i="4"/>
  <c r="D21" i="4"/>
  <c r="R180" i="4" l="1"/>
  <c r="D212" i="4"/>
  <c r="R14" i="4"/>
  <c r="R205" i="4" l="1"/>
  <c r="R75" i="5"/>
  <c r="R130" i="7" s="1"/>
  <c r="R129" i="5"/>
  <c r="C21" i="4"/>
  <c r="B21" i="4"/>
  <c r="R18" i="4"/>
  <c r="R16" i="4"/>
  <c r="R207" i="4" l="1"/>
  <c r="B212" i="4"/>
  <c r="R123" i="6"/>
  <c r="R150" i="6"/>
  <c r="R69" i="6"/>
  <c r="R102" i="5"/>
  <c r="R96" i="6"/>
  <c r="R209" i="4"/>
  <c r="C212" i="4"/>
  <c r="I12" i="4" l="1"/>
  <c r="H12" i="4"/>
  <c r="I203" i="4" l="1"/>
  <c r="I96" i="5"/>
  <c r="I90" i="6"/>
  <c r="H203" i="4"/>
  <c r="H90" i="6"/>
  <c r="H96" i="5"/>
  <c r="R174" i="4" l="1"/>
  <c r="R176" i="4" l="1"/>
  <c r="R175" i="4" l="1"/>
  <c r="M5" i="4" l="1"/>
  <c r="K5" i="4"/>
  <c r="L5" i="4"/>
  <c r="M196" i="4" l="1"/>
  <c r="M6" i="3"/>
  <c r="K196" i="4"/>
  <c r="K6" i="3"/>
  <c r="L196" i="4"/>
  <c r="L6" i="3"/>
  <c r="N5" i="4"/>
  <c r="J5" i="4"/>
  <c r="J196" i="4" l="1"/>
  <c r="J6" i="3"/>
  <c r="N196" i="4"/>
  <c r="N6" i="3"/>
  <c r="I5" i="4"/>
  <c r="O5" i="4"/>
  <c r="I196" i="4" l="1"/>
  <c r="I6" i="3"/>
  <c r="O196" i="4"/>
  <c r="O6" i="3"/>
  <c r="P5" i="4"/>
  <c r="H5" i="4"/>
  <c r="R123" i="5" l="1"/>
  <c r="R69" i="5"/>
  <c r="R124" i="7" s="1"/>
  <c r="P196" i="4"/>
  <c r="P6" i="3"/>
  <c r="H196" i="4"/>
  <c r="H6" i="3"/>
  <c r="Q5" i="4"/>
  <c r="G5" i="4"/>
  <c r="G196" i="4" l="1"/>
  <c r="G6" i="3"/>
  <c r="Q196" i="4"/>
  <c r="Q6" i="3"/>
  <c r="R117" i="6"/>
  <c r="R144" i="6"/>
  <c r="R63" i="6"/>
  <c r="F5" i="4"/>
  <c r="F196" i="4" l="1"/>
  <c r="F6" i="3"/>
  <c r="E5" i="4"/>
  <c r="E196" i="4" l="1"/>
  <c r="E6" i="3"/>
  <c r="D5" i="4"/>
  <c r="D196" i="4" l="1"/>
  <c r="D6" i="3"/>
  <c r="C5" i="4"/>
  <c r="C196" i="4" l="1"/>
  <c r="C6" i="3"/>
  <c r="B5" i="4"/>
  <c r="B196" i="4" l="1"/>
  <c r="B6" i="3"/>
  <c r="S129" i="5"/>
  <c r="S75" i="5"/>
  <c r="S130" i="7" s="1"/>
  <c r="S180" i="4" l="1"/>
  <c r="S123" i="6"/>
  <c r="S150" i="6"/>
  <c r="S69" i="6"/>
  <c r="R5" i="4"/>
  <c r="S5" i="4"/>
  <c r="W5" i="4"/>
  <c r="X5" i="4"/>
  <c r="R196" i="4" l="1"/>
  <c r="R6" i="3"/>
  <c r="S178" i="4"/>
  <c r="W6" i="3"/>
  <c r="W196" i="4"/>
  <c r="S196" i="4"/>
  <c r="S6" i="3"/>
  <c r="X6" i="3"/>
  <c r="X196" i="4"/>
  <c r="S16" i="4"/>
  <c r="S207" i="4" l="1"/>
  <c r="S14" i="4"/>
  <c r="S205" i="4" l="1"/>
  <c r="S18" i="4"/>
  <c r="R27" i="4"/>
  <c r="U27" i="4"/>
  <c r="T27" i="4"/>
  <c r="S209" i="4" l="1"/>
  <c r="S102" i="5"/>
  <c r="S96" i="6"/>
  <c r="T53" i="4" l="1"/>
  <c r="R53" i="4"/>
  <c r="U53" i="4"/>
  <c r="R28" i="4"/>
  <c r="T28" i="4"/>
  <c r="U28" i="4"/>
  <c r="R26" i="4" l="1"/>
  <c r="U26" i="4"/>
  <c r="T26" i="4"/>
  <c r="T163" i="4" l="1"/>
  <c r="T20" i="3"/>
  <c r="S174" i="4"/>
  <c r="R163" i="4"/>
  <c r="R20" i="3"/>
  <c r="U163" i="4"/>
  <c r="U20" i="3"/>
  <c r="T28" i="7" l="1"/>
  <c r="T192" i="4"/>
  <c r="T219" i="4"/>
  <c r="U28" i="7"/>
  <c r="U192" i="4"/>
  <c r="U219" i="4"/>
  <c r="S176" i="4"/>
  <c r="R28" i="7" l="1"/>
  <c r="R192" i="4"/>
  <c r="R219" i="4"/>
  <c r="S175" i="4" l="1"/>
  <c r="T129" i="5" l="1"/>
  <c r="T75" i="5"/>
  <c r="T130" i="7" s="1"/>
  <c r="T180" i="4" l="1"/>
  <c r="T123" i="6"/>
  <c r="T150" i="6"/>
  <c r="T69" i="6"/>
  <c r="T178" i="4"/>
  <c r="T14" i="4" l="1"/>
  <c r="T16" i="4"/>
  <c r="T205" i="4" l="1"/>
  <c r="T207" i="4"/>
  <c r="T18" i="4"/>
  <c r="S69" i="5" l="1"/>
  <c r="S124" i="7" s="1"/>
  <c r="S123" i="5"/>
  <c r="T174" i="4"/>
  <c r="T209" i="4"/>
  <c r="T96" i="6"/>
  <c r="T102" i="5"/>
  <c r="S117" i="6" l="1"/>
  <c r="S144" i="6"/>
  <c r="S63" i="6"/>
  <c r="T176" i="4" l="1"/>
  <c r="P180" i="4" l="1"/>
  <c r="P179" i="4" l="1"/>
  <c r="P40" i="4"/>
  <c r="P14" i="4"/>
  <c r="P16" i="4"/>
  <c r="P177" i="4" l="1"/>
  <c r="P207" i="4"/>
  <c r="P205" i="4"/>
  <c r="P18" i="4"/>
  <c r="P17" i="4"/>
  <c r="P15" i="4"/>
  <c r="P13" i="4" l="1"/>
  <c r="P204" i="4"/>
  <c r="P150" i="4"/>
  <c r="P8" i="3"/>
  <c r="O180" i="4"/>
  <c r="P208" i="4"/>
  <c r="P206" i="4"/>
  <c r="P102" i="5"/>
  <c r="P209" i="4"/>
  <c r="P96" i="6"/>
  <c r="O179" i="4" l="1"/>
  <c r="O40" i="4"/>
  <c r="N180" i="4"/>
  <c r="O182" i="4"/>
  <c r="P127" i="5"/>
  <c r="P73" i="5"/>
  <c r="P128" i="7" s="1"/>
  <c r="P100" i="5"/>
  <c r="O14" i="4"/>
  <c r="O16" i="4"/>
  <c r="M180" i="4" l="1"/>
  <c r="O205" i="4"/>
  <c r="P121" i="6"/>
  <c r="P67" i="6"/>
  <c r="P209" i="7" s="1"/>
  <c r="P94" i="6"/>
  <c r="O177" i="4"/>
  <c r="M181" i="4"/>
  <c r="N182" i="4"/>
  <c r="O207" i="4"/>
  <c r="N16" i="4"/>
  <c r="N14" i="4"/>
  <c r="O15" i="4"/>
  <c r="O17" i="4"/>
  <c r="O18" i="4"/>
  <c r="O206" i="4" l="1"/>
  <c r="L180" i="4"/>
  <c r="O209" i="4"/>
  <c r="M182" i="4"/>
  <c r="L181" i="4"/>
  <c r="O208" i="4"/>
  <c r="O13" i="4"/>
  <c r="N179" i="4"/>
  <c r="N40" i="4"/>
  <c r="M179" i="4"/>
  <c r="M40" i="4"/>
  <c r="M177" i="4" s="1"/>
  <c r="N205" i="4"/>
  <c r="N207" i="4"/>
  <c r="M17" i="4"/>
  <c r="M14" i="4"/>
  <c r="N17" i="4"/>
  <c r="M16" i="4"/>
  <c r="N18" i="4"/>
  <c r="N15" i="4"/>
  <c r="N206" i="4" l="1"/>
  <c r="N13" i="4"/>
  <c r="N177" i="4"/>
  <c r="N208" i="4"/>
  <c r="M207" i="4"/>
  <c r="M205" i="4"/>
  <c r="N209" i="4"/>
  <c r="L182" i="4"/>
  <c r="M208" i="4"/>
  <c r="K181" i="4"/>
  <c r="L179" i="4"/>
  <c r="L40" i="4"/>
  <c r="K180" i="4"/>
  <c r="O127" i="5"/>
  <c r="O73" i="5"/>
  <c r="O128" i="7" s="1"/>
  <c r="O100" i="5"/>
  <c r="O204" i="4"/>
  <c r="O150" i="4"/>
  <c r="O8" i="3"/>
  <c r="L17" i="4"/>
  <c r="L14" i="4"/>
  <c r="M15" i="4"/>
  <c r="M18" i="4"/>
  <c r="L16" i="4"/>
  <c r="M13" i="4" l="1"/>
  <c r="O121" i="6"/>
  <c r="O67" i="6"/>
  <c r="O209" i="7" s="1"/>
  <c r="O94" i="6"/>
  <c r="M206" i="4"/>
  <c r="L205" i="4"/>
  <c r="J180" i="4"/>
  <c r="L177" i="4"/>
  <c r="M204" i="4"/>
  <c r="M150" i="4"/>
  <c r="M8" i="3"/>
  <c r="J181" i="4"/>
  <c r="N204" i="4"/>
  <c r="N150" i="4"/>
  <c r="N8" i="3"/>
  <c r="K182" i="4"/>
  <c r="L207" i="4"/>
  <c r="L208" i="4"/>
  <c r="M209" i="4"/>
  <c r="K17" i="4"/>
  <c r="L18" i="4"/>
  <c r="L15" i="4"/>
  <c r="L13" i="4" s="1"/>
  <c r="K16" i="4"/>
  <c r="K14" i="4"/>
  <c r="L150" i="4" l="1"/>
  <c r="L204" i="4"/>
  <c r="L8" i="3"/>
  <c r="K205" i="4"/>
  <c r="I181" i="4"/>
  <c r="L209" i="4"/>
  <c r="J179" i="4"/>
  <c r="J40" i="4"/>
  <c r="K179" i="4"/>
  <c r="K40" i="4"/>
  <c r="J182" i="4"/>
  <c r="K207" i="4"/>
  <c r="K208" i="4"/>
  <c r="O129" i="5"/>
  <c r="O75" i="5"/>
  <c r="O130" i="7" s="1"/>
  <c r="O102" i="5"/>
  <c r="L206" i="4"/>
  <c r="I180" i="4"/>
  <c r="K15" i="4"/>
  <c r="T5" i="4"/>
  <c r="J16" i="4"/>
  <c r="J14" i="4"/>
  <c r="J17" i="4"/>
  <c r="K18" i="4"/>
  <c r="K206" i="4" l="1"/>
  <c r="K13" i="4"/>
  <c r="J205" i="4"/>
  <c r="H181" i="4"/>
  <c r="O123" i="6"/>
  <c r="O150" i="6"/>
  <c r="O69" i="6"/>
  <c r="O96" i="6"/>
  <c r="T175" i="4"/>
  <c r="J207" i="4"/>
  <c r="K177" i="4"/>
  <c r="N129" i="5"/>
  <c r="N75" i="5"/>
  <c r="N130" i="7" s="1"/>
  <c r="N102" i="5"/>
  <c r="I182" i="4"/>
  <c r="I179" i="4"/>
  <c r="I40" i="4"/>
  <c r="J208" i="4"/>
  <c r="H180" i="4"/>
  <c r="J177" i="4"/>
  <c r="K209" i="4"/>
  <c r="T196" i="4"/>
  <c r="T6" i="3"/>
  <c r="I17" i="4"/>
  <c r="I16" i="4"/>
  <c r="U5" i="4"/>
  <c r="I14" i="4"/>
  <c r="J18" i="4"/>
  <c r="G181" i="4" l="1"/>
  <c r="U178" i="4"/>
  <c r="I208" i="4"/>
  <c r="I205" i="4"/>
  <c r="J209" i="4"/>
  <c r="H182" i="4"/>
  <c r="I177" i="4"/>
  <c r="U180" i="4"/>
  <c r="K204" i="4"/>
  <c r="K150" i="4"/>
  <c r="K8" i="3"/>
  <c r="G180" i="4"/>
  <c r="N123" i="6"/>
  <c r="N150" i="6"/>
  <c r="N69" i="6"/>
  <c r="N96" i="6"/>
  <c r="U196" i="4"/>
  <c r="U6" i="3"/>
  <c r="I207" i="4"/>
  <c r="M75" i="5"/>
  <c r="M130" i="7" s="1"/>
  <c r="M129" i="5"/>
  <c r="M102" i="5"/>
  <c r="U129" i="5"/>
  <c r="U75" i="5"/>
  <c r="U130" i="7" s="1"/>
  <c r="H179" i="4"/>
  <c r="H40" i="4"/>
  <c r="I18" i="4"/>
  <c r="H17" i="4"/>
  <c r="H16" i="4"/>
  <c r="I15" i="4"/>
  <c r="J15" i="4"/>
  <c r="V5" i="4"/>
  <c r="H14" i="4"/>
  <c r="I13" i="4" l="1"/>
  <c r="I150" i="4"/>
  <c r="I204" i="4"/>
  <c r="I8" i="3"/>
  <c r="G182" i="4"/>
  <c r="U150" i="6"/>
  <c r="U123" i="6"/>
  <c r="U69" i="6"/>
  <c r="H205" i="4"/>
  <c r="V196" i="4"/>
  <c r="V6" i="3"/>
  <c r="F180" i="4"/>
  <c r="I206" i="4"/>
  <c r="H208" i="4"/>
  <c r="H207" i="4"/>
  <c r="H177" i="4"/>
  <c r="M123" i="6"/>
  <c r="M150" i="6"/>
  <c r="M69" i="6"/>
  <c r="M96" i="6"/>
  <c r="F181" i="4"/>
  <c r="J206" i="4"/>
  <c r="J13" i="4"/>
  <c r="I209" i="4"/>
  <c r="L129" i="5"/>
  <c r="L75" i="5"/>
  <c r="L130" i="7" s="1"/>
  <c r="L102" i="5"/>
  <c r="G17" i="4"/>
  <c r="G16" i="4"/>
  <c r="G14" i="4"/>
  <c r="H18" i="4"/>
  <c r="G208" i="4" l="1"/>
  <c r="L150" i="6"/>
  <c r="L123" i="6"/>
  <c r="L69" i="6"/>
  <c r="L96" i="6"/>
  <c r="K75" i="5"/>
  <c r="K130" i="7" s="1"/>
  <c r="K129" i="5"/>
  <c r="K102" i="5"/>
  <c r="G205" i="4"/>
  <c r="F182" i="4"/>
  <c r="J150" i="4"/>
  <c r="J204" i="4"/>
  <c r="J8" i="3"/>
  <c r="E181" i="4"/>
  <c r="G207" i="4"/>
  <c r="E180" i="4"/>
  <c r="G179" i="4"/>
  <c r="G40" i="4"/>
  <c r="H209" i="4"/>
  <c r="F179" i="4"/>
  <c r="F40" i="4"/>
  <c r="H15" i="4"/>
  <c r="U18" i="4"/>
  <c r="F17" i="4"/>
  <c r="F16" i="4"/>
  <c r="G18" i="4"/>
  <c r="U14" i="4"/>
  <c r="F14" i="4"/>
  <c r="K150" i="6" l="1"/>
  <c r="K123" i="6"/>
  <c r="K69" i="6"/>
  <c r="K96" i="6"/>
  <c r="E182" i="4"/>
  <c r="F207" i="4"/>
  <c r="U209" i="4"/>
  <c r="U96" i="6"/>
  <c r="U102" i="5"/>
  <c r="F177" i="4"/>
  <c r="J75" i="5"/>
  <c r="J130" i="7" s="1"/>
  <c r="J129" i="5"/>
  <c r="J102" i="5"/>
  <c r="F205" i="4"/>
  <c r="G209" i="4"/>
  <c r="G177" i="4"/>
  <c r="U205" i="4"/>
  <c r="F208" i="4"/>
  <c r="D181" i="4"/>
  <c r="D180" i="4"/>
  <c r="H206" i="4"/>
  <c r="H13" i="4"/>
  <c r="E14" i="4"/>
  <c r="E17" i="4"/>
  <c r="F15" i="4"/>
  <c r="F18" i="4"/>
  <c r="G15" i="4"/>
  <c r="E16" i="4"/>
  <c r="U16" i="4"/>
  <c r="U207" i="4" l="1"/>
  <c r="C181" i="4"/>
  <c r="F209" i="4"/>
  <c r="H204" i="4"/>
  <c r="H150" i="4"/>
  <c r="H8" i="3"/>
  <c r="F206" i="4"/>
  <c r="F13" i="4"/>
  <c r="I75" i="5"/>
  <c r="I130" i="7" s="1"/>
  <c r="I129" i="5"/>
  <c r="I102" i="5"/>
  <c r="D182" i="4"/>
  <c r="G206" i="4"/>
  <c r="G13" i="4"/>
  <c r="D179" i="4"/>
  <c r="D40" i="4"/>
  <c r="E179" i="4"/>
  <c r="E40" i="4"/>
  <c r="J150" i="6"/>
  <c r="J123" i="6"/>
  <c r="J69" i="6"/>
  <c r="J96" i="6"/>
  <c r="E205" i="4"/>
  <c r="E207" i="4"/>
  <c r="E208" i="4"/>
  <c r="C180" i="4"/>
  <c r="D16" i="4"/>
  <c r="D17" i="4"/>
  <c r="D14" i="4"/>
  <c r="E18" i="4"/>
  <c r="B180" i="4" l="1"/>
  <c r="E177" i="4"/>
  <c r="C182" i="4"/>
  <c r="H129" i="5"/>
  <c r="H75" i="5"/>
  <c r="H130" i="7" s="1"/>
  <c r="H102" i="5"/>
  <c r="D207" i="4"/>
  <c r="G150" i="4"/>
  <c r="G204" i="4"/>
  <c r="G8" i="3"/>
  <c r="I123" i="6"/>
  <c r="I150" i="6"/>
  <c r="I69" i="6"/>
  <c r="I96" i="6"/>
  <c r="D177" i="4"/>
  <c r="T123" i="5"/>
  <c r="T69" i="5"/>
  <c r="T124" i="7" s="1"/>
  <c r="D205" i="4"/>
  <c r="D208" i="4"/>
  <c r="E209" i="4"/>
  <c r="B182" i="4"/>
  <c r="F204" i="4"/>
  <c r="F150" i="4"/>
  <c r="F8" i="3"/>
  <c r="D15" i="4"/>
  <c r="C17" i="4"/>
  <c r="C14" i="4"/>
  <c r="E15" i="4"/>
  <c r="C16" i="4"/>
  <c r="D18" i="4"/>
  <c r="C179" i="4" l="1"/>
  <c r="C40" i="4"/>
  <c r="T144" i="6"/>
  <c r="T117" i="6"/>
  <c r="T63" i="6"/>
  <c r="D206" i="4"/>
  <c r="D13" i="4"/>
  <c r="C208" i="4"/>
  <c r="C207" i="4"/>
  <c r="G129" i="5"/>
  <c r="G75" i="5"/>
  <c r="G130" i="7" s="1"/>
  <c r="G102" i="5"/>
  <c r="E206" i="4"/>
  <c r="E13" i="4"/>
  <c r="D209" i="4"/>
  <c r="C205" i="4"/>
  <c r="H123" i="6"/>
  <c r="H150" i="6"/>
  <c r="H69" i="6"/>
  <c r="H96" i="6"/>
  <c r="Q187" i="4"/>
  <c r="C18" i="4"/>
  <c r="B18" i="4"/>
  <c r="B16" i="4"/>
  <c r="B14" i="4"/>
  <c r="C15" i="4"/>
  <c r="C206" i="4" l="1"/>
  <c r="C13" i="4"/>
  <c r="R186" i="4"/>
  <c r="D150" i="4"/>
  <c r="D204" i="4"/>
  <c r="D8" i="3"/>
  <c r="C177" i="4"/>
  <c r="P187" i="4"/>
  <c r="C209" i="4"/>
  <c r="B207" i="4"/>
  <c r="E150" i="4"/>
  <c r="E204" i="4"/>
  <c r="E8" i="3"/>
  <c r="F75" i="5"/>
  <c r="F130" i="7" s="1"/>
  <c r="F129" i="5"/>
  <c r="F102" i="5"/>
  <c r="B205" i="4"/>
  <c r="B209" i="4"/>
  <c r="G150" i="6"/>
  <c r="G123" i="6"/>
  <c r="G69" i="6"/>
  <c r="G96" i="6"/>
  <c r="S27" i="4"/>
  <c r="Q23" i="4"/>
  <c r="S187" i="4" l="1"/>
  <c r="F123" i="6"/>
  <c r="F150" i="6"/>
  <c r="F69" i="6"/>
  <c r="F96" i="6"/>
  <c r="S186" i="4"/>
  <c r="E129" i="5"/>
  <c r="E75" i="5"/>
  <c r="E130" i="7" s="1"/>
  <c r="E102" i="5"/>
  <c r="O187" i="4"/>
  <c r="R185" i="4"/>
  <c r="C150" i="4"/>
  <c r="C204" i="4"/>
  <c r="C8" i="3"/>
  <c r="Q214" i="4"/>
  <c r="S185" i="4"/>
  <c r="R187" i="4"/>
  <c r="R21" i="4"/>
  <c r="R22" i="4"/>
  <c r="R23" i="4"/>
  <c r="P23" i="4"/>
  <c r="R212" i="4" l="1"/>
  <c r="B73" i="5"/>
  <c r="B128" i="7" s="1"/>
  <c r="B127" i="5"/>
  <c r="B100" i="5"/>
  <c r="Q188" i="4"/>
  <c r="Q47" i="4"/>
  <c r="R214" i="4"/>
  <c r="E150" i="6"/>
  <c r="E123" i="6"/>
  <c r="E69" i="6"/>
  <c r="E96" i="6"/>
  <c r="D75" i="5"/>
  <c r="D130" i="7" s="1"/>
  <c r="D129" i="5"/>
  <c r="D102" i="5"/>
  <c r="R189" i="4"/>
  <c r="P214" i="4"/>
  <c r="R213" i="4"/>
  <c r="S21" i="4"/>
  <c r="S23" i="4"/>
  <c r="S22" i="4"/>
  <c r="O23" i="4"/>
  <c r="Q173" i="4" l="1"/>
  <c r="S212" i="4"/>
  <c r="D123" i="6"/>
  <c r="D150" i="6"/>
  <c r="D69" i="6"/>
  <c r="D96" i="6"/>
  <c r="R188" i="4"/>
  <c r="R47" i="4"/>
  <c r="S189" i="4"/>
  <c r="S213" i="4"/>
  <c r="T187" i="4"/>
  <c r="O214" i="4"/>
  <c r="C75" i="5"/>
  <c r="C130" i="7" s="1"/>
  <c r="C129" i="5"/>
  <c r="C102" i="5"/>
  <c r="T186" i="4"/>
  <c r="Q134" i="5"/>
  <c r="Q80" i="5"/>
  <c r="Q135" i="7" s="1"/>
  <c r="Q107" i="5"/>
  <c r="S214" i="4"/>
  <c r="Q46" i="4"/>
  <c r="Q184" i="4"/>
  <c r="S53" i="4"/>
  <c r="B129" i="5"/>
  <c r="B75" i="5"/>
  <c r="B130" i="7" s="1"/>
  <c r="B102" i="5"/>
  <c r="P188" i="4"/>
  <c r="P47" i="4"/>
  <c r="T185" i="4"/>
  <c r="B121" i="6"/>
  <c r="B67" i="6"/>
  <c r="B209" i="7" s="1"/>
  <c r="B94" i="6"/>
  <c r="S28" i="4"/>
  <c r="Q24" i="4"/>
  <c r="R25" i="4"/>
  <c r="S26" i="4" l="1"/>
  <c r="U187" i="4"/>
  <c r="C123" i="6"/>
  <c r="C150" i="6"/>
  <c r="C69" i="6"/>
  <c r="C96" i="6"/>
  <c r="B123" i="6"/>
  <c r="B150" i="6"/>
  <c r="B69" i="6"/>
  <c r="B96" i="6"/>
  <c r="R216" i="4"/>
  <c r="O188" i="4"/>
  <c r="O47" i="4"/>
  <c r="Q128" i="6"/>
  <c r="Q74" i="6"/>
  <c r="Q216" i="7" s="1"/>
  <c r="Q101" i="6"/>
  <c r="N188" i="4"/>
  <c r="Q171" i="4"/>
  <c r="P80" i="5"/>
  <c r="P135" i="7" s="1"/>
  <c r="P134" i="5"/>
  <c r="P107" i="5"/>
  <c r="R46" i="4"/>
  <c r="R265" i="4" s="1"/>
  <c r="R184" i="4"/>
  <c r="T189" i="4"/>
  <c r="U186" i="4"/>
  <c r="P184" i="4"/>
  <c r="P46" i="4"/>
  <c r="Q215" i="4"/>
  <c r="Q20" i="4"/>
  <c r="Q265" i="4"/>
  <c r="Q264" i="4"/>
  <c r="Q272" i="4"/>
  <c r="Q273" i="4"/>
  <c r="Q271" i="4"/>
  <c r="Q270" i="4"/>
  <c r="Q266" i="4"/>
  <c r="Q267" i="4"/>
  <c r="Q268" i="4"/>
  <c r="Q269" i="4"/>
  <c r="U185" i="4"/>
  <c r="M189" i="4"/>
  <c r="R24" i="4"/>
  <c r="T23" i="4"/>
  <c r="S25" i="4"/>
  <c r="T22" i="4"/>
  <c r="Q33" i="4"/>
  <c r="T21" i="4"/>
  <c r="P24" i="4"/>
  <c r="Q170" i="4" l="1"/>
  <c r="Q31" i="4"/>
  <c r="P215" i="4"/>
  <c r="P20" i="4"/>
  <c r="N187" i="4"/>
  <c r="U189" i="4"/>
  <c r="M187" i="4"/>
  <c r="N186" i="4"/>
  <c r="N47" i="4"/>
  <c r="T214" i="4"/>
  <c r="P173" i="4"/>
  <c r="Q172" i="4"/>
  <c r="Q253" i="4"/>
  <c r="R215" i="4"/>
  <c r="R20" i="4"/>
  <c r="P128" i="6"/>
  <c r="P74" i="6"/>
  <c r="P216" i="7" s="1"/>
  <c r="P101" i="6"/>
  <c r="P265" i="4"/>
  <c r="P264" i="4"/>
  <c r="P272" i="4"/>
  <c r="P273" i="4"/>
  <c r="P271" i="4"/>
  <c r="P270" i="4"/>
  <c r="P266" i="4"/>
  <c r="P267" i="4"/>
  <c r="P268" i="4"/>
  <c r="P269" i="4"/>
  <c r="T212" i="4"/>
  <c r="S163" i="4"/>
  <c r="S20" i="3"/>
  <c r="S188" i="4"/>
  <c r="S47" i="4"/>
  <c r="T213" i="4"/>
  <c r="Q211" i="4"/>
  <c r="Q157" i="4"/>
  <c r="Q19" i="4"/>
  <c r="Q238" i="4"/>
  <c r="Q19" i="3"/>
  <c r="O46" i="4"/>
  <c r="O184" i="4"/>
  <c r="S216" i="4"/>
  <c r="R264" i="4"/>
  <c r="R272" i="4"/>
  <c r="R273" i="4"/>
  <c r="R271" i="4"/>
  <c r="R267" i="4"/>
  <c r="R266" i="4"/>
  <c r="R268" i="4"/>
  <c r="R270" i="4"/>
  <c r="R269" i="4"/>
  <c r="O134" i="5"/>
  <c r="O80" i="5"/>
  <c r="O135" i="7" s="1"/>
  <c r="O107" i="5"/>
  <c r="U22" i="4"/>
  <c r="U23" i="4"/>
  <c r="M25" i="4"/>
  <c r="T25" i="4"/>
  <c r="N24" i="4"/>
  <c r="U21" i="4"/>
  <c r="O24" i="4"/>
  <c r="R181" i="4" l="1"/>
  <c r="O215" i="4"/>
  <c r="O20" i="4"/>
  <c r="U213" i="4"/>
  <c r="R19" i="4"/>
  <c r="R157" i="4"/>
  <c r="R211" i="4"/>
  <c r="R19" i="3"/>
  <c r="M188" i="4"/>
  <c r="T188" i="4"/>
  <c r="T47" i="4"/>
  <c r="T216" i="4"/>
  <c r="O265" i="4"/>
  <c r="O264" i="4"/>
  <c r="O272" i="4"/>
  <c r="O273" i="4"/>
  <c r="O271" i="4"/>
  <c r="O270" i="4"/>
  <c r="O266" i="4"/>
  <c r="O267" i="4"/>
  <c r="O268" i="4"/>
  <c r="O269" i="4"/>
  <c r="O128" i="6"/>
  <c r="O74" i="6"/>
  <c r="O216" i="7" s="1"/>
  <c r="O101" i="6"/>
  <c r="Q18" i="3"/>
  <c r="Q258" i="4"/>
  <c r="Q249" i="4"/>
  <c r="Q30" i="4"/>
  <c r="Q257" i="4"/>
  <c r="Q168" i="4"/>
  <c r="Q250" i="4"/>
  <c r="Q259" i="4"/>
  <c r="Q263" i="4"/>
  <c r="Q261" i="4"/>
  <c r="Q256" i="4"/>
  <c r="Q255" i="4"/>
  <c r="Q262" i="4"/>
  <c r="Q260" i="4"/>
  <c r="Q254" i="4"/>
  <c r="Q252" i="4"/>
  <c r="P171" i="4"/>
  <c r="Q120" i="5"/>
  <c r="Q66" i="5"/>
  <c r="Q121" i="7" s="1"/>
  <c r="N46" i="4"/>
  <c r="N265" i="4" s="1"/>
  <c r="N184" i="4"/>
  <c r="Q251" i="4"/>
  <c r="U212" i="4"/>
  <c r="L186" i="4"/>
  <c r="N215" i="4"/>
  <c r="M216" i="4"/>
  <c r="Q244" i="4"/>
  <c r="Q237" i="4"/>
  <c r="Q156" i="4"/>
  <c r="Q245" i="4"/>
  <c r="Q246" i="4"/>
  <c r="Q243" i="4"/>
  <c r="Q239" i="4"/>
  <c r="Q240" i="4"/>
  <c r="Q241" i="4"/>
  <c r="Q242" i="4"/>
  <c r="L188" i="4"/>
  <c r="M186" i="4"/>
  <c r="M47" i="4"/>
  <c r="U214" i="4"/>
  <c r="S46" i="4"/>
  <c r="S265" i="4" s="1"/>
  <c r="S184" i="4"/>
  <c r="P157" i="4"/>
  <c r="P19" i="4"/>
  <c r="P238" i="4" s="1"/>
  <c r="P211" i="4"/>
  <c r="P19" i="3"/>
  <c r="N23" i="4"/>
  <c r="U25" i="4"/>
  <c r="M24" i="4"/>
  <c r="N22" i="4"/>
  <c r="S24" i="4"/>
  <c r="R4" i="5"/>
  <c r="R47" i="6" s="1"/>
  <c r="M215" i="4" l="1"/>
  <c r="L187" i="4"/>
  <c r="M184" i="4"/>
  <c r="M46" i="4"/>
  <c r="M265" i="4"/>
  <c r="P18" i="3"/>
  <c r="R244" i="4"/>
  <c r="R237" i="4"/>
  <c r="R156" i="4"/>
  <c r="R245" i="4"/>
  <c r="R246" i="4"/>
  <c r="R239" i="4"/>
  <c r="R241" i="4"/>
  <c r="R240" i="4"/>
  <c r="R243" i="4"/>
  <c r="R242" i="4"/>
  <c r="R173" i="4"/>
  <c r="O173" i="4"/>
  <c r="S173" i="4"/>
  <c r="U216" i="4"/>
  <c r="S28" i="7"/>
  <c r="S192" i="4"/>
  <c r="S219" i="4"/>
  <c r="R136" i="5"/>
  <c r="R82" i="5"/>
  <c r="R137" i="7" s="1"/>
  <c r="R109" i="5"/>
  <c r="S215" i="4"/>
  <c r="S20" i="4"/>
  <c r="N213" i="4"/>
  <c r="N20" i="4"/>
  <c r="S264" i="4"/>
  <c r="S272" i="4"/>
  <c r="S267" i="4"/>
  <c r="S268" i="4"/>
  <c r="S266" i="4"/>
  <c r="S273" i="4"/>
  <c r="S270" i="4"/>
  <c r="S271" i="4"/>
  <c r="S269" i="4"/>
  <c r="R18" i="3"/>
  <c r="R171" i="4"/>
  <c r="N214" i="4"/>
  <c r="P81" i="5"/>
  <c r="P136" i="7" s="1"/>
  <c r="P135" i="5"/>
  <c r="P108" i="5"/>
  <c r="Q81" i="5"/>
  <c r="Q136" i="7" s="1"/>
  <c r="Q135" i="5"/>
  <c r="Q108" i="5"/>
  <c r="R238" i="4"/>
  <c r="P242" i="4"/>
  <c r="P156" i="4"/>
  <c r="P237" i="4"/>
  <c r="P245" i="4"/>
  <c r="P246" i="4"/>
  <c r="P244" i="4"/>
  <c r="P243" i="4"/>
  <c r="P239" i="4"/>
  <c r="P240" i="4"/>
  <c r="P241" i="4"/>
  <c r="O175" i="4"/>
  <c r="T184" i="4"/>
  <c r="T46" i="4"/>
  <c r="T265" i="4" s="1"/>
  <c r="O211" i="4"/>
  <c r="O19" i="4"/>
  <c r="O238" i="4" s="1"/>
  <c r="O157" i="4"/>
  <c r="O19" i="3"/>
  <c r="N264" i="4"/>
  <c r="N272" i="4"/>
  <c r="N273" i="4"/>
  <c r="N271" i="4"/>
  <c r="N266" i="4"/>
  <c r="N270" i="4"/>
  <c r="N269" i="4"/>
  <c r="N267" i="4"/>
  <c r="N268" i="4"/>
  <c r="Q17" i="3"/>
  <c r="Q114" i="6"/>
  <c r="Q60" i="6"/>
  <c r="Q202" i="7" s="1"/>
  <c r="M23" i="4"/>
  <c r="Q10" i="4"/>
  <c r="L24" i="4"/>
  <c r="Q12" i="4"/>
  <c r="Q11" i="4"/>
  <c r="Q9" i="4"/>
  <c r="T24" i="4"/>
  <c r="M22" i="4"/>
  <c r="S4" i="5"/>
  <c r="S47" i="6" s="1"/>
  <c r="N173" i="4" l="1"/>
  <c r="M213" i="4"/>
  <c r="M20" i="4"/>
  <c r="K186" i="4"/>
  <c r="Q201" i="4"/>
  <c r="Q119" i="3"/>
  <c r="Q120" i="3"/>
  <c r="Q109" i="3"/>
  <c r="Q115" i="3"/>
  <c r="Q114" i="3"/>
  <c r="Q113" i="3"/>
  <c r="Q117" i="3"/>
  <c r="Q116" i="3"/>
  <c r="Q118" i="3"/>
  <c r="Q112" i="3"/>
  <c r="Q111" i="3"/>
  <c r="O18" i="3"/>
  <c r="P129" i="6"/>
  <c r="P75" i="6"/>
  <c r="P217" i="7" s="1"/>
  <c r="P102" i="6"/>
  <c r="S19" i="4"/>
  <c r="S157" i="4"/>
  <c r="S211" i="4"/>
  <c r="S19" i="3"/>
  <c r="P17" i="3"/>
  <c r="P110" i="3" s="1"/>
  <c r="Q202" i="4"/>
  <c r="N211" i="4"/>
  <c r="N19" i="4"/>
  <c r="N238" i="4" s="1"/>
  <c r="N157" i="4"/>
  <c r="N19" i="3"/>
  <c r="P66" i="5"/>
  <c r="P121" i="7" s="1"/>
  <c r="P120" i="5"/>
  <c r="J188" i="4"/>
  <c r="T215" i="4"/>
  <c r="T20" i="4"/>
  <c r="N175" i="4"/>
  <c r="K187" i="4"/>
  <c r="O171" i="4"/>
  <c r="M214" i="4"/>
  <c r="O237" i="4"/>
  <c r="O156" i="4"/>
  <c r="O245" i="4"/>
  <c r="O246" i="4"/>
  <c r="O244" i="4"/>
  <c r="O239" i="4"/>
  <c r="O243" i="4"/>
  <c r="O240" i="4"/>
  <c r="O241" i="4"/>
  <c r="O242" i="4"/>
  <c r="S171" i="4"/>
  <c r="Q96" i="5"/>
  <c r="Q203" i="4"/>
  <c r="Q90" i="6"/>
  <c r="R130" i="6"/>
  <c r="R157" i="6"/>
  <c r="R76" i="6"/>
  <c r="R103" i="6"/>
  <c r="R17" i="3"/>
  <c r="R110" i="3" s="1"/>
  <c r="L189" i="4"/>
  <c r="L215" i="4"/>
  <c r="K188" i="4"/>
  <c r="R179" i="4"/>
  <c r="R40" i="4"/>
  <c r="Q129" i="6"/>
  <c r="Q75" i="6"/>
  <c r="Q217" i="7" s="1"/>
  <c r="Q102" i="6"/>
  <c r="L47" i="4"/>
  <c r="P172" i="4"/>
  <c r="P33" i="4"/>
  <c r="M271" i="4"/>
  <c r="M264" i="4"/>
  <c r="M272" i="4"/>
  <c r="M273" i="4"/>
  <c r="M266" i="4"/>
  <c r="M270" i="4"/>
  <c r="M268" i="4"/>
  <c r="M269" i="4"/>
  <c r="M267" i="4"/>
  <c r="Q200" i="4"/>
  <c r="Q93" i="5"/>
  <c r="Q87" i="6"/>
  <c r="Q110" i="3"/>
  <c r="T264" i="4"/>
  <c r="T272" i="4"/>
  <c r="T273" i="4"/>
  <c r="T271" i="4"/>
  <c r="T268" i="4"/>
  <c r="T267" i="4"/>
  <c r="T266" i="4"/>
  <c r="T270" i="4"/>
  <c r="T269" i="4"/>
  <c r="O81" i="5"/>
  <c r="O136" i="7" s="1"/>
  <c r="O135" i="5"/>
  <c r="O108" i="5"/>
  <c r="S82" i="5"/>
  <c r="S137" i="7" s="1"/>
  <c r="S136" i="5"/>
  <c r="S109" i="5"/>
  <c r="O11" i="4"/>
  <c r="R17" i="4"/>
  <c r="L23" i="4"/>
  <c r="L22" i="4"/>
  <c r="K24" i="4"/>
  <c r="T4" i="5"/>
  <c r="T47" i="6" s="1"/>
  <c r="Q7" i="4"/>
  <c r="K47" i="4"/>
  <c r="K215" i="4" l="1"/>
  <c r="K184" i="4"/>
  <c r="K46" i="4"/>
  <c r="K265" i="4" s="1"/>
  <c r="J187" i="4"/>
  <c r="M175" i="4"/>
  <c r="O202" i="4"/>
  <c r="L46" i="4"/>
  <c r="L265" i="4" s="1"/>
  <c r="L184" i="4"/>
  <c r="N18" i="3"/>
  <c r="O17" i="3"/>
  <c r="O110" i="3" s="1"/>
  <c r="Q198" i="4"/>
  <c r="J186" i="4"/>
  <c r="S246" i="4"/>
  <c r="S237" i="4"/>
  <c r="S156" i="4"/>
  <c r="S245" i="4"/>
  <c r="S241" i="4"/>
  <c r="S239" i="4"/>
  <c r="S240" i="4"/>
  <c r="S244" i="4"/>
  <c r="S243" i="4"/>
  <c r="S242" i="4"/>
  <c r="S130" i="6"/>
  <c r="S157" i="6"/>
  <c r="S76" i="6"/>
  <c r="S103" i="6"/>
  <c r="N80" i="5"/>
  <c r="N135" i="7" s="1"/>
  <c r="N134" i="5"/>
  <c r="N107" i="5"/>
  <c r="Q74" i="5"/>
  <c r="Q129" i="7" s="1"/>
  <c r="Q128" i="5"/>
  <c r="Q101" i="5"/>
  <c r="P113" i="3"/>
  <c r="P119" i="3"/>
  <c r="P114" i="3"/>
  <c r="P120" i="3"/>
  <c r="P115" i="3"/>
  <c r="P116" i="3"/>
  <c r="P109" i="3"/>
  <c r="P118" i="3"/>
  <c r="P117" i="3"/>
  <c r="P112" i="3"/>
  <c r="P111" i="3"/>
  <c r="S172" i="4"/>
  <c r="L213" i="4"/>
  <c r="M136" i="5"/>
  <c r="M82" i="5"/>
  <c r="M137" i="7" s="1"/>
  <c r="M109" i="5"/>
  <c r="P170" i="4"/>
  <c r="P31" i="4"/>
  <c r="N244" i="4"/>
  <c r="N156" i="4"/>
  <c r="N237" i="4"/>
  <c r="N245" i="4"/>
  <c r="N246" i="4"/>
  <c r="N243" i="4"/>
  <c r="N239" i="4"/>
  <c r="N242" i="4"/>
  <c r="N240" i="4"/>
  <c r="N241" i="4"/>
  <c r="S18" i="3"/>
  <c r="N171" i="4"/>
  <c r="M173" i="4"/>
  <c r="L214" i="4"/>
  <c r="S33" i="4"/>
  <c r="O121" i="5"/>
  <c r="O67" i="5"/>
  <c r="O122" i="7" s="1"/>
  <c r="S238" i="4"/>
  <c r="I188" i="4"/>
  <c r="R208" i="4"/>
  <c r="R115" i="3"/>
  <c r="R114" i="3"/>
  <c r="R113" i="3"/>
  <c r="R120" i="3"/>
  <c r="R116" i="3"/>
  <c r="R117" i="3"/>
  <c r="R118" i="3"/>
  <c r="R119" i="3"/>
  <c r="R109" i="3"/>
  <c r="R112" i="3"/>
  <c r="R111" i="3"/>
  <c r="R172" i="4"/>
  <c r="R33" i="4"/>
  <c r="R177" i="4"/>
  <c r="P114" i="6"/>
  <c r="P60" i="6"/>
  <c r="P202" i="7" s="1"/>
  <c r="T136" i="5"/>
  <c r="T82" i="5"/>
  <c r="T137" i="7" s="1"/>
  <c r="T109" i="5"/>
  <c r="M211" i="4"/>
  <c r="M157" i="4"/>
  <c r="M19" i="4"/>
  <c r="M238" i="4" s="1"/>
  <c r="M19" i="3"/>
  <c r="K189" i="4"/>
  <c r="O129" i="6"/>
  <c r="O75" i="6"/>
  <c r="O217" i="7" s="1"/>
  <c r="O102" i="6"/>
  <c r="T19" i="4"/>
  <c r="T157" i="4"/>
  <c r="T211" i="4"/>
  <c r="T19" i="3"/>
  <c r="Q8" i="4"/>
  <c r="N11" i="4"/>
  <c r="J24" i="4"/>
  <c r="N33" i="4"/>
  <c r="R15" i="4"/>
  <c r="L25" i="4"/>
  <c r="L20" i="4" s="1"/>
  <c r="K22" i="4"/>
  <c r="N31" i="4" l="1"/>
  <c r="N170" i="4"/>
  <c r="N251" i="4"/>
  <c r="T238" i="4"/>
  <c r="T237" i="4"/>
  <c r="T156" i="4"/>
  <c r="T245" i="4"/>
  <c r="T246" i="4"/>
  <c r="T244" i="4"/>
  <c r="T239" i="4"/>
  <c r="T240" i="4"/>
  <c r="T241" i="4"/>
  <c r="T243" i="4"/>
  <c r="T242" i="4"/>
  <c r="Q67" i="5"/>
  <c r="Q122" i="7" s="1"/>
  <c r="Q121" i="5"/>
  <c r="Q94" i="5"/>
  <c r="O172" i="4"/>
  <c r="O33" i="4"/>
  <c r="T130" i="6"/>
  <c r="T157" i="6"/>
  <c r="T76" i="6"/>
  <c r="T103" i="6"/>
  <c r="N128" i="6"/>
  <c r="N74" i="6"/>
  <c r="N216" i="7" s="1"/>
  <c r="N101" i="6"/>
  <c r="H188" i="4"/>
  <c r="P30" i="4"/>
  <c r="P249" i="4"/>
  <c r="P168" i="4"/>
  <c r="P250" i="4"/>
  <c r="P263" i="4"/>
  <c r="P259" i="4"/>
  <c r="P257" i="4"/>
  <c r="P256" i="4"/>
  <c r="P255" i="4"/>
  <c r="P262" i="4"/>
  <c r="P261" i="4"/>
  <c r="P260" i="4"/>
  <c r="P258" i="4"/>
  <c r="P254" i="4"/>
  <c r="P252" i="4"/>
  <c r="P253" i="4"/>
  <c r="L211" i="4"/>
  <c r="L19" i="4"/>
  <c r="L157" i="4"/>
  <c r="L19" i="3"/>
  <c r="P128" i="5"/>
  <c r="P74" i="5"/>
  <c r="P129" i="7" s="1"/>
  <c r="P101" i="5"/>
  <c r="P251" i="4"/>
  <c r="K271" i="4"/>
  <c r="K264" i="4"/>
  <c r="K272" i="4"/>
  <c r="K273" i="4"/>
  <c r="K266" i="4"/>
  <c r="K268" i="4"/>
  <c r="K267" i="4"/>
  <c r="K269" i="4"/>
  <c r="L175" i="4"/>
  <c r="N172" i="4"/>
  <c r="N253" i="4"/>
  <c r="T173" i="4"/>
  <c r="R206" i="4"/>
  <c r="R13" i="4"/>
  <c r="M18" i="3"/>
  <c r="Q199" i="4"/>
  <c r="S170" i="4"/>
  <c r="P121" i="5"/>
  <c r="P67" i="5"/>
  <c r="P122" i="7" s="1"/>
  <c r="O120" i="3"/>
  <c r="O115" i="3"/>
  <c r="O119" i="3"/>
  <c r="O116" i="3"/>
  <c r="O117" i="3"/>
  <c r="O113" i="3"/>
  <c r="O114" i="3"/>
  <c r="O109" i="3"/>
  <c r="O118" i="3"/>
  <c r="O112" i="3"/>
  <c r="O111" i="3"/>
  <c r="L173" i="4"/>
  <c r="J215" i="4"/>
  <c r="T18" i="3"/>
  <c r="O115" i="6"/>
  <c r="O61" i="6"/>
  <c r="O203" i="7" s="1"/>
  <c r="R170" i="4"/>
  <c r="R31" i="4"/>
  <c r="R251" i="4" s="1"/>
  <c r="M128" i="6"/>
  <c r="M74" i="6"/>
  <c r="M216" i="7" s="1"/>
  <c r="M101" i="6"/>
  <c r="M171" i="4"/>
  <c r="M244" i="4"/>
  <c r="M156" i="4"/>
  <c r="M237" i="4"/>
  <c r="M245" i="4"/>
  <c r="M246" i="4"/>
  <c r="M239" i="4"/>
  <c r="M243" i="4"/>
  <c r="M242" i="4"/>
  <c r="M240" i="4"/>
  <c r="M241" i="4"/>
  <c r="O66" i="5"/>
  <c r="O121" i="7" s="1"/>
  <c r="O120" i="5"/>
  <c r="Q6" i="4"/>
  <c r="J189" i="4"/>
  <c r="K213" i="4"/>
  <c r="K270" i="4"/>
  <c r="N135" i="5"/>
  <c r="N81" i="5"/>
  <c r="N136" i="7" s="1"/>
  <c r="N108" i="5"/>
  <c r="Q122" i="6"/>
  <c r="Q68" i="6"/>
  <c r="Q210" i="7" s="1"/>
  <c r="Q95" i="6"/>
  <c r="S17" i="3"/>
  <c r="J47" i="4"/>
  <c r="I186" i="4"/>
  <c r="L216" i="4"/>
  <c r="L243" i="4"/>
  <c r="I187" i="4"/>
  <c r="N202" i="4"/>
  <c r="M157" i="6"/>
  <c r="M130" i="6"/>
  <c r="M76" i="6"/>
  <c r="M103" i="6"/>
  <c r="O74" i="5"/>
  <c r="O129" i="7" s="1"/>
  <c r="O128" i="5"/>
  <c r="O101" i="5"/>
  <c r="U136" i="5"/>
  <c r="U82" i="5"/>
  <c r="U137" i="7" s="1"/>
  <c r="U109" i="5"/>
  <c r="N17" i="3"/>
  <c r="N110" i="3" s="1"/>
  <c r="L264" i="4"/>
  <c r="L272" i="4"/>
  <c r="L273" i="4"/>
  <c r="L271" i="4"/>
  <c r="L266" i="4"/>
  <c r="L267" i="4"/>
  <c r="L269" i="4"/>
  <c r="L268" i="4"/>
  <c r="L270" i="4"/>
  <c r="M80" i="5"/>
  <c r="M135" i="7" s="1"/>
  <c r="M134" i="5"/>
  <c r="M107" i="5"/>
  <c r="R11" i="4"/>
  <c r="P9" i="4"/>
  <c r="K23" i="4"/>
  <c r="R9" i="4"/>
  <c r="P12" i="4"/>
  <c r="P11" i="4"/>
  <c r="I24" i="4"/>
  <c r="R12" i="4"/>
  <c r="P10" i="4"/>
  <c r="R10" i="4"/>
  <c r="K25" i="4"/>
  <c r="M11" i="4"/>
  <c r="J22" i="4"/>
  <c r="I47" i="4"/>
  <c r="I46" i="4" l="1"/>
  <c r="I184" i="4"/>
  <c r="I265" i="4"/>
  <c r="M172" i="4"/>
  <c r="T171" i="4"/>
  <c r="K174" i="4"/>
  <c r="P203" i="4"/>
  <c r="P90" i="6"/>
  <c r="P96" i="5"/>
  <c r="S118" i="3"/>
  <c r="S114" i="3"/>
  <c r="S109" i="3"/>
  <c r="S120" i="3"/>
  <c r="S113" i="3"/>
  <c r="S115" i="3"/>
  <c r="S116" i="3"/>
  <c r="S117" i="3"/>
  <c r="S119" i="3"/>
  <c r="S112" i="3"/>
  <c r="S111" i="3"/>
  <c r="M33" i="4"/>
  <c r="M17" i="3"/>
  <c r="M110" i="3" s="1"/>
  <c r="L81" i="5"/>
  <c r="L136" i="7" s="1"/>
  <c r="L135" i="5"/>
  <c r="L108" i="5"/>
  <c r="I215" i="4"/>
  <c r="U130" i="6"/>
  <c r="U157" i="6"/>
  <c r="U76" i="6"/>
  <c r="U103" i="6"/>
  <c r="L156" i="4"/>
  <c r="L237" i="4"/>
  <c r="L245" i="4"/>
  <c r="L246" i="4"/>
  <c r="L244" i="4"/>
  <c r="L239" i="4"/>
  <c r="L242" i="4"/>
  <c r="L241" i="4"/>
  <c r="L240" i="4"/>
  <c r="S181" i="4"/>
  <c r="H187" i="4"/>
  <c r="R203" i="4"/>
  <c r="R90" i="6"/>
  <c r="R96" i="5"/>
  <c r="N114" i="3"/>
  <c r="N117" i="3"/>
  <c r="N109" i="3"/>
  <c r="N120" i="3"/>
  <c r="N119" i="3"/>
  <c r="N116" i="3"/>
  <c r="N118" i="3"/>
  <c r="N115" i="3"/>
  <c r="N113" i="3"/>
  <c r="N112" i="3"/>
  <c r="N111" i="3"/>
  <c r="U188" i="4"/>
  <c r="U47" i="4"/>
  <c r="L171" i="4"/>
  <c r="P202" i="4"/>
  <c r="P115" i="6"/>
  <c r="P61" i="6"/>
  <c r="P203" i="7" s="1"/>
  <c r="O122" i="6"/>
  <c r="O68" i="6"/>
  <c r="O210" i="7" s="1"/>
  <c r="O95" i="6"/>
  <c r="M135" i="5"/>
  <c r="M81" i="5"/>
  <c r="M136" i="7" s="1"/>
  <c r="M108" i="5"/>
  <c r="H186" i="4"/>
  <c r="K107" i="5"/>
  <c r="M202" i="4"/>
  <c r="R200" i="4"/>
  <c r="Q115" i="6"/>
  <c r="Q61" i="6"/>
  <c r="Q203" i="7" s="1"/>
  <c r="Q88" i="6"/>
  <c r="L134" i="5"/>
  <c r="L80" i="5"/>
  <c r="L135" i="7" s="1"/>
  <c r="L107" i="5"/>
  <c r="N129" i="6"/>
  <c r="N75" i="6"/>
  <c r="N217" i="7" s="1"/>
  <c r="N102" i="6"/>
  <c r="N121" i="5"/>
  <c r="N67" i="5"/>
  <c r="N122" i="7" s="1"/>
  <c r="K216" i="4"/>
  <c r="K214" i="4"/>
  <c r="O114" i="6"/>
  <c r="O60" i="6"/>
  <c r="O202" i="7" s="1"/>
  <c r="R150" i="4"/>
  <c r="R204" i="4"/>
  <c r="R8" i="3"/>
  <c r="O170" i="4"/>
  <c r="O31" i="4"/>
  <c r="O251" i="4" s="1"/>
  <c r="I189" i="4"/>
  <c r="I270" i="4"/>
  <c r="K173" i="4"/>
  <c r="K175" i="4"/>
  <c r="R201" i="4"/>
  <c r="P200" i="4"/>
  <c r="P87" i="6"/>
  <c r="P93" i="5"/>
  <c r="J184" i="4"/>
  <c r="J46" i="4"/>
  <c r="J265" i="4" s="1"/>
  <c r="R73" i="5"/>
  <c r="R128" i="7" s="1"/>
  <c r="R127" i="5"/>
  <c r="R100" i="5"/>
  <c r="L18" i="3"/>
  <c r="J213" i="4"/>
  <c r="P201" i="4"/>
  <c r="P88" i="6"/>
  <c r="P94" i="5"/>
  <c r="R202" i="4"/>
  <c r="S110" i="3"/>
  <c r="K20" i="4"/>
  <c r="Q143" i="4"/>
  <c r="Q197" i="4"/>
  <c r="Q7" i="3"/>
  <c r="Q4" i="4"/>
  <c r="P122" i="6"/>
  <c r="P68" i="6"/>
  <c r="P210" i="7" s="1"/>
  <c r="P95" i="6"/>
  <c r="R249" i="4"/>
  <c r="R30" i="4"/>
  <c r="R168" i="4"/>
  <c r="R250" i="4"/>
  <c r="R263" i="4"/>
  <c r="R259" i="4"/>
  <c r="R261" i="4"/>
  <c r="R255" i="4"/>
  <c r="R257" i="4"/>
  <c r="R256" i="4"/>
  <c r="R262" i="4"/>
  <c r="R252" i="4"/>
  <c r="R254" i="4"/>
  <c r="R260" i="4"/>
  <c r="R253" i="4"/>
  <c r="R258" i="4"/>
  <c r="T17" i="3"/>
  <c r="T110" i="3" s="1"/>
  <c r="L238" i="4"/>
  <c r="N252" i="4"/>
  <c r="N30" i="4"/>
  <c r="N249" i="4"/>
  <c r="N168" i="4"/>
  <c r="N250" i="4"/>
  <c r="N259" i="4"/>
  <c r="N257" i="4"/>
  <c r="N262" i="4"/>
  <c r="N255" i="4"/>
  <c r="N261" i="4"/>
  <c r="N263" i="4"/>
  <c r="N260" i="4"/>
  <c r="N258" i="4"/>
  <c r="N256" i="4"/>
  <c r="N254" i="4"/>
  <c r="J25" i="4"/>
  <c r="J23" i="4"/>
  <c r="J20" i="4" s="1"/>
  <c r="P7" i="4"/>
  <c r="H24" i="4"/>
  <c r="L11" i="4"/>
  <c r="I22" i="4"/>
  <c r="H47" i="4"/>
  <c r="L33" i="4"/>
  <c r="J19" i="4" l="1"/>
  <c r="J157" i="4"/>
  <c r="J211" i="4"/>
  <c r="J238" i="4"/>
  <c r="J19" i="3"/>
  <c r="L170" i="4"/>
  <c r="L31" i="4"/>
  <c r="L253" i="4" s="1"/>
  <c r="H184" i="4"/>
  <c r="H46" i="4"/>
  <c r="H265" i="4" s="1"/>
  <c r="K171" i="4"/>
  <c r="G186" i="4"/>
  <c r="G187" i="4"/>
  <c r="R121" i="6"/>
  <c r="R67" i="6"/>
  <c r="R209" i="7" s="1"/>
  <c r="R94" i="6"/>
  <c r="L128" i="6"/>
  <c r="L74" i="6"/>
  <c r="L216" i="7" s="1"/>
  <c r="L101" i="6"/>
  <c r="L202" i="4"/>
  <c r="H189" i="4"/>
  <c r="H270" i="4"/>
  <c r="T181" i="4"/>
  <c r="L17" i="3"/>
  <c r="L110" i="3" s="1"/>
  <c r="O30" i="4"/>
  <c r="O168" i="4"/>
  <c r="O249" i="4"/>
  <c r="O250" i="4"/>
  <c r="O259" i="4"/>
  <c r="O257" i="4"/>
  <c r="O262" i="4"/>
  <c r="O255" i="4"/>
  <c r="O261" i="4"/>
  <c r="O260" i="4"/>
  <c r="O263" i="4"/>
  <c r="O258" i="4"/>
  <c r="O254" i="4"/>
  <c r="O256" i="4"/>
  <c r="O252" i="4"/>
  <c r="O253" i="4"/>
  <c r="M129" i="6"/>
  <c r="M75" i="6"/>
  <c r="M217" i="7" s="1"/>
  <c r="M102" i="6"/>
  <c r="I213" i="4"/>
  <c r="S179" i="4"/>
  <c r="S40" i="4"/>
  <c r="U184" i="4"/>
  <c r="U46" i="4"/>
  <c r="M121" i="5"/>
  <c r="M67" i="5"/>
  <c r="M122" i="7" s="1"/>
  <c r="M114" i="3"/>
  <c r="M120" i="3"/>
  <c r="M117" i="3"/>
  <c r="M119" i="3"/>
  <c r="M118" i="3"/>
  <c r="M113" i="3"/>
  <c r="M109" i="3"/>
  <c r="M115" i="3"/>
  <c r="M116" i="3"/>
  <c r="M112" i="3"/>
  <c r="M111" i="3"/>
  <c r="Q110" i="6"/>
  <c r="Q66" i="3"/>
  <c r="Q56" i="6"/>
  <c r="Q198" i="7" s="1"/>
  <c r="Q83" i="6"/>
  <c r="H215" i="4"/>
  <c r="K157" i="4"/>
  <c r="K211" i="4"/>
  <c r="K19" i="4"/>
  <c r="K19" i="3"/>
  <c r="J81" i="5"/>
  <c r="J136" i="7" s="1"/>
  <c r="J135" i="5"/>
  <c r="J108" i="5"/>
  <c r="Q62" i="5"/>
  <c r="Q117" i="7" s="1"/>
  <c r="Q116" i="5"/>
  <c r="Q36" i="3"/>
  <c r="Q89" i="5"/>
  <c r="P198" i="4"/>
  <c r="Q141" i="4"/>
  <c r="Q195" i="4"/>
  <c r="Q222" i="4"/>
  <c r="Q232" i="4"/>
  <c r="Q236" i="4"/>
  <c r="Q234" i="4"/>
  <c r="Q235" i="4"/>
  <c r="Q233" i="4"/>
  <c r="Q231" i="4"/>
  <c r="Q223" i="4"/>
  <c r="Q229" i="4"/>
  <c r="Q228" i="4"/>
  <c r="Q230" i="4"/>
  <c r="Q227" i="4"/>
  <c r="Q225" i="4"/>
  <c r="Q226" i="4"/>
  <c r="K134" i="5"/>
  <c r="K80" i="5"/>
  <c r="K135" i="7" s="1"/>
  <c r="N127" i="5"/>
  <c r="N73" i="5"/>
  <c r="N128" i="7" s="1"/>
  <c r="N100" i="5"/>
  <c r="M170" i="4"/>
  <c r="M31" i="4"/>
  <c r="M251" i="4" s="1"/>
  <c r="T116" i="3"/>
  <c r="T114" i="3"/>
  <c r="T113" i="3"/>
  <c r="T117" i="3"/>
  <c r="T118" i="3"/>
  <c r="T119" i="3"/>
  <c r="T109" i="3"/>
  <c r="T115" i="3"/>
  <c r="T120" i="3"/>
  <c r="T112" i="3"/>
  <c r="T111" i="3"/>
  <c r="Q5" i="3"/>
  <c r="L129" i="6"/>
  <c r="L75" i="6"/>
  <c r="L217" i="7" s="1"/>
  <c r="L102" i="6"/>
  <c r="N115" i="6"/>
  <c r="N61" i="6"/>
  <c r="N203" i="7" s="1"/>
  <c r="N128" i="5"/>
  <c r="N74" i="5"/>
  <c r="N129" i="7" s="1"/>
  <c r="N101" i="5"/>
  <c r="L172" i="4"/>
  <c r="G188" i="4"/>
  <c r="J214" i="4"/>
  <c r="J107" i="5"/>
  <c r="J241" i="4"/>
  <c r="J216" i="4"/>
  <c r="J243" i="4"/>
  <c r="Q224" i="4"/>
  <c r="L121" i="5"/>
  <c r="L67" i="5"/>
  <c r="L122" i="7" s="1"/>
  <c r="Q125" i="5"/>
  <c r="Q71" i="5"/>
  <c r="Q126" i="7" s="1"/>
  <c r="Q98" i="5"/>
  <c r="J264" i="4"/>
  <c r="J272" i="4"/>
  <c r="J273" i="4"/>
  <c r="J271" i="4"/>
  <c r="J266" i="4"/>
  <c r="J269" i="4"/>
  <c r="J267" i="4"/>
  <c r="J268" i="4"/>
  <c r="J270" i="4"/>
  <c r="Q132" i="5"/>
  <c r="Q78" i="5"/>
  <c r="Q133" i="7" s="1"/>
  <c r="Q105" i="5"/>
  <c r="S127" i="5"/>
  <c r="S73" i="5"/>
  <c r="S128" i="7" s="1"/>
  <c r="S100" i="5"/>
  <c r="I264" i="4"/>
  <c r="I272" i="4"/>
  <c r="I273" i="4"/>
  <c r="I271" i="4"/>
  <c r="I266" i="4"/>
  <c r="I269" i="4"/>
  <c r="I267" i="4"/>
  <c r="I268" i="4"/>
  <c r="O12" i="4"/>
  <c r="I23" i="4"/>
  <c r="S17" i="4"/>
  <c r="S9" i="4"/>
  <c r="N9" i="4"/>
  <c r="K10" i="4"/>
  <c r="O10" i="4"/>
  <c r="G24" i="4"/>
  <c r="I25" i="4"/>
  <c r="O9" i="4"/>
  <c r="K11" i="4"/>
  <c r="S12" i="4"/>
  <c r="N12" i="4"/>
  <c r="S10" i="4"/>
  <c r="N10" i="4"/>
  <c r="S11" i="4"/>
  <c r="R8" i="4"/>
  <c r="R7" i="4"/>
  <c r="U24" i="4"/>
  <c r="P8" i="4"/>
  <c r="H22" i="4"/>
  <c r="O4" i="5"/>
  <c r="O47" i="6" s="1"/>
  <c r="G215" i="4" l="1"/>
  <c r="H213" i="4"/>
  <c r="R198" i="4"/>
  <c r="R6" i="4"/>
  <c r="K202" i="4"/>
  <c r="S208" i="4"/>
  <c r="T172" i="4"/>
  <c r="T33" i="4"/>
  <c r="M128" i="5"/>
  <c r="M74" i="5"/>
  <c r="M129" i="7" s="1"/>
  <c r="M101" i="5"/>
  <c r="K243" i="4"/>
  <c r="K156" i="4"/>
  <c r="K237" i="4"/>
  <c r="K245" i="4"/>
  <c r="K246" i="4"/>
  <c r="K244" i="4"/>
  <c r="K239" i="4"/>
  <c r="K242" i="4"/>
  <c r="K240" i="4"/>
  <c r="K241" i="4"/>
  <c r="N120" i="5"/>
  <c r="N66" i="5"/>
  <c r="N121" i="7" s="1"/>
  <c r="S121" i="6"/>
  <c r="S67" i="6"/>
  <c r="S209" i="7" s="1"/>
  <c r="S94" i="6"/>
  <c r="K128" i="6"/>
  <c r="K74" i="6"/>
  <c r="K216" i="7" s="1"/>
  <c r="K101" i="6"/>
  <c r="F188" i="4"/>
  <c r="U215" i="4"/>
  <c r="U20" i="4"/>
  <c r="O200" i="4"/>
  <c r="O87" i="6"/>
  <c r="O93" i="5"/>
  <c r="O201" i="4"/>
  <c r="O88" i="6"/>
  <c r="O94" i="5"/>
  <c r="I214" i="4"/>
  <c r="N122" i="6"/>
  <c r="N68" i="6"/>
  <c r="N210" i="7" s="1"/>
  <c r="N95" i="6"/>
  <c r="P71" i="5"/>
  <c r="P126" i="7" s="1"/>
  <c r="P125" i="5"/>
  <c r="P98" i="5"/>
  <c r="H271" i="4"/>
  <c r="H264" i="4"/>
  <c r="H272" i="4"/>
  <c r="H273" i="4"/>
  <c r="H266" i="4"/>
  <c r="H269" i="4"/>
  <c r="H268" i="4"/>
  <c r="H267" i="4"/>
  <c r="G189" i="4"/>
  <c r="J173" i="4"/>
  <c r="F186" i="4"/>
  <c r="N87" i="6"/>
  <c r="T179" i="4"/>
  <c r="T40" i="4"/>
  <c r="R199" i="4"/>
  <c r="K201" i="4"/>
  <c r="O203" i="4"/>
  <c r="O96" i="5"/>
  <c r="K81" i="5"/>
  <c r="K136" i="7" s="1"/>
  <c r="K135" i="5"/>
  <c r="K108" i="5"/>
  <c r="S80" i="5"/>
  <c r="S135" i="7" s="1"/>
  <c r="S134" i="5"/>
  <c r="S107" i="5"/>
  <c r="I20" i="4"/>
  <c r="G47" i="4"/>
  <c r="J174" i="4"/>
  <c r="F187" i="4"/>
  <c r="N94" i="5"/>
  <c r="N201" i="4"/>
  <c r="N88" i="6"/>
  <c r="N93" i="5"/>
  <c r="N200" i="4"/>
  <c r="Q188" i="3"/>
  <c r="Q218" i="3"/>
  <c r="L136" i="5"/>
  <c r="L82" i="5"/>
  <c r="L137" i="7" s="1"/>
  <c r="L109" i="5"/>
  <c r="L249" i="4"/>
  <c r="L168" i="4"/>
  <c r="L250" i="4"/>
  <c r="L259" i="4"/>
  <c r="L257" i="4"/>
  <c r="L255" i="4"/>
  <c r="L262" i="4"/>
  <c r="L261" i="4"/>
  <c r="L260" i="4"/>
  <c r="L263" i="4"/>
  <c r="L258" i="4"/>
  <c r="L254" i="4"/>
  <c r="L256" i="4"/>
  <c r="L30" i="4"/>
  <c r="L252" i="4"/>
  <c r="R80" i="5"/>
  <c r="R135" i="7" s="1"/>
  <c r="R134" i="5"/>
  <c r="R107" i="5"/>
  <c r="J80" i="5"/>
  <c r="J135" i="7" s="1"/>
  <c r="J134" i="5"/>
  <c r="K18" i="3"/>
  <c r="O69" i="5"/>
  <c r="O124" i="7" s="1"/>
  <c r="O123" i="5"/>
  <c r="L251" i="4"/>
  <c r="P199" i="4"/>
  <c r="J175" i="4"/>
  <c r="S202" i="4"/>
  <c r="S201" i="4"/>
  <c r="I216" i="4"/>
  <c r="Q4" i="3"/>
  <c r="Q97" i="3" s="1"/>
  <c r="M258" i="4"/>
  <c r="M30" i="4"/>
  <c r="M168" i="4"/>
  <c r="M249" i="4"/>
  <c r="M250" i="4"/>
  <c r="M259" i="4"/>
  <c r="M257" i="4"/>
  <c r="M255" i="4"/>
  <c r="M262" i="4"/>
  <c r="M261" i="4"/>
  <c r="M260" i="4"/>
  <c r="M263" i="4"/>
  <c r="M256" i="4"/>
  <c r="M254" i="4"/>
  <c r="M252" i="4"/>
  <c r="M253" i="4"/>
  <c r="P6" i="4"/>
  <c r="K238" i="4"/>
  <c r="S177" i="4"/>
  <c r="S31" i="4"/>
  <c r="S258" i="4" s="1"/>
  <c r="L74" i="5"/>
  <c r="L129" i="7" s="1"/>
  <c r="L128" i="5"/>
  <c r="L101" i="5"/>
  <c r="J244" i="4"/>
  <c r="J156" i="4"/>
  <c r="J237" i="4"/>
  <c r="J245" i="4"/>
  <c r="J246" i="4"/>
  <c r="J239" i="4"/>
  <c r="J242" i="4"/>
  <c r="J240" i="4"/>
  <c r="I107" i="5"/>
  <c r="S93" i="5"/>
  <c r="N203" i="4"/>
  <c r="S200" i="4"/>
  <c r="N121" i="6"/>
  <c r="N67" i="6"/>
  <c r="N209" i="7" s="1"/>
  <c r="N94" i="6"/>
  <c r="I135" i="5"/>
  <c r="I81" i="5"/>
  <c r="I136" i="7" s="1"/>
  <c r="I108" i="5"/>
  <c r="M73" i="5"/>
  <c r="M128" i="7" s="1"/>
  <c r="M127" i="5"/>
  <c r="M100" i="5"/>
  <c r="P62" i="5"/>
  <c r="P117" i="7" s="1"/>
  <c r="P116" i="5"/>
  <c r="P36" i="3"/>
  <c r="P89" i="5"/>
  <c r="U265" i="4"/>
  <c r="U264" i="4"/>
  <c r="U272" i="4"/>
  <c r="U273" i="4"/>
  <c r="U271" i="4"/>
  <c r="U267" i="4"/>
  <c r="U268" i="4"/>
  <c r="U266" i="4"/>
  <c r="U270" i="4"/>
  <c r="U269" i="4"/>
  <c r="P78" i="5"/>
  <c r="P133" i="7" s="1"/>
  <c r="P132" i="5"/>
  <c r="P105" i="5"/>
  <c r="L120" i="3"/>
  <c r="L114" i="3"/>
  <c r="L118" i="3"/>
  <c r="L115" i="3"/>
  <c r="L116" i="3"/>
  <c r="L113" i="3"/>
  <c r="L117" i="3"/>
  <c r="L119" i="3"/>
  <c r="L109" i="3"/>
  <c r="L112" i="3"/>
  <c r="L111" i="3"/>
  <c r="L115" i="6"/>
  <c r="L61" i="6"/>
  <c r="L203" i="7" s="1"/>
  <c r="S96" i="5"/>
  <c r="S90" i="6"/>
  <c r="S203" i="4"/>
  <c r="M115" i="6"/>
  <c r="M61" i="6"/>
  <c r="M203" i="7" s="1"/>
  <c r="O68" i="5"/>
  <c r="O123" i="7" s="1"/>
  <c r="O122" i="5"/>
  <c r="O95" i="5"/>
  <c r="N122" i="5"/>
  <c r="N68" i="5"/>
  <c r="N123" i="7" s="1"/>
  <c r="N95" i="5"/>
  <c r="J18" i="3"/>
  <c r="H23" i="4"/>
  <c r="T17" i="4"/>
  <c r="H25" i="4"/>
  <c r="G22" i="4"/>
  <c r="N7" i="4"/>
  <c r="O7" i="4"/>
  <c r="S7" i="4"/>
  <c r="F47" i="4"/>
  <c r="N4" i="5"/>
  <c r="N47" i="6" s="1"/>
  <c r="S15" i="4"/>
  <c r="F24" i="4"/>
  <c r="F215" i="4" l="1"/>
  <c r="F184" i="4"/>
  <c r="S206" i="4"/>
  <c r="S13" i="4"/>
  <c r="T208" i="4"/>
  <c r="S198" i="4"/>
  <c r="E188" i="4"/>
  <c r="O198" i="4"/>
  <c r="E187" i="4"/>
  <c r="H214" i="4"/>
  <c r="M66" i="5"/>
  <c r="M121" i="7" s="1"/>
  <c r="M120" i="5"/>
  <c r="P188" i="3"/>
  <c r="Q105" i="3"/>
  <c r="Q102" i="3"/>
  <c r="Q101" i="3"/>
  <c r="Q103" i="3"/>
  <c r="Q104" i="3"/>
  <c r="Q96" i="3"/>
  <c r="Q108" i="3"/>
  <c r="Q106" i="3"/>
  <c r="Q107" i="3"/>
  <c r="Q100" i="3"/>
  <c r="Q98" i="3"/>
  <c r="Q99" i="3"/>
  <c r="J128" i="6"/>
  <c r="J74" i="6"/>
  <c r="J216" i="7" s="1"/>
  <c r="J101" i="6"/>
  <c r="O117" i="6"/>
  <c r="O144" i="6"/>
  <c r="O63" i="6"/>
  <c r="L127" i="5"/>
  <c r="L73" i="5"/>
  <c r="L128" i="7" s="1"/>
  <c r="L100" i="5"/>
  <c r="T170" i="4"/>
  <c r="T31" i="4"/>
  <c r="T258" i="4" s="1"/>
  <c r="S128" i="6"/>
  <c r="S74" i="6"/>
  <c r="S216" i="7" s="1"/>
  <c r="S101" i="6"/>
  <c r="I175" i="4"/>
  <c r="I11" i="4"/>
  <c r="I62" i="6"/>
  <c r="I256" i="4"/>
  <c r="I173" i="4"/>
  <c r="E186" i="4"/>
  <c r="I174" i="4"/>
  <c r="G213" i="4"/>
  <c r="N69" i="5"/>
  <c r="N124" i="7" s="1"/>
  <c r="N123" i="5"/>
  <c r="O116" i="6"/>
  <c r="O62" i="6"/>
  <c r="O204" i="7" s="1"/>
  <c r="O89" i="6"/>
  <c r="T177" i="4"/>
  <c r="R128" i="6"/>
  <c r="R74" i="6"/>
  <c r="R216" i="7" s="1"/>
  <c r="R101" i="6"/>
  <c r="J129" i="6"/>
  <c r="J75" i="6"/>
  <c r="J217" i="7" s="1"/>
  <c r="J102" i="6"/>
  <c r="Q126" i="6"/>
  <c r="Q72" i="6"/>
  <c r="Q214" i="7" s="1"/>
  <c r="Q99" i="6"/>
  <c r="P110" i="6"/>
  <c r="P66" i="3"/>
  <c r="P56" i="6"/>
  <c r="P198" i="7" s="1"/>
  <c r="P83" i="6"/>
  <c r="N116" i="6"/>
  <c r="N62" i="6"/>
  <c r="N204" i="7" s="1"/>
  <c r="N89" i="6"/>
  <c r="S120" i="5"/>
  <c r="S66" i="5"/>
  <c r="S121" i="7" s="1"/>
  <c r="K129" i="6"/>
  <c r="K75" i="6"/>
  <c r="K217" i="7" s="1"/>
  <c r="K102" i="6"/>
  <c r="M122" i="5"/>
  <c r="M68" i="5"/>
  <c r="M123" i="7" s="1"/>
  <c r="M95" i="5"/>
  <c r="G184" i="4"/>
  <c r="G46" i="4"/>
  <c r="M122" i="6"/>
  <c r="M68" i="6"/>
  <c r="M210" i="7" s="1"/>
  <c r="M95" i="6"/>
  <c r="R120" i="5"/>
  <c r="R66" i="5"/>
  <c r="R121" i="7" s="1"/>
  <c r="R93" i="5"/>
  <c r="N198" i="4"/>
  <c r="H216" i="4"/>
  <c r="L130" i="6"/>
  <c r="L157" i="6"/>
  <c r="L76" i="6"/>
  <c r="L103" i="6"/>
  <c r="I211" i="4"/>
  <c r="I157" i="4"/>
  <c r="I19" i="4"/>
  <c r="I19" i="3"/>
  <c r="H20" i="4"/>
  <c r="F189" i="4"/>
  <c r="J171" i="4"/>
  <c r="K82" i="5"/>
  <c r="K137" i="7" s="1"/>
  <c r="K136" i="5"/>
  <c r="K109" i="5"/>
  <c r="I134" i="5"/>
  <c r="I80" i="5"/>
  <c r="I135" i="7" s="1"/>
  <c r="K17" i="3"/>
  <c r="K110" i="3" s="1"/>
  <c r="U211" i="4"/>
  <c r="U157" i="4"/>
  <c r="U19" i="4"/>
  <c r="U19" i="3"/>
  <c r="J17" i="3"/>
  <c r="J110" i="3" s="1"/>
  <c r="M121" i="6"/>
  <c r="M67" i="6"/>
  <c r="M209" i="7" s="1"/>
  <c r="M94" i="6"/>
  <c r="L122" i="6"/>
  <c r="L68" i="6"/>
  <c r="L210" i="7" s="1"/>
  <c r="L95" i="6"/>
  <c r="P143" i="4"/>
  <c r="P197" i="4"/>
  <c r="P7" i="3"/>
  <c r="P4" i="4"/>
  <c r="N96" i="5"/>
  <c r="S249" i="4"/>
  <c r="S168" i="4"/>
  <c r="S30" i="4"/>
  <c r="S250" i="4"/>
  <c r="S263" i="4"/>
  <c r="S261" i="4"/>
  <c r="S259" i="4"/>
  <c r="S255" i="4"/>
  <c r="S257" i="4"/>
  <c r="S256" i="4"/>
  <c r="S254" i="4"/>
  <c r="S252" i="4"/>
  <c r="S253" i="4"/>
  <c r="S251" i="4"/>
  <c r="S262" i="4"/>
  <c r="S260" i="4"/>
  <c r="K172" i="4"/>
  <c r="K33" i="4"/>
  <c r="O90" i="6"/>
  <c r="N114" i="6"/>
  <c r="N60" i="6"/>
  <c r="N202" i="7" s="1"/>
  <c r="R197" i="4"/>
  <c r="R143" i="4"/>
  <c r="R7" i="3"/>
  <c r="R4" i="4"/>
  <c r="M9" i="4"/>
  <c r="O8" i="4"/>
  <c r="O6" i="4" s="1"/>
  <c r="M10" i="4"/>
  <c r="E24" i="4"/>
  <c r="J10" i="4"/>
  <c r="J11" i="4"/>
  <c r="N8" i="4"/>
  <c r="N6" i="4" s="1"/>
  <c r="G23" i="4"/>
  <c r="M12" i="4"/>
  <c r="S8" i="4"/>
  <c r="S6" i="4" s="1"/>
  <c r="G25" i="4"/>
  <c r="T15" i="4"/>
  <c r="M4" i="5"/>
  <c r="M47" i="6" s="1"/>
  <c r="F22" i="4"/>
  <c r="E47" i="4"/>
  <c r="J33" i="4"/>
  <c r="G20" i="4" l="1"/>
  <c r="S4" i="4"/>
  <c r="S143" i="4"/>
  <c r="S224" i="4"/>
  <c r="S197" i="4"/>
  <c r="S7" i="3"/>
  <c r="O143" i="4"/>
  <c r="O197" i="4"/>
  <c r="O7" i="3"/>
  <c r="O4" i="4"/>
  <c r="E184" i="4"/>
  <c r="J170" i="4"/>
  <c r="J31" i="4"/>
  <c r="G211" i="4"/>
  <c r="G19" i="4"/>
  <c r="G241" i="4" s="1"/>
  <c r="G157" i="4"/>
  <c r="G19" i="3"/>
  <c r="N143" i="4"/>
  <c r="N197" i="4"/>
  <c r="N7" i="3"/>
  <c r="N4" i="4"/>
  <c r="N226" i="4" s="1"/>
  <c r="E215" i="4"/>
  <c r="C188" i="4"/>
  <c r="M123" i="5"/>
  <c r="M69" i="5"/>
  <c r="M124" i="7" s="1"/>
  <c r="U244" i="4"/>
  <c r="U156" i="4"/>
  <c r="U237" i="4"/>
  <c r="U245" i="4"/>
  <c r="U246" i="4"/>
  <c r="U241" i="4"/>
  <c r="U240" i="4"/>
  <c r="U239" i="4"/>
  <c r="U243" i="4"/>
  <c r="U242" i="4"/>
  <c r="I244" i="4"/>
  <c r="I237" i="4"/>
  <c r="I156" i="4"/>
  <c r="I245" i="4"/>
  <c r="I246" i="4"/>
  <c r="I239" i="4"/>
  <c r="I242" i="4"/>
  <c r="I240" i="4"/>
  <c r="I243" i="4"/>
  <c r="I241" i="4"/>
  <c r="L121" i="6"/>
  <c r="L67" i="6"/>
  <c r="L209" i="7" s="1"/>
  <c r="L94" i="6"/>
  <c r="P122" i="5"/>
  <c r="P68" i="5"/>
  <c r="P123" i="7" s="1"/>
  <c r="P95" i="5"/>
  <c r="R71" i="5"/>
  <c r="R126" i="7" s="1"/>
  <c r="R125" i="5"/>
  <c r="R98" i="5"/>
  <c r="K157" i="6"/>
  <c r="K130" i="6"/>
  <c r="K76" i="6"/>
  <c r="K103" i="6"/>
  <c r="L120" i="5"/>
  <c r="L66" i="5"/>
  <c r="L121" i="7" s="1"/>
  <c r="M203" i="4"/>
  <c r="M96" i="5"/>
  <c r="J201" i="4"/>
  <c r="M87" i="6"/>
  <c r="M200" i="4"/>
  <c r="M93" i="5"/>
  <c r="I128" i="6"/>
  <c r="I74" i="6"/>
  <c r="I216" i="7" s="1"/>
  <c r="I101" i="6"/>
  <c r="M114" i="6"/>
  <c r="M60" i="6"/>
  <c r="M202" i="7" s="1"/>
  <c r="I129" i="6"/>
  <c r="I75" i="6"/>
  <c r="I217" i="7" s="1"/>
  <c r="I102" i="6"/>
  <c r="S110" i="6"/>
  <c r="S66" i="3"/>
  <c r="S56" i="6"/>
  <c r="S198" i="7" s="1"/>
  <c r="S83" i="6"/>
  <c r="P141" i="4"/>
  <c r="P195" i="4"/>
  <c r="P222" i="4"/>
  <c r="P223" i="4"/>
  <c r="P232" i="4"/>
  <c r="P234" i="4"/>
  <c r="P233" i="4"/>
  <c r="P231" i="4"/>
  <c r="P235" i="4"/>
  <c r="P236" i="4"/>
  <c r="P230" i="4"/>
  <c r="P229" i="4"/>
  <c r="P227" i="4"/>
  <c r="P228" i="4"/>
  <c r="P225" i="4"/>
  <c r="P226" i="4"/>
  <c r="J119" i="3"/>
  <c r="J113" i="3"/>
  <c r="J116" i="3"/>
  <c r="J117" i="3"/>
  <c r="J118" i="3"/>
  <c r="J120" i="3"/>
  <c r="J114" i="3"/>
  <c r="J109" i="3"/>
  <c r="J115" i="3"/>
  <c r="J112" i="3"/>
  <c r="J111" i="3"/>
  <c r="N144" i="6"/>
  <c r="N117" i="6"/>
  <c r="N63" i="6"/>
  <c r="N90" i="6"/>
  <c r="G271" i="4"/>
  <c r="G264" i="4"/>
  <c r="G272" i="4"/>
  <c r="G273" i="4"/>
  <c r="G266" i="4"/>
  <c r="G269" i="4"/>
  <c r="G268" i="4"/>
  <c r="G267" i="4"/>
  <c r="G270" i="4"/>
  <c r="R132" i="5"/>
  <c r="R78" i="5"/>
  <c r="R133" i="7" s="1"/>
  <c r="R105" i="5"/>
  <c r="G214" i="4"/>
  <c r="R222" i="4"/>
  <c r="R141" i="4"/>
  <c r="R195" i="4"/>
  <c r="R232" i="4"/>
  <c r="R234" i="4"/>
  <c r="R236" i="4"/>
  <c r="R223" i="4"/>
  <c r="R235" i="4"/>
  <c r="R233" i="4"/>
  <c r="R230" i="4"/>
  <c r="R228" i="4"/>
  <c r="R229" i="4"/>
  <c r="R227" i="4"/>
  <c r="R231" i="4"/>
  <c r="R225" i="4"/>
  <c r="R226" i="4"/>
  <c r="P5" i="3"/>
  <c r="J82" i="5"/>
  <c r="J137" i="7" s="1"/>
  <c r="J136" i="5"/>
  <c r="J109" i="5"/>
  <c r="S204" i="4"/>
  <c r="S150" i="4"/>
  <c r="S231" i="4"/>
  <c r="S8" i="3"/>
  <c r="Q119" i="6"/>
  <c r="Q65" i="6"/>
  <c r="Q207" i="7" s="1"/>
  <c r="Q92" i="6"/>
  <c r="D186" i="4"/>
  <c r="P126" i="6"/>
  <c r="P72" i="6"/>
  <c r="P214" i="7" s="1"/>
  <c r="P99" i="6"/>
  <c r="N199" i="4"/>
  <c r="R5" i="3"/>
  <c r="P224" i="4"/>
  <c r="H135" i="5"/>
  <c r="H81" i="5"/>
  <c r="H136" i="7" s="1"/>
  <c r="H108" i="5"/>
  <c r="M116" i="6"/>
  <c r="M62" i="6"/>
  <c r="M204" i="7" s="1"/>
  <c r="M89" i="6"/>
  <c r="G265" i="4"/>
  <c r="R116" i="5"/>
  <c r="R62" i="5"/>
  <c r="R117" i="7" s="1"/>
  <c r="R36" i="3"/>
  <c r="R89" i="5"/>
  <c r="K127" i="5"/>
  <c r="K73" i="5"/>
  <c r="K128" i="7" s="1"/>
  <c r="K100" i="5"/>
  <c r="H256" i="4"/>
  <c r="H11" i="4"/>
  <c r="H175" i="4"/>
  <c r="H62" i="6"/>
  <c r="D187" i="4"/>
  <c r="F213" i="4"/>
  <c r="I171" i="4"/>
  <c r="M94" i="5"/>
  <c r="M88" i="6"/>
  <c r="M201" i="4"/>
  <c r="R224" i="4"/>
  <c r="H157" i="4"/>
  <c r="H19" i="4"/>
  <c r="H238" i="4" s="1"/>
  <c r="H211" i="4"/>
  <c r="H19" i="3"/>
  <c r="L122" i="5"/>
  <c r="L68" i="5"/>
  <c r="L123" i="7" s="1"/>
  <c r="L95" i="5"/>
  <c r="J172" i="4"/>
  <c r="J253" i="4"/>
  <c r="E189" i="4"/>
  <c r="H174" i="4"/>
  <c r="T206" i="4"/>
  <c r="T13" i="4"/>
  <c r="G216" i="4"/>
  <c r="G243" i="4"/>
  <c r="J202" i="4"/>
  <c r="K170" i="4"/>
  <c r="K31" i="4"/>
  <c r="S78" i="5"/>
  <c r="S133" i="7" s="1"/>
  <c r="S132" i="5"/>
  <c r="S105" i="5"/>
  <c r="S62" i="5"/>
  <c r="S117" i="7" s="1"/>
  <c r="S116" i="5"/>
  <c r="S36" i="3"/>
  <c r="S89" i="5"/>
  <c r="K121" i="5"/>
  <c r="K67" i="5"/>
  <c r="K122" i="7" s="1"/>
  <c r="K94" i="5"/>
  <c r="S125" i="5"/>
  <c r="S71" i="5"/>
  <c r="S126" i="7" s="1"/>
  <c r="S98" i="5"/>
  <c r="U18" i="3"/>
  <c r="S114" i="6"/>
  <c r="S60" i="6"/>
  <c r="S202" i="7" s="1"/>
  <c r="S87" i="6"/>
  <c r="H134" i="5"/>
  <c r="H80" i="5"/>
  <c r="H135" i="7" s="1"/>
  <c r="I18" i="3"/>
  <c r="I229" i="4"/>
  <c r="I89" i="6"/>
  <c r="I95" i="5"/>
  <c r="I202" i="4"/>
  <c r="T251" i="4"/>
  <c r="T249" i="4"/>
  <c r="T30" i="4"/>
  <c r="T168" i="4"/>
  <c r="T250" i="4"/>
  <c r="T263" i="4"/>
  <c r="T261" i="4"/>
  <c r="T259" i="4"/>
  <c r="T255" i="4"/>
  <c r="T257" i="4"/>
  <c r="T256" i="4"/>
  <c r="T254" i="4"/>
  <c r="T252" i="4"/>
  <c r="T262" i="4"/>
  <c r="T260" i="4"/>
  <c r="T253" i="4"/>
  <c r="H107" i="5"/>
  <c r="D188" i="4"/>
  <c r="H173" i="4"/>
  <c r="S199" i="4"/>
  <c r="S226" i="4"/>
  <c r="O199" i="4"/>
  <c r="O226" i="4"/>
  <c r="U238" i="4"/>
  <c r="K120" i="3"/>
  <c r="K115" i="3"/>
  <c r="K114" i="3"/>
  <c r="K119" i="3"/>
  <c r="K116" i="3"/>
  <c r="K113" i="3"/>
  <c r="K117" i="3"/>
  <c r="K109" i="3"/>
  <c r="K118" i="3"/>
  <c r="K112" i="3"/>
  <c r="K111" i="3"/>
  <c r="I238" i="4"/>
  <c r="R81" i="5"/>
  <c r="R136" i="7" s="1"/>
  <c r="R135" i="5"/>
  <c r="R108" i="5"/>
  <c r="P218" i="3"/>
  <c r="R114" i="6"/>
  <c r="R60" i="6"/>
  <c r="R202" i="7" s="1"/>
  <c r="R87" i="6"/>
  <c r="F25" i="4"/>
  <c r="L9" i="4"/>
  <c r="T10" i="4"/>
  <c r="L12" i="4"/>
  <c r="T12" i="4"/>
  <c r="T9" i="4"/>
  <c r="L10" i="4"/>
  <c r="I10" i="4"/>
  <c r="T11" i="4"/>
  <c r="F23" i="4"/>
  <c r="D24" i="4"/>
  <c r="E22" i="4"/>
  <c r="M7" i="4"/>
  <c r="F20" i="4" l="1"/>
  <c r="F157" i="4" s="1"/>
  <c r="D215" i="4"/>
  <c r="I172" i="4"/>
  <c r="T202" i="4"/>
  <c r="S188" i="3"/>
  <c r="H129" i="6"/>
  <c r="H75" i="6"/>
  <c r="H217" i="7" s="1"/>
  <c r="H102" i="6"/>
  <c r="I136" i="5"/>
  <c r="I82" i="5"/>
  <c r="I137" i="7" s="1"/>
  <c r="I109" i="5"/>
  <c r="Q122" i="5"/>
  <c r="Q68" i="5"/>
  <c r="Q123" i="7" s="1"/>
  <c r="Q95" i="5"/>
  <c r="K115" i="6"/>
  <c r="K61" i="6"/>
  <c r="K203" i="7" s="1"/>
  <c r="K88" i="6"/>
  <c r="S5" i="3"/>
  <c r="P119" i="6"/>
  <c r="P65" i="6"/>
  <c r="P207" i="7" s="1"/>
  <c r="P92" i="6"/>
  <c r="R110" i="6"/>
  <c r="R66" i="3"/>
  <c r="R56" i="6"/>
  <c r="R198" i="7" s="1"/>
  <c r="R83" i="6"/>
  <c r="G174" i="4"/>
  <c r="T96" i="5"/>
  <c r="T203" i="4"/>
  <c r="T90" i="6"/>
  <c r="L69" i="5"/>
  <c r="L124" i="7" s="1"/>
  <c r="L123" i="5"/>
  <c r="R67" i="5"/>
  <c r="R122" i="7" s="1"/>
  <c r="R121" i="5"/>
  <c r="R94" i="5"/>
  <c r="J262" i="4"/>
  <c r="J168" i="4"/>
  <c r="J249" i="4"/>
  <c r="J30" i="4"/>
  <c r="J250" i="4"/>
  <c r="J259" i="4"/>
  <c r="J257" i="4"/>
  <c r="J261" i="4"/>
  <c r="J260" i="4"/>
  <c r="J263" i="4"/>
  <c r="J258" i="4"/>
  <c r="J255" i="4"/>
  <c r="J254" i="4"/>
  <c r="J256" i="4"/>
  <c r="J252" i="4"/>
  <c r="O232" i="4"/>
  <c r="O141" i="4"/>
  <c r="O195" i="4"/>
  <c r="O222" i="4"/>
  <c r="O223" i="4"/>
  <c r="O234" i="4"/>
  <c r="O233" i="4"/>
  <c r="O236" i="4"/>
  <c r="O235" i="4"/>
  <c r="O231" i="4"/>
  <c r="O229" i="4"/>
  <c r="O230" i="4"/>
  <c r="O228" i="4"/>
  <c r="O227" i="4"/>
  <c r="O225" i="4"/>
  <c r="D189" i="4"/>
  <c r="I201" i="4"/>
  <c r="L200" i="4"/>
  <c r="L93" i="5"/>
  <c r="L87" i="6"/>
  <c r="K251" i="4"/>
  <c r="K249" i="4"/>
  <c r="K30" i="4"/>
  <c r="K168" i="4"/>
  <c r="K250" i="4"/>
  <c r="K259" i="4"/>
  <c r="K257" i="4"/>
  <c r="K261" i="4"/>
  <c r="K262" i="4"/>
  <c r="K263" i="4"/>
  <c r="K260" i="4"/>
  <c r="K258" i="4"/>
  <c r="K256" i="4"/>
  <c r="K255" i="4"/>
  <c r="K254" i="4"/>
  <c r="K252" i="4"/>
  <c r="K253" i="4"/>
  <c r="H18" i="3"/>
  <c r="V129" i="5"/>
  <c r="V75" i="5"/>
  <c r="V130" i="7" s="1"/>
  <c r="J73" i="5"/>
  <c r="J128" i="7" s="1"/>
  <c r="J127" i="5"/>
  <c r="J100" i="5"/>
  <c r="M117" i="6"/>
  <c r="M144" i="6"/>
  <c r="M63" i="6"/>
  <c r="S218" i="3"/>
  <c r="G18" i="3"/>
  <c r="O5" i="3"/>
  <c r="C186" i="4"/>
  <c r="E213" i="4"/>
  <c r="L201" i="4"/>
  <c r="L94" i="5"/>
  <c r="L88" i="6"/>
  <c r="I17" i="3"/>
  <c r="I110" i="3" s="1"/>
  <c r="G80" i="5"/>
  <c r="G135" i="7" s="1"/>
  <c r="G134" i="5"/>
  <c r="K68" i="5"/>
  <c r="K123" i="7" s="1"/>
  <c r="K122" i="5"/>
  <c r="K95" i="5"/>
  <c r="K74" i="5"/>
  <c r="K129" i="7" s="1"/>
  <c r="K128" i="5"/>
  <c r="K101" i="5"/>
  <c r="J130" i="6"/>
  <c r="J157" i="6"/>
  <c r="J76" i="6"/>
  <c r="J103" i="6"/>
  <c r="N141" i="4"/>
  <c r="N195" i="4"/>
  <c r="N222" i="4"/>
  <c r="N223" i="4"/>
  <c r="N232" i="4"/>
  <c r="N234" i="4"/>
  <c r="N235" i="4"/>
  <c r="N233" i="4"/>
  <c r="N236" i="4"/>
  <c r="N231" i="4"/>
  <c r="N229" i="4"/>
  <c r="N227" i="4"/>
  <c r="N230" i="4"/>
  <c r="N228" i="4"/>
  <c r="N225" i="4"/>
  <c r="J251" i="4"/>
  <c r="O224" i="4"/>
  <c r="B186" i="4"/>
  <c r="G173" i="4"/>
  <c r="T200" i="4"/>
  <c r="G107" i="5"/>
  <c r="O116" i="5"/>
  <c r="O62" i="5"/>
  <c r="O117" i="7" s="1"/>
  <c r="O36" i="3"/>
  <c r="O89" i="5"/>
  <c r="N5" i="3"/>
  <c r="G240" i="4"/>
  <c r="G156" i="4"/>
  <c r="G237" i="4"/>
  <c r="G245" i="4"/>
  <c r="G246" i="4"/>
  <c r="G244" i="4"/>
  <c r="G239" i="4"/>
  <c r="G242" i="4"/>
  <c r="M198" i="4"/>
  <c r="G11" i="4"/>
  <c r="G175" i="4"/>
  <c r="G256" i="4"/>
  <c r="G62" i="6"/>
  <c r="L4" i="5"/>
  <c r="L47" i="6" s="1"/>
  <c r="L203" i="4"/>
  <c r="L96" i="5"/>
  <c r="R129" i="6"/>
  <c r="R75" i="6"/>
  <c r="R217" i="7" s="1"/>
  <c r="R102" i="6"/>
  <c r="U17" i="3"/>
  <c r="U110" i="3" s="1"/>
  <c r="T150" i="4"/>
  <c r="T204" i="4"/>
  <c r="T8" i="3"/>
  <c r="H242" i="4"/>
  <c r="H237" i="4"/>
  <c r="H156" i="4"/>
  <c r="H245" i="4"/>
  <c r="H246" i="4"/>
  <c r="H244" i="4"/>
  <c r="H239" i="4"/>
  <c r="H240" i="4"/>
  <c r="H241" i="4"/>
  <c r="H243" i="4"/>
  <c r="H89" i="6"/>
  <c r="H95" i="5"/>
  <c r="H229" i="4"/>
  <c r="H202" i="4"/>
  <c r="R188" i="3"/>
  <c r="K120" i="5"/>
  <c r="K66" i="5"/>
  <c r="K121" i="7" s="1"/>
  <c r="P4" i="3"/>
  <c r="P97" i="3" s="1"/>
  <c r="P116" i="6"/>
  <c r="P62" i="6"/>
  <c r="P204" i="7" s="1"/>
  <c r="P89" i="6"/>
  <c r="L114" i="6"/>
  <c r="L60" i="6"/>
  <c r="L202" i="7" s="1"/>
  <c r="C187" i="4"/>
  <c r="H171" i="4"/>
  <c r="F216" i="4"/>
  <c r="L116" i="6"/>
  <c r="L62" i="6"/>
  <c r="L204" i="7" s="1"/>
  <c r="L89" i="6"/>
  <c r="K121" i="6"/>
  <c r="K67" i="6"/>
  <c r="K209" i="7" s="1"/>
  <c r="K94" i="6"/>
  <c r="I33" i="4"/>
  <c r="R4" i="3"/>
  <c r="R97" i="3" s="1"/>
  <c r="D47" i="4"/>
  <c r="O132" i="5"/>
  <c r="O78" i="5"/>
  <c r="O133" i="7" s="1"/>
  <c r="O105" i="5"/>
  <c r="O125" i="5"/>
  <c r="O71" i="5"/>
  <c r="O126" i="7" s="1"/>
  <c r="O98" i="5"/>
  <c r="N224" i="4"/>
  <c r="G238" i="4"/>
  <c r="S141" i="4"/>
  <c r="S195" i="4"/>
  <c r="S222" i="4"/>
  <c r="S223" i="4"/>
  <c r="S234" i="4"/>
  <c r="S232" i="4"/>
  <c r="S236" i="4"/>
  <c r="S235" i="4"/>
  <c r="S229" i="4"/>
  <c r="S230" i="4"/>
  <c r="S227" i="4"/>
  <c r="S228" i="4"/>
  <c r="S225" i="4"/>
  <c r="S233" i="4"/>
  <c r="F214" i="4"/>
  <c r="F107" i="5"/>
  <c r="T201" i="4"/>
  <c r="H128" i="6"/>
  <c r="H74" i="6"/>
  <c r="H216" i="7" s="1"/>
  <c r="H101" i="6"/>
  <c r="M90" i="6"/>
  <c r="T7" i="4"/>
  <c r="C24" i="4"/>
  <c r="L7" i="4"/>
  <c r="E25" i="4"/>
  <c r="K9" i="4"/>
  <c r="K12" i="4"/>
  <c r="E23" i="4"/>
  <c r="H10" i="4"/>
  <c r="M8" i="4"/>
  <c r="M6" i="4" s="1"/>
  <c r="K4" i="5"/>
  <c r="K47" i="6" s="1"/>
  <c r="D22" i="4"/>
  <c r="F19" i="3" l="1"/>
  <c r="F211" i="4"/>
  <c r="M4" i="4"/>
  <c r="M143" i="4"/>
  <c r="M197" i="4"/>
  <c r="M224" i="4"/>
  <c r="M7" i="3"/>
  <c r="B188" i="4"/>
  <c r="L198" i="4"/>
  <c r="G128" i="6"/>
  <c r="G74" i="6"/>
  <c r="G216" i="7" s="1"/>
  <c r="G101" i="6"/>
  <c r="T80" i="5"/>
  <c r="T135" i="7" s="1"/>
  <c r="T134" i="5"/>
  <c r="T107" i="5"/>
  <c r="J121" i="6"/>
  <c r="J67" i="6"/>
  <c r="J209" i="7" s="1"/>
  <c r="J94" i="6"/>
  <c r="O4" i="3"/>
  <c r="O97" i="3" s="1"/>
  <c r="M62" i="5"/>
  <c r="M117" i="7" s="1"/>
  <c r="M116" i="5"/>
  <c r="M36" i="3"/>
  <c r="M89" i="5"/>
  <c r="S4" i="3"/>
  <c r="S97" i="3" s="1"/>
  <c r="F174" i="4"/>
  <c r="H201" i="4"/>
  <c r="K96" i="5"/>
  <c r="K203" i="4"/>
  <c r="N125" i="5"/>
  <c r="N71" i="5"/>
  <c r="N126" i="7" s="1"/>
  <c r="N98" i="5"/>
  <c r="M78" i="5"/>
  <c r="M133" i="7" s="1"/>
  <c r="M132" i="5"/>
  <c r="M105" i="5"/>
  <c r="K123" i="5"/>
  <c r="K69" i="5"/>
  <c r="K124" i="7" s="1"/>
  <c r="F134" i="5"/>
  <c r="F80" i="5"/>
  <c r="F135" i="7" s="1"/>
  <c r="C189" i="4"/>
  <c r="F173" i="4"/>
  <c r="K93" i="5"/>
  <c r="K200" i="4"/>
  <c r="K87" i="6"/>
  <c r="O188" i="3"/>
  <c r="Q116" i="6"/>
  <c r="Q62" i="6"/>
  <c r="Q204" i="7" s="1"/>
  <c r="Q89" i="6"/>
  <c r="K122" i="6"/>
  <c r="K68" i="6"/>
  <c r="K210" i="7" s="1"/>
  <c r="K95" i="6"/>
  <c r="E216" i="4"/>
  <c r="D184" i="4"/>
  <c r="T127" i="5"/>
  <c r="T73" i="5"/>
  <c r="T128" i="7" s="1"/>
  <c r="T100" i="5"/>
  <c r="I66" i="5"/>
  <c r="I121" i="7" s="1"/>
  <c r="I120" i="5"/>
  <c r="C47" i="4"/>
  <c r="D213" i="4"/>
  <c r="S126" i="6"/>
  <c r="S72" i="6"/>
  <c r="S214" i="7" s="1"/>
  <c r="S99" i="6"/>
  <c r="R126" i="6"/>
  <c r="R72" i="6"/>
  <c r="R214" i="7" s="1"/>
  <c r="R99" i="6"/>
  <c r="H136" i="5"/>
  <c r="H82" i="5"/>
  <c r="H137" i="7" s="1"/>
  <c r="H109" i="5"/>
  <c r="G202" i="4"/>
  <c r="G89" i="6"/>
  <c r="G95" i="5"/>
  <c r="G229" i="4"/>
  <c r="M125" i="5"/>
  <c r="M71" i="5"/>
  <c r="M126" i="7" s="1"/>
  <c r="M98" i="5"/>
  <c r="N62" i="5"/>
  <c r="N117" i="7" s="1"/>
  <c r="N116" i="5"/>
  <c r="N36" i="3"/>
  <c r="N89" i="5"/>
  <c r="I130" i="6"/>
  <c r="I157" i="6"/>
  <c r="I76" i="6"/>
  <c r="I103" i="6"/>
  <c r="L117" i="6"/>
  <c r="L144" i="6"/>
  <c r="L63" i="6"/>
  <c r="I73" i="5"/>
  <c r="I128" i="7" s="1"/>
  <c r="I127" i="5"/>
  <c r="I100" i="5"/>
  <c r="H17" i="3"/>
  <c r="H110" i="3" s="1"/>
  <c r="N132" i="5"/>
  <c r="N78" i="5"/>
  <c r="N133" i="7" s="1"/>
  <c r="N105" i="5"/>
  <c r="B187" i="4"/>
  <c r="F11" i="4"/>
  <c r="F175" i="4"/>
  <c r="F256" i="4"/>
  <c r="F62" i="6"/>
  <c r="M199" i="4"/>
  <c r="M226" i="4"/>
  <c r="E107" i="5"/>
  <c r="E214" i="4"/>
  <c r="C215" i="4"/>
  <c r="K116" i="6"/>
  <c r="K62" i="6"/>
  <c r="K204" i="7" s="1"/>
  <c r="K89" i="6"/>
  <c r="R103" i="3"/>
  <c r="R101" i="3"/>
  <c r="R96" i="3"/>
  <c r="R104" i="3"/>
  <c r="R106" i="3"/>
  <c r="R107" i="3"/>
  <c r="R105" i="3"/>
  <c r="R102" i="3"/>
  <c r="R108" i="3"/>
  <c r="R98" i="3"/>
  <c r="R100" i="3"/>
  <c r="R99" i="3"/>
  <c r="K114" i="6"/>
  <c r="K60" i="6"/>
  <c r="K202" i="7" s="1"/>
  <c r="G135" i="5"/>
  <c r="G81" i="5"/>
  <c r="G136" i="7" s="1"/>
  <c r="G108" i="5"/>
  <c r="G17" i="3"/>
  <c r="G110" i="3" s="1"/>
  <c r="O110" i="6"/>
  <c r="O66" i="3"/>
  <c r="O56" i="6"/>
  <c r="O198" i="7" s="1"/>
  <c r="O83" i="6"/>
  <c r="V180" i="4"/>
  <c r="P105" i="3"/>
  <c r="P104" i="3"/>
  <c r="P101" i="3"/>
  <c r="P106" i="3"/>
  <c r="P96" i="3"/>
  <c r="P107" i="3"/>
  <c r="P103" i="3"/>
  <c r="P102" i="3"/>
  <c r="P108" i="3"/>
  <c r="P98" i="3"/>
  <c r="P100" i="3"/>
  <c r="P99" i="3"/>
  <c r="U109" i="3"/>
  <c r="U117" i="3"/>
  <c r="U120" i="3"/>
  <c r="U115" i="3"/>
  <c r="U119" i="3"/>
  <c r="U114" i="3"/>
  <c r="U118" i="3"/>
  <c r="U113" i="3"/>
  <c r="U116" i="3"/>
  <c r="U112" i="3"/>
  <c r="U111" i="3"/>
  <c r="L90" i="6"/>
  <c r="N4" i="3"/>
  <c r="N97" i="3" s="1"/>
  <c r="B47" i="4"/>
  <c r="I114" i="3"/>
  <c r="I119" i="3"/>
  <c r="I115" i="3"/>
  <c r="I109" i="3"/>
  <c r="I118" i="3"/>
  <c r="I116" i="3"/>
  <c r="I113" i="3"/>
  <c r="I120" i="3"/>
  <c r="I117" i="3"/>
  <c r="I112" i="3"/>
  <c r="I111" i="3"/>
  <c r="E20" i="4"/>
  <c r="B189" i="4"/>
  <c r="R119" i="6"/>
  <c r="R65" i="6"/>
  <c r="R207" i="7" s="1"/>
  <c r="R92" i="6"/>
  <c r="G171" i="4"/>
  <c r="T198" i="4"/>
  <c r="R115" i="6"/>
  <c r="R61" i="6"/>
  <c r="R203" i="7" s="1"/>
  <c r="R88" i="6"/>
  <c r="I170" i="4"/>
  <c r="I31" i="4"/>
  <c r="I251" i="4" s="1"/>
  <c r="V123" i="6"/>
  <c r="V150" i="6"/>
  <c r="V69" i="6"/>
  <c r="J120" i="5"/>
  <c r="J66" i="5"/>
  <c r="J121" i="7" s="1"/>
  <c r="J121" i="5"/>
  <c r="J67" i="5"/>
  <c r="J122" i="7" s="1"/>
  <c r="J94" i="5"/>
  <c r="R218" i="3"/>
  <c r="D23" i="4"/>
  <c r="D25" i="4"/>
  <c r="G10" i="4"/>
  <c r="K7" i="4"/>
  <c r="I4" i="5"/>
  <c r="I47" i="6" s="1"/>
  <c r="B22" i="4"/>
  <c r="L8" i="4"/>
  <c r="T8" i="4"/>
  <c r="C22" i="4"/>
  <c r="N110" i="6" l="1"/>
  <c r="N66" i="3"/>
  <c r="N56" i="6"/>
  <c r="N198" i="7" s="1"/>
  <c r="N83" i="6"/>
  <c r="O119" i="6"/>
  <c r="O65" i="6"/>
  <c r="O207" i="7" s="1"/>
  <c r="O92" i="6"/>
  <c r="E174" i="4"/>
  <c r="U174" i="4"/>
  <c r="T199" i="4"/>
  <c r="L199" i="4"/>
  <c r="R68" i="5"/>
  <c r="R123" i="7" s="1"/>
  <c r="R122" i="5"/>
  <c r="R95" i="5"/>
  <c r="F202" i="4"/>
  <c r="F89" i="6"/>
  <c r="F229" i="4"/>
  <c r="F95" i="5"/>
  <c r="S128" i="5"/>
  <c r="S74" i="5"/>
  <c r="S129" i="7" s="1"/>
  <c r="S101" i="5"/>
  <c r="S135" i="5"/>
  <c r="S81" i="5"/>
  <c r="S136" i="7" s="1"/>
  <c r="S108" i="5"/>
  <c r="P64" i="5"/>
  <c r="P119" i="7" s="1"/>
  <c r="P118" i="5"/>
  <c r="P91" i="5"/>
  <c r="G129" i="6"/>
  <c r="G75" i="6"/>
  <c r="G217" i="7" s="1"/>
  <c r="G102" i="6"/>
  <c r="S119" i="6"/>
  <c r="S65" i="6"/>
  <c r="S207" i="7" s="1"/>
  <c r="S92" i="6"/>
  <c r="U173" i="4"/>
  <c r="E11" i="4"/>
  <c r="E175" i="4"/>
  <c r="E62" i="6"/>
  <c r="E256" i="4"/>
  <c r="D214" i="4"/>
  <c r="B184" i="4"/>
  <c r="G109" i="3"/>
  <c r="G117" i="3"/>
  <c r="G118" i="3"/>
  <c r="G115" i="3"/>
  <c r="G114" i="3"/>
  <c r="G113" i="3"/>
  <c r="G116" i="3"/>
  <c r="G119" i="3"/>
  <c r="G120" i="3"/>
  <c r="G112" i="3"/>
  <c r="G111" i="3"/>
  <c r="H172" i="4"/>
  <c r="H33" i="4"/>
  <c r="N188" i="3"/>
  <c r="J122" i="5"/>
  <c r="J68" i="5"/>
  <c r="J123" i="7" s="1"/>
  <c r="J95" i="5"/>
  <c r="M5" i="3"/>
  <c r="E173" i="4"/>
  <c r="F171" i="4"/>
  <c r="J128" i="5"/>
  <c r="J74" i="5"/>
  <c r="J129" i="7" s="1"/>
  <c r="J101" i="5"/>
  <c r="D20" i="4"/>
  <c r="O105" i="3"/>
  <c r="O108" i="3"/>
  <c r="O107" i="3"/>
  <c r="O104" i="3"/>
  <c r="O106" i="3"/>
  <c r="O96" i="3"/>
  <c r="O101" i="3"/>
  <c r="O103" i="3"/>
  <c r="O102" i="3"/>
  <c r="O98" i="3"/>
  <c r="O100" i="3"/>
  <c r="O99" i="3"/>
  <c r="C213" i="4"/>
  <c r="P112" i="6"/>
  <c r="P58" i="6"/>
  <c r="P200" i="7" s="1"/>
  <c r="P85" i="6"/>
  <c r="G172" i="4"/>
  <c r="I168" i="4"/>
  <c r="I30" i="4"/>
  <c r="I249" i="4"/>
  <c r="I250" i="4"/>
  <c r="I259" i="4"/>
  <c r="I257" i="4"/>
  <c r="I261" i="4"/>
  <c r="I262" i="4"/>
  <c r="I260" i="4"/>
  <c r="I263" i="4"/>
  <c r="I258" i="4"/>
  <c r="I255" i="4"/>
  <c r="I254" i="4"/>
  <c r="I252" i="4"/>
  <c r="I253" i="4"/>
  <c r="K117" i="6"/>
  <c r="K144" i="6"/>
  <c r="K63" i="6"/>
  <c r="H118" i="3"/>
  <c r="H114" i="3"/>
  <c r="H115" i="3"/>
  <c r="H120" i="3"/>
  <c r="H109" i="3"/>
  <c r="H119" i="3"/>
  <c r="H117" i="3"/>
  <c r="H116" i="3"/>
  <c r="H113" i="3"/>
  <c r="H112" i="3"/>
  <c r="H111" i="3"/>
  <c r="J115" i="6"/>
  <c r="J61" i="6"/>
  <c r="J203" i="7" s="1"/>
  <c r="J88" i="6"/>
  <c r="T121" i="6"/>
  <c r="T67" i="6"/>
  <c r="T209" i="7" s="1"/>
  <c r="T94" i="6"/>
  <c r="T128" i="6"/>
  <c r="T74" i="6"/>
  <c r="T216" i="7" s="1"/>
  <c r="T101" i="6"/>
  <c r="O126" i="6"/>
  <c r="O72" i="6"/>
  <c r="O214" i="7" s="1"/>
  <c r="O99" i="6"/>
  <c r="M110" i="6"/>
  <c r="M66" i="3"/>
  <c r="M56" i="6"/>
  <c r="M198" i="7" s="1"/>
  <c r="M83" i="6"/>
  <c r="B213" i="4"/>
  <c r="E211" i="4"/>
  <c r="E157" i="4"/>
  <c r="E19" i="3"/>
  <c r="T120" i="5"/>
  <c r="T66" i="5"/>
  <c r="T121" i="7" s="1"/>
  <c r="T93" i="5"/>
  <c r="I67" i="5"/>
  <c r="I122" i="7" s="1"/>
  <c r="I121" i="5"/>
  <c r="I94" i="5"/>
  <c r="C184" i="4"/>
  <c r="R128" i="5"/>
  <c r="R74" i="5"/>
  <c r="R129" i="7" s="1"/>
  <c r="R101" i="5"/>
  <c r="I121" i="6"/>
  <c r="I67" i="6"/>
  <c r="I209" i="7" s="1"/>
  <c r="I94" i="6"/>
  <c r="Q112" i="6"/>
  <c r="Q58" i="6"/>
  <c r="Q200" i="7" s="1"/>
  <c r="Q85" i="6"/>
  <c r="U175" i="4"/>
  <c r="G33" i="4"/>
  <c r="N105" i="3"/>
  <c r="N103" i="3"/>
  <c r="N108" i="3"/>
  <c r="N104" i="3"/>
  <c r="N106" i="3"/>
  <c r="N96" i="3"/>
  <c r="N107" i="3"/>
  <c r="N102" i="3"/>
  <c r="N101" i="3"/>
  <c r="N98" i="3"/>
  <c r="N100" i="3"/>
  <c r="N99" i="3"/>
  <c r="J114" i="6"/>
  <c r="J60" i="6"/>
  <c r="J202" i="7" s="1"/>
  <c r="K90" i="6"/>
  <c r="F81" i="5"/>
  <c r="F136" i="7" s="1"/>
  <c r="F135" i="5"/>
  <c r="F108" i="5"/>
  <c r="D216" i="4"/>
  <c r="T6" i="4"/>
  <c r="G82" i="5"/>
  <c r="G137" i="7" s="1"/>
  <c r="G136" i="5"/>
  <c r="G109" i="5"/>
  <c r="M188" i="3"/>
  <c r="L6" i="4"/>
  <c r="H157" i="6"/>
  <c r="H130" i="6"/>
  <c r="H76" i="6"/>
  <c r="H103" i="6"/>
  <c r="K198" i="4"/>
  <c r="G201" i="4"/>
  <c r="Q64" i="5"/>
  <c r="Q119" i="7" s="1"/>
  <c r="Q118" i="5"/>
  <c r="Q91" i="5"/>
  <c r="O218" i="3"/>
  <c r="F128" i="6"/>
  <c r="F74" i="6"/>
  <c r="F216" i="7" s="1"/>
  <c r="F101" i="6"/>
  <c r="E80" i="5"/>
  <c r="E135" i="7" s="1"/>
  <c r="E134" i="5"/>
  <c r="S103" i="3"/>
  <c r="S105" i="3"/>
  <c r="S101" i="3"/>
  <c r="S108" i="3"/>
  <c r="S107" i="3"/>
  <c r="S96" i="3"/>
  <c r="S102" i="3"/>
  <c r="S106" i="3"/>
  <c r="S104" i="3"/>
  <c r="S98" i="3"/>
  <c r="S100" i="3"/>
  <c r="S99" i="3"/>
  <c r="M231" i="4"/>
  <c r="M195" i="4"/>
  <c r="M222" i="4"/>
  <c r="M141" i="4"/>
  <c r="M223" i="4"/>
  <c r="M235" i="4"/>
  <c r="M234" i="4"/>
  <c r="M232" i="4"/>
  <c r="M236" i="4"/>
  <c r="M233" i="4"/>
  <c r="M229" i="4"/>
  <c r="M228" i="4"/>
  <c r="M230" i="4"/>
  <c r="M227" i="4"/>
  <c r="M225" i="4"/>
  <c r="J12" i="4"/>
  <c r="C23" i="4"/>
  <c r="B23" i="4"/>
  <c r="J9" i="4"/>
  <c r="B25" i="4"/>
  <c r="B24" i="4"/>
  <c r="F10" i="4"/>
  <c r="H9" i="4"/>
  <c r="C25" i="4"/>
  <c r="I9" i="4"/>
  <c r="J4" i="5"/>
  <c r="J47" i="6" s="1"/>
  <c r="F33" i="4"/>
  <c r="K8" i="4"/>
  <c r="H4" i="5"/>
  <c r="H47" i="6" s="1"/>
  <c r="B20" i="4" l="1"/>
  <c r="F170" i="4"/>
  <c r="F31" i="4"/>
  <c r="B211" i="4"/>
  <c r="B157" i="4"/>
  <c r="B19" i="3"/>
  <c r="K199" i="4"/>
  <c r="V174" i="4"/>
  <c r="L110" i="6"/>
  <c r="L66" i="3"/>
  <c r="L56" i="6"/>
  <c r="L198" i="7" s="1"/>
  <c r="L83" i="6"/>
  <c r="I200" i="4"/>
  <c r="I93" i="5"/>
  <c r="I87" i="6"/>
  <c r="B216" i="4"/>
  <c r="K6" i="4"/>
  <c r="G130" i="6"/>
  <c r="G157" i="6"/>
  <c r="G76" i="6"/>
  <c r="G103" i="6"/>
  <c r="T143" i="4"/>
  <c r="T197" i="4"/>
  <c r="T7" i="3"/>
  <c r="T4" i="4"/>
  <c r="J116" i="6"/>
  <c r="J62" i="6"/>
  <c r="J204" i="7" s="1"/>
  <c r="J89" i="6"/>
  <c r="R116" i="6"/>
  <c r="R62" i="6"/>
  <c r="R204" i="7" s="1"/>
  <c r="R89" i="6"/>
  <c r="H170" i="4"/>
  <c r="H31" i="4"/>
  <c r="H251" i="4" s="1"/>
  <c r="L78" i="5"/>
  <c r="L133" i="7" s="1"/>
  <c r="L132" i="5"/>
  <c r="L105" i="5"/>
  <c r="U171" i="4"/>
  <c r="M119" i="6"/>
  <c r="M65" i="6"/>
  <c r="M207" i="7" s="1"/>
  <c r="M92" i="6"/>
  <c r="J90" i="6"/>
  <c r="C216" i="4"/>
  <c r="J93" i="5"/>
  <c r="J200" i="4"/>
  <c r="J87" i="6"/>
  <c r="I115" i="6"/>
  <c r="I61" i="6"/>
  <c r="I203" i="7" s="1"/>
  <c r="I88" i="6"/>
  <c r="L116" i="5"/>
  <c r="L62" i="5"/>
  <c r="L117" i="7" s="1"/>
  <c r="L36" i="3"/>
  <c r="L89" i="5"/>
  <c r="M126" i="6"/>
  <c r="M72" i="6"/>
  <c r="M214" i="7" s="1"/>
  <c r="M99" i="6"/>
  <c r="D11" i="4"/>
  <c r="D175" i="4"/>
  <c r="D62" i="6"/>
  <c r="D256" i="4"/>
  <c r="H200" i="4"/>
  <c r="E128" i="6"/>
  <c r="E74" i="6"/>
  <c r="E216" i="7" s="1"/>
  <c r="E101" i="6"/>
  <c r="D80" i="5"/>
  <c r="D135" i="7" s="1"/>
  <c r="D134" i="5"/>
  <c r="S122" i="6"/>
  <c r="S68" i="6"/>
  <c r="S210" i="7" s="1"/>
  <c r="S95" i="6"/>
  <c r="D173" i="4"/>
  <c r="C214" i="4"/>
  <c r="L125" i="5"/>
  <c r="L71" i="5"/>
  <c r="L126" i="7" s="1"/>
  <c r="L98" i="5"/>
  <c r="T125" i="5"/>
  <c r="T71" i="5"/>
  <c r="T126" i="7" s="1"/>
  <c r="T98" i="5"/>
  <c r="E81" i="5"/>
  <c r="E136" i="7" s="1"/>
  <c r="E135" i="5"/>
  <c r="E108" i="5"/>
  <c r="R122" i="6"/>
  <c r="R68" i="6"/>
  <c r="R210" i="7" s="1"/>
  <c r="R95" i="6"/>
  <c r="F129" i="6"/>
  <c r="F75" i="6"/>
  <c r="F217" i="7" s="1"/>
  <c r="F102" i="6"/>
  <c r="D174" i="4"/>
  <c r="N126" i="6"/>
  <c r="N72" i="6"/>
  <c r="N214" i="7" s="1"/>
  <c r="N99" i="6"/>
  <c r="F201" i="4"/>
  <c r="I114" i="6"/>
  <c r="I60" i="6"/>
  <c r="I202" i="7" s="1"/>
  <c r="T116" i="5"/>
  <c r="T62" i="5"/>
  <c r="T117" i="7" s="1"/>
  <c r="T36" i="3"/>
  <c r="T89" i="5"/>
  <c r="H67" i="5"/>
  <c r="H122" i="7" s="1"/>
  <c r="H121" i="5"/>
  <c r="H94" i="5"/>
  <c r="M4" i="3"/>
  <c r="M97" i="3" s="1"/>
  <c r="U176" i="4"/>
  <c r="B215" i="4"/>
  <c r="B214" i="4"/>
  <c r="F82" i="5"/>
  <c r="F137" i="7" s="1"/>
  <c r="F136" i="5"/>
  <c r="F109" i="5"/>
  <c r="J122" i="6"/>
  <c r="J68" i="6"/>
  <c r="J210" i="7" s="1"/>
  <c r="J95" i="6"/>
  <c r="C20" i="4"/>
  <c r="T129" i="6"/>
  <c r="T75" i="6"/>
  <c r="T217" i="7" s="1"/>
  <c r="T102" i="6"/>
  <c r="F172" i="4"/>
  <c r="F253" i="4"/>
  <c r="B181" i="4"/>
  <c r="L143" i="4"/>
  <c r="L197" i="4"/>
  <c r="L7" i="3"/>
  <c r="L4" i="4"/>
  <c r="S129" i="6"/>
  <c r="S75" i="6"/>
  <c r="S217" i="7" s="1"/>
  <c r="S102" i="6"/>
  <c r="M218" i="3"/>
  <c r="D107" i="5"/>
  <c r="E95" i="5"/>
  <c r="E229" i="4"/>
  <c r="E89" i="6"/>
  <c r="E202" i="4"/>
  <c r="E171" i="4"/>
  <c r="N119" i="6"/>
  <c r="N65" i="6"/>
  <c r="N207" i="7" s="1"/>
  <c r="N92" i="6"/>
  <c r="J96" i="5"/>
  <c r="J203" i="4"/>
  <c r="T81" i="5"/>
  <c r="T136" i="7" s="1"/>
  <c r="T135" i="5"/>
  <c r="T108" i="5"/>
  <c r="T78" i="5"/>
  <c r="T133" i="7" s="1"/>
  <c r="T132" i="5"/>
  <c r="T105" i="5"/>
  <c r="J69" i="5"/>
  <c r="J124" i="7" s="1"/>
  <c r="J123" i="5"/>
  <c r="I128" i="5"/>
  <c r="I74" i="5"/>
  <c r="I129" i="7" s="1"/>
  <c r="I101" i="5"/>
  <c r="G170" i="4"/>
  <c r="G31" i="4"/>
  <c r="S122" i="5"/>
  <c r="S68" i="5"/>
  <c r="S123" i="7" s="1"/>
  <c r="S95" i="5"/>
  <c r="T114" i="6"/>
  <c r="T60" i="6"/>
  <c r="T202" i="7" s="1"/>
  <c r="T87" i="6"/>
  <c r="D135" i="5"/>
  <c r="D81" i="5"/>
  <c r="D136" i="7" s="1"/>
  <c r="D108" i="5"/>
  <c r="D211" i="4"/>
  <c r="D157" i="4"/>
  <c r="D19" i="3"/>
  <c r="N218" i="3"/>
  <c r="E10" i="4"/>
  <c r="G9" i="4"/>
  <c r="E33" i="4"/>
  <c r="J7" i="4"/>
  <c r="G4" i="5"/>
  <c r="G47" i="6" s="1"/>
  <c r="H7" i="4"/>
  <c r="I7" i="4"/>
  <c r="E31" i="4" l="1"/>
  <c r="E251" i="4" s="1"/>
  <c r="E170" i="4"/>
  <c r="G200" i="4"/>
  <c r="R118" i="5"/>
  <c r="R64" i="5"/>
  <c r="R119" i="7" s="1"/>
  <c r="R91" i="5"/>
  <c r="T188" i="3"/>
  <c r="D128" i="6"/>
  <c r="D74" i="6"/>
  <c r="D216" i="7" s="1"/>
  <c r="D101" i="6"/>
  <c r="B179" i="4"/>
  <c r="B40" i="4"/>
  <c r="K78" i="5"/>
  <c r="K133" i="7" s="1"/>
  <c r="K132" i="5"/>
  <c r="K105" i="5"/>
  <c r="M105" i="3"/>
  <c r="M102" i="3"/>
  <c r="M107" i="3"/>
  <c r="M104" i="3"/>
  <c r="M108" i="3"/>
  <c r="M101" i="3"/>
  <c r="M96" i="3"/>
  <c r="M103" i="3"/>
  <c r="M106" i="3"/>
  <c r="M98" i="3"/>
  <c r="M100" i="3"/>
  <c r="M99" i="3"/>
  <c r="L188" i="3"/>
  <c r="H74" i="5"/>
  <c r="H129" i="7" s="1"/>
  <c r="H128" i="5"/>
  <c r="H101" i="5"/>
  <c r="E129" i="6"/>
  <c r="E75" i="6"/>
  <c r="E217" i="7" s="1"/>
  <c r="E102" i="6"/>
  <c r="H122" i="5"/>
  <c r="H68" i="5"/>
  <c r="H149" i="5"/>
  <c r="T224" i="4"/>
  <c r="T141" i="4"/>
  <c r="T195" i="4"/>
  <c r="T222" i="4"/>
  <c r="T232" i="4"/>
  <c r="T234" i="4"/>
  <c r="T236" i="4"/>
  <c r="T223" i="4"/>
  <c r="T235" i="4"/>
  <c r="T233" i="4"/>
  <c r="T229" i="4"/>
  <c r="T230" i="4"/>
  <c r="T228" i="4"/>
  <c r="T227" i="4"/>
  <c r="T231" i="4"/>
  <c r="T225" i="4"/>
  <c r="T226" i="4"/>
  <c r="U172" i="4"/>
  <c r="J198" i="4"/>
  <c r="C211" i="4"/>
  <c r="C157" i="4"/>
  <c r="C19" i="3"/>
  <c r="T5" i="3"/>
  <c r="L218" i="3"/>
  <c r="F249" i="4"/>
  <c r="F168" i="4"/>
  <c r="F250" i="4"/>
  <c r="F259" i="4"/>
  <c r="F257" i="4"/>
  <c r="F261" i="4"/>
  <c r="F262" i="4"/>
  <c r="F263" i="4"/>
  <c r="F260" i="4"/>
  <c r="F258" i="4"/>
  <c r="F254" i="4"/>
  <c r="F255" i="4"/>
  <c r="F252" i="4"/>
  <c r="H198" i="4"/>
  <c r="R112" i="6"/>
  <c r="R58" i="6"/>
  <c r="R200" i="7" s="1"/>
  <c r="R85" i="6"/>
  <c r="E201" i="4"/>
  <c r="C80" i="5"/>
  <c r="C135" i="7" s="1"/>
  <c r="C134" i="5"/>
  <c r="C107" i="5"/>
  <c r="H115" i="6"/>
  <c r="H61" i="6"/>
  <c r="H203" i="7" s="1"/>
  <c r="H88" i="6"/>
  <c r="C173" i="4"/>
  <c r="I198" i="4"/>
  <c r="C174" i="4"/>
  <c r="D171" i="4"/>
  <c r="T110" i="6"/>
  <c r="T66" i="3"/>
  <c r="T56" i="6"/>
  <c r="T198" i="7" s="1"/>
  <c r="T83" i="6"/>
  <c r="L195" i="4"/>
  <c r="L141" i="4"/>
  <c r="L222" i="4"/>
  <c r="L223" i="4"/>
  <c r="L235" i="4"/>
  <c r="L232" i="4"/>
  <c r="L234" i="4"/>
  <c r="L231" i="4"/>
  <c r="L233" i="4"/>
  <c r="L236" i="4"/>
  <c r="L229" i="4"/>
  <c r="L230" i="4"/>
  <c r="L227" i="4"/>
  <c r="L228" i="4"/>
  <c r="L225" i="4"/>
  <c r="L226" i="4"/>
  <c r="K125" i="5"/>
  <c r="K71" i="5"/>
  <c r="K126" i="7" s="1"/>
  <c r="K98" i="5"/>
  <c r="C81" i="5"/>
  <c r="C136" i="7" s="1"/>
  <c r="C135" i="5"/>
  <c r="C108" i="5"/>
  <c r="K116" i="5"/>
  <c r="K62" i="5"/>
  <c r="K117" i="7" s="1"/>
  <c r="K36" i="3"/>
  <c r="K89" i="5"/>
  <c r="D202" i="4"/>
  <c r="D89" i="6"/>
  <c r="D95" i="5"/>
  <c r="D229" i="4"/>
  <c r="I122" i="6"/>
  <c r="I68" i="6"/>
  <c r="I210" i="7" s="1"/>
  <c r="I95" i="6"/>
  <c r="G67" i="5"/>
  <c r="G122" i="7" s="1"/>
  <c r="G121" i="5"/>
  <c r="G94" i="5"/>
  <c r="C62" i="6"/>
  <c r="C11" i="4"/>
  <c r="C175" i="4"/>
  <c r="C256" i="4"/>
  <c r="G251" i="4"/>
  <c r="G30" i="4"/>
  <c r="G249" i="4"/>
  <c r="G168" i="4"/>
  <c r="G250" i="4"/>
  <c r="G259" i="4"/>
  <c r="G257" i="4"/>
  <c r="G261" i="4"/>
  <c r="G262" i="4"/>
  <c r="G263" i="4"/>
  <c r="G260" i="4"/>
  <c r="G258" i="4"/>
  <c r="G255" i="4"/>
  <c r="G254" i="4"/>
  <c r="G252" i="4"/>
  <c r="G253" i="4"/>
  <c r="L5" i="3"/>
  <c r="F130" i="6"/>
  <c r="F157" i="6"/>
  <c r="F76" i="6"/>
  <c r="F103" i="6"/>
  <c r="I122" i="5"/>
  <c r="I149" i="5"/>
  <c r="I68" i="5"/>
  <c r="J144" i="6"/>
  <c r="J117" i="6"/>
  <c r="J63" i="6"/>
  <c r="K197" i="4"/>
  <c r="K143" i="4"/>
  <c r="K7" i="3"/>
  <c r="K4" i="4"/>
  <c r="K224" i="4" s="1"/>
  <c r="F251" i="4"/>
  <c r="E172" i="4"/>
  <c r="E253" i="4"/>
  <c r="L224" i="4"/>
  <c r="D129" i="6"/>
  <c r="D75" i="6"/>
  <c r="D217" i="7" s="1"/>
  <c r="D102" i="6"/>
  <c r="E136" i="5"/>
  <c r="E82" i="5"/>
  <c r="E137" i="7" s="1"/>
  <c r="E109" i="5"/>
  <c r="U33" i="4"/>
  <c r="S116" i="6"/>
  <c r="S62" i="6"/>
  <c r="S204" i="7" s="1"/>
  <c r="S89" i="6"/>
  <c r="H258" i="4"/>
  <c r="H168" i="4"/>
  <c r="H249" i="4"/>
  <c r="H30" i="4"/>
  <c r="H250" i="4"/>
  <c r="H259" i="4"/>
  <c r="H257" i="4"/>
  <c r="H262" i="4"/>
  <c r="H261" i="4"/>
  <c r="H263" i="4"/>
  <c r="H260" i="4"/>
  <c r="H255" i="4"/>
  <c r="H254" i="4"/>
  <c r="H252" i="4"/>
  <c r="H253" i="4"/>
  <c r="H8" i="4"/>
  <c r="H6" i="4" s="1"/>
  <c r="J8" i="4"/>
  <c r="J6" i="4" s="1"/>
  <c r="B17" i="4"/>
  <c r="G7" i="4"/>
  <c r="F9" i="4"/>
  <c r="I8" i="4"/>
  <c r="D10" i="4"/>
  <c r="F4" i="5"/>
  <c r="F47" i="6" s="1"/>
  <c r="H143" i="4" l="1"/>
  <c r="H197" i="4"/>
  <c r="H7" i="3"/>
  <c r="H4" i="4"/>
  <c r="J197" i="4"/>
  <c r="J143" i="4"/>
  <c r="J7" i="3"/>
  <c r="J4" i="4"/>
  <c r="J226" i="4" s="1"/>
  <c r="C171" i="4"/>
  <c r="I199" i="4"/>
  <c r="U170" i="4"/>
  <c r="K5" i="3"/>
  <c r="L4" i="3"/>
  <c r="G115" i="6"/>
  <c r="G61" i="6"/>
  <c r="G203" i="7" s="1"/>
  <c r="G88" i="6"/>
  <c r="T67" i="5"/>
  <c r="T122" i="7" s="1"/>
  <c r="T121" i="5"/>
  <c r="T94" i="5"/>
  <c r="O118" i="5"/>
  <c r="O64" i="5"/>
  <c r="O119" i="7" s="1"/>
  <c r="O91" i="5"/>
  <c r="O112" i="6"/>
  <c r="O58" i="6"/>
  <c r="O200" i="7" s="1"/>
  <c r="O85" i="6"/>
  <c r="V178" i="4"/>
  <c r="I6" i="4"/>
  <c r="B135" i="5"/>
  <c r="B81" i="5"/>
  <c r="B136" i="7" s="1"/>
  <c r="B108" i="5"/>
  <c r="H122" i="6"/>
  <c r="H68" i="6"/>
  <c r="H210" i="7" s="1"/>
  <c r="H95" i="6"/>
  <c r="T126" i="6"/>
  <c r="T72" i="6"/>
  <c r="T214" i="7" s="1"/>
  <c r="T99" i="6"/>
  <c r="L126" i="6"/>
  <c r="L72" i="6"/>
  <c r="L214" i="7" s="1"/>
  <c r="L99" i="6"/>
  <c r="D172" i="4"/>
  <c r="F200" i="4"/>
  <c r="H199" i="4"/>
  <c r="H226" i="4"/>
  <c r="V185" i="4"/>
  <c r="C128" i="6"/>
  <c r="C74" i="6"/>
  <c r="C216" i="7" s="1"/>
  <c r="C101" i="6"/>
  <c r="S112" i="6"/>
  <c r="S58" i="6"/>
  <c r="S200" i="7" s="1"/>
  <c r="S85" i="6"/>
  <c r="B11" i="4"/>
  <c r="B175" i="4"/>
  <c r="B62" i="6"/>
  <c r="B256" i="4"/>
  <c r="J125" i="5"/>
  <c r="J71" i="5"/>
  <c r="J126" i="7" s="1"/>
  <c r="J98" i="5"/>
  <c r="J62" i="5"/>
  <c r="J117" i="7" s="1"/>
  <c r="J116" i="5"/>
  <c r="J36" i="3"/>
  <c r="J89" i="5"/>
  <c r="T218" i="3"/>
  <c r="D33" i="4"/>
  <c r="I116" i="6"/>
  <c r="I143" i="6"/>
  <c r="D136" i="5"/>
  <c r="D82" i="5"/>
  <c r="D137" i="7" s="1"/>
  <c r="D109" i="5"/>
  <c r="B173" i="4"/>
  <c r="G198" i="4"/>
  <c r="B208" i="4"/>
  <c r="V189" i="4"/>
  <c r="C229" i="4"/>
  <c r="C202" i="4"/>
  <c r="C89" i="6"/>
  <c r="C95" i="5"/>
  <c r="G122" i="5"/>
  <c r="G68" i="5"/>
  <c r="G149" i="5"/>
  <c r="E130" i="6"/>
  <c r="E157" i="6"/>
  <c r="E76" i="6"/>
  <c r="E103" i="6"/>
  <c r="B177" i="4"/>
  <c r="V187" i="4"/>
  <c r="H127" i="5"/>
  <c r="H73" i="5"/>
  <c r="H128" i="7" s="1"/>
  <c r="H100" i="5"/>
  <c r="K188" i="3"/>
  <c r="S118" i="5"/>
  <c r="S64" i="5"/>
  <c r="S119" i="7" s="1"/>
  <c r="S91" i="5"/>
  <c r="S121" i="5"/>
  <c r="S67" i="5"/>
  <c r="S122" i="7" s="1"/>
  <c r="S94" i="5"/>
  <c r="K110" i="6"/>
  <c r="K66" i="3"/>
  <c r="K56" i="6"/>
  <c r="K198" i="7" s="1"/>
  <c r="K83" i="6"/>
  <c r="H143" i="6"/>
  <c r="H116" i="6"/>
  <c r="C129" i="6"/>
  <c r="C75" i="6"/>
  <c r="C217" i="7" s="1"/>
  <c r="C102" i="6"/>
  <c r="B80" i="5"/>
  <c r="B135" i="7" s="1"/>
  <c r="B134" i="5"/>
  <c r="B107" i="5"/>
  <c r="B129" i="6"/>
  <c r="B75" i="6"/>
  <c r="B217" i="7" s="1"/>
  <c r="B102" i="6"/>
  <c r="B174" i="4"/>
  <c r="D201" i="4"/>
  <c r="J199" i="4"/>
  <c r="K223" i="4"/>
  <c r="K141" i="4"/>
  <c r="K195" i="4"/>
  <c r="K222" i="4"/>
  <c r="K234" i="4"/>
  <c r="K235" i="4"/>
  <c r="K232" i="4"/>
  <c r="K233" i="4"/>
  <c r="K236" i="4"/>
  <c r="K231" i="4"/>
  <c r="K229" i="4"/>
  <c r="K228" i="4"/>
  <c r="K227" i="4"/>
  <c r="K230" i="4"/>
  <c r="K225" i="4"/>
  <c r="K226" i="4"/>
  <c r="T74" i="5"/>
  <c r="T129" i="7" s="1"/>
  <c r="T128" i="5"/>
  <c r="T101" i="5"/>
  <c r="J78" i="5"/>
  <c r="J133" i="7" s="1"/>
  <c r="J132" i="5"/>
  <c r="J105" i="5"/>
  <c r="T4" i="3"/>
  <c r="T97" i="3" s="1"/>
  <c r="G128" i="5"/>
  <c r="G74" i="5"/>
  <c r="G129" i="7" s="1"/>
  <c r="G101" i="5"/>
  <c r="E254" i="4"/>
  <c r="E249" i="4"/>
  <c r="E168" i="4"/>
  <c r="E250" i="4"/>
  <c r="E259" i="4"/>
  <c r="E257" i="4"/>
  <c r="E261" i="4"/>
  <c r="E262" i="4"/>
  <c r="E263" i="4"/>
  <c r="E260" i="4"/>
  <c r="E258" i="4"/>
  <c r="E255" i="4"/>
  <c r="E252" i="4"/>
  <c r="C10" i="4"/>
  <c r="G8" i="4"/>
  <c r="B15" i="4"/>
  <c r="E4" i="5"/>
  <c r="E47" i="6" s="1"/>
  <c r="F7" i="4"/>
  <c r="K119" i="6" l="1"/>
  <c r="K65" i="6"/>
  <c r="K207" i="7" s="1"/>
  <c r="K92" i="6"/>
  <c r="N112" i="6"/>
  <c r="N58" i="6"/>
  <c r="N200" i="7" s="1"/>
  <c r="N85" i="6"/>
  <c r="E121" i="5"/>
  <c r="E67" i="5"/>
  <c r="E122" i="7" s="1"/>
  <c r="E94" i="5"/>
  <c r="H120" i="5"/>
  <c r="H66" i="5"/>
  <c r="H121" i="7" s="1"/>
  <c r="H93" i="5"/>
  <c r="L101" i="3"/>
  <c r="L107" i="3"/>
  <c r="L105" i="3"/>
  <c r="L106" i="3"/>
  <c r="L102" i="3"/>
  <c r="L108" i="3"/>
  <c r="L104" i="3"/>
  <c r="L96" i="3"/>
  <c r="L103" i="3"/>
  <c r="L98" i="3"/>
  <c r="L100" i="3"/>
  <c r="L99" i="3"/>
  <c r="I116" i="5"/>
  <c r="I62" i="5"/>
  <c r="I117" i="7" s="1"/>
  <c r="I36" i="3"/>
  <c r="I89" i="5"/>
  <c r="M112" i="6"/>
  <c r="M58" i="6"/>
  <c r="M200" i="7" s="1"/>
  <c r="M85" i="6"/>
  <c r="I119" i="6"/>
  <c r="I65" i="6"/>
  <c r="I207" i="7" s="1"/>
  <c r="I92" i="6"/>
  <c r="B128" i="6"/>
  <c r="B74" i="6"/>
  <c r="B216" i="7" s="1"/>
  <c r="B101" i="6"/>
  <c r="I143" i="4"/>
  <c r="I197" i="4"/>
  <c r="I7" i="3"/>
  <c r="I4" i="4"/>
  <c r="J231" i="4"/>
  <c r="J141" i="4"/>
  <c r="J195" i="4"/>
  <c r="J222" i="4"/>
  <c r="J223" i="4"/>
  <c r="J232" i="4"/>
  <c r="J234" i="4"/>
  <c r="J235" i="4"/>
  <c r="J236" i="4"/>
  <c r="J233" i="4"/>
  <c r="J229" i="4"/>
  <c r="J228" i="4"/>
  <c r="J227" i="4"/>
  <c r="J230" i="4"/>
  <c r="J225" i="4"/>
  <c r="J110" i="6"/>
  <c r="J66" i="3"/>
  <c r="J56" i="6"/>
  <c r="J198" i="7" s="1"/>
  <c r="J83" i="6"/>
  <c r="L119" i="6"/>
  <c r="L65" i="6"/>
  <c r="L207" i="7" s="1"/>
  <c r="L92" i="6"/>
  <c r="C201" i="4"/>
  <c r="K218" i="3"/>
  <c r="D170" i="4"/>
  <c r="D31" i="4"/>
  <c r="B229" i="4"/>
  <c r="B202" i="4"/>
  <c r="B89" i="6"/>
  <c r="B95" i="5"/>
  <c r="K4" i="3"/>
  <c r="K97" i="3" s="1"/>
  <c r="N64" i="5"/>
  <c r="N119" i="7" s="1"/>
  <c r="N118" i="5"/>
  <c r="N91" i="5"/>
  <c r="J5" i="3"/>
  <c r="H224" i="4"/>
  <c r="H141" i="4"/>
  <c r="H195" i="4"/>
  <c r="H222" i="4"/>
  <c r="H230" i="4"/>
  <c r="H223" i="4"/>
  <c r="H232" i="4"/>
  <c r="H234" i="4"/>
  <c r="H235" i="4"/>
  <c r="H236" i="4"/>
  <c r="H233" i="4"/>
  <c r="H231" i="4"/>
  <c r="H228" i="4"/>
  <c r="H227" i="4"/>
  <c r="H225" i="4"/>
  <c r="B171" i="4"/>
  <c r="I126" i="6"/>
  <c r="I72" i="6"/>
  <c r="I214" i="7" s="1"/>
  <c r="I99" i="6"/>
  <c r="I71" i="5"/>
  <c r="I126" i="7" s="1"/>
  <c r="I125" i="5"/>
  <c r="I98" i="5"/>
  <c r="G127" i="5"/>
  <c r="G73" i="5"/>
  <c r="G128" i="7" s="1"/>
  <c r="G100" i="5"/>
  <c r="F121" i="5"/>
  <c r="F67" i="5"/>
  <c r="F122" i="7" s="1"/>
  <c r="F94" i="5"/>
  <c r="J224" i="4"/>
  <c r="H5" i="3"/>
  <c r="U181" i="4"/>
  <c r="T122" i="6"/>
  <c r="T68" i="6"/>
  <c r="T210" i="7" s="1"/>
  <c r="T95" i="6"/>
  <c r="C136" i="5"/>
  <c r="C82" i="5"/>
  <c r="C137" i="7" s="1"/>
  <c r="C109" i="5"/>
  <c r="F149" i="5"/>
  <c r="F68" i="5"/>
  <c r="F122" i="5"/>
  <c r="K126" i="6"/>
  <c r="K72" i="6"/>
  <c r="K214" i="7" s="1"/>
  <c r="K99" i="6"/>
  <c r="B82" i="5"/>
  <c r="B137" i="7" s="1"/>
  <c r="B136" i="5"/>
  <c r="B109" i="5"/>
  <c r="T115" i="6"/>
  <c r="T61" i="6"/>
  <c r="T203" i="7" s="1"/>
  <c r="T88" i="6"/>
  <c r="G116" i="6"/>
  <c r="G143" i="6"/>
  <c r="M64" i="5"/>
  <c r="M119" i="7" s="1"/>
  <c r="M118" i="5"/>
  <c r="M91" i="5"/>
  <c r="B206" i="4"/>
  <c r="B13" i="4"/>
  <c r="G199" i="4"/>
  <c r="T119" i="6"/>
  <c r="T65" i="6"/>
  <c r="T207" i="7" s="1"/>
  <c r="T92" i="6"/>
  <c r="S115" i="6"/>
  <c r="S61" i="6"/>
  <c r="S203" i="7" s="1"/>
  <c r="S88" i="6"/>
  <c r="D130" i="6"/>
  <c r="D157" i="6"/>
  <c r="D76" i="6"/>
  <c r="D103" i="6"/>
  <c r="H121" i="6"/>
  <c r="H67" i="6"/>
  <c r="H209" i="7" s="1"/>
  <c r="H94" i="6"/>
  <c r="F198" i="4"/>
  <c r="V186" i="4"/>
  <c r="T105" i="3"/>
  <c r="T102" i="3"/>
  <c r="T107" i="3"/>
  <c r="T103" i="3"/>
  <c r="T101" i="3"/>
  <c r="T96" i="3"/>
  <c r="T104" i="3"/>
  <c r="T106" i="3"/>
  <c r="T108" i="3"/>
  <c r="T98" i="3"/>
  <c r="T100" i="3"/>
  <c r="T99" i="3"/>
  <c r="I132" i="5"/>
  <c r="I78" i="5"/>
  <c r="I133" i="7" s="1"/>
  <c r="I105" i="5"/>
  <c r="G6" i="4"/>
  <c r="J188" i="3"/>
  <c r="L97" i="3"/>
  <c r="G122" i="6"/>
  <c r="G68" i="6"/>
  <c r="G210" i="7" s="1"/>
  <c r="G95" i="6"/>
  <c r="V14" i="4"/>
  <c r="V23" i="4"/>
  <c r="V25" i="4"/>
  <c r="V21" i="4"/>
  <c r="E9" i="4"/>
  <c r="B10" i="4"/>
  <c r="F8" i="4"/>
  <c r="F6" i="4" s="1"/>
  <c r="D4" i="5"/>
  <c r="D47" i="6" s="1"/>
  <c r="B33" i="4"/>
  <c r="B170" i="4" l="1"/>
  <c r="B31" i="4"/>
  <c r="B253" i="4" s="1"/>
  <c r="F4" i="4"/>
  <c r="F143" i="4"/>
  <c r="F197" i="4"/>
  <c r="F7" i="3"/>
  <c r="V173" i="4"/>
  <c r="I231" i="4"/>
  <c r="I141" i="4"/>
  <c r="I195" i="4"/>
  <c r="I222" i="4"/>
  <c r="I230" i="4"/>
  <c r="I223" i="4"/>
  <c r="I232" i="4"/>
  <c r="I235" i="4"/>
  <c r="I234" i="4"/>
  <c r="I233" i="4"/>
  <c r="I236" i="4"/>
  <c r="I228" i="4"/>
  <c r="I227" i="4"/>
  <c r="I225" i="4"/>
  <c r="I226" i="4"/>
  <c r="F199" i="4"/>
  <c r="F226" i="4"/>
  <c r="E149" i="5"/>
  <c r="E68" i="5"/>
  <c r="E122" i="5"/>
  <c r="J218" i="3"/>
  <c r="I5" i="3"/>
  <c r="U179" i="4"/>
  <c r="U40" i="4"/>
  <c r="C172" i="4"/>
  <c r="C33" i="4"/>
  <c r="B130" i="6"/>
  <c r="B157" i="6"/>
  <c r="B76" i="6"/>
  <c r="B103" i="6"/>
  <c r="G120" i="5"/>
  <c r="G66" i="5"/>
  <c r="G121" i="7" s="1"/>
  <c r="G93" i="5"/>
  <c r="V212" i="4"/>
  <c r="E115" i="6"/>
  <c r="E61" i="6"/>
  <c r="E203" i="7" s="1"/>
  <c r="E88" i="6"/>
  <c r="I224" i="4"/>
  <c r="B201" i="4"/>
  <c r="V216" i="4"/>
  <c r="V214" i="4"/>
  <c r="H114" i="6"/>
  <c r="H60" i="6"/>
  <c r="H202" i="7" s="1"/>
  <c r="H87" i="6"/>
  <c r="T68" i="5"/>
  <c r="T123" i="7" s="1"/>
  <c r="T122" i="5"/>
  <c r="T95" i="5"/>
  <c r="K105" i="3"/>
  <c r="K101" i="3"/>
  <c r="K107" i="3"/>
  <c r="K108" i="3"/>
  <c r="K103" i="3"/>
  <c r="K102" i="3"/>
  <c r="K96" i="3"/>
  <c r="K106" i="3"/>
  <c r="K104" i="3"/>
  <c r="K98" i="3"/>
  <c r="K100" i="3"/>
  <c r="K99" i="3"/>
  <c r="F127" i="5"/>
  <c r="F73" i="5"/>
  <c r="F128" i="7" s="1"/>
  <c r="F100" i="5"/>
  <c r="I188" i="3"/>
  <c r="B172" i="4"/>
  <c r="J119" i="6"/>
  <c r="J65" i="6"/>
  <c r="J207" i="7" s="1"/>
  <c r="J92" i="6"/>
  <c r="V205" i="4"/>
  <c r="H4" i="3"/>
  <c r="D258" i="4"/>
  <c r="D249" i="4"/>
  <c r="D168" i="4"/>
  <c r="D250" i="4"/>
  <c r="D259" i="4"/>
  <c r="D261" i="4"/>
  <c r="D262" i="4"/>
  <c r="D260" i="4"/>
  <c r="D263" i="4"/>
  <c r="D254" i="4"/>
  <c r="D255" i="4"/>
  <c r="D252" i="4"/>
  <c r="D253" i="4"/>
  <c r="C130" i="6"/>
  <c r="C157" i="6"/>
  <c r="C76" i="6"/>
  <c r="C103" i="6"/>
  <c r="I110" i="6"/>
  <c r="I66" i="3"/>
  <c r="I56" i="6"/>
  <c r="I198" i="7" s="1"/>
  <c r="I83" i="6"/>
  <c r="G143" i="4"/>
  <c r="G197" i="4"/>
  <c r="G7" i="3"/>
  <c r="G4" i="4"/>
  <c r="G224" i="4" s="1"/>
  <c r="F128" i="5"/>
  <c r="F74" i="5"/>
  <c r="F129" i="7" s="1"/>
  <c r="F101" i="5"/>
  <c r="J4" i="3"/>
  <c r="J97" i="3"/>
  <c r="D251" i="4"/>
  <c r="F116" i="6"/>
  <c r="F143" i="6"/>
  <c r="J126" i="6"/>
  <c r="J72" i="6"/>
  <c r="J214" i="7" s="1"/>
  <c r="J99" i="6"/>
  <c r="E200" i="4"/>
  <c r="G121" i="6"/>
  <c r="G67" i="6"/>
  <c r="G209" i="7" s="1"/>
  <c r="G94" i="6"/>
  <c r="F115" i="6"/>
  <c r="F61" i="6"/>
  <c r="F203" i="7" s="1"/>
  <c r="F88" i="6"/>
  <c r="B204" i="4"/>
  <c r="B150" i="4"/>
  <c r="B8" i="3"/>
  <c r="E74" i="5"/>
  <c r="E129" i="7" s="1"/>
  <c r="E128" i="5"/>
  <c r="E101" i="5"/>
  <c r="E27" i="4"/>
  <c r="B27" i="4"/>
  <c r="V18" i="4"/>
  <c r="C27" i="4"/>
  <c r="V16" i="4"/>
  <c r="D27" i="4"/>
  <c r="V22" i="4"/>
  <c r="F27" i="4"/>
  <c r="U10" i="4"/>
  <c r="U17" i="4"/>
  <c r="D9" i="4"/>
  <c r="U11" i="4"/>
  <c r="U9" i="4"/>
  <c r="U12" i="4"/>
  <c r="C9" i="4"/>
  <c r="C4" i="5"/>
  <c r="C47" i="6" s="1"/>
  <c r="E7" i="4"/>
  <c r="U4" i="5"/>
  <c r="U47" i="6" s="1"/>
  <c r="E198" i="4" l="1"/>
  <c r="G110" i="6"/>
  <c r="G66" i="3"/>
  <c r="G56" i="6"/>
  <c r="G198" i="7" s="1"/>
  <c r="G83" i="6"/>
  <c r="G78" i="5"/>
  <c r="G133" i="7" s="1"/>
  <c r="G132" i="5"/>
  <c r="G105" i="5"/>
  <c r="H105" i="3"/>
  <c r="H104" i="3"/>
  <c r="H106" i="3"/>
  <c r="H103" i="3"/>
  <c r="H101" i="3"/>
  <c r="H96" i="3"/>
  <c r="H107" i="3"/>
  <c r="H108" i="3"/>
  <c r="H102" i="3"/>
  <c r="H98" i="3"/>
  <c r="H100" i="3"/>
  <c r="H99" i="3"/>
  <c r="G114" i="6"/>
  <c r="G60" i="6"/>
  <c r="G202" i="7" s="1"/>
  <c r="G87" i="6"/>
  <c r="F121" i="6"/>
  <c r="F67" i="6"/>
  <c r="F209" i="7" s="1"/>
  <c r="F94" i="6"/>
  <c r="T116" i="6"/>
  <c r="T62" i="6"/>
  <c r="T204" i="7" s="1"/>
  <c r="T89" i="6"/>
  <c r="U177" i="4"/>
  <c r="U31" i="4"/>
  <c r="G62" i="5"/>
  <c r="G117" i="7" s="1"/>
  <c r="G116" i="5"/>
  <c r="G36" i="3"/>
  <c r="G89" i="5"/>
  <c r="G126" i="6"/>
  <c r="G72" i="6"/>
  <c r="G214" i="7" s="1"/>
  <c r="G99" i="6"/>
  <c r="H126" i="6"/>
  <c r="H72" i="6"/>
  <c r="H214" i="7" s="1"/>
  <c r="H99" i="6"/>
  <c r="U123" i="5"/>
  <c r="U69" i="5"/>
  <c r="U124" i="7" s="1"/>
  <c r="G5" i="3"/>
  <c r="D68" i="5"/>
  <c r="D149" i="5"/>
  <c r="D122" i="5"/>
  <c r="D121" i="5"/>
  <c r="D67" i="5"/>
  <c r="D122" i="7" s="1"/>
  <c r="D94" i="5"/>
  <c r="F122" i="6"/>
  <c r="F68" i="6"/>
  <c r="F210" i="7" s="1"/>
  <c r="F95" i="6"/>
  <c r="U202" i="4"/>
  <c r="G125" i="5"/>
  <c r="G71" i="5"/>
  <c r="G126" i="7" s="1"/>
  <c r="G98" i="5"/>
  <c r="G119" i="6"/>
  <c r="G65" i="6"/>
  <c r="G207" i="7" s="1"/>
  <c r="G92" i="6"/>
  <c r="H119" i="6"/>
  <c r="H65" i="6"/>
  <c r="H207" i="7" s="1"/>
  <c r="H92" i="6"/>
  <c r="D200" i="4"/>
  <c r="E122" i="6"/>
  <c r="E68" i="6"/>
  <c r="E210" i="7" s="1"/>
  <c r="E95" i="6"/>
  <c r="H78" i="5"/>
  <c r="H133" i="7" s="1"/>
  <c r="H132" i="5"/>
  <c r="H105" i="5"/>
  <c r="F120" i="5"/>
  <c r="F66" i="5"/>
  <c r="F121" i="7" s="1"/>
  <c r="F93" i="5"/>
  <c r="H116" i="5"/>
  <c r="H62" i="5"/>
  <c r="H117" i="7" s="1"/>
  <c r="H36" i="3"/>
  <c r="H89" i="5"/>
  <c r="F231" i="4"/>
  <c r="F141" i="4"/>
  <c r="F195" i="4"/>
  <c r="F222" i="4"/>
  <c r="F230" i="4"/>
  <c r="F223" i="4"/>
  <c r="F234" i="4"/>
  <c r="F232" i="4"/>
  <c r="F235" i="4"/>
  <c r="F236" i="4"/>
  <c r="F233" i="4"/>
  <c r="F228" i="4"/>
  <c r="F227" i="4"/>
  <c r="F225" i="4"/>
  <c r="V207" i="4"/>
  <c r="G236" i="4"/>
  <c r="G222" i="4"/>
  <c r="G195" i="4"/>
  <c r="G141" i="4"/>
  <c r="G230" i="4"/>
  <c r="G223" i="4"/>
  <c r="G234" i="4"/>
  <c r="G235" i="4"/>
  <c r="G232" i="4"/>
  <c r="G233" i="4"/>
  <c r="G231" i="4"/>
  <c r="G228" i="4"/>
  <c r="G227" i="4"/>
  <c r="G225" i="4"/>
  <c r="G226" i="4"/>
  <c r="C200" i="4"/>
  <c r="V96" i="6"/>
  <c r="V102" i="5"/>
  <c r="V209" i="4"/>
  <c r="H125" i="5"/>
  <c r="H71" i="5"/>
  <c r="H126" i="7" s="1"/>
  <c r="H98" i="5"/>
  <c r="E116" i="6"/>
  <c r="E143" i="6"/>
  <c r="B258" i="4"/>
  <c r="B168" i="4"/>
  <c r="B249" i="4"/>
  <c r="B250" i="4"/>
  <c r="B259" i="4"/>
  <c r="B263" i="4"/>
  <c r="B261" i="4"/>
  <c r="B262" i="4"/>
  <c r="B260" i="4"/>
  <c r="B254" i="4"/>
  <c r="B255" i="4"/>
  <c r="B252" i="4"/>
  <c r="I4" i="3"/>
  <c r="I97" i="3" s="1"/>
  <c r="H110" i="6"/>
  <c r="H66" i="3"/>
  <c r="H56" i="6"/>
  <c r="H198" i="7" s="1"/>
  <c r="H83" i="6"/>
  <c r="U208" i="4"/>
  <c r="B120" i="5"/>
  <c r="B66" i="5"/>
  <c r="B121" i="7" s="1"/>
  <c r="F5" i="3"/>
  <c r="B251" i="4"/>
  <c r="U201" i="4"/>
  <c r="U90" i="6"/>
  <c r="U203" i="4"/>
  <c r="U96" i="5"/>
  <c r="J105" i="3"/>
  <c r="J101" i="3"/>
  <c r="J108" i="3"/>
  <c r="J104" i="3"/>
  <c r="J107" i="3"/>
  <c r="J96" i="3"/>
  <c r="J102" i="3"/>
  <c r="J103" i="3"/>
  <c r="J106" i="3"/>
  <c r="J98" i="3"/>
  <c r="J100" i="3"/>
  <c r="J99" i="3"/>
  <c r="C170" i="4"/>
  <c r="C31" i="4"/>
  <c r="F224" i="4"/>
  <c r="U200" i="4"/>
  <c r="V213" i="4"/>
  <c r="I218" i="3"/>
  <c r="H97" i="3"/>
  <c r="E127" i="5"/>
  <c r="E73" i="5"/>
  <c r="E128" i="7" s="1"/>
  <c r="E100" i="5"/>
  <c r="E8" i="4"/>
  <c r="B9" i="4"/>
  <c r="D7" i="4"/>
  <c r="U15" i="4"/>
  <c r="B4" i="5"/>
  <c r="B47" i="6" s="1"/>
  <c r="U7" i="4"/>
  <c r="C7" i="4"/>
  <c r="E121" i="6" l="1"/>
  <c r="E67" i="6"/>
  <c r="E209" i="7" s="1"/>
  <c r="E94" i="6"/>
  <c r="C251" i="4"/>
  <c r="C168" i="4"/>
  <c r="C249" i="4"/>
  <c r="C250" i="4"/>
  <c r="C259" i="4"/>
  <c r="C261" i="4"/>
  <c r="C262" i="4"/>
  <c r="C263" i="4"/>
  <c r="C260" i="4"/>
  <c r="C258" i="4"/>
  <c r="C254" i="4"/>
  <c r="C255" i="4"/>
  <c r="C252" i="4"/>
  <c r="C253" i="4"/>
  <c r="D74" i="5"/>
  <c r="D129" i="7" s="1"/>
  <c r="D128" i="5"/>
  <c r="D101" i="5"/>
  <c r="I105" i="3"/>
  <c r="I103" i="3"/>
  <c r="I106" i="3"/>
  <c r="I101" i="3"/>
  <c r="I108" i="3"/>
  <c r="I96" i="3"/>
  <c r="I102" i="3"/>
  <c r="I104" i="3"/>
  <c r="I107" i="3"/>
  <c r="I98" i="3"/>
  <c r="I100" i="3"/>
  <c r="I99" i="3"/>
  <c r="D116" i="6"/>
  <c r="D143" i="6"/>
  <c r="G4" i="3"/>
  <c r="G97" i="3" s="1"/>
  <c r="F119" i="6"/>
  <c r="F65" i="6"/>
  <c r="F207" i="7" s="1"/>
  <c r="F92" i="6"/>
  <c r="D198" i="4"/>
  <c r="B121" i="5"/>
  <c r="B67" i="5"/>
  <c r="B122" i="7" s="1"/>
  <c r="B94" i="5"/>
  <c r="U261" i="4"/>
  <c r="U249" i="4"/>
  <c r="U30" i="4"/>
  <c r="U168" i="4"/>
  <c r="U250" i="4"/>
  <c r="U263" i="4"/>
  <c r="U259" i="4"/>
  <c r="U254" i="4"/>
  <c r="U255" i="4"/>
  <c r="U256" i="4"/>
  <c r="U252" i="4"/>
  <c r="U257" i="4"/>
  <c r="U253" i="4"/>
  <c r="U251" i="4"/>
  <c r="U262" i="4"/>
  <c r="U260" i="4"/>
  <c r="G218" i="3"/>
  <c r="E66" i="5"/>
  <c r="E121" i="7" s="1"/>
  <c r="E120" i="5"/>
  <c r="E93" i="5"/>
  <c r="U198" i="4"/>
  <c r="U134" i="5"/>
  <c r="U80" i="5"/>
  <c r="U135" i="7" s="1"/>
  <c r="U107" i="5"/>
  <c r="C198" i="4"/>
  <c r="K112" i="6"/>
  <c r="K58" i="6"/>
  <c r="K200" i="7" s="1"/>
  <c r="K85" i="6"/>
  <c r="E199" i="4"/>
  <c r="T118" i="5"/>
  <c r="T64" i="5"/>
  <c r="T119" i="7" s="1"/>
  <c r="T91" i="5"/>
  <c r="F132" i="5"/>
  <c r="F78" i="5"/>
  <c r="F133" i="7" s="1"/>
  <c r="F105" i="5"/>
  <c r="U258" i="4"/>
  <c r="K118" i="5"/>
  <c r="K64" i="5"/>
  <c r="K119" i="7" s="1"/>
  <c r="K91" i="5"/>
  <c r="T112" i="6"/>
  <c r="T58" i="6"/>
  <c r="T200" i="7" s="1"/>
  <c r="T85" i="6"/>
  <c r="D115" i="6"/>
  <c r="D61" i="6"/>
  <c r="D203" i="7" s="1"/>
  <c r="D88" i="6"/>
  <c r="B200" i="4"/>
  <c r="B87" i="6"/>
  <c r="B93" i="5"/>
  <c r="F114" i="6"/>
  <c r="F60" i="6"/>
  <c r="F202" i="7" s="1"/>
  <c r="F87" i="6"/>
  <c r="F125" i="5"/>
  <c r="F71" i="5"/>
  <c r="F126" i="7" s="1"/>
  <c r="F98" i="5"/>
  <c r="F4" i="3"/>
  <c r="F97" i="3" s="1"/>
  <c r="G188" i="3"/>
  <c r="F126" i="6"/>
  <c r="F72" i="6"/>
  <c r="F214" i="7" s="1"/>
  <c r="F99" i="6"/>
  <c r="J112" i="6"/>
  <c r="J58" i="6"/>
  <c r="J200" i="7" s="1"/>
  <c r="J85" i="6"/>
  <c r="U206" i="4"/>
  <c r="U13" i="4"/>
  <c r="L112" i="6"/>
  <c r="L58" i="6"/>
  <c r="L200" i="7" s="1"/>
  <c r="L85" i="6"/>
  <c r="U117" i="6"/>
  <c r="U144" i="6"/>
  <c r="U63" i="6"/>
  <c r="D73" i="5"/>
  <c r="D128" i="7" s="1"/>
  <c r="D127" i="5"/>
  <c r="D100" i="5"/>
  <c r="F62" i="5"/>
  <c r="F117" i="7" s="1"/>
  <c r="F116" i="5"/>
  <c r="F36" i="3"/>
  <c r="F89" i="5"/>
  <c r="C122" i="5"/>
  <c r="C149" i="5"/>
  <c r="C68" i="5"/>
  <c r="B114" i="6"/>
  <c r="B60" i="6"/>
  <c r="B202" i="7" s="1"/>
  <c r="C121" i="5"/>
  <c r="C67" i="5"/>
  <c r="C122" i="7" s="1"/>
  <c r="C94" i="5"/>
  <c r="H218" i="3"/>
  <c r="L118" i="5"/>
  <c r="L64" i="5"/>
  <c r="L119" i="7" s="1"/>
  <c r="L91" i="5"/>
  <c r="J64" i="5"/>
  <c r="J119" i="7" s="1"/>
  <c r="J118" i="5"/>
  <c r="J91" i="5"/>
  <c r="H188" i="3"/>
  <c r="E6" i="4"/>
  <c r="U73" i="5"/>
  <c r="U128" i="7" s="1"/>
  <c r="U127" i="5"/>
  <c r="U100" i="5"/>
  <c r="D8" i="4"/>
  <c r="U8" i="4"/>
  <c r="U6" i="4" s="1"/>
  <c r="C8" i="4"/>
  <c r="C6" i="4" s="1"/>
  <c r="B7" i="4"/>
  <c r="C143" i="4" l="1"/>
  <c r="C197" i="4"/>
  <c r="C7" i="3"/>
  <c r="C4" i="4"/>
  <c r="C224" i="4" s="1"/>
  <c r="U197" i="4"/>
  <c r="U143" i="4"/>
  <c r="U7" i="3"/>
  <c r="U4" i="4"/>
  <c r="U224" i="4" s="1"/>
  <c r="D199" i="4"/>
  <c r="B115" i="6"/>
  <c r="B61" i="6"/>
  <c r="B203" i="7" s="1"/>
  <c r="B88" i="6"/>
  <c r="E78" i="5"/>
  <c r="E133" i="7" s="1"/>
  <c r="E132" i="5"/>
  <c r="E105" i="5"/>
  <c r="B122" i="5"/>
  <c r="B149" i="5"/>
  <c r="B68" i="5"/>
  <c r="D6" i="4"/>
  <c r="D122" i="6"/>
  <c r="D68" i="6"/>
  <c r="D210" i="7" s="1"/>
  <c r="D95" i="6"/>
  <c r="E62" i="5"/>
  <c r="E117" i="7" s="1"/>
  <c r="E116" i="5"/>
  <c r="E36" i="3"/>
  <c r="E89" i="5"/>
  <c r="B198" i="4"/>
  <c r="C115" i="6"/>
  <c r="C61" i="6"/>
  <c r="C203" i="7" s="1"/>
  <c r="C88" i="6"/>
  <c r="C53" i="4"/>
  <c r="B53" i="4"/>
  <c r="E53" i="4"/>
  <c r="B74" i="5"/>
  <c r="B129" i="7" s="1"/>
  <c r="B128" i="5"/>
  <c r="B101" i="5"/>
  <c r="E71" i="5"/>
  <c r="E126" i="7" s="1"/>
  <c r="E125" i="5"/>
  <c r="E98" i="5"/>
  <c r="E114" i="6"/>
  <c r="E60" i="6"/>
  <c r="E202" i="7" s="1"/>
  <c r="E87" i="6"/>
  <c r="U150" i="4"/>
  <c r="U204" i="4"/>
  <c r="U8" i="3"/>
  <c r="U66" i="5"/>
  <c r="U121" i="7" s="1"/>
  <c r="U120" i="5"/>
  <c r="U93" i="5"/>
  <c r="V136" i="5"/>
  <c r="V82" i="5"/>
  <c r="V137" i="7" s="1"/>
  <c r="V109" i="5"/>
  <c r="F188" i="3"/>
  <c r="C116" i="6"/>
  <c r="C143" i="6"/>
  <c r="F104" i="3"/>
  <c r="F103" i="3"/>
  <c r="F105" i="3"/>
  <c r="F102" i="3"/>
  <c r="F106" i="3"/>
  <c r="F96" i="3"/>
  <c r="F107" i="3"/>
  <c r="F108" i="3"/>
  <c r="F101" i="3"/>
  <c r="F98" i="3"/>
  <c r="F100" i="3"/>
  <c r="F99" i="3"/>
  <c r="I118" i="5"/>
  <c r="I64" i="5"/>
  <c r="I119" i="7" s="1"/>
  <c r="I91" i="5"/>
  <c r="G105" i="3"/>
  <c r="G103" i="3"/>
  <c r="G106" i="3"/>
  <c r="G102" i="3"/>
  <c r="G108" i="3"/>
  <c r="G104" i="3"/>
  <c r="G96" i="3"/>
  <c r="G101" i="3"/>
  <c r="G107" i="3"/>
  <c r="G98" i="3"/>
  <c r="G100" i="3"/>
  <c r="G99" i="3"/>
  <c r="F53" i="4"/>
  <c r="D53" i="4"/>
  <c r="E126" i="6"/>
  <c r="E72" i="6"/>
  <c r="E214" i="7" s="1"/>
  <c r="E99" i="6"/>
  <c r="F110" i="6"/>
  <c r="F66" i="3"/>
  <c r="F56" i="6"/>
  <c r="F198" i="7" s="1"/>
  <c r="F83" i="6"/>
  <c r="V181" i="4"/>
  <c r="D66" i="5"/>
  <c r="D121" i="7" s="1"/>
  <c r="D120" i="5"/>
  <c r="D93" i="5"/>
  <c r="C74" i="5"/>
  <c r="C129" i="7" s="1"/>
  <c r="C128" i="5"/>
  <c r="C101" i="5"/>
  <c r="D121" i="6"/>
  <c r="D67" i="6"/>
  <c r="D209" i="7" s="1"/>
  <c r="D94" i="6"/>
  <c r="E143" i="4"/>
  <c r="E197" i="4"/>
  <c r="E7" i="3"/>
  <c r="E4" i="4"/>
  <c r="E119" i="6"/>
  <c r="E65" i="6"/>
  <c r="E207" i="7" s="1"/>
  <c r="E92" i="6"/>
  <c r="I112" i="6"/>
  <c r="I58" i="6"/>
  <c r="I200" i="7" s="1"/>
  <c r="I85" i="6"/>
  <c r="C199" i="4"/>
  <c r="U199" i="4"/>
  <c r="C127" i="5"/>
  <c r="C73" i="5"/>
  <c r="C128" i="7" s="1"/>
  <c r="C100" i="5"/>
  <c r="U128" i="6"/>
  <c r="U74" i="6"/>
  <c r="U216" i="7" s="1"/>
  <c r="U101" i="6"/>
  <c r="U121" i="6"/>
  <c r="U67" i="6"/>
  <c r="U209" i="7" s="1"/>
  <c r="U94" i="6"/>
  <c r="B8" i="4"/>
  <c r="B6" i="4" s="1"/>
  <c r="B28" i="4"/>
  <c r="E28" i="4"/>
  <c r="F28" i="4"/>
  <c r="D28" i="4"/>
  <c r="C28" i="4"/>
  <c r="U231" i="4" l="1"/>
  <c r="U226" i="4"/>
  <c r="C226" i="4"/>
  <c r="C26" i="4"/>
  <c r="B197" i="4"/>
  <c r="B143" i="4"/>
  <c r="B7" i="3"/>
  <c r="B4" i="4"/>
  <c r="B226" i="4" s="1"/>
  <c r="F26" i="4"/>
  <c r="E26" i="4"/>
  <c r="B26" i="4"/>
  <c r="E141" i="4"/>
  <c r="E195" i="4"/>
  <c r="E222" i="4"/>
  <c r="E230" i="4"/>
  <c r="E223" i="4"/>
  <c r="E234" i="4"/>
  <c r="E232" i="4"/>
  <c r="E235" i="4"/>
  <c r="E236" i="4"/>
  <c r="E233" i="4"/>
  <c r="E231" i="4"/>
  <c r="E228" i="4"/>
  <c r="E227" i="4"/>
  <c r="E225" i="4"/>
  <c r="E226" i="4"/>
  <c r="C122" i="6"/>
  <c r="C68" i="6"/>
  <c r="C210" i="7" s="1"/>
  <c r="C95" i="6"/>
  <c r="D114" i="6"/>
  <c r="D60" i="6"/>
  <c r="D202" i="7" s="1"/>
  <c r="D87" i="6"/>
  <c r="D125" i="5"/>
  <c r="D71" i="5"/>
  <c r="D126" i="7" s="1"/>
  <c r="D98" i="5"/>
  <c r="U195" i="4"/>
  <c r="U222" i="4"/>
  <c r="U141" i="4"/>
  <c r="U223" i="4"/>
  <c r="U236" i="4"/>
  <c r="U232" i="4"/>
  <c r="U234" i="4"/>
  <c r="U228" i="4"/>
  <c r="U230" i="4"/>
  <c r="U227" i="4"/>
  <c r="U229" i="4"/>
  <c r="U235" i="4"/>
  <c r="U233" i="4"/>
  <c r="U225" i="4"/>
  <c r="C5" i="3"/>
  <c r="B46" i="4"/>
  <c r="E110" i="6"/>
  <c r="E66" i="3"/>
  <c r="E56" i="6"/>
  <c r="E198" i="7" s="1"/>
  <c r="E83" i="6"/>
  <c r="F46" i="4"/>
  <c r="C121" i="6"/>
  <c r="C67" i="6"/>
  <c r="C209" i="7" s="1"/>
  <c r="C94" i="6"/>
  <c r="V130" i="6"/>
  <c r="V157" i="6"/>
  <c r="V76" i="6"/>
  <c r="V103" i="6"/>
  <c r="E188" i="3"/>
  <c r="G118" i="5"/>
  <c r="G64" i="5"/>
  <c r="G119" i="7" s="1"/>
  <c r="G91" i="5"/>
  <c r="U5" i="3"/>
  <c r="U116" i="5"/>
  <c r="U62" i="5"/>
  <c r="U117" i="7" s="1"/>
  <c r="U36" i="3"/>
  <c r="U89" i="5"/>
  <c r="D126" i="6"/>
  <c r="D72" i="6"/>
  <c r="D214" i="7" s="1"/>
  <c r="D99" i="6"/>
  <c r="D119" i="6"/>
  <c r="D65" i="6"/>
  <c r="D207" i="7" s="1"/>
  <c r="D92" i="6"/>
  <c r="G112" i="6"/>
  <c r="G58" i="6"/>
  <c r="G200" i="7" s="1"/>
  <c r="G85" i="6"/>
  <c r="U114" i="6"/>
  <c r="U60" i="6"/>
  <c r="U202" i="7" s="1"/>
  <c r="U87" i="6"/>
  <c r="E224" i="4"/>
  <c r="F218" i="3"/>
  <c r="B116" i="6"/>
  <c r="B143" i="6"/>
  <c r="E46" i="4"/>
  <c r="E271" i="4" s="1"/>
  <c r="D110" i="6"/>
  <c r="D66" i="3"/>
  <c r="D56" i="6"/>
  <c r="D198" i="7" s="1"/>
  <c r="D83" i="6"/>
  <c r="V179" i="4"/>
  <c r="V40" i="4"/>
  <c r="D46" i="4"/>
  <c r="D26" i="4"/>
  <c r="B122" i="6"/>
  <c r="B68" i="6"/>
  <c r="B210" i="7" s="1"/>
  <c r="B95" i="6"/>
  <c r="D78" i="5"/>
  <c r="D133" i="7" s="1"/>
  <c r="D132" i="5"/>
  <c r="D105" i="5"/>
  <c r="C46" i="4"/>
  <c r="D143" i="4"/>
  <c r="D197" i="4"/>
  <c r="D7" i="3"/>
  <c r="D4" i="4"/>
  <c r="D224" i="4" s="1"/>
  <c r="E5" i="3"/>
  <c r="B199" i="4"/>
  <c r="C120" i="5"/>
  <c r="C66" i="5"/>
  <c r="C121" i="7" s="1"/>
  <c r="C93" i="5"/>
  <c r="U78" i="5"/>
  <c r="U133" i="7" s="1"/>
  <c r="U132" i="5"/>
  <c r="U105" i="5"/>
  <c r="U125" i="5"/>
  <c r="U71" i="5"/>
  <c r="U126" i="7" s="1"/>
  <c r="U98" i="5"/>
  <c r="D62" i="5"/>
  <c r="D117" i="7" s="1"/>
  <c r="D116" i="5"/>
  <c r="D36" i="3"/>
  <c r="D89" i="5"/>
  <c r="C231" i="4"/>
  <c r="C195" i="4"/>
  <c r="C222" i="4"/>
  <c r="C141" i="4"/>
  <c r="C223" i="4"/>
  <c r="C235" i="4"/>
  <c r="C232" i="4"/>
  <c r="C234" i="4"/>
  <c r="C233" i="4"/>
  <c r="C236" i="4"/>
  <c r="C228" i="4"/>
  <c r="C227" i="4"/>
  <c r="C225" i="4"/>
  <c r="V17" i="4"/>
  <c r="B264" i="4" l="1"/>
  <c r="B266" i="4"/>
  <c r="B267" i="4"/>
  <c r="B270" i="4"/>
  <c r="B268" i="4"/>
  <c r="B269" i="4"/>
  <c r="B265" i="4"/>
  <c r="B272" i="4"/>
  <c r="B30" i="4"/>
  <c r="B273" i="4"/>
  <c r="E4" i="3"/>
  <c r="E97" i="3"/>
  <c r="D264" i="4"/>
  <c r="D266" i="4"/>
  <c r="D267" i="4"/>
  <c r="D268" i="4"/>
  <c r="D269" i="4"/>
  <c r="D270" i="4"/>
  <c r="D265" i="4"/>
  <c r="D272" i="4"/>
  <c r="D30" i="4"/>
  <c r="D273" i="4"/>
  <c r="B271" i="4"/>
  <c r="D271" i="4"/>
  <c r="C114" i="6"/>
  <c r="C60" i="6"/>
  <c r="C202" i="7" s="1"/>
  <c r="C87" i="6"/>
  <c r="E265" i="4"/>
  <c r="E264" i="4"/>
  <c r="E266" i="4"/>
  <c r="E267" i="4"/>
  <c r="E269" i="4"/>
  <c r="E268" i="4"/>
  <c r="E270" i="4"/>
  <c r="E272" i="4"/>
  <c r="E30" i="4"/>
  <c r="E273" i="4"/>
  <c r="H64" i="5"/>
  <c r="H119" i="7" s="1"/>
  <c r="H118" i="5"/>
  <c r="H91" i="5"/>
  <c r="B231" i="4"/>
  <c r="B222" i="4"/>
  <c r="B141" i="4"/>
  <c r="B195" i="4"/>
  <c r="B223" i="4"/>
  <c r="B234" i="4"/>
  <c r="B236" i="4"/>
  <c r="B232" i="4"/>
  <c r="B235" i="4"/>
  <c r="B233" i="4"/>
  <c r="B228" i="4"/>
  <c r="B227" i="4"/>
  <c r="B225" i="4"/>
  <c r="C163" i="4"/>
  <c r="C20" i="3"/>
  <c r="C19" i="4"/>
  <c r="U110" i="6"/>
  <c r="U66" i="3"/>
  <c r="U56" i="6"/>
  <c r="U198" i="7" s="1"/>
  <c r="U83" i="6"/>
  <c r="D188" i="3"/>
  <c r="U4" i="3"/>
  <c r="B163" i="4"/>
  <c r="B20" i="3"/>
  <c r="B19" i="4"/>
  <c r="B244" i="4" s="1"/>
  <c r="B5" i="3"/>
  <c r="E218" i="3"/>
  <c r="B224" i="4"/>
  <c r="C271" i="4"/>
  <c r="C264" i="4"/>
  <c r="C266" i="4"/>
  <c r="C269" i="4"/>
  <c r="C268" i="4"/>
  <c r="C267" i="4"/>
  <c r="C270" i="4"/>
  <c r="C265" i="4"/>
  <c r="C272" i="4"/>
  <c r="C30" i="4"/>
  <c r="C273" i="4"/>
  <c r="E163" i="4"/>
  <c r="E20" i="3"/>
  <c r="E19" i="4"/>
  <c r="E244" i="4" s="1"/>
  <c r="C4" i="3"/>
  <c r="C97" i="3" s="1"/>
  <c r="F163" i="4"/>
  <c r="F20" i="3"/>
  <c r="F19" i="4"/>
  <c r="F244" i="4" s="1"/>
  <c r="U188" i="3"/>
  <c r="H112" i="6"/>
  <c r="H58" i="6"/>
  <c r="H200" i="7" s="1"/>
  <c r="H85" i="6"/>
  <c r="V208" i="4"/>
  <c r="D225" i="4"/>
  <c r="D222" i="4"/>
  <c r="D141" i="4"/>
  <c r="D195" i="4"/>
  <c r="D223" i="4"/>
  <c r="D235" i="4"/>
  <c r="D234" i="4"/>
  <c r="D232" i="4"/>
  <c r="D233" i="4"/>
  <c r="D236" i="4"/>
  <c r="D231" i="4"/>
  <c r="D228" i="4"/>
  <c r="D227" i="4"/>
  <c r="D226" i="4"/>
  <c r="D163" i="4"/>
  <c r="D20" i="3"/>
  <c r="D19" i="4"/>
  <c r="D218" i="3"/>
  <c r="F264" i="4"/>
  <c r="F266" i="4"/>
  <c r="F268" i="4"/>
  <c r="F269" i="4"/>
  <c r="F267" i="4"/>
  <c r="F270" i="4"/>
  <c r="F265" i="4"/>
  <c r="F30" i="4"/>
  <c r="F272" i="4"/>
  <c r="F273" i="4"/>
  <c r="D5" i="3"/>
  <c r="V177" i="4"/>
  <c r="F271" i="4"/>
  <c r="V15" i="4"/>
  <c r="B55" i="7"/>
  <c r="E118" i="5" l="1"/>
  <c r="E64" i="5"/>
  <c r="E119" i="7" s="1"/>
  <c r="E91" i="5"/>
  <c r="C132" i="5"/>
  <c r="C78" i="5"/>
  <c r="C133" i="7" s="1"/>
  <c r="C105" i="5"/>
  <c r="C241" i="4"/>
  <c r="C156" i="4"/>
  <c r="C237" i="4"/>
  <c r="C239" i="4"/>
  <c r="C242" i="4"/>
  <c r="C240" i="4"/>
  <c r="C243" i="4"/>
  <c r="C238" i="4"/>
  <c r="C245" i="4"/>
  <c r="C246" i="4"/>
  <c r="D243" i="4"/>
  <c r="D237" i="4"/>
  <c r="D156" i="4"/>
  <c r="D239" i="4"/>
  <c r="D242" i="4"/>
  <c r="D240" i="4"/>
  <c r="D241" i="4"/>
  <c r="D238" i="4"/>
  <c r="D245" i="4"/>
  <c r="D246" i="4"/>
  <c r="F64" i="5"/>
  <c r="F119" i="7" s="1"/>
  <c r="F118" i="5"/>
  <c r="F91" i="5"/>
  <c r="B4" i="3"/>
  <c r="B97" i="3" s="1"/>
  <c r="C18" i="3"/>
  <c r="E112" i="6"/>
  <c r="E58" i="6"/>
  <c r="E200" i="7" s="1"/>
  <c r="E85" i="6"/>
  <c r="F112" i="6"/>
  <c r="F58" i="6"/>
  <c r="F200" i="7" s="1"/>
  <c r="F85" i="6"/>
  <c r="V206" i="4"/>
  <c r="V13" i="4"/>
  <c r="C126" i="6"/>
  <c r="C72" i="6"/>
  <c r="C214" i="7" s="1"/>
  <c r="C99" i="6"/>
  <c r="U126" i="6"/>
  <c r="U72" i="6"/>
  <c r="U214" i="7" s="1"/>
  <c r="U99" i="6"/>
  <c r="D18" i="3"/>
  <c r="C244" i="4"/>
  <c r="E105" i="3"/>
  <c r="E101" i="3"/>
  <c r="E102" i="3"/>
  <c r="E96" i="3"/>
  <c r="E108" i="3"/>
  <c r="E104" i="3"/>
  <c r="E106" i="3"/>
  <c r="E107" i="3"/>
  <c r="E103" i="3"/>
  <c r="E98" i="3"/>
  <c r="E100" i="3"/>
  <c r="E99" i="3"/>
  <c r="V172" i="4"/>
  <c r="D4" i="3"/>
  <c r="D244" i="4"/>
  <c r="C116" i="5"/>
  <c r="C62" i="5"/>
  <c r="C117" i="7" s="1"/>
  <c r="C36" i="3"/>
  <c r="C89" i="5"/>
  <c r="C71" i="5"/>
  <c r="C126" i="7" s="1"/>
  <c r="C125" i="5"/>
  <c r="C98" i="5"/>
  <c r="U108" i="3"/>
  <c r="U107" i="3"/>
  <c r="U103" i="3"/>
  <c r="U106" i="3"/>
  <c r="U105" i="3"/>
  <c r="U104" i="3"/>
  <c r="U102" i="3"/>
  <c r="U101" i="3"/>
  <c r="U96" i="3"/>
  <c r="U98" i="3"/>
  <c r="U99" i="3"/>
  <c r="U100" i="3"/>
  <c r="C119" i="6"/>
  <c r="C65" i="6"/>
  <c r="C207" i="7" s="1"/>
  <c r="C92" i="6"/>
  <c r="F238" i="4"/>
  <c r="F237" i="4"/>
  <c r="F156" i="4"/>
  <c r="F239" i="4"/>
  <c r="F242" i="4"/>
  <c r="F240" i="4"/>
  <c r="F243" i="4"/>
  <c r="F241" i="4"/>
  <c r="F245" i="4"/>
  <c r="F246" i="4"/>
  <c r="C105" i="3"/>
  <c r="C96" i="3"/>
  <c r="C106" i="3"/>
  <c r="C107" i="3"/>
  <c r="C108" i="3"/>
  <c r="C102" i="3"/>
  <c r="C103" i="3"/>
  <c r="C104" i="3"/>
  <c r="C101" i="3"/>
  <c r="C98" i="3"/>
  <c r="C100" i="3"/>
  <c r="C99" i="3"/>
  <c r="E238" i="4"/>
  <c r="E156" i="4"/>
  <c r="E237" i="4"/>
  <c r="E239" i="4"/>
  <c r="E242" i="4"/>
  <c r="E240" i="4"/>
  <c r="E243" i="4"/>
  <c r="E241" i="4"/>
  <c r="E245" i="4"/>
  <c r="E246" i="4"/>
  <c r="B156" i="4"/>
  <c r="B237" i="4"/>
  <c r="B239" i="4"/>
  <c r="B240" i="4"/>
  <c r="B241" i="4"/>
  <c r="B238" i="4"/>
  <c r="B242" i="4"/>
  <c r="B243" i="4"/>
  <c r="B245" i="4"/>
  <c r="B246" i="4"/>
  <c r="U218" i="3"/>
  <c r="F18" i="3"/>
  <c r="E18" i="3"/>
  <c r="B18" i="3"/>
  <c r="U97" i="3"/>
  <c r="D105" i="3" l="1"/>
  <c r="D102" i="3"/>
  <c r="D106" i="3"/>
  <c r="D104" i="3"/>
  <c r="D107" i="3"/>
  <c r="D96" i="3"/>
  <c r="D108" i="3"/>
  <c r="D103" i="3"/>
  <c r="D101" i="3"/>
  <c r="D98" i="3"/>
  <c r="D100" i="3"/>
  <c r="D99" i="3"/>
  <c r="V80" i="5"/>
  <c r="V135" i="7" s="1"/>
  <c r="V134" i="5"/>
  <c r="V107" i="5"/>
  <c r="C17" i="3"/>
  <c r="C110" i="3" s="1"/>
  <c r="D112" i="6"/>
  <c r="D58" i="6"/>
  <c r="D200" i="7" s="1"/>
  <c r="D85" i="6"/>
  <c r="D64" i="5"/>
  <c r="D119" i="7" s="1"/>
  <c r="D118" i="5"/>
  <c r="D91" i="5"/>
  <c r="B28" i="7"/>
  <c r="B192" i="4"/>
  <c r="B219" i="4"/>
  <c r="C28" i="7"/>
  <c r="C192" i="4"/>
  <c r="C219" i="4"/>
  <c r="F28" i="7"/>
  <c r="F192" i="4"/>
  <c r="F219" i="4"/>
  <c r="B62" i="5"/>
  <c r="B117" i="7" s="1"/>
  <c r="B116" i="5"/>
  <c r="B36" i="3"/>
  <c r="B89" i="5"/>
  <c r="V127" i="5"/>
  <c r="V73" i="5"/>
  <c r="V128" i="7" s="1"/>
  <c r="V100" i="5"/>
  <c r="B126" i="6"/>
  <c r="B72" i="6"/>
  <c r="B214" i="7" s="1"/>
  <c r="B99" i="6"/>
  <c r="B132" i="5"/>
  <c r="B78" i="5"/>
  <c r="B133" i="7" s="1"/>
  <c r="B105" i="5"/>
  <c r="E17" i="3"/>
  <c r="B17" i="3"/>
  <c r="B110" i="3" s="1"/>
  <c r="F17" i="3"/>
  <c r="F110" i="3" s="1"/>
  <c r="C188" i="3"/>
  <c r="C110" i="6"/>
  <c r="C66" i="3"/>
  <c r="C56" i="6"/>
  <c r="C198" i="7" s="1"/>
  <c r="C83" i="6"/>
  <c r="D28" i="7"/>
  <c r="D192" i="4"/>
  <c r="D219" i="4"/>
  <c r="E28" i="7"/>
  <c r="E192" i="4"/>
  <c r="E219" i="4"/>
  <c r="V150" i="4"/>
  <c r="V204" i="4"/>
  <c r="V8" i="3"/>
  <c r="B105" i="3"/>
  <c r="B107" i="3"/>
  <c r="B108" i="3"/>
  <c r="B103" i="3"/>
  <c r="B102" i="3"/>
  <c r="B106" i="3"/>
  <c r="B104" i="3"/>
  <c r="B96" i="3"/>
  <c r="B101" i="3"/>
  <c r="B98" i="3"/>
  <c r="B100" i="3"/>
  <c r="B99" i="3"/>
  <c r="U135" i="5"/>
  <c r="U81" i="5"/>
  <c r="U136" i="7" s="1"/>
  <c r="U108" i="5"/>
  <c r="B125" i="5"/>
  <c r="B71" i="5"/>
  <c r="B126" i="7" s="1"/>
  <c r="B98" i="5"/>
  <c r="U119" i="6"/>
  <c r="U65" i="6"/>
  <c r="U207" i="7" s="1"/>
  <c r="U92" i="6"/>
  <c r="D97" i="3"/>
  <c r="D17" i="3"/>
  <c r="D110" i="3" s="1"/>
  <c r="E118" i="3" l="1"/>
  <c r="E117" i="3"/>
  <c r="E109" i="3"/>
  <c r="E114" i="3"/>
  <c r="E113" i="3"/>
  <c r="E120" i="3"/>
  <c r="E115" i="3"/>
  <c r="E116" i="3"/>
  <c r="E119" i="3"/>
  <c r="E111" i="3"/>
  <c r="E112" i="3"/>
  <c r="V121" i="6"/>
  <c r="V67" i="6"/>
  <c r="V209" i="7" s="1"/>
  <c r="V94" i="6"/>
  <c r="C218" i="3"/>
  <c r="B117" i="3"/>
  <c r="B119" i="3"/>
  <c r="B109" i="3"/>
  <c r="B114" i="3"/>
  <c r="B118" i="3"/>
  <c r="B115" i="3"/>
  <c r="B113" i="3"/>
  <c r="B120" i="3"/>
  <c r="B116" i="3"/>
  <c r="B111" i="3"/>
  <c r="B112" i="3"/>
  <c r="B188" i="3"/>
  <c r="D114" i="3"/>
  <c r="D115" i="3"/>
  <c r="D119" i="3"/>
  <c r="D118" i="3"/>
  <c r="D120" i="3"/>
  <c r="D116" i="3"/>
  <c r="D117" i="3"/>
  <c r="D109" i="3"/>
  <c r="D113" i="3"/>
  <c r="D111" i="3"/>
  <c r="D112" i="3"/>
  <c r="V128" i="6"/>
  <c r="V74" i="6"/>
  <c r="V216" i="7" s="1"/>
  <c r="V101" i="6"/>
  <c r="B110" i="6"/>
  <c r="B66" i="3"/>
  <c r="B56" i="6"/>
  <c r="B198" i="7" s="1"/>
  <c r="B83" i="6"/>
  <c r="B119" i="6"/>
  <c r="B65" i="6"/>
  <c r="B207" i="7" s="1"/>
  <c r="B92" i="6"/>
  <c r="C113" i="3"/>
  <c r="C117" i="3"/>
  <c r="C114" i="3"/>
  <c r="C109" i="3"/>
  <c r="C119" i="3"/>
  <c r="C115" i="3"/>
  <c r="C120" i="3"/>
  <c r="C118" i="3"/>
  <c r="C116" i="3"/>
  <c r="C111" i="3"/>
  <c r="C112" i="3"/>
  <c r="V120" i="5"/>
  <c r="V66" i="5"/>
  <c r="V121" i="7" s="1"/>
  <c r="F117" i="3"/>
  <c r="F116" i="3"/>
  <c r="F109" i="3"/>
  <c r="F113" i="3"/>
  <c r="F115" i="3"/>
  <c r="F119" i="3"/>
  <c r="F114" i="3"/>
  <c r="F120" i="3"/>
  <c r="F118" i="3"/>
  <c r="F111" i="3"/>
  <c r="F112" i="3"/>
  <c r="E110" i="3"/>
  <c r="U122" i="5"/>
  <c r="U68" i="5"/>
  <c r="U123" i="7" s="1"/>
  <c r="U95" i="5"/>
  <c r="U116" i="6" l="1"/>
  <c r="U62" i="6"/>
  <c r="U204" i="7" s="1"/>
  <c r="U89" i="6"/>
  <c r="U64" i="5"/>
  <c r="U119" i="7" s="1"/>
  <c r="U118" i="5"/>
  <c r="U91" i="5"/>
  <c r="C112" i="6"/>
  <c r="C58" i="6"/>
  <c r="C200" i="7" s="1"/>
  <c r="C85" i="6"/>
  <c r="V114" i="6"/>
  <c r="V60" i="6"/>
  <c r="V202" i="7" s="1"/>
  <c r="U129" i="6"/>
  <c r="U75" i="6"/>
  <c r="U217" i="7" s="1"/>
  <c r="U102" i="6"/>
  <c r="U112" i="6"/>
  <c r="U58" i="6"/>
  <c r="U200" i="7" s="1"/>
  <c r="U85" i="6"/>
  <c r="B218" i="3"/>
  <c r="C118" i="5"/>
  <c r="C64" i="5"/>
  <c r="C119" i="7" s="1"/>
  <c r="C91" i="5"/>
  <c r="C55" i="7" l="1"/>
  <c r="B79" i="5" l="1"/>
  <c r="B134" i="7" s="1"/>
  <c r="B133" i="5"/>
  <c r="B106" i="5"/>
  <c r="B43" i="5"/>
  <c r="B127" i="6"/>
  <c r="B73" i="6"/>
  <c r="B215" i="7" s="1"/>
  <c r="B100" i="6"/>
  <c r="B34" i="6"/>
  <c r="U67" i="5"/>
  <c r="U122" i="7" s="1"/>
  <c r="U121" i="5"/>
  <c r="U94" i="5"/>
  <c r="B112" i="6"/>
  <c r="B58" i="6"/>
  <c r="B200" i="7" s="1"/>
  <c r="B85" i="6"/>
  <c r="B118" i="5"/>
  <c r="B64" i="5"/>
  <c r="B119" i="7" s="1"/>
  <c r="B91" i="5"/>
  <c r="B72" i="5"/>
  <c r="B127" i="7" s="1"/>
  <c r="B126" i="5"/>
  <c r="B99" i="5"/>
  <c r="B33" i="5"/>
  <c r="B71" i="6" l="1"/>
  <c r="B213" i="7" s="1"/>
  <c r="B125" i="6"/>
  <c r="B79" i="3"/>
  <c r="B98" i="6"/>
  <c r="B77" i="5"/>
  <c r="B132" i="7" s="1"/>
  <c r="B131" i="5"/>
  <c r="B49" i="3"/>
  <c r="B104" i="5"/>
  <c r="U128" i="5"/>
  <c r="U74" i="5"/>
  <c r="U129" i="7" s="1"/>
  <c r="U101" i="5"/>
  <c r="B124" i="5"/>
  <c r="B70" i="5"/>
  <c r="B125" i="7" s="1"/>
  <c r="B38" i="3"/>
  <c r="B97" i="5"/>
  <c r="U115" i="6"/>
  <c r="U61" i="6"/>
  <c r="U203" i="7" s="1"/>
  <c r="U88" i="6"/>
  <c r="B201" i="3" l="1"/>
  <c r="B65" i="5"/>
  <c r="B120" i="7" s="1"/>
  <c r="B119" i="5"/>
  <c r="B92" i="5"/>
  <c r="B21" i="5"/>
  <c r="B113" i="6"/>
  <c r="B59" i="6"/>
  <c r="B201" i="7" s="1"/>
  <c r="B86" i="6"/>
  <c r="B20" i="6"/>
  <c r="B190" i="3"/>
  <c r="U122" i="6"/>
  <c r="U68" i="6"/>
  <c r="U210" i="7" s="1"/>
  <c r="U95" i="6"/>
  <c r="V188" i="4"/>
  <c r="V47" i="4"/>
  <c r="B139" i="5"/>
  <c r="B85" i="5"/>
  <c r="B140" i="7" s="1"/>
  <c r="B112" i="5"/>
  <c r="B120" i="6"/>
  <c r="B66" i="6"/>
  <c r="B208" i="7" s="1"/>
  <c r="B93" i="6"/>
  <c r="B27" i="6"/>
  <c r="B231" i="3"/>
  <c r="V10" i="4"/>
  <c r="V184" i="4" l="1"/>
  <c r="V46" i="4"/>
  <c r="V265" i="4"/>
  <c r="B63" i="5"/>
  <c r="B118" i="7" s="1"/>
  <c r="B117" i="5"/>
  <c r="B37" i="3"/>
  <c r="B90" i="5"/>
  <c r="B18" i="5"/>
  <c r="V201" i="4"/>
  <c r="B18" i="6"/>
  <c r="B111" i="6"/>
  <c r="B67" i="3"/>
  <c r="B57" i="6"/>
  <c r="B199" i="7" s="1"/>
  <c r="B84" i="6"/>
  <c r="B118" i="6"/>
  <c r="B68" i="3"/>
  <c r="B64" i="6"/>
  <c r="B206" i="7" s="1"/>
  <c r="B91" i="6"/>
  <c r="W75" i="5"/>
  <c r="W130" i="7" s="1"/>
  <c r="W129" i="5"/>
  <c r="V24" i="4"/>
  <c r="V176" i="4" l="1"/>
  <c r="V215" i="4"/>
  <c r="V20" i="4"/>
  <c r="B61" i="5"/>
  <c r="B88" i="5"/>
  <c r="V264" i="4"/>
  <c r="V272" i="4"/>
  <c r="V273" i="4"/>
  <c r="V271" i="4"/>
  <c r="V266" i="4"/>
  <c r="V270" i="4"/>
  <c r="V268" i="4"/>
  <c r="V267" i="4"/>
  <c r="V269" i="4"/>
  <c r="B220" i="3"/>
  <c r="B55" i="6"/>
  <c r="B82" i="6"/>
  <c r="B219" i="3"/>
  <c r="B65" i="3"/>
  <c r="B189" i="3"/>
  <c r="B35" i="3"/>
  <c r="W123" i="6"/>
  <c r="W150" i="6"/>
  <c r="W69" i="6"/>
  <c r="V175" i="4" l="1"/>
  <c r="B187" i="3"/>
  <c r="B34" i="3"/>
  <c r="B127" i="3" s="1"/>
  <c r="B64" i="3"/>
  <c r="B217" i="3"/>
  <c r="B133" i="6"/>
  <c r="B79" i="6"/>
  <c r="B221" i="7" s="1"/>
  <c r="B106" i="6"/>
  <c r="V211" i="4"/>
  <c r="V157" i="4"/>
  <c r="V19" i="4"/>
  <c r="V238" i="4" s="1"/>
  <c r="V19" i="3"/>
  <c r="D55" i="7"/>
  <c r="B157" i="3" l="1"/>
  <c r="V33" i="4"/>
  <c r="V171" i="4"/>
  <c r="B168" i="3"/>
  <c r="B163" i="3"/>
  <c r="B161" i="3"/>
  <c r="B166" i="3"/>
  <c r="B165" i="3"/>
  <c r="B156" i="3"/>
  <c r="B167" i="3"/>
  <c r="B216" i="3"/>
  <c r="B158" i="3"/>
  <c r="B160" i="3"/>
  <c r="B159" i="3"/>
  <c r="V18" i="3"/>
  <c r="B137" i="3"/>
  <c r="B138" i="3"/>
  <c r="B135" i="3"/>
  <c r="B126" i="3"/>
  <c r="B132" i="3"/>
  <c r="B133" i="3"/>
  <c r="B131" i="3"/>
  <c r="B134" i="3"/>
  <c r="B136" i="3"/>
  <c r="B186" i="3"/>
  <c r="B128" i="3"/>
  <c r="B130" i="3"/>
  <c r="B129" i="3"/>
  <c r="V237" i="4"/>
  <c r="V156" i="4"/>
  <c r="V245" i="4"/>
  <c r="V246" i="4"/>
  <c r="V244" i="4"/>
  <c r="V243" i="4"/>
  <c r="V239" i="4"/>
  <c r="V241" i="4"/>
  <c r="V240" i="4"/>
  <c r="V242" i="4"/>
  <c r="V135" i="5"/>
  <c r="V81" i="5"/>
  <c r="V136" i="7" s="1"/>
  <c r="V108" i="5"/>
  <c r="W185" i="4" l="1"/>
  <c r="W189" i="4"/>
  <c r="W187" i="4"/>
  <c r="V17" i="3"/>
  <c r="V110" i="3" s="1"/>
  <c r="V121" i="5"/>
  <c r="V67" i="5"/>
  <c r="V122" i="7" s="1"/>
  <c r="V94" i="5"/>
  <c r="B52" i="5"/>
  <c r="B84" i="5"/>
  <c r="B111" i="5"/>
  <c r="B40" i="6"/>
  <c r="B78" i="6"/>
  <c r="B105" i="6"/>
  <c r="V129" i="6"/>
  <c r="V75" i="6"/>
  <c r="V217" i="7" s="1"/>
  <c r="V102" i="6"/>
  <c r="W178" i="4"/>
  <c r="W180" i="4"/>
  <c r="V170" i="4"/>
  <c r="V31" i="4"/>
  <c r="B83" i="5" l="1"/>
  <c r="B50" i="3"/>
  <c r="B110" i="5"/>
  <c r="B42" i="5"/>
  <c r="V260" i="4"/>
  <c r="V30" i="4"/>
  <c r="V249" i="4"/>
  <c r="V168" i="4"/>
  <c r="V250" i="4"/>
  <c r="V263" i="4"/>
  <c r="V261" i="4"/>
  <c r="V255" i="4"/>
  <c r="V259" i="4"/>
  <c r="V254" i="4"/>
  <c r="V262" i="4"/>
  <c r="V258" i="4"/>
  <c r="V253" i="4"/>
  <c r="V257" i="4"/>
  <c r="V256" i="4"/>
  <c r="V252" i="4"/>
  <c r="V74" i="5"/>
  <c r="V129" i="7" s="1"/>
  <c r="V128" i="5"/>
  <c r="V101" i="5"/>
  <c r="V117" i="3"/>
  <c r="V119" i="3"/>
  <c r="V115" i="3"/>
  <c r="V120" i="3"/>
  <c r="V118" i="3"/>
  <c r="V109" i="3"/>
  <c r="V114" i="3"/>
  <c r="V116" i="3"/>
  <c r="V113" i="3"/>
  <c r="V112" i="3"/>
  <c r="V111" i="3"/>
  <c r="V115" i="6"/>
  <c r="V61" i="6"/>
  <c r="V203" i="7" s="1"/>
  <c r="V88" i="6"/>
  <c r="V251" i="4"/>
  <c r="B80" i="3"/>
  <c r="B77" i="6"/>
  <c r="B104" i="6"/>
  <c r="B33" i="6"/>
  <c r="W186" i="4"/>
  <c r="W25" i="4"/>
  <c r="W14" i="4"/>
  <c r="W23" i="4"/>
  <c r="W21" i="4"/>
  <c r="W214" i="4" l="1"/>
  <c r="W205" i="4"/>
  <c r="W216" i="4"/>
  <c r="B76" i="5"/>
  <c r="B103" i="5"/>
  <c r="B17" i="5"/>
  <c r="B232" i="3"/>
  <c r="B78" i="3"/>
  <c r="W212" i="4"/>
  <c r="B17" i="6"/>
  <c r="B151" i="6" s="1"/>
  <c r="B70" i="6"/>
  <c r="B97" i="6"/>
  <c r="V122" i="6"/>
  <c r="V68" i="6"/>
  <c r="V210" i="7" s="1"/>
  <c r="V95" i="6"/>
  <c r="B202" i="3"/>
  <c r="B48" i="3"/>
  <c r="W22" i="4"/>
  <c r="W18" i="4"/>
  <c r="V11" i="4"/>
  <c r="V12" i="4"/>
  <c r="V9" i="4"/>
  <c r="V96" i="5" l="1"/>
  <c r="V203" i="4"/>
  <c r="B144" i="5"/>
  <c r="B141" i="5"/>
  <c r="B60" i="5"/>
  <c r="B154" i="5"/>
  <c r="B156" i="5"/>
  <c r="B161" i="5"/>
  <c r="B162" i="5"/>
  <c r="B163" i="5"/>
  <c r="B147" i="5"/>
  <c r="B148" i="5"/>
  <c r="B155" i="5"/>
  <c r="B152" i="5"/>
  <c r="B159" i="5"/>
  <c r="B143" i="5"/>
  <c r="B153" i="5"/>
  <c r="B160" i="5"/>
  <c r="B145" i="5"/>
  <c r="B151" i="5"/>
  <c r="B158" i="5"/>
  <c r="B146" i="5"/>
  <c r="B166" i="5"/>
  <c r="B142" i="5"/>
  <c r="B165" i="5"/>
  <c r="B164" i="5"/>
  <c r="V202" i="4"/>
  <c r="W213" i="4"/>
  <c r="V87" i="6"/>
  <c r="V200" i="4"/>
  <c r="V93" i="5"/>
  <c r="W96" i="6"/>
  <c r="W209" i="4"/>
  <c r="W102" i="5"/>
  <c r="B157" i="5"/>
  <c r="B200" i="3"/>
  <c r="B47" i="3"/>
  <c r="B140" i="3" s="1"/>
  <c r="B135" i="6"/>
  <c r="B148" i="6"/>
  <c r="B156" i="6"/>
  <c r="B155" i="6"/>
  <c r="B141" i="6"/>
  <c r="B142" i="6"/>
  <c r="B149" i="6"/>
  <c r="B54" i="6"/>
  <c r="B153" i="6"/>
  <c r="B137" i="6"/>
  <c r="B146" i="6"/>
  <c r="B154" i="6"/>
  <c r="B139" i="6"/>
  <c r="B152" i="6"/>
  <c r="B140" i="6"/>
  <c r="B147" i="6"/>
  <c r="B145" i="6"/>
  <c r="B138" i="6"/>
  <c r="B136" i="6"/>
  <c r="B160" i="6"/>
  <c r="B159" i="6"/>
  <c r="B158" i="6"/>
  <c r="B77" i="3"/>
  <c r="B230" i="3"/>
  <c r="W16" i="4"/>
  <c r="V4" i="5"/>
  <c r="V47" i="6" s="1"/>
  <c r="V7" i="4"/>
  <c r="B169" i="3" l="1"/>
  <c r="B175" i="3"/>
  <c r="B173" i="3"/>
  <c r="B176" i="3"/>
  <c r="B177" i="3"/>
  <c r="B174" i="3"/>
  <c r="B180" i="3"/>
  <c r="B179" i="3"/>
  <c r="B178" i="3"/>
  <c r="B229" i="3"/>
  <c r="B171" i="3"/>
  <c r="B172" i="3"/>
  <c r="B144" i="3"/>
  <c r="B149" i="3"/>
  <c r="B143" i="3"/>
  <c r="B199" i="3"/>
  <c r="B150" i="3"/>
  <c r="B148" i="3"/>
  <c r="B139" i="3"/>
  <c r="B145" i="3"/>
  <c r="B147" i="3"/>
  <c r="B146" i="3"/>
  <c r="B141" i="3"/>
  <c r="B142" i="3"/>
  <c r="V198" i="4"/>
  <c r="W207" i="4"/>
  <c r="V123" i="5"/>
  <c r="V69" i="5"/>
  <c r="V124" i="7" s="1"/>
  <c r="B170" i="3"/>
  <c r="V8" i="4"/>
  <c r="V6" i="4" s="1"/>
  <c r="V143" i="4" l="1"/>
  <c r="V197" i="4"/>
  <c r="V7" i="3"/>
  <c r="V4" i="4"/>
  <c r="V199" i="4"/>
  <c r="V117" i="6"/>
  <c r="V144" i="6"/>
  <c r="V63" i="6"/>
  <c r="V90" i="6"/>
  <c r="W136" i="5"/>
  <c r="W82" i="5"/>
  <c r="W137" i="7" s="1"/>
  <c r="W109" i="5"/>
  <c r="V231" i="4" l="1"/>
  <c r="V141" i="4"/>
  <c r="V195" i="4"/>
  <c r="V222" i="4"/>
  <c r="V223" i="4"/>
  <c r="V232" i="4"/>
  <c r="V236" i="4"/>
  <c r="V234" i="4"/>
  <c r="V235" i="4"/>
  <c r="V233" i="4"/>
  <c r="V228" i="4"/>
  <c r="V229" i="4"/>
  <c r="V227" i="4"/>
  <c r="V230" i="4"/>
  <c r="V225" i="4"/>
  <c r="V5" i="3"/>
  <c r="V226" i="4"/>
  <c r="V224" i="4"/>
  <c r="W157" i="6"/>
  <c r="W130" i="6"/>
  <c r="W76" i="6"/>
  <c r="W103" i="6"/>
  <c r="E55" i="7"/>
  <c r="V119" i="6" l="1"/>
  <c r="V65" i="6"/>
  <c r="V207" i="7" s="1"/>
  <c r="V92" i="6"/>
  <c r="V110" i="6"/>
  <c r="V66" i="3"/>
  <c r="V56" i="6"/>
  <c r="V198" i="7" s="1"/>
  <c r="V83" i="6"/>
  <c r="V125" i="5"/>
  <c r="V71" i="5"/>
  <c r="V126" i="7" s="1"/>
  <c r="V98" i="5"/>
  <c r="V4" i="3"/>
  <c r="V97" i="3" s="1"/>
  <c r="V78" i="5"/>
  <c r="V133" i="7" s="1"/>
  <c r="V132" i="5"/>
  <c r="V105" i="5"/>
  <c r="V126" i="6"/>
  <c r="V72" i="6"/>
  <c r="V214" i="7" s="1"/>
  <c r="V99" i="6"/>
  <c r="V62" i="5"/>
  <c r="V117" i="7" s="1"/>
  <c r="V116" i="5"/>
  <c r="V36" i="3"/>
  <c r="V89" i="5"/>
  <c r="V102" i="3" l="1"/>
  <c r="V105" i="3"/>
  <c r="V106" i="3"/>
  <c r="V108" i="3"/>
  <c r="V104" i="3"/>
  <c r="V107" i="3"/>
  <c r="V96" i="3"/>
  <c r="V103" i="3"/>
  <c r="V101" i="3"/>
  <c r="V98" i="3"/>
  <c r="V100" i="3"/>
  <c r="V99" i="3"/>
  <c r="V188" i="3"/>
  <c r="V218" i="3"/>
  <c r="V122" i="5" l="1"/>
  <c r="V68" i="5"/>
  <c r="V123" i="7" s="1"/>
  <c r="V95" i="5"/>
  <c r="V116" i="6" l="1"/>
  <c r="V62" i="6"/>
  <c r="V204" i="7" s="1"/>
  <c r="V89" i="6"/>
  <c r="V112" i="6" l="1"/>
  <c r="V58" i="6"/>
  <c r="V200" i="7" s="1"/>
  <c r="V85" i="6"/>
  <c r="W173" i="4"/>
  <c r="V118" i="5"/>
  <c r="V64" i="5"/>
  <c r="V119" i="7" s="1"/>
  <c r="V91" i="5"/>
  <c r="W172" i="4"/>
  <c r="W174" i="4"/>
  <c r="F55" i="7" l="1"/>
  <c r="W181" i="4" l="1"/>
  <c r="W179" i="4" l="1"/>
  <c r="W40" i="4"/>
  <c r="W17" i="4"/>
  <c r="W208" i="4" l="1"/>
  <c r="W177" i="4"/>
  <c r="W10" i="4"/>
  <c r="W15" i="4"/>
  <c r="W206" i="4" l="1"/>
  <c r="W13" i="4"/>
  <c r="W201" i="4"/>
  <c r="W73" i="5"/>
  <c r="W128" i="7" s="1"/>
  <c r="W127" i="5"/>
  <c r="W100" i="5"/>
  <c r="W80" i="5"/>
  <c r="W135" i="7" s="1"/>
  <c r="W134" i="5"/>
  <c r="W107" i="5"/>
  <c r="W120" i="5" l="1"/>
  <c r="W66" i="5"/>
  <c r="W121" i="7" s="1"/>
  <c r="W204" i="4"/>
  <c r="W150" i="4"/>
  <c r="W8" i="3"/>
  <c r="W121" i="6"/>
  <c r="W67" i="6"/>
  <c r="W209" i="7" s="1"/>
  <c r="W94" i="6"/>
  <c r="W128" i="6"/>
  <c r="W74" i="6"/>
  <c r="W216" i="7" s="1"/>
  <c r="W101" i="6"/>
  <c r="W114" i="6" l="1"/>
  <c r="W60" i="6"/>
  <c r="W202" i="7" s="1"/>
  <c r="W188" i="4"/>
  <c r="W47" i="4"/>
  <c r="W184" i="4" l="1"/>
  <c r="W46" i="4"/>
  <c r="W265" i="4" s="1"/>
  <c r="W24" i="4"/>
  <c r="W215" i="4" l="1"/>
  <c r="W20" i="4"/>
  <c r="W264" i="4"/>
  <c r="W272" i="4"/>
  <c r="W273" i="4"/>
  <c r="W271" i="4"/>
  <c r="W266" i="4"/>
  <c r="W268" i="4"/>
  <c r="W270" i="4"/>
  <c r="W267" i="4"/>
  <c r="W269" i="4"/>
  <c r="W176" i="4"/>
  <c r="W19" i="4" l="1"/>
  <c r="W211" i="4"/>
  <c r="W157" i="4"/>
  <c r="W19" i="3"/>
  <c r="C107" i="4"/>
  <c r="C100" i="4" s="1"/>
  <c r="C84" i="4" s="1"/>
  <c r="D54" i="7"/>
  <c r="D134" i="4"/>
  <c r="W175" i="4"/>
  <c r="D107" i="4"/>
  <c r="D100" i="4" s="1"/>
  <c r="D84" i="4" s="1"/>
  <c r="X129" i="5"/>
  <c r="X75" i="5"/>
  <c r="X130" i="7" s="1"/>
  <c r="G55" i="7"/>
  <c r="W33" i="4" l="1"/>
  <c r="W171" i="4"/>
  <c r="C80" i="4"/>
  <c r="C27" i="7"/>
  <c r="C191" i="4"/>
  <c r="C218" i="4"/>
  <c r="W18" i="3"/>
  <c r="C54" i="7"/>
  <c r="C134" i="4"/>
  <c r="B134" i="4"/>
  <c r="B54" i="7"/>
  <c r="B107" i="4"/>
  <c r="B100" i="4" s="1"/>
  <c r="B84" i="4" s="1"/>
  <c r="X69" i="6"/>
  <c r="X123" i="6"/>
  <c r="X150" i="6"/>
  <c r="D53" i="7"/>
  <c r="D127" i="4"/>
  <c r="D80" i="4"/>
  <c r="D27" i="7"/>
  <c r="D191" i="4"/>
  <c r="D218" i="4"/>
  <c r="W238" i="4"/>
  <c r="W237" i="4"/>
  <c r="W156" i="4"/>
  <c r="W245" i="4"/>
  <c r="W246" i="4"/>
  <c r="W244" i="4"/>
  <c r="W239" i="4"/>
  <c r="W241" i="4"/>
  <c r="W243" i="4"/>
  <c r="W240" i="4"/>
  <c r="W242" i="4"/>
  <c r="C26" i="7" l="1"/>
  <c r="C73" i="4"/>
  <c r="C190" i="4"/>
  <c r="C217" i="4"/>
  <c r="B27" i="7"/>
  <c r="B80" i="4"/>
  <c r="B191" i="4"/>
  <c r="B218" i="4"/>
  <c r="B132" i="6"/>
  <c r="B138" i="5"/>
  <c r="D26" i="7"/>
  <c r="D73" i="4"/>
  <c r="D190" i="4"/>
  <c r="D217" i="4"/>
  <c r="D46" i="7"/>
  <c r="D111" i="4"/>
  <c r="D30" i="7" s="1"/>
  <c r="B53" i="7"/>
  <c r="B127" i="4"/>
  <c r="C53" i="7"/>
  <c r="C127" i="4"/>
  <c r="W170" i="4"/>
  <c r="W31" i="4"/>
  <c r="W251" i="4" s="1"/>
  <c r="W17" i="3"/>
  <c r="W110" i="3" s="1"/>
  <c r="W81" i="5"/>
  <c r="W136" i="7" s="1"/>
  <c r="W135" i="5"/>
  <c r="W108" i="5"/>
  <c r="W30" i="4" l="1"/>
  <c r="W249" i="4"/>
  <c r="W168" i="4"/>
  <c r="W250" i="4"/>
  <c r="W263" i="4"/>
  <c r="W259" i="4"/>
  <c r="W261" i="4"/>
  <c r="W254" i="4"/>
  <c r="W255" i="4"/>
  <c r="W253" i="4"/>
  <c r="W262" i="4"/>
  <c r="W260" i="4"/>
  <c r="W258" i="4"/>
  <c r="W257" i="4"/>
  <c r="W256" i="4"/>
  <c r="W252" i="4"/>
  <c r="C46" i="7"/>
  <c r="C111" i="4"/>
  <c r="C30" i="7" s="1"/>
  <c r="W109" i="3"/>
  <c r="W113" i="3"/>
  <c r="W118" i="3"/>
  <c r="W116" i="3"/>
  <c r="W114" i="3"/>
  <c r="W119" i="3"/>
  <c r="W117" i="3"/>
  <c r="W115" i="3"/>
  <c r="W120" i="3"/>
  <c r="W112" i="3"/>
  <c r="W111" i="3"/>
  <c r="W129" i="6"/>
  <c r="W75" i="6"/>
  <c r="W217" i="7" s="1"/>
  <c r="W102" i="6"/>
  <c r="D19" i="7"/>
  <c r="D57" i="4"/>
  <c r="D183" i="4"/>
  <c r="D210" i="4"/>
  <c r="C19" i="7"/>
  <c r="C57" i="4"/>
  <c r="C183" i="4"/>
  <c r="C210" i="4"/>
  <c r="B46" i="7"/>
  <c r="B111" i="4"/>
  <c r="B30" i="7" s="1"/>
  <c r="B26" i="7"/>
  <c r="B73" i="4"/>
  <c r="B190" i="4"/>
  <c r="B217" i="4"/>
  <c r="B137" i="5"/>
  <c r="B131" i="6"/>
  <c r="X180" i="4" l="1"/>
  <c r="B19" i="7"/>
  <c r="B57" i="4"/>
  <c r="B183" i="4"/>
  <c r="B210" i="4"/>
  <c r="D3" i="7"/>
  <c r="D167" i="4"/>
  <c r="W67" i="5"/>
  <c r="W122" i="7" s="1"/>
  <c r="W121" i="5"/>
  <c r="W94" i="5"/>
  <c r="E107" i="4"/>
  <c r="E100" i="4" s="1"/>
  <c r="E84" i="4" s="1"/>
  <c r="E54" i="7"/>
  <c r="E134" i="4"/>
  <c r="C3" i="7"/>
  <c r="C167" i="4"/>
  <c r="W9" i="4"/>
  <c r="W11" i="4"/>
  <c r="W12" i="4"/>
  <c r="B3" i="7" l="1"/>
  <c r="B167" i="4"/>
  <c r="W96" i="5"/>
  <c r="W203" i="4"/>
  <c r="W128" i="5"/>
  <c r="W74" i="5"/>
  <c r="W129" i="7" s="1"/>
  <c r="W101" i="5"/>
  <c r="W202" i="4"/>
  <c r="W87" i="6"/>
  <c r="W200" i="4"/>
  <c r="W93" i="5"/>
  <c r="E53" i="7"/>
  <c r="E127" i="4"/>
  <c r="W115" i="6"/>
  <c r="W61" i="6"/>
  <c r="W203" i="7" s="1"/>
  <c r="W88" i="6"/>
  <c r="E27" i="7"/>
  <c r="E80" i="4"/>
  <c r="E191" i="4"/>
  <c r="E218" i="4"/>
  <c r="W7" i="4"/>
  <c r="W4" i="5" l="1"/>
  <c r="W47" i="6" s="1"/>
  <c r="W123" i="5"/>
  <c r="W69" i="5"/>
  <c r="W124" i="7" s="1"/>
  <c r="W198" i="4"/>
  <c r="W122" i="6"/>
  <c r="W68" i="6"/>
  <c r="W210" i="7" s="1"/>
  <c r="W95" i="6"/>
  <c r="E26" i="7"/>
  <c r="E73" i="4"/>
  <c r="E190" i="4"/>
  <c r="E217" i="4"/>
  <c r="E46" i="7"/>
  <c r="E111" i="4"/>
  <c r="E30" i="7" s="1"/>
  <c r="F54" i="7"/>
  <c r="F134" i="4"/>
  <c r="F107" i="4"/>
  <c r="F100" i="4" s="1"/>
  <c r="F84" i="4" s="1"/>
  <c r="B139" i="7"/>
  <c r="B220" i="7"/>
  <c r="W8" i="4"/>
  <c r="W117" i="6" l="1"/>
  <c r="W144" i="6"/>
  <c r="W63" i="6"/>
  <c r="W90" i="6"/>
  <c r="W199" i="4"/>
  <c r="F80" i="4"/>
  <c r="F27" i="7"/>
  <c r="F191" i="4"/>
  <c r="F218" i="4"/>
  <c r="E19" i="7"/>
  <c r="E57" i="4"/>
  <c r="E183" i="4"/>
  <c r="E210" i="4"/>
  <c r="W6" i="4"/>
  <c r="F53" i="7"/>
  <c r="F127" i="4"/>
  <c r="B138" i="7"/>
  <c r="B219" i="7"/>
  <c r="E3" i="7" l="1"/>
  <c r="E167" i="4"/>
  <c r="F46" i="7"/>
  <c r="F111" i="4"/>
  <c r="F30" i="7" s="1"/>
  <c r="W197" i="4"/>
  <c r="W7" i="3"/>
  <c r="W143" i="4"/>
  <c r="W4" i="4"/>
  <c r="F26" i="7"/>
  <c r="F73" i="4"/>
  <c r="F190" i="4"/>
  <c r="F217" i="4"/>
  <c r="W119" i="6" l="1"/>
  <c r="W65" i="6"/>
  <c r="W207" i="7" s="1"/>
  <c r="W92" i="6"/>
  <c r="G107" i="4"/>
  <c r="G100" i="4" s="1"/>
  <c r="G84" i="4" s="1"/>
  <c r="W5" i="3"/>
  <c r="W126" i="6"/>
  <c r="W72" i="6"/>
  <c r="W214" i="7" s="1"/>
  <c r="W99" i="6"/>
  <c r="F19" i="7"/>
  <c r="F57" i="4"/>
  <c r="F183" i="4"/>
  <c r="F210" i="4"/>
  <c r="G54" i="7"/>
  <c r="G134" i="4"/>
  <c r="W125" i="5"/>
  <c r="W71" i="5"/>
  <c r="W126" i="7" s="1"/>
  <c r="W98" i="5"/>
  <c r="W224" i="4"/>
  <c r="W222" i="4"/>
  <c r="W195" i="4"/>
  <c r="W141" i="4"/>
  <c r="W223" i="4"/>
  <c r="W232" i="4"/>
  <c r="W236" i="4"/>
  <c r="W234" i="4"/>
  <c r="W235" i="4"/>
  <c r="W228" i="4"/>
  <c r="W233" i="4"/>
  <c r="W231" i="4"/>
  <c r="W230" i="4"/>
  <c r="W229" i="4"/>
  <c r="W227" i="4"/>
  <c r="W225" i="4"/>
  <c r="W226" i="4"/>
  <c r="W36" i="3"/>
  <c r="W116" i="5"/>
  <c r="W62" i="5"/>
  <c r="W117" i="7" s="1"/>
  <c r="W89" i="5"/>
  <c r="W132" i="5"/>
  <c r="W78" i="5"/>
  <c r="W133" i="7" s="1"/>
  <c r="W105" i="5"/>
  <c r="G53" i="7" l="1"/>
  <c r="G127" i="4"/>
  <c r="W188" i="3"/>
  <c r="W4" i="3"/>
  <c r="W97" i="3" s="1"/>
  <c r="W110" i="6"/>
  <c r="W66" i="3"/>
  <c r="W56" i="6"/>
  <c r="W198" i="7" s="1"/>
  <c r="W83" i="6"/>
  <c r="G27" i="7"/>
  <c r="G80" i="4"/>
  <c r="G191" i="4"/>
  <c r="G218" i="4"/>
  <c r="F3" i="7"/>
  <c r="F167" i="4"/>
  <c r="H55" i="7"/>
  <c r="W218" i="3" l="1"/>
  <c r="W122" i="5"/>
  <c r="W68" i="5"/>
  <c r="W123" i="7" s="1"/>
  <c r="W95" i="5"/>
  <c r="G46" i="7"/>
  <c r="G111" i="4"/>
  <c r="G30" i="7" s="1"/>
  <c r="G26" i="7"/>
  <c r="G73" i="4"/>
  <c r="G190" i="4"/>
  <c r="G217" i="4"/>
  <c r="W107" i="3"/>
  <c r="W102" i="3"/>
  <c r="W103" i="3"/>
  <c r="W105" i="3"/>
  <c r="W104" i="3"/>
  <c r="W108" i="3"/>
  <c r="W101" i="3"/>
  <c r="W106" i="3"/>
  <c r="W96" i="3"/>
  <c r="W98" i="3"/>
  <c r="W100" i="3"/>
  <c r="W99" i="3"/>
  <c r="H107" i="4" l="1"/>
  <c r="H100" i="4" s="1"/>
  <c r="H84" i="4" s="1"/>
  <c r="H134" i="4"/>
  <c r="H54" i="7"/>
  <c r="W112" i="6"/>
  <c r="W58" i="6"/>
  <c r="W200" i="7" s="1"/>
  <c r="W85" i="6"/>
  <c r="G19" i="7"/>
  <c r="G57" i="4"/>
  <c r="G183" i="4"/>
  <c r="G210" i="4"/>
  <c r="W116" i="6"/>
  <c r="W62" i="6"/>
  <c r="W204" i="7" s="1"/>
  <c r="W89" i="6"/>
  <c r="W64" i="5"/>
  <c r="W119" i="7" s="1"/>
  <c r="W118" i="5"/>
  <c r="W91" i="5"/>
  <c r="G3" i="7" l="1"/>
  <c r="G167" i="4"/>
  <c r="H27" i="7"/>
  <c r="H80" i="4"/>
  <c r="H191" i="4"/>
  <c r="H218" i="4"/>
  <c r="H53" i="7"/>
  <c r="H127" i="4"/>
  <c r="H26" i="7" l="1"/>
  <c r="H73" i="4"/>
  <c r="H190" i="4"/>
  <c r="H217" i="4"/>
  <c r="H46" i="7"/>
  <c r="H111" i="4"/>
  <c r="H30" i="7" s="1"/>
  <c r="H19" i="7" l="1"/>
  <c r="H57" i="4"/>
  <c r="H183" i="4"/>
  <c r="H210" i="4"/>
  <c r="I54" i="7"/>
  <c r="I107" i="4"/>
  <c r="I100" i="4" s="1"/>
  <c r="I84" i="4" s="1"/>
  <c r="C62" i="7"/>
  <c r="B62" i="7"/>
  <c r="X178" i="4"/>
  <c r="I27" i="7" l="1"/>
  <c r="I80" i="4"/>
  <c r="I191" i="4"/>
  <c r="I218" i="4"/>
  <c r="H3" i="7"/>
  <c r="H167" i="4"/>
  <c r="X14" i="4"/>
  <c r="C127" i="6" l="1"/>
  <c r="C73" i="6"/>
  <c r="C215" i="7" s="1"/>
  <c r="C100" i="6"/>
  <c r="C34" i="6"/>
  <c r="D62" i="7"/>
  <c r="I26" i="7"/>
  <c r="I73" i="4"/>
  <c r="I190" i="4"/>
  <c r="I217" i="4"/>
  <c r="X205" i="4"/>
  <c r="C126" i="5"/>
  <c r="C72" i="5"/>
  <c r="C127" i="7" s="1"/>
  <c r="C99" i="5"/>
  <c r="C33" i="5"/>
  <c r="C79" i="5"/>
  <c r="C134" i="7" s="1"/>
  <c r="C133" i="5"/>
  <c r="C106" i="5"/>
  <c r="C43" i="5"/>
  <c r="C120" i="6"/>
  <c r="C66" i="6"/>
  <c r="C208" i="7" s="1"/>
  <c r="C93" i="6"/>
  <c r="C27" i="6"/>
  <c r="B69" i="7"/>
  <c r="B60" i="7" s="1"/>
  <c r="X16" i="4"/>
  <c r="X18" i="4"/>
  <c r="C131" i="5" l="1"/>
  <c r="C77" i="5"/>
  <c r="C132" i="7" s="1"/>
  <c r="C49" i="3"/>
  <c r="C104" i="5"/>
  <c r="X207" i="4"/>
  <c r="C118" i="6"/>
  <c r="C68" i="3"/>
  <c r="C64" i="6"/>
  <c r="C206" i="7" s="1"/>
  <c r="C91" i="6"/>
  <c r="C125" i="6"/>
  <c r="C79" i="3"/>
  <c r="C71" i="6"/>
  <c r="C213" i="7" s="1"/>
  <c r="C98" i="6"/>
  <c r="X209" i="4"/>
  <c r="X102" i="5"/>
  <c r="X96" i="6"/>
  <c r="C124" i="5"/>
  <c r="C70" i="5"/>
  <c r="C125" i="7" s="1"/>
  <c r="C38" i="3"/>
  <c r="C97" i="5"/>
  <c r="I183" i="4"/>
  <c r="I19" i="7"/>
  <c r="I57" i="4"/>
  <c r="I210" i="4"/>
  <c r="E62" i="7"/>
  <c r="C69" i="7" l="1"/>
  <c r="C60" i="7" s="1"/>
  <c r="I3" i="7"/>
  <c r="I167" i="4"/>
  <c r="C85" i="5"/>
  <c r="C140" i="7" s="1"/>
  <c r="C139" i="5"/>
  <c r="C112" i="5"/>
  <c r="C119" i="5"/>
  <c r="C65" i="5"/>
  <c r="C120" i="7" s="1"/>
  <c r="C92" i="5"/>
  <c r="C21" i="5"/>
  <c r="C231" i="3"/>
  <c r="J107" i="4"/>
  <c r="J100" i="4" s="1"/>
  <c r="J84" i="4" s="1"/>
  <c r="J54" i="7"/>
  <c r="C113" i="6"/>
  <c r="C59" i="6"/>
  <c r="C201" i="7" s="1"/>
  <c r="C86" i="6"/>
  <c r="C20" i="6"/>
  <c r="C190" i="3"/>
  <c r="F62" i="7"/>
  <c r="C201" i="3"/>
  <c r="C220" i="3"/>
  <c r="C76" i="7"/>
  <c r="G62" i="7"/>
  <c r="B76" i="7"/>
  <c r="I62" i="7" l="1"/>
  <c r="E69" i="7"/>
  <c r="E60" i="7" s="1"/>
  <c r="X189" i="4"/>
  <c r="E76" i="7"/>
  <c r="C117" i="5"/>
  <c r="C63" i="5"/>
  <c r="C118" i="7" s="1"/>
  <c r="C37" i="3"/>
  <c r="C90" i="5"/>
  <c r="C18" i="5"/>
  <c r="X188" i="4"/>
  <c r="D69" i="7"/>
  <c r="D60" i="7" s="1"/>
  <c r="D76" i="7"/>
  <c r="C111" i="6"/>
  <c r="C67" i="3"/>
  <c r="C57" i="6"/>
  <c r="C199" i="7" s="1"/>
  <c r="C84" i="6"/>
  <c r="C18" i="6"/>
  <c r="J80" i="4"/>
  <c r="J27" i="7"/>
  <c r="J191" i="4"/>
  <c r="J218" i="4"/>
  <c r="X185" i="4"/>
  <c r="H62" i="7"/>
  <c r="X47" i="4" l="1"/>
  <c r="X46" i="4" s="1"/>
  <c r="X184" i="4"/>
  <c r="X187" i="4"/>
  <c r="F76" i="7"/>
  <c r="C55" i="6"/>
  <c r="C82" i="6"/>
  <c r="C61" i="5"/>
  <c r="C88" i="5"/>
  <c r="D120" i="6"/>
  <c r="D66" i="6"/>
  <c r="D208" i="7" s="1"/>
  <c r="D93" i="6"/>
  <c r="D27" i="6"/>
  <c r="D126" i="5"/>
  <c r="D72" i="5"/>
  <c r="D127" i="7" s="1"/>
  <c r="D99" i="5"/>
  <c r="D33" i="5"/>
  <c r="J62" i="7"/>
  <c r="X186" i="4"/>
  <c r="D127" i="6"/>
  <c r="D73" i="6"/>
  <c r="D215" i="7" s="1"/>
  <c r="D100" i="6"/>
  <c r="D34" i="6"/>
  <c r="C189" i="3"/>
  <c r="C35" i="3"/>
  <c r="F69" i="7"/>
  <c r="F60" i="7" s="1"/>
  <c r="J26" i="7"/>
  <c r="J73" i="4"/>
  <c r="J190" i="4"/>
  <c r="J217" i="4"/>
  <c r="C219" i="3"/>
  <c r="C65" i="3"/>
  <c r="G69" i="7"/>
  <c r="G60" i="7" s="1"/>
  <c r="D79" i="5"/>
  <c r="D134" i="7" s="1"/>
  <c r="D133" i="5"/>
  <c r="D106" i="5"/>
  <c r="D43" i="5"/>
  <c r="C133" i="6"/>
  <c r="C79" i="6"/>
  <c r="C221" i="7" s="1"/>
  <c r="C106" i="6"/>
  <c r="X25" i="4"/>
  <c r="X24" i="4"/>
  <c r="X21" i="4"/>
  <c r="X265" i="4" l="1"/>
  <c r="X268" i="4"/>
  <c r="D131" i="5"/>
  <c r="D77" i="5"/>
  <c r="D132" i="7" s="1"/>
  <c r="D49" i="3"/>
  <c r="D104" i="5"/>
  <c r="C187" i="3"/>
  <c r="C34" i="3"/>
  <c r="C127" i="3" s="1"/>
  <c r="D124" i="5"/>
  <c r="D70" i="5"/>
  <c r="D125" i="7" s="1"/>
  <c r="D38" i="3"/>
  <c r="D97" i="5"/>
  <c r="K54" i="7"/>
  <c r="X215" i="4"/>
  <c r="C64" i="3"/>
  <c r="C157" i="3" s="1"/>
  <c r="C217" i="3"/>
  <c r="X216" i="4"/>
  <c r="K62" i="7"/>
  <c r="K107" i="4"/>
  <c r="K100" i="4" s="1"/>
  <c r="K84" i="4" s="1"/>
  <c r="H69" i="7"/>
  <c r="H60" i="7" s="1"/>
  <c r="J19" i="7"/>
  <c r="J57" i="4"/>
  <c r="J183" i="4"/>
  <c r="J210" i="4"/>
  <c r="D125" i="6"/>
  <c r="D79" i="3"/>
  <c r="D71" i="6"/>
  <c r="D213" i="7" s="1"/>
  <c r="D98" i="6"/>
  <c r="D118" i="6"/>
  <c r="D68" i="3"/>
  <c r="D64" i="6"/>
  <c r="D206" i="7" s="1"/>
  <c r="D91" i="6"/>
  <c r="X212" i="4"/>
  <c r="X267" i="4"/>
  <c r="X264" i="4"/>
  <c r="X272" i="4"/>
  <c r="X273" i="4"/>
  <c r="X271" i="4"/>
  <c r="X266" i="4"/>
  <c r="X269" i="4"/>
  <c r="X270" i="4"/>
  <c r="X22" i="4"/>
  <c r="X23" i="4"/>
  <c r="G76" i="7"/>
  <c r="X20" i="4" l="1"/>
  <c r="X157" i="4"/>
  <c r="X19" i="3"/>
  <c r="X211" i="4"/>
  <c r="X19" i="4"/>
  <c r="X240" i="4" s="1"/>
  <c r="C84" i="5"/>
  <c r="C139" i="7" s="1"/>
  <c r="C52" i="5"/>
  <c r="C138" i="5"/>
  <c r="C111" i="5"/>
  <c r="C132" i="6"/>
  <c r="C40" i="6"/>
  <c r="C78" i="6"/>
  <c r="C220" i="7" s="1"/>
  <c r="C105" i="6"/>
  <c r="D220" i="3"/>
  <c r="C165" i="3"/>
  <c r="C163" i="3"/>
  <c r="C167" i="3"/>
  <c r="C161" i="3"/>
  <c r="C166" i="3"/>
  <c r="C156" i="3"/>
  <c r="C168" i="3"/>
  <c r="C216" i="3"/>
  <c r="C158" i="3"/>
  <c r="C160" i="3"/>
  <c r="C159" i="3"/>
  <c r="D190" i="3"/>
  <c r="D201" i="3"/>
  <c r="D113" i="6"/>
  <c r="D59" i="6"/>
  <c r="D201" i="7" s="1"/>
  <c r="D86" i="6"/>
  <c r="D20" i="6"/>
  <c r="X213" i="4"/>
  <c r="K80" i="4"/>
  <c r="K27" i="7"/>
  <c r="K191" i="4"/>
  <c r="K218" i="4"/>
  <c r="L62" i="7"/>
  <c r="D119" i="5"/>
  <c r="D65" i="5"/>
  <c r="D120" i="7" s="1"/>
  <c r="D92" i="5"/>
  <c r="D21" i="5"/>
  <c r="X174" i="4"/>
  <c r="J3" i="7"/>
  <c r="J167" i="4"/>
  <c r="H76" i="7"/>
  <c r="X172" i="4"/>
  <c r="D139" i="5"/>
  <c r="D85" i="5"/>
  <c r="D140" i="7" s="1"/>
  <c r="D112" i="5"/>
  <c r="D231" i="3"/>
  <c r="C133" i="3"/>
  <c r="C137" i="3"/>
  <c r="C134" i="3"/>
  <c r="C135" i="3"/>
  <c r="C186" i="3"/>
  <c r="C126" i="3"/>
  <c r="C131" i="3"/>
  <c r="C136" i="3"/>
  <c r="C132" i="3"/>
  <c r="C138" i="3"/>
  <c r="C128" i="3"/>
  <c r="C130" i="3"/>
  <c r="C129" i="3"/>
  <c r="I76" i="7"/>
  <c r="X214" i="4"/>
  <c r="I69" i="7"/>
  <c r="I60" i="7" s="1"/>
  <c r="X241" i="4" l="1"/>
  <c r="X238" i="4"/>
  <c r="J69" i="7"/>
  <c r="J60" i="7" s="1"/>
  <c r="C131" i="6"/>
  <c r="C80" i="3"/>
  <c r="C77" i="6"/>
  <c r="C219" i="7" s="1"/>
  <c r="C104" i="6"/>
  <c r="C33" i="6"/>
  <c r="X173" i="4"/>
  <c r="J76" i="7"/>
  <c r="D63" i="5"/>
  <c r="D118" i="7" s="1"/>
  <c r="D117" i="5"/>
  <c r="D37" i="3"/>
  <c r="D18" i="5"/>
  <c r="D90" i="5"/>
  <c r="I55" i="7"/>
  <c r="I134" i="4"/>
  <c r="X244" i="4"/>
  <c r="X237" i="4"/>
  <c r="X156" i="4"/>
  <c r="X245" i="4"/>
  <c r="X246" i="4"/>
  <c r="X243" i="4"/>
  <c r="X242" i="4"/>
  <c r="X239" i="4"/>
  <c r="M62" i="7"/>
  <c r="L107" i="4"/>
  <c r="L100" i="4" s="1"/>
  <c r="L84" i="4" s="1"/>
  <c r="L54" i="7"/>
  <c r="D111" i="6"/>
  <c r="D67" i="3"/>
  <c r="D57" i="6"/>
  <c r="D199" i="7" s="1"/>
  <c r="D84" i="6"/>
  <c r="D18" i="6"/>
  <c r="X18" i="3"/>
  <c r="X136" i="5"/>
  <c r="X82" i="5"/>
  <c r="X137" i="7" s="1"/>
  <c r="X109" i="5"/>
  <c r="K26" i="7"/>
  <c r="K73" i="4"/>
  <c r="K190" i="4"/>
  <c r="K217" i="4"/>
  <c r="C137" i="5"/>
  <c r="C83" i="5"/>
  <c r="C138" i="7" s="1"/>
  <c r="C50" i="3"/>
  <c r="C110" i="5"/>
  <c r="C42" i="5"/>
  <c r="N62" i="7" l="1"/>
  <c r="D219" i="3"/>
  <c r="D65" i="3"/>
  <c r="C232" i="3"/>
  <c r="C78" i="3"/>
  <c r="D61" i="5"/>
  <c r="D88" i="5"/>
  <c r="X17" i="3"/>
  <c r="X110" i="3" s="1"/>
  <c r="D189" i="3"/>
  <c r="D35" i="3"/>
  <c r="X157" i="6"/>
  <c r="X130" i="6"/>
  <c r="X76" i="6"/>
  <c r="X103" i="6"/>
  <c r="C76" i="5"/>
  <c r="C103" i="5"/>
  <c r="C17" i="5"/>
  <c r="K57" i="4"/>
  <c r="K19" i="7"/>
  <c r="K183" i="4"/>
  <c r="K210" i="4"/>
  <c r="D133" i="6"/>
  <c r="D79" i="6"/>
  <c r="D221" i="7" s="1"/>
  <c r="D106" i="6"/>
  <c r="D55" i="6"/>
  <c r="D82" i="6"/>
  <c r="L80" i="4"/>
  <c r="L27" i="7"/>
  <c r="L191" i="4"/>
  <c r="L218" i="4"/>
  <c r="C70" i="6"/>
  <c r="C97" i="6"/>
  <c r="C17" i="6"/>
  <c r="I53" i="7"/>
  <c r="I127" i="4"/>
  <c r="K76" i="7"/>
  <c r="K69" i="7"/>
  <c r="K60" i="7" s="1"/>
  <c r="C202" i="3"/>
  <c r="C48" i="3"/>
  <c r="C151" i="6" l="1"/>
  <c r="C135" i="6"/>
  <c r="C156" i="6"/>
  <c r="C155" i="6"/>
  <c r="C142" i="6"/>
  <c r="C149" i="6"/>
  <c r="C148" i="6"/>
  <c r="C141" i="6"/>
  <c r="C146" i="6"/>
  <c r="C54" i="6"/>
  <c r="C153" i="6"/>
  <c r="C137" i="6"/>
  <c r="C139" i="6"/>
  <c r="C154" i="6"/>
  <c r="C147" i="6"/>
  <c r="C152" i="6"/>
  <c r="C145" i="6"/>
  <c r="C140" i="6"/>
  <c r="C138" i="6"/>
  <c r="C160" i="6"/>
  <c r="C136" i="6"/>
  <c r="C159" i="6"/>
  <c r="C158" i="6"/>
  <c r="X120" i="3"/>
  <c r="X115" i="3"/>
  <c r="X118" i="3"/>
  <c r="X116" i="3"/>
  <c r="X114" i="3"/>
  <c r="X109" i="3"/>
  <c r="X119" i="3"/>
  <c r="X113" i="3"/>
  <c r="X117" i="3"/>
  <c r="X112" i="3"/>
  <c r="X111" i="3"/>
  <c r="D64" i="3"/>
  <c r="D217" i="3"/>
  <c r="O62" i="7"/>
  <c r="L76" i="7"/>
  <c r="L69" i="7"/>
  <c r="L60" i="7" s="1"/>
  <c r="C200" i="3"/>
  <c r="C47" i="3"/>
  <c r="C140" i="3" s="1"/>
  <c r="K3" i="7"/>
  <c r="K167" i="4"/>
  <c r="D187" i="3"/>
  <c r="D34" i="3"/>
  <c r="C77" i="3"/>
  <c r="C230" i="3"/>
  <c r="I46" i="7"/>
  <c r="I111" i="4"/>
  <c r="I30" i="7" s="1"/>
  <c r="C157" i="5"/>
  <c r="C141" i="5"/>
  <c r="C60" i="5"/>
  <c r="C156" i="5"/>
  <c r="C161" i="5"/>
  <c r="C162" i="5"/>
  <c r="C163" i="5"/>
  <c r="C148" i="5"/>
  <c r="C154" i="5"/>
  <c r="C155" i="5"/>
  <c r="C147" i="5"/>
  <c r="C143" i="5"/>
  <c r="C159" i="5"/>
  <c r="C152" i="5"/>
  <c r="C145" i="5"/>
  <c r="C160" i="5"/>
  <c r="C153" i="5"/>
  <c r="C158" i="5"/>
  <c r="C151" i="5"/>
  <c r="C146" i="5"/>
  <c r="C166" i="5"/>
  <c r="C144" i="5"/>
  <c r="C142" i="5"/>
  <c r="C165" i="5"/>
  <c r="C164" i="5"/>
  <c r="L190" i="4"/>
  <c r="L26" i="7"/>
  <c r="L73" i="4"/>
  <c r="L217" i="4"/>
  <c r="C170" i="3" l="1"/>
  <c r="D157" i="3"/>
  <c r="D132" i="3"/>
  <c r="D186" i="3"/>
  <c r="D134" i="3"/>
  <c r="D136" i="3"/>
  <c r="D135" i="3"/>
  <c r="D131" i="3"/>
  <c r="D137" i="3"/>
  <c r="D126" i="3"/>
  <c r="D138" i="3"/>
  <c r="D133" i="3"/>
  <c r="D128" i="3"/>
  <c r="D130" i="3"/>
  <c r="D129" i="3"/>
  <c r="L183" i="4"/>
  <c r="L19" i="7"/>
  <c r="L57" i="4"/>
  <c r="L210" i="4"/>
  <c r="M76" i="7"/>
  <c r="M69" i="7"/>
  <c r="M60" i="7" s="1"/>
  <c r="P62" i="7"/>
  <c r="D52" i="5"/>
  <c r="D138" i="5"/>
  <c r="D84" i="5"/>
  <c r="D139" i="7" s="1"/>
  <c r="D111" i="5"/>
  <c r="C146" i="3"/>
  <c r="C147" i="3"/>
  <c r="C199" i="3"/>
  <c r="C143" i="3"/>
  <c r="C144" i="3"/>
  <c r="C150" i="3"/>
  <c r="C149" i="3"/>
  <c r="C148" i="3"/>
  <c r="C139" i="3"/>
  <c r="C145" i="3"/>
  <c r="C141" i="3"/>
  <c r="C142" i="3"/>
  <c r="D165" i="3"/>
  <c r="D156" i="3"/>
  <c r="D167" i="3"/>
  <c r="D168" i="3"/>
  <c r="D163" i="3"/>
  <c r="D161" i="3"/>
  <c r="D166" i="3"/>
  <c r="D158" i="3"/>
  <c r="D216" i="3"/>
  <c r="D160" i="3"/>
  <c r="D159" i="3"/>
  <c r="D40" i="6"/>
  <c r="D132" i="6"/>
  <c r="D78" i="6"/>
  <c r="D220" i="7" s="1"/>
  <c r="D105" i="6"/>
  <c r="C169" i="3"/>
  <c r="C175" i="3"/>
  <c r="C176" i="3"/>
  <c r="C174" i="3"/>
  <c r="C173" i="3"/>
  <c r="C180" i="3"/>
  <c r="C179" i="3"/>
  <c r="C178" i="3"/>
  <c r="C177" i="3"/>
  <c r="C229" i="3"/>
  <c r="C171" i="3"/>
  <c r="C172" i="3"/>
  <c r="Y129" i="5"/>
  <c r="Y75" i="5"/>
  <c r="Y130" i="7" s="1"/>
  <c r="X176" i="4"/>
  <c r="D127" i="3"/>
  <c r="X10" i="4"/>
  <c r="X175" i="4" l="1"/>
  <c r="D80" i="3"/>
  <c r="D77" i="6"/>
  <c r="D219" i="7" s="1"/>
  <c r="D104" i="6"/>
  <c r="D131" i="6"/>
  <c r="D33" i="6"/>
  <c r="L167" i="4"/>
  <c r="L3" i="7"/>
  <c r="Q62" i="7"/>
  <c r="X201" i="4"/>
  <c r="M54" i="7"/>
  <c r="N69" i="7"/>
  <c r="N60" i="7" s="1"/>
  <c r="Y150" i="6"/>
  <c r="Y123" i="6"/>
  <c r="Y69" i="6"/>
  <c r="N76" i="7"/>
  <c r="X181" i="4"/>
  <c r="D137" i="5"/>
  <c r="D83" i="5"/>
  <c r="D138" i="7" s="1"/>
  <c r="D50" i="3"/>
  <c r="D110" i="5"/>
  <c r="D42" i="5"/>
  <c r="M107" i="4"/>
  <c r="M100" i="4" s="1"/>
  <c r="M84" i="4" s="1"/>
  <c r="E72" i="5" l="1"/>
  <c r="E127" i="7" s="1"/>
  <c r="E126" i="5"/>
  <c r="E99" i="5"/>
  <c r="E33" i="5"/>
  <c r="D76" i="5"/>
  <c r="D103" i="5"/>
  <c r="D17" i="5"/>
  <c r="D157" i="5" s="1"/>
  <c r="R62" i="7"/>
  <c r="M27" i="7"/>
  <c r="M80" i="4"/>
  <c r="M191" i="4"/>
  <c r="M218" i="4"/>
  <c r="D232" i="3"/>
  <c r="D78" i="3"/>
  <c r="E120" i="6"/>
  <c r="E66" i="6"/>
  <c r="E208" i="7" s="1"/>
  <c r="E93" i="6"/>
  <c r="E27" i="6"/>
  <c r="D202" i="3"/>
  <c r="D48" i="3"/>
  <c r="X171" i="4"/>
  <c r="X33" i="4"/>
  <c r="O69" i="7"/>
  <c r="O60" i="7" s="1"/>
  <c r="X179" i="4"/>
  <c r="X40" i="4"/>
  <c r="O76" i="7"/>
  <c r="E79" i="5"/>
  <c r="E134" i="7" s="1"/>
  <c r="E133" i="5"/>
  <c r="E106" i="5"/>
  <c r="E43" i="5"/>
  <c r="D70" i="6"/>
  <c r="D97" i="6"/>
  <c r="D17" i="6"/>
  <c r="E127" i="6"/>
  <c r="E73" i="6"/>
  <c r="E215" i="7" s="1"/>
  <c r="E100" i="6"/>
  <c r="E34" i="6"/>
  <c r="X17" i="4"/>
  <c r="E131" i="5" l="1"/>
  <c r="E77" i="5"/>
  <c r="E132" i="7" s="1"/>
  <c r="E49" i="3"/>
  <c r="E104" i="5"/>
  <c r="D200" i="3"/>
  <c r="D47" i="3"/>
  <c r="D140" i="3" s="1"/>
  <c r="X177" i="4"/>
  <c r="M26" i="7"/>
  <c r="M73" i="4"/>
  <c r="M190" i="4"/>
  <c r="M217" i="4"/>
  <c r="X127" i="5"/>
  <c r="X73" i="5"/>
  <c r="X128" i="7" s="1"/>
  <c r="X100" i="5"/>
  <c r="E70" i="5"/>
  <c r="E125" i="7" s="1"/>
  <c r="E124" i="5"/>
  <c r="E38" i="3"/>
  <c r="E97" i="5"/>
  <c r="P69" i="7"/>
  <c r="P60" i="7" s="1"/>
  <c r="X170" i="4"/>
  <c r="X31" i="4"/>
  <c r="X251" i="4" s="1"/>
  <c r="X208" i="4"/>
  <c r="E79" i="3"/>
  <c r="E125" i="6"/>
  <c r="E71" i="6"/>
  <c r="E213" i="7" s="1"/>
  <c r="E98" i="6"/>
  <c r="X134" i="5"/>
  <c r="X80" i="5"/>
  <c r="X135" i="7" s="1"/>
  <c r="X107" i="5"/>
  <c r="D77" i="3"/>
  <c r="D230" i="3"/>
  <c r="P76" i="7"/>
  <c r="S62" i="7"/>
  <c r="D151" i="6"/>
  <c r="D135" i="6"/>
  <c r="D155" i="6"/>
  <c r="D156" i="6"/>
  <c r="D142" i="6"/>
  <c r="D149" i="6"/>
  <c r="D148" i="6"/>
  <c r="D137" i="6"/>
  <c r="D141" i="6"/>
  <c r="D146" i="6"/>
  <c r="D153" i="6"/>
  <c r="D54" i="6"/>
  <c r="D139" i="6"/>
  <c r="D147" i="6"/>
  <c r="D154" i="6"/>
  <c r="D152" i="6"/>
  <c r="D145" i="6"/>
  <c r="D140" i="6"/>
  <c r="D138" i="6"/>
  <c r="D136" i="6"/>
  <c r="D160" i="6"/>
  <c r="D159" i="6"/>
  <c r="D158" i="6"/>
  <c r="E118" i="6"/>
  <c r="E68" i="3"/>
  <c r="E64" i="6"/>
  <c r="E206" i="7" s="1"/>
  <c r="E91" i="6"/>
  <c r="D142" i="5"/>
  <c r="D141" i="5"/>
  <c r="D60" i="5"/>
  <c r="D156" i="5"/>
  <c r="D161" i="5"/>
  <c r="D162" i="5"/>
  <c r="D163" i="5"/>
  <c r="D148" i="5"/>
  <c r="D155" i="5"/>
  <c r="D154" i="5"/>
  <c r="D147" i="5"/>
  <c r="D143" i="5"/>
  <c r="D159" i="5"/>
  <c r="D152" i="5"/>
  <c r="D145" i="5"/>
  <c r="D153" i="5"/>
  <c r="D160" i="5"/>
  <c r="D158" i="5"/>
  <c r="D151" i="5"/>
  <c r="D146" i="5"/>
  <c r="D166" i="5"/>
  <c r="D144" i="5"/>
  <c r="D165" i="5"/>
  <c r="D164" i="5"/>
  <c r="X15" i="4"/>
  <c r="D170" i="3" l="1"/>
  <c r="X258" i="4"/>
  <c r="X168" i="4"/>
  <c r="X30" i="4"/>
  <c r="X249" i="4"/>
  <c r="X250" i="4"/>
  <c r="X263" i="4"/>
  <c r="X261" i="4"/>
  <c r="X259" i="4"/>
  <c r="X253" i="4"/>
  <c r="X255" i="4"/>
  <c r="X254" i="4"/>
  <c r="X257" i="4"/>
  <c r="X262" i="4"/>
  <c r="X256" i="4"/>
  <c r="X252" i="4"/>
  <c r="X260" i="4"/>
  <c r="X128" i="6"/>
  <c r="X74" i="6"/>
  <c r="X216" i="7" s="1"/>
  <c r="X101" i="6"/>
  <c r="T62" i="7"/>
  <c r="X13" i="4"/>
  <c r="X206" i="4"/>
  <c r="E113" i="6"/>
  <c r="E59" i="6"/>
  <c r="E201" i="7" s="1"/>
  <c r="E86" i="6"/>
  <c r="E20" i="6"/>
  <c r="X120" i="5"/>
  <c r="X66" i="5"/>
  <c r="X121" i="7" s="1"/>
  <c r="N107" i="4"/>
  <c r="N100" i="4" s="1"/>
  <c r="N84" i="4" s="1"/>
  <c r="N54" i="7"/>
  <c r="E201" i="3"/>
  <c r="E119" i="5"/>
  <c r="E65" i="5"/>
  <c r="E120" i="7" s="1"/>
  <c r="E92" i="5"/>
  <c r="E21" i="5"/>
  <c r="D173" i="3"/>
  <c r="D179" i="3"/>
  <c r="D180" i="3"/>
  <c r="D178" i="3"/>
  <c r="D169" i="3"/>
  <c r="D175" i="3"/>
  <c r="D177" i="3"/>
  <c r="D174" i="3"/>
  <c r="D176" i="3"/>
  <c r="D229" i="3"/>
  <c r="D171" i="3"/>
  <c r="D172" i="3"/>
  <c r="E231" i="3"/>
  <c r="E190" i="3"/>
  <c r="Q76" i="7"/>
  <c r="E139" i="5"/>
  <c r="E85" i="5"/>
  <c r="E140" i="7" s="1"/>
  <c r="E112" i="5"/>
  <c r="X121" i="6"/>
  <c r="X67" i="6"/>
  <c r="X209" i="7" s="1"/>
  <c r="X94" i="6"/>
  <c r="M19" i="7"/>
  <c r="M57" i="4"/>
  <c r="M183" i="4"/>
  <c r="M210" i="4"/>
  <c r="D144" i="3"/>
  <c r="D150" i="3"/>
  <c r="D149" i="3"/>
  <c r="D146" i="3"/>
  <c r="D148" i="3"/>
  <c r="D139" i="3"/>
  <c r="D143" i="3"/>
  <c r="D145" i="3"/>
  <c r="D147" i="3"/>
  <c r="D199" i="3"/>
  <c r="D141" i="3"/>
  <c r="D142" i="3"/>
  <c r="Q69" i="7"/>
  <c r="Q60" i="7" s="1"/>
  <c r="E220" i="3"/>
  <c r="E63" i="5" l="1"/>
  <c r="E118" i="7" s="1"/>
  <c r="E117" i="5"/>
  <c r="E37" i="3"/>
  <c r="E18" i="5"/>
  <c r="E90" i="5"/>
  <c r="E111" i="6"/>
  <c r="E67" i="3"/>
  <c r="E57" i="6"/>
  <c r="E199" i="7" s="1"/>
  <c r="E84" i="6"/>
  <c r="E18" i="6"/>
  <c r="U62" i="7"/>
  <c r="X150" i="4"/>
  <c r="X204" i="4"/>
  <c r="X8" i="3"/>
  <c r="R69" i="7"/>
  <c r="R60" i="7" s="1"/>
  <c r="X114" i="6"/>
  <c r="X60" i="6"/>
  <c r="X202" i="7" s="1"/>
  <c r="M3" i="7"/>
  <c r="M167" i="4"/>
  <c r="N80" i="4"/>
  <c r="N27" i="7"/>
  <c r="N191" i="4"/>
  <c r="N218" i="4"/>
  <c r="Y180" i="4"/>
  <c r="R76" i="7"/>
  <c r="X11" i="4"/>
  <c r="X12" i="4"/>
  <c r="X9" i="4"/>
  <c r="X202" i="4" l="1"/>
  <c r="E133" i="6"/>
  <c r="E79" i="6"/>
  <c r="E221" i="7" s="1"/>
  <c r="E106" i="6"/>
  <c r="V62" i="7"/>
  <c r="X96" i="5"/>
  <c r="E61" i="5"/>
  <c r="E88" i="5"/>
  <c r="J55" i="7"/>
  <c r="J134" i="4"/>
  <c r="E55" i="6"/>
  <c r="E82" i="6"/>
  <c r="E189" i="3"/>
  <c r="E35" i="3"/>
  <c r="O107" i="4"/>
  <c r="O100" i="4" s="1"/>
  <c r="O84" i="4" s="1"/>
  <c r="S69" i="7"/>
  <c r="S60" i="7" s="1"/>
  <c r="X87" i="6"/>
  <c r="X200" i="4"/>
  <c r="X93" i="5"/>
  <c r="N26" i="7"/>
  <c r="N73" i="4"/>
  <c r="N190" i="4"/>
  <c r="N217" i="4"/>
  <c r="S76" i="7"/>
  <c r="O54" i="7"/>
  <c r="X203" i="4"/>
  <c r="E219" i="3"/>
  <c r="E65" i="3"/>
  <c r="X7" i="4"/>
  <c r="X4" i="5"/>
  <c r="X47" i="6" s="1"/>
  <c r="E64" i="3" l="1"/>
  <c r="E157" i="3"/>
  <c r="E217" i="3"/>
  <c r="N19" i="7"/>
  <c r="N57" i="4"/>
  <c r="N183" i="4"/>
  <c r="N210" i="4"/>
  <c r="X198" i="4"/>
  <c r="O27" i="7"/>
  <c r="O80" i="4"/>
  <c r="O191" i="4"/>
  <c r="O218" i="4"/>
  <c r="X123" i="5"/>
  <c r="X69" i="5"/>
  <c r="X124" i="7" s="1"/>
  <c r="W62" i="7"/>
  <c r="T69" i="7"/>
  <c r="T60" i="7" s="1"/>
  <c r="T76" i="7"/>
  <c r="E187" i="3"/>
  <c r="E34" i="3"/>
  <c r="E127" i="3" s="1"/>
  <c r="J53" i="7"/>
  <c r="J127" i="4"/>
  <c r="X8" i="4"/>
  <c r="X62" i="7"/>
  <c r="U69" i="7" l="1"/>
  <c r="U60" i="7" s="1"/>
  <c r="O26" i="7"/>
  <c r="O73" i="4"/>
  <c r="O190" i="4"/>
  <c r="O217" i="4"/>
  <c r="E40" i="6"/>
  <c r="E132" i="6"/>
  <c r="E78" i="6"/>
  <c r="E220" i="7" s="1"/>
  <c r="E105" i="6"/>
  <c r="N3" i="7"/>
  <c r="N167" i="4"/>
  <c r="X135" i="5"/>
  <c r="X81" i="5"/>
  <c r="X136" i="7" s="1"/>
  <c r="X108" i="5"/>
  <c r="U76" i="7"/>
  <c r="X199" i="4"/>
  <c r="J46" i="7"/>
  <c r="J111" i="4"/>
  <c r="J30" i="7" s="1"/>
  <c r="X6" i="4"/>
  <c r="X144" i="6"/>
  <c r="X117" i="6"/>
  <c r="X63" i="6"/>
  <c r="X90" i="6"/>
  <c r="E165" i="3"/>
  <c r="E156" i="3"/>
  <c r="E167" i="3"/>
  <c r="E168" i="3"/>
  <c r="E163" i="3"/>
  <c r="E161" i="3"/>
  <c r="E166" i="3"/>
  <c r="E158" i="3"/>
  <c r="E216" i="3"/>
  <c r="E160" i="3"/>
  <c r="E159" i="3"/>
  <c r="E135" i="3"/>
  <c r="E134" i="3"/>
  <c r="E133" i="3"/>
  <c r="E126" i="3"/>
  <c r="E131" i="3"/>
  <c r="E136" i="3"/>
  <c r="E137" i="3"/>
  <c r="E132" i="3"/>
  <c r="E138" i="3"/>
  <c r="E186" i="3"/>
  <c r="E128" i="3"/>
  <c r="E130" i="3"/>
  <c r="E129" i="3"/>
  <c r="E138" i="5"/>
  <c r="E84" i="5"/>
  <c r="E139" i="7" s="1"/>
  <c r="E52" i="5"/>
  <c r="E111" i="5"/>
  <c r="P107" i="4" l="1"/>
  <c r="P100" i="4" s="1"/>
  <c r="P84" i="4" s="1"/>
  <c r="V76" i="7"/>
  <c r="X143" i="4"/>
  <c r="X7" i="3"/>
  <c r="X197" i="4"/>
  <c r="X4" i="4"/>
  <c r="X126" i="6"/>
  <c r="X72" i="6"/>
  <c r="X214" i="7" s="1"/>
  <c r="X99" i="6"/>
  <c r="E137" i="5"/>
  <c r="E83" i="5"/>
  <c r="E138" i="7" s="1"/>
  <c r="E50" i="3"/>
  <c r="E110" i="5"/>
  <c r="E42" i="5"/>
  <c r="X119" i="6"/>
  <c r="X65" i="6"/>
  <c r="X207" i="7" s="1"/>
  <c r="X92" i="6"/>
  <c r="E33" i="6"/>
  <c r="E131" i="6"/>
  <c r="E80" i="3"/>
  <c r="E77" i="6"/>
  <c r="E219" i="7" s="1"/>
  <c r="E104" i="6"/>
  <c r="P54" i="7"/>
  <c r="V69" i="7"/>
  <c r="V60" i="7" s="1"/>
  <c r="X36" i="3"/>
  <c r="X116" i="5"/>
  <c r="X62" i="5"/>
  <c r="X117" i="7" s="1"/>
  <c r="X89" i="5"/>
  <c r="X71" i="5"/>
  <c r="X126" i="7" s="1"/>
  <c r="X125" i="5"/>
  <c r="X98" i="5"/>
  <c r="X78" i="5"/>
  <c r="X133" i="7" s="1"/>
  <c r="X132" i="5"/>
  <c r="X105" i="5"/>
  <c r="O19" i="7"/>
  <c r="O57" i="4"/>
  <c r="O183" i="4"/>
  <c r="O210" i="4"/>
  <c r="W76" i="7" l="1"/>
  <c r="E202" i="3"/>
  <c r="E48" i="3"/>
  <c r="X129" i="6"/>
  <c r="X75" i="6"/>
  <c r="X217" i="7" s="1"/>
  <c r="X102" i="6"/>
  <c r="W69" i="7"/>
  <c r="W60" i="7" s="1"/>
  <c r="X188" i="3"/>
  <c r="E232" i="3"/>
  <c r="E78" i="3"/>
  <c r="X224" i="4"/>
  <c r="X195" i="4"/>
  <c r="X222" i="4"/>
  <c r="X141" i="4"/>
  <c r="X223" i="4"/>
  <c r="X232" i="4"/>
  <c r="X234" i="4"/>
  <c r="X236" i="4"/>
  <c r="X228" i="4"/>
  <c r="X235" i="4"/>
  <c r="X233" i="4"/>
  <c r="X231" i="4"/>
  <c r="X227" i="4"/>
  <c r="X229" i="4"/>
  <c r="X230" i="4"/>
  <c r="X225" i="4"/>
  <c r="X226" i="4"/>
  <c r="O3" i="7"/>
  <c r="O167" i="4"/>
  <c r="X110" i="6"/>
  <c r="X66" i="3"/>
  <c r="X56" i="6"/>
  <c r="X198" i="7" s="1"/>
  <c r="X83" i="6"/>
  <c r="X5" i="3"/>
  <c r="E70" i="6"/>
  <c r="E97" i="6"/>
  <c r="E17" i="6"/>
  <c r="E151" i="6" s="1"/>
  <c r="E76" i="5"/>
  <c r="E103" i="5"/>
  <c r="E17" i="5"/>
  <c r="P27" i="7"/>
  <c r="P80" i="4"/>
  <c r="P191" i="4"/>
  <c r="P218" i="4"/>
  <c r="X69" i="7"/>
  <c r="X60" i="7" s="1"/>
  <c r="X76" i="7"/>
  <c r="Q107" i="4" l="1"/>
  <c r="Q100" i="4" s="1"/>
  <c r="Q84" i="4" s="1"/>
  <c r="P26" i="7"/>
  <c r="P73" i="4"/>
  <c r="P190" i="4"/>
  <c r="P217" i="4"/>
  <c r="E77" i="3"/>
  <c r="E230" i="3"/>
  <c r="E200" i="3"/>
  <c r="E47" i="3"/>
  <c r="E140" i="3" s="1"/>
  <c r="X4" i="3"/>
  <c r="E157" i="5"/>
  <c r="E141" i="5"/>
  <c r="E60" i="5"/>
  <c r="E150" i="5"/>
  <c r="E156" i="5"/>
  <c r="E161" i="5"/>
  <c r="E162" i="5"/>
  <c r="E163" i="5"/>
  <c r="E148" i="5"/>
  <c r="E155" i="5"/>
  <c r="E154" i="5"/>
  <c r="E147" i="5"/>
  <c r="E159" i="5"/>
  <c r="E143" i="5"/>
  <c r="E152" i="5"/>
  <c r="E145" i="5"/>
  <c r="E153" i="5"/>
  <c r="E160" i="5"/>
  <c r="E151" i="5"/>
  <c r="E158" i="5"/>
  <c r="E146" i="5"/>
  <c r="E166" i="5"/>
  <c r="E144" i="5"/>
  <c r="E142" i="5"/>
  <c r="E165" i="5"/>
  <c r="E164" i="5"/>
  <c r="F127" i="6"/>
  <c r="F73" i="6"/>
  <c r="F215" i="7" s="1"/>
  <c r="F100" i="6"/>
  <c r="F34" i="6"/>
  <c r="Q54" i="7"/>
  <c r="X218" i="3"/>
  <c r="F79" i="5"/>
  <c r="F134" i="7" s="1"/>
  <c r="F133" i="5"/>
  <c r="F106" i="5"/>
  <c r="F43" i="5"/>
  <c r="F120" i="6"/>
  <c r="F66" i="6"/>
  <c r="F208" i="7" s="1"/>
  <c r="F93" i="6"/>
  <c r="F27" i="6"/>
  <c r="E136" i="6"/>
  <c r="E135" i="6"/>
  <c r="E155" i="6"/>
  <c r="E156" i="6"/>
  <c r="E142" i="6"/>
  <c r="E149" i="6"/>
  <c r="E148" i="6"/>
  <c r="E141" i="6"/>
  <c r="E153" i="6"/>
  <c r="E146" i="6"/>
  <c r="E137" i="6"/>
  <c r="E54" i="6"/>
  <c r="E139" i="6"/>
  <c r="E147" i="6"/>
  <c r="E154" i="6"/>
  <c r="E152" i="6"/>
  <c r="E145" i="6"/>
  <c r="E140" i="6"/>
  <c r="E138" i="6"/>
  <c r="E160" i="6"/>
  <c r="E159" i="6"/>
  <c r="E158" i="6"/>
  <c r="F72" i="5"/>
  <c r="F127" i="7" s="1"/>
  <c r="F126" i="5"/>
  <c r="F99" i="5"/>
  <c r="F33" i="5"/>
  <c r="X68" i="5"/>
  <c r="X123" i="7" s="1"/>
  <c r="X122" i="5"/>
  <c r="X95" i="5"/>
  <c r="E170" i="3" l="1"/>
  <c r="X67" i="5"/>
  <c r="X122" i="7" s="1"/>
  <c r="X121" i="5"/>
  <c r="X94" i="5"/>
  <c r="X64" i="5"/>
  <c r="X119" i="7" s="1"/>
  <c r="X118" i="5"/>
  <c r="X91" i="5"/>
  <c r="P19" i="7"/>
  <c r="P57" i="4"/>
  <c r="P183" i="4"/>
  <c r="P210" i="4"/>
  <c r="E144" i="3"/>
  <c r="E150" i="3"/>
  <c r="E145" i="3"/>
  <c r="E149" i="3"/>
  <c r="E139" i="3"/>
  <c r="E146" i="3"/>
  <c r="E147" i="3"/>
  <c r="E199" i="3"/>
  <c r="E148" i="3"/>
  <c r="E143" i="3"/>
  <c r="E141" i="3"/>
  <c r="E142" i="3"/>
  <c r="F77" i="5"/>
  <c r="F132" i="7" s="1"/>
  <c r="F131" i="5"/>
  <c r="F49" i="3"/>
  <c r="F104" i="5"/>
  <c r="F125" i="6"/>
  <c r="F79" i="3"/>
  <c r="F71" i="6"/>
  <c r="F213" i="7" s="1"/>
  <c r="F98" i="6"/>
  <c r="Q27" i="7"/>
  <c r="Q80" i="4"/>
  <c r="Q191" i="4"/>
  <c r="Q218" i="4"/>
  <c r="X116" i="6"/>
  <c r="X62" i="6"/>
  <c r="X204" i="7" s="1"/>
  <c r="X89" i="6"/>
  <c r="F64" i="6"/>
  <c r="F206" i="7" s="1"/>
  <c r="F118" i="6"/>
  <c r="F68" i="3"/>
  <c r="F91" i="6"/>
  <c r="E169" i="3"/>
  <c r="E175" i="3"/>
  <c r="E173" i="3"/>
  <c r="E177" i="3"/>
  <c r="E176" i="3"/>
  <c r="E174" i="3"/>
  <c r="E180" i="3"/>
  <c r="E179" i="3"/>
  <c r="E178" i="3"/>
  <c r="E229" i="3"/>
  <c r="E171" i="3"/>
  <c r="E172" i="3"/>
  <c r="X112" i="6"/>
  <c r="X58" i="6"/>
  <c r="X200" i="7" s="1"/>
  <c r="X85" i="6"/>
  <c r="F70" i="5"/>
  <c r="F125" i="7" s="1"/>
  <c r="F124" i="5"/>
  <c r="F38" i="3"/>
  <c r="F97" i="5"/>
  <c r="X97" i="3"/>
  <c r="X102" i="3"/>
  <c r="X103" i="3"/>
  <c r="X108" i="3"/>
  <c r="X101" i="3"/>
  <c r="X106" i="3"/>
  <c r="X105" i="3"/>
  <c r="X107" i="3"/>
  <c r="X104" i="3"/>
  <c r="X96" i="3"/>
  <c r="X98" i="3"/>
  <c r="X100" i="3"/>
  <c r="X99" i="3"/>
  <c r="F85" i="5" l="1"/>
  <c r="F140" i="7" s="1"/>
  <c r="F139" i="5"/>
  <c r="F112" i="5"/>
  <c r="F220" i="3"/>
  <c r="F201" i="3"/>
  <c r="F113" i="6"/>
  <c r="F59" i="6"/>
  <c r="F201" i="7" s="1"/>
  <c r="F86" i="6"/>
  <c r="F20" i="6"/>
  <c r="F231" i="3"/>
  <c r="P3" i="7"/>
  <c r="P167" i="4"/>
  <c r="Q26" i="7"/>
  <c r="Q73" i="4"/>
  <c r="Q190" i="4"/>
  <c r="Q217" i="4"/>
  <c r="F65" i="5"/>
  <c r="F120" i="7" s="1"/>
  <c r="F119" i="5"/>
  <c r="F92" i="5"/>
  <c r="F21" i="5"/>
  <c r="X128" i="5"/>
  <c r="X74" i="5"/>
  <c r="X129" i="7" s="1"/>
  <c r="X101" i="5"/>
  <c r="X61" i="6"/>
  <c r="X203" i="7" s="1"/>
  <c r="X115" i="6"/>
  <c r="X88" i="6"/>
  <c r="F190" i="3"/>
  <c r="R107" i="4" l="1"/>
  <c r="R100" i="4" s="1"/>
  <c r="R84" i="4" s="1"/>
  <c r="X122" i="6"/>
  <c r="X68" i="6"/>
  <c r="X210" i="7" s="1"/>
  <c r="X95" i="6"/>
  <c r="Y178" i="4"/>
  <c r="F111" i="6"/>
  <c r="F67" i="3"/>
  <c r="F57" i="6"/>
  <c r="F199" i="7" s="1"/>
  <c r="F84" i="6"/>
  <c r="F18" i="6"/>
  <c r="Q19" i="7"/>
  <c r="Q57" i="4"/>
  <c r="Q183" i="4"/>
  <c r="Q210" i="4"/>
  <c r="F63" i="5"/>
  <c r="F118" i="7" s="1"/>
  <c r="F117" i="5"/>
  <c r="F37" i="3"/>
  <c r="F90" i="5"/>
  <c r="F18" i="5"/>
  <c r="R54" i="7"/>
  <c r="F219" i="3" l="1"/>
  <c r="F65" i="3"/>
  <c r="F61" i="5"/>
  <c r="F88" i="5"/>
  <c r="Q3" i="7"/>
  <c r="Q167" i="4"/>
  <c r="F189" i="3"/>
  <c r="F35" i="3"/>
  <c r="F133" i="6"/>
  <c r="F79" i="6"/>
  <c r="F221" i="7" s="1"/>
  <c r="F106" i="6"/>
  <c r="F55" i="6"/>
  <c r="F82" i="6"/>
  <c r="R27" i="7"/>
  <c r="R80" i="4"/>
  <c r="R191" i="4"/>
  <c r="R218" i="4"/>
  <c r="Y14" i="4"/>
  <c r="R26" i="7" l="1"/>
  <c r="R73" i="4"/>
  <c r="R190" i="4"/>
  <c r="R217" i="4"/>
  <c r="Y205" i="4"/>
  <c r="F34" i="3"/>
  <c r="F127" i="3" s="1"/>
  <c r="F187" i="3"/>
  <c r="F64" i="3"/>
  <c r="F157" i="3" s="1"/>
  <c r="F217" i="3"/>
  <c r="Y16" i="4"/>
  <c r="Y18" i="4"/>
  <c r="F52" i="5" l="1"/>
  <c r="F84" i="5"/>
  <c r="F139" i="7" s="1"/>
  <c r="F138" i="5"/>
  <c r="F111" i="5"/>
  <c r="G126" i="5"/>
  <c r="G72" i="5"/>
  <c r="G127" i="7" s="1"/>
  <c r="G99" i="5"/>
  <c r="G33" i="5"/>
  <c r="Y188" i="4"/>
  <c r="Y96" i="6"/>
  <c r="Y209" i="4"/>
  <c r="Y102" i="5"/>
  <c r="S54" i="7"/>
  <c r="Y207" i="4"/>
  <c r="F161" i="3"/>
  <c r="F166" i="3"/>
  <c r="F156" i="3"/>
  <c r="F168" i="3"/>
  <c r="F165" i="3"/>
  <c r="F167" i="3"/>
  <c r="F163" i="3"/>
  <c r="F216" i="3"/>
  <c r="F158" i="3"/>
  <c r="F160" i="3"/>
  <c r="F159" i="3"/>
  <c r="Y185" i="4"/>
  <c r="S107" i="4"/>
  <c r="S100" i="4" s="1"/>
  <c r="S84" i="4" s="1"/>
  <c r="F40" i="6"/>
  <c r="F132" i="6"/>
  <c r="F78" i="6"/>
  <c r="F220" i="7" s="1"/>
  <c r="F105" i="6"/>
  <c r="Y189" i="4"/>
  <c r="F135" i="3"/>
  <c r="F126" i="3"/>
  <c r="F131" i="3"/>
  <c r="F136" i="3"/>
  <c r="F132" i="3"/>
  <c r="F138" i="3"/>
  <c r="F186" i="3"/>
  <c r="F137" i="3"/>
  <c r="F134" i="3"/>
  <c r="F133" i="3"/>
  <c r="F128" i="3"/>
  <c r="F130" i="3"/>
  <c r="F129" i="3"/>
  <c r="G79" i="5"/>
  <c r="G134" i="7" s="1"/>
  <c r="G133" i="5"/>
  <c r="G106" i="5"/>
  <c r="G43" i="5"/>
  <c r="R19" i="7"/>
  <c r="R57" i="4"/>
  <c r="R183" i="4"/>
  <c r="R210" i="4"/>
  <c r="Y47" i="4" l="1"/>
  <c r="Y46" i="4" s="1"/>
  <c r="Y184" i="4"/>
  <c r="G127" i="6"/>
  <c r="G73" i="6"/>
  <c r="G215" i="7" s="1"/>
  <c r="G100" i="6"/>
  <c r="G34" i="6"/>
  <c r="Y186" i="4"/>
  <c r="R3" i="7"/>
  <c r="R167" i="4"/>
  <c r="F131" i="6"/>
  <c r="F80" i="3"/>
  <c r="F77" i="6"/>
  <c r="F219" i="7" s="1"/>
  <c r="F104" i="6"/>
  <c r="F33" i="6"/>
  <c r="G124" i="5"/>
  <c r="G70" i="5"/>
  <c r="G125" i="7" s="1"/>
  <c r="G38" i="3"/>
  <c r="G97" i="5"/>
  <c r="Y187" i="4"/>
  <c r="S80" i="4"/>
  <c r="S27" i="7"/>
  <c r="S191" i="4"/>
  <c r="S218" i="4"/>
  <c r="F137" i="5"/>
  <c r="F83" i="5"/>
  <c r="F138" i="7" s="1"/>
  <c r="F50" i="3"/>
  <c r="F110" i="5"/>
  <c r="F42" i="5"/>
  <c r="G131" i="5"/>
  <c r="G77" i="5"/>
  <c r="G132" i="7" s="1"/>
  <c r="G49" i="3"/>
  <c r="G104" i="5"/>
  <c r="Y25" i="4"/>
  <c r="Y24" i="4"/>
  <c r="Y21" i="4"/>
  <c r="Y267" i="4" l="1"/>
  <c r="Y265" i="4"/>
  <c r="Y268" i="4"/>
  <c r="F70" i="6"/>
  <c r="F97" i="6"/>
  <c r="F17" i="6"/>
  <c r="G201" i="3"/>
  <c r="F202" i="3"/>
  <c r="F48" i="3"/>
  <c r="G139" i="5"/>
  <c r="G85" i="5"/>
  <c r="G140" i="7" s="1"/>
  <c r="G112" i="5"/>
  <c r="S26" i="7"/>
  <c r="S73" i="4"/>
  <c r="S190" i="4"/>
  <c r="S217" i="4"/>
  <c r="G190" i="3"/>
  <c r="G119" i="5"/>
  <c r="G65" i="5"/>
  <c r="G120" i="7" s="1"/>
  <c r="G92" i="5"/>
  <c r="G21" i="5"/>
  <c r="Y215" i="4"/>
  <c r="F232" i="3"/>
  <c r="F78" i="3"/>
  <c r="Y216" i="4"/>
  <c r="G120" i="6"/>
  <c r="G66" i="6"/>
  <c r="G208" i="7" s="1"/>
  <c r="G93" i="6"/>
  <c r="G27" i="6"/>
  <c r="K55" i="7"/>
  <c r="K134" i="4"/>
  <c r="G79" i="3"/>
  <c r="G125" i="6"/>
  <c r="G71" i="6"/>
  <c r="G213" i="7" s="1"/>
  <c r="G98" i="6"/>
  <c r="Y264" i="4"/>
  <c r="Y272" i="4"/>
  <c r="Y273" i="4"/>
  <c r="Y271" i="4"/>
  <c r="Y269" i="4"/>
  <c r="Y270" i="4"/>
  <c r="Y266" i="4"/>
  <c r="Y212" i="4"/>
  <c r="G113" i="6"/>
  <c r="G59" i="6"/>
  <c r="G201" i="7" s="1"/>
  <c r="G86" i="6"/>
  <c r="G20" i="6"/>
  <c r="F76" i="5"/>
  <c r="F103" i="5"/>
  <c r="F17" i="5"/>
  <c r="Y22" i="4"/>
  <c r="Y23" i="4"/>
  <c r="Y20" i="4" l="1"/>
  <c r="Y211" i="4"/>
  <c r="Y19" i="3"/>
  <c r="Y157" i="4"/>
  <c r="Y19" i="4"/>
  <c r="G111" i="6"/>
  <c r="G67" i="3"/>
  <c r="G57" i="6"/>
  <c r="G199" i="7" s="1"/>
  <c r="G84" i="6"/>
  <c r="G18" i="6"/>
  <c r="G231" i="3"/>
  <c r="F200" i="3"/>
  <c r="F47" i="3"/>
  <c r="F140" i="3" s="1"/>
  <c r="T107" i="4"/>
  <c r="T100" i="4" s="1"/>
  <c r="T84" i="4" s="1"/>
  <c r="F77" i="3"/>
  <c r="F230" i="3"/>
  <c r="G63" i="5"/>
  <c r="G118" i="7" s="1"/>
  <c r="G117" i="5"/>
  <c r="G37" i="3"/>
  <c r="G90" i="5"/>
  <c r="G18" i="5"/>
  <c r="F136" i="6"/>
  <c r="F135" i="6"/>
  <c r="F155" i="6"/>
  <c r="F156" i="6"/>
  <c r="F142" i="6"/>
  <c r="F148" i="6"/>
  <c r="F149" i="6"/>
  <c r="F146" i="6"/>
  <c r="F141" i="6"/>
  <c r="F153" i="6"/>
  <c r="F137" i="6"/>
  <c r="F54" i="6"/>
  <c r="F139" i="6"/>
  <c r="F154" i="6"/>
  <c r="F147" i="6"/>
  <c r="F152" i="6"/>
  <c r="F145" i="6"/>
  <c r="F140" i="6"/>
  <c r="F138" i="6"/>
  <c r="F160" i="6"/>
  <c r="F159" i="6"/>
  <c r="F158" i="6"/>
  <c r="F142" i="5"/>
  <c r="F60" i="5"/>
  <c r="F141" i="5"/>
  <c r="F150" i="5"/>
  <c r="F156" i="5"/>
  <c r="F161" i="5"/>
  <c r="F162" i="5"/>
  <c r="F163" i="5"/>
  <c r="F148" i="5"/>
  <c r="F155" i="5"/>
  <c r="F154" i="5"/>
  <c r="F147" i="5"/>
  <c r="F159" i="5"/>
  <c r="F152" i="5"/>
  <c r="F143" i="5"/>
  <c r="F145" i="5"/>
  <c r="F160" i="5"/>
  <c r="F153" i="5"/>
  <c r="F158" i="5"/>
  <c r="F151" i="5"/>
  <c r="F146" i="5"/>
  <c r="F166" i="5"/>
  <c r="F144" i="5"/>
  <c r="F165" i="5"/>
  <c r="F164" i="5"/>
  <c r="G68" i="3"/>
  <c r="G118" i="6"/>
  <c r="G64" i="6"/>
  <c r="G206" i="7" s="1"/>
  <c r="G91" i="6"/>
  <c r="S19" i="7"/>
  <c r="S57" i="4"/>
  <c r="S183" i="4"/>
  <c r="S210" i="4"/>
  <c r="T54" i="7"/>
  <c r="Y214" i="4"/>
  <c r="F157" i="5"/>
  <c r="F151" i="6"/>
  <c r="Y213" i="4"/>
  <c r="K53" i="7"/>
  <c r="K127" i="4"/>
  <c r="F170" i="3" l="1"/>
  <c r="S3" i="7"/>
  <c r="S167" i="4"/>
  <c r="G189" i="3"/>
  <c r="G35" i="3"/>
  <c r="Y156" i="4"/>
  <c r="Y237" i="4"/>
  <c r="Y245" i="4"/>
  <c r="Y246" i="4"/>
  <c r="Y244" i="4"/>
  <c r="Y242" i="4"/>
  <c r="Y239" i="4"/>
  <c r="Y243" i="4"/>
  <c r="F147" i="3"/>
  <c r="F144" i="3"/>
  <c r="F143" i="3"/>
  <c r="F150" i="3"/>
  <c r="F149" i="3"/>
  <c r="F199" i="3"/>
  <c r="F148" i="3"/>
  <c r="F139" i="3"/>
  <c r="F145" i="3"/>
  <c r="F146" i="3"/>
  <c r="F141" i="3"/>
  <c r="F142" i="3"/>
  <c r="G219" i="3"/>
  <c r="G65" i="3"/>
  <c r="Y238" i="4"/>
  <c r="Y136" i="5"/>
  <c r="Y82" i="5"/>
  <c r="Y137" i="7" s="1"/>
  <c r="Y109" i="5"/>
  <c r="Y18" i="3"/>
  <c r="K46" i="7"/>
  <c r="K111" i="4"/>
  <c r="K30" i="7" s="1"/>
  <c r="Y241" i="4"/>
  <c r="G220" i="3"/>
  <c r="G61" i="5"/>
  <c r="G88" i="5"/>
  <c r="F177" i="3"/>
  <c r="F169" i="3"/>
  <c r="F175" i="3"/>
  <c r="F176" i="3"/>
  <c r="F173" i="3"/>
  <c r="F174" i="3"/>
  <c r="F180" i="3"/>
  <c r="F179" i="3"/>
  <c r="F178" i="3"/>
  <c r="F229" i="3"/>
  <c r="F171" i="3"/>
  <c r="F172" i="3"/>
  <c r="Y240" i="4"/>
  <c r="T80" i="4"/>
  <c r="T27" i="7"/>
  <c r="T191" i="4"/>
  <c r="T218" i="4"/>
  <c r="G55" i="6"/>
  <c r="G82" i="6"/>
  <c r="Y17" i="3" l="1"/>
  <c r="G64" i="3"/>
  <c r="G217" i="3"/>
  <c r="T26" i="7"/>
  <c r="T73" i="4"/>
  <c r="T190" i="4"/>
  <c r="T217" i="4"/>
  <c r="G187" i="3"/>
  <c r="G34" i="3"/>
  <c r="G127" i="3" s="1"/>
  <c r="Y157" i="6"/>
  <c r="Y130" i="6"/>
  <c r="Y76" i="6"/>
  <c r="Y103" i="6"/>
  <c r="G133" i="6"/>
  <c r="G79" i="6"/>
  <c r="G221" i="7" s="1"/>
  <c r="G106" i="6"/>
  <c r="G157" i="3" l="1"/>
  <c r="T19" i="7"/>
  <c r="T57" i="4"/>
  <c r="T183" i="4"/>
  <c r="T210" i="4"/>
  <c r="Y120" i="3"/>
  <c r="Y114" i="3"/>
  <c r="Y117" i="3"/>
  <c r="Y115" i="3"/>
  <c r="Y109" i="3"/>
  <c r="Y113" i="3"/>
  <c r="Y116" i="3"/>
  <c r="Y118" i="3"/>
  <c r="Y119" i="3"/>
  <c r="Y112" i="3"/>
  <c r="Y111" i="3"/>
  <c r="U54" i="7"/>
  <c r="G135" i="3"/>
  <c r="G133" i="3"/>
  <c r="G126" i="3"/>
  <c r="G131" i="3"/>
  <c r="G136" i="3"/>
  <c r="G138" i="3"/>
  <c r="G186" i="3"/>
  <c r="G134" i="3"/>
  <c r="G137" i="3"/>
  <c r="G132" i="3"/>
  <c r="G128" i="3"/>
  <c r="G130" i="3"/>
  <c r="G129" i="3"/>
  <c r="G161" i="3"/>
  <c r="G165" i="3"/>
  <c r="G166" i="3"/>
  <c r="G156" i="3"/>
  <c r="G167" i="3"/>
  <c r="G163" i="3"/>
  <c r="G168" i="3"/>
  <c r="G158" i="3"/>
  <c r="G216" i="3"/>
  <c r="G159" i="3"/>
  <c r="G160" i="3"/>
  <c r="G132" i="6"/>
  <c r="G40" i="6"/>
  <c r="G78" i="6"/>
  <c r="G220" i="7" s="1"/>
  <c r="G105" i="6"/>
  <c r="Y110" i="3"/>
  <c r="U107" i="4"/>
  <c r="U100" i="4" s="1"/>
  <c r="U84" i="4" s="1"/>
  <c r="G52" i="5"/>
  <c r="G138" i="5"/>
  <c r="G84" i="5"/>
  <c r="G139" i="7" s="1"/>
  <c r="G111" i="5"/>
  <c r="G83" i="5" l="1"/>
  <c r="G138" i="7" s="1"/>
  <c r="G137" i="5"/>
  <c r="G50" i="3"/>
  <c r="G110" i="5"/>
  <c r="G42" i="5"/>
  <c r="U27" i="7"/>
  <c r="U80" i="4"/>
  <c r="U191" i="4"/>
  <c r="U218" i="4"/>
  <c r="G77" i="6"/>
  <c r="G219" i="7" s="1"/>
  <c r="G131" i="6"/>
  <c r="G80" i="3"/>
  <c r="G104" i="6"/>
  <c r="G33" i="6"/>
  <c r="T3" i="7"/>
  <c r="T167" i="4"/>
  <c r="G76" i="5" l="1"/>
  <c r="G103" i="5"/>
  <c r="G17" i="5"/>
  <c r="G232" i="3"/>
  <c r="G78" i="3"/>
  <c r="G202" i="3"/>
  <c r="G48" i="3"/>
  <c r="G70" i="6"/>
  <c r="G97" i="6"/>
  <c r="G17" i="6"/>
  <c r="G151" i="6" s="1"/>
  <c r="U26" i="7"/>
  <c r="U73" i="4"/>
  <c r="U190" i="4"/>
  <c r="U217" i="4"/>
  <c r="G77" i="3" l="1"/>
  <c r="G170" i="3"/>
  <c r="G230" i="3"/>
  <c r="U19" i="7"/>
  <c r="U57" i="4"/>
  <c r="U183" i="4"/>
  <c r="U210" i="4"/>
  <c r="V54" i="7"/>
  <c r="G200" i="3"/>
  <c r="G47" i="3"/>
  <c r="G140" i="3" s="1"/>
  <c r="G60" i="5"/>
  <c r="G141" i="5"/>
  <c r="G150" i="5"/>
  <c r="G156" i="5"/>
  <c r="G161" i="5"/>
  <c r="G162" i="5"/>
  <c r="G163" i="5"/>
  <c r="G148" i="5"/>
  <c r="G155" i="5"/>
  <c r="G154" i="5"/>
  <c r="G147" i="5"/>
  <c r="G159" i="5"/>
  <c r="G143" i="5"/>
  <c r="G152" i="5"/>
  <c r="G145" i="5"/>
  <c r="G153" i="5"/>
  <c r="G160" i="5"/>
  <c r="G151" i="5"/>
  <c r="G158" i="5"/>
  <c r="G166" i="5"/>
  <c r="G146" i="5"/>
  <c r="G144" i="5"/>
  <c r="G142" i="5"/>
  <c r="G165" i="5"/>
  <c r="G164" i="5"/>
  <c r="V107" i="4"/>
  <c r="V100" i="4" s="1"/>
  <c r="V84" i="4" s="1"/>
  <c r="G54" i="6"/>
  <c r="G135" i="6"/>
  <c r="G155" i="6"/>
  <c r="G156" i="6"/>
  <c r="G142" i="6"/>
  <c r="G149" i="6"/>
  <c r="G148" i="6"/>
  <c r="G153" i="6"/>
  <c r="G141" i="6"/>
  <c r="G137" i="6"/>
  <c r="G146" i="6"/>
  <c r="G139" i="6"/>
  <c r="G154" i="6"/>
  <c r="G147" i="6"/>
  <c r="G140" i="6"/>
  <c r="G152" i="6"/>
  <c r="G145" i="6"/>
  <c r="G138" i="6"/>
  <c r="G136" i="6"/>
  <c r="G160" i="6"/>
  <c r="G159" i="6"/>
  <c r="G158" i="6"/>
  <c r="G157" i="5"/>
  <c r="H72" i="5" l="1"/>
  <c r="H127" i="7" s="1"/>
  <c r="H126" i="5"/>
  <c r="H99" i="5"/>
  <c r="H33" i="5"/>
  <c r="V80" i="4"/>
  <c r="V27" i="7"/>
  <c r="V191" i="4"/>
  <c r="V218" i="4"/>
  <c r="U3" i="7"/>
  <c r="U167" i="4"/>
  <c r="H133" i="5"/>
  <c r="H79" i="5"/>
  <c r="H134" i="7" s="1"/>
  <c r="H106" i="5"/>
  <c r="H43" i="5"/>
  <c r="H127" i="6"/>
  <c r="H73" i="6"/>
  <c r="H215" i="7" s="1"/>
  <c r="H100" i="6"/>
  <c r="H34" i="6"/>
  <c r="G139" i="3"/>
  <c r="G145" i="3"/>
  <c r="G147" i="3"/>
  <c r="G143" i="3"/>
  <c r="G146" i="3"/>
  <c r="G150" i="3"/>
  <c r="G144" i="3"/>
  <c r="G149" i="3"/>
  <c r="G199" i="3"/>
  <c r="G148" i="3"/>
  <c r="G141" i="3"/>
  <c r="G142" i="3"/>
  <c r="G169" i="3"/>
  <c r="G175" i="3"/>
  <c r="G176" i="3"/>
  <c r="G173" i="3"/>
  <c r="G177" i="3"/>
  <c r="G174" i="3"/>
  <c r="G180" i="3"/>
  <c r="G179" i="3"/>
  <c r="G178" i="3"/>
  <c r="G229" i="3"/>
  <c r="G171" i="3"/>
  <c r="G172" i="3"/>
  <c r="W54" i="7" l="1"/>
  <c r="H113" i="6"/>
  <c r="H59" i="6"/>
  <c r="H201" i="7" s="1"/>
  <c r="H86" i="6"/>
  <c r="H20" i="6"/>
  <c r="H131" i="5"/>
  <c r="H77" i="5"/>
  <c r="H132" i="7" s="1"/>
  <c r="H49" i="3"/>
  <c r="H104" i="5"/>
  <c r="V73" i="4"/>
  <c r="V26" i="7"/>
  <c r="V190" i="4"/>
  <c r="V217" i="4"/>
  <c r="H70" i="5"/>
  <c r="H125" i="7" s="1"/>
  <c r="H124" i="5"/>
  <c r="H38" i="3"/>
  <c r="H97" i="5"/>
  <c r="W107" i="4"/>
  <c r="W100" i="4" s="1"/>
  <c r="W84" i="4" s="1"/>
  <c r="H71" i="6"/>
  <c r="H213" i="7" s="1"/>
  <c r="H125" i="6"/>
  <c r="H79" i="3"/>
  <c r="H98" i="6"/>
  <c r="H65" i="5"/>
  <c r="H120" i="7" s="1"/>
  <c r="H119" i="5"/>
  <c r="H92" i="5"/>
  <c r="H21" i="5"/>
  <c r="H85" i="5"/>
  <c r="H140" i="7" s="1"/>
  <c r="H139" i="5"/>
  <c r="H112" i="5"/>
  <c r="H57" i="6" l="1"/>
  <c r="H199" i="7" s="1"/>
  <c r="H111" i="6"/>
  <c r="H67" i="3"/>
  <c r="H84" i="6"/>
  <c r="H120" i="6"/>
  <c r="H66" i="6"/>
  <c r="H208" i="7" s="1"/>
  <c r="H93" i="6"/>
  <c r="H27" i="6"/>
  <c r="H201" i="3"/>
  <c r="H63" i="5"/>
  <c r="H118" i="7" s="1"/>
  <c r="H117" i="5"/>
  <c r="H37" i="3"/>
  <c r="H90" i="5"/>
  <c r="H18" i="5"/>
  <c r="W27" i="7"/>
  <c r="W80" i="4"/>
  <c r="W191" i="4"/>
  <c r="W218" i="4"/>
  <c r="H190" i="3"/>
  <c r="H231" i="3"/>
  <c r="V19" i="7"/>
  <c r="V57" i="4"/>
  <c r="V183" i="4"/>
  <c r="V210" i="4"/>
  <c r="H189" i="3" l="1"/>
  <c r="H35" i="3"/>
  <c r="H219" i="3"/>
  <c r="H118" i="6"/>
  <c r="H68" i="3"/>
  <c r="H65" i="3" s="1"/>
  <c r="H64" i="6"/>
  <c r="H206" i="7" s="1"/>
  <c r="H91" i="6"/>
  <c r="V3" i="7"/>
  <c r="V167" i="4"/>
  <c r="W26" i="7"/>
  <c r="W73" i="4"/>
  <c r="W190" i="4"/>
  <c r="W217" i="4"/>
  <c r="H133" i="6"/>
  <c r="H79" i="6"/>
  <c r="H221" i="7" s="1"/>
  <c r="H106" i="6"/>
  <c r="H61" i="5"/>
  <c r="H88" i="5"/>
  <c r="H18" i="6"/>
  <c r="H55" i="6" l="1"/>
  <c r="H82" i="6"/>
  <c r="H64" i="3"/>
  <c r="H160" i="3" s="1"/>
  <c r="H157" i="3"/>
  <c r="H217" i="3"/>
  <c r="X107" i="4"/>
  <c r="X100" i="4" s="1"/>
  <c r="X84" i="4" s="1"/>
  <c r="H187" i="3"/>
  <c r="H34" i="3"/>
  <c r="H127" i="3" s="1"/>
  <c r="X54" i="7"/>
  <c r="H220" i="3"/>
  <c r="W19" i="7"/>
  <c r="W57" i="4"/>
  <c r="W183" i="4"/>
  <c r="W210" i="4"/>
  <c r="H40" i="6" l="1"/>
  <c r="H132" i="6"/>
  <c r="H78" i="6"/>
  <c r="H220" i="7" s="1"/>
  <c r="H105" i="6"/>
  <c r="H52" i="5"/>
  <c r="H138" i="5"/>
  <c r="H84" i="5"/>
  <c r="H139" i="7" s="1"/>
  <c r="H111" i="5"/>
  <c r="H163" i="3"/>
  <c r="H161" i="3"/>
  <c r="H166" i="3"/>
  <c r="H156" i="3"/>
  <c r="H167" i="3"/>
  <c r="H168" i="3"/>
  <c r="H165" i="3"/>
  <c r="H216" i="3"/>
  <c r="H158" i="3"/>
  <c r="H159" i="3"/>
  <c r="L55" i="7"/>
  <c r="L134" i="4"/>
  <c r="H132" i="3"/>
  <c r="H136" i="3"/>
  <c r="H137" i="3"/>
  <c r="H134" i="3"/>
  <c r="H138" i="3"/>
  <c r="H131" i="3"/>
  <c r="H186" i="3"/>
  <c r="H133" i="3"/>
  <c r="H126" i="3"/>
  <c r="H135" i="3"/>
  <c r="H128" i="3"/>
  <c r="H130" i="3"/>
  <c r="H129" i="3"/>
  <c r="W3" i="7"/>
  <c r="W167" i="4"/>
  <c r="X80" i="4"/>
  <c r="X27" i="7"/>
  <c r="X191" i="4"/>
  <c r="X218" i="4"/>
  <c r="L53" i="7" l="1"/>
  <c r="L127" i="4"/>
  <c r="H42" i="5"/>
  <c r="H137" i="5"/>
  <c r="H83" i="5"/>
  <c r="H138" i="7" s="1"/>
  <c r="H50" i="3"/>
  <c r="H110" i="5"/>
  <c r="X26" i="7"/>
  <c r="X73" i="4"/>
  <c r="X190" i="4"/>
  <c r="X217" i="4"/>
  <c r="H131" i="6"/>
  <c r="H80" i="3"/>
  <c r="H77" i="6"/>
  <c r="H219" i="7" s="1"/>
  <c r="H104" i="6"/>
  <c r="H33" i="6"/>
  <c r="Y54" i="7" l="1"/>
  <c r="H76" i="5"/>
  <c r="H103" i="5"/>
  <c r="H17" i="5"/>
  <c r="X19" i="7"/>
  <c r="X57" i="4"/>
  <c r="X183" i="4"/>
  <c r="X210" i="4"/>
  <c r="L46" i="7"/>
  <c r="L111" i="4"/>
  <c r="L30" i="7" s="1"/>
  <c r="Y107" i="4"/>
  <c r="Y100" i="4" s="1"/>
  <c r="Y84" i="4" s="1"/>
  <c r="H70" i="6"/>
  <c r="H97" i="6"/>
  <c r="H17" i="6"/>
  <c r="H151" i="6" s="1"/>
  <c r="H202" i="3"/>
  <c r="H48" i="3"/>
  <c r="H232" i="3"/>
  <c r="H78" i="3"/>
  <c r="X3" i="7" l="1"/>
  <c r="X167" i="4"/>
  <c r="H77" i="3"/>
  <c r="H170" i="3"/>
  <c r="H230" i="3"/>
  <c r="H141" i="5"/>
  <c r="H60" i="5"/>
  <c r="H150" i="5"/>
  <c r="H156" i="5"/>
  <c r="H161" i="5"/>
  <c r="H162" i="5"/>
  <c r="H163" i="5"/>
  <c r="H148" i="5"/>
  <c r="H155" i="5"/>
  <c r="H154" i="5"/>
  <c r="H147" i="5"/>
  <c r="H143" i="5"/>
  <c r="H152" i="5"/>
  <c r="H159" i="5"/>
  <c r="H145" i="5"/>
  <c r="H153" i="5"/>
  <c r="H160" i="5"/>
  <c r="H151" i="5"/>
  <c r="H146" i="5"/>
  <c r="H158" i="5"/>
  <c r="H166" i="5"/>
  <c r="H144" i="5"/>
  <c r="H142" i="5"/>
  <c r="H165" i="5"/>
  <c r="H164" i="5"/>
  <c r="H157" i="5"/>
  <c r="H200" i="3"/>
  <c r="H47" i="3"/>
  <c r="H140" i="3" s="1"/>
  <c r="H135" i="6"/>
  <c r="H156" i="6"/>
  <c r="H155" i="6"/>
  <c r="H142" i="6"/>
  <c r="H149" i="6"/>
  <c r="H54" i="6"/>
  <c r="H148" i="6"/>
  <c r="H141" i="6"/>
  <c r="H146" i="6"/>
  <c r="H153" i="6"/>
  <c r="H137" i="6"/>
  <c r="H139" i="6"/>
  <c r="H154" i="6"/>
  <c r="H140" i="6"/>
  <c r="H152" i="6"/>
  <c r="H147" i="6"/>
  <c r="H138" i="6"/>
  <c r="H145" i="6"/>
  <c r="H160" i="6"/>
  <c r="H136" i="6"/>
  <c r="H159" i="6"/>
  <c r="H158" i="6"/>
  <c r="Y80" i="4"/>
  <c r="Y27" i="7"/>
  <c r="Y191" i="4"/>
  <c r="Y218" i="4"/>
  <c r="H174" i="3" l="1"/>
  <c r="H180" i="3"/>
  <c r="H179" i="3"/>
  <c r="H178" i="3"/>
  <c r="H169" i="3"/>
  <c r="H175" i="3"/>
  <c r="H177" i="3"/>
  <c r="H176" i="3"/>
  <c r="H173" i="3"/>
  <c r="H229" i="3"/>
  <c r="H171" i="3"/>
  <c r="H172" i="3"/>
  <c r="Y26" i="7"/>
  <c r="Y73" i="4"/>
  <c r="Y190" i="4"/>
  <c r="Y217" i="4"/>
  <c r="H144" i="3"/>
  <c r="H139" i="3"/>
  <c r="H145" i="3"/>
  <c r="H150" i="3"/>
  <c r="H199" i="3"/>
  <c r="H146" i="3"/>
  <c r="H147" i="3"/>
  <c r="H143" i="3"/>
  <c r="H149" i="3"/>
  <c r="H148" i="3"/>
  <c r="H141" i="3"/>
  <c r="H142" i="3"/>
  <c r="I133" i="5" l="1"/>
  <c r="I79" i="5"/>
  <c r="I134" i="7" s="1"/>
  <c r="I106" i="5"/>
  <c r="I43" i="5"/>
  <c r="I72" i="5"/>
  <c r="I127" i="7" s="1"/>
  <c r="I126" i="5"/>
  <c r="I99" i="5"/>
  <c r="I33" i="5"/>
  <c r="I127" i="6"/>
  <c r="I73" i="6"/>
  <c r="I215" i="7" s="1"/>
  <c r="I100" i="6"/>
  <c r="I34" i="6"/>
  <c r="Y19" i="7"/>
  <c r="Y57" i="4"/>
  <c r="Y3" i="7" s="1"/>
  <c r="Y183" i="4"/>
  <c r="Y210" i="4"/>
  <c r="I139" i="5" l="1"/>
  <c r="I85" i="5"/>
  <c r="I140" i="7" s="1"/>
  <c r="I112" i="5"/>
  <c r="I71" i="6"/>
  <c r="I213" i="7" s="1"/>
  <c r="I125" i="6"/>
  <c r="I79" i="3"/>
  <c r="I98" i="6"/>
  <c r="I77" i="5"/>
  <c r="I132" i="7" s="1"/>
  <c r="I131" i="5"/>
  <c r="I49" i="3"/>
  <c r="I104" i="5"/>
  <c r="I119" i="5"/>
  <c r="I65" i="5"/>
  <c r="I120" i="7" s="1"/>
  <c r="I92" i="5"/>
  <c r="I21" i="5"/>
  <c r="I124" i="5"/>
  <c r="I70" i="5"/>
  <c r="I125" i="7" s="1"/>
  <c r="I38" i="3"/>
  <c r="I97" i="5"/>
  <c r="I18" i="5" l="1"/>
  <c r="I117" i="5"/>
  <c r="I63" i="5"/>
  <c r="I118" i="7" s="1"/>
  <c r="I37" i="3"/>
  <c r="I90" i="5"/>
  <c r="I201" i="3"/>
  <c r="I190" i="3"/>
  <c r="I120" i="6"/>
  <c r="I66" i="6"/>
  <c r="I208" i="7" s="1"/>
  <c r="I93" i="6"/>
  <c r="I27" i="6"/>
  <c r="I231" i="3"/>
  <c r="I113" i="6" l="1"/>
  <c r="I59" i="6"/>
  <c r="I201" i="7" s="1"/>
  <c r="I86" i="6"/>
  <c r="I20" i="6"/>
  <c r="I64" i="6"/>
  <c r="I206" i="7" s="1"/>
  <c r="I118" i="6"/>
  <c r="I68" i="3"/>
  <c r="I91" i="6"/>
  <c r="I189" i="3"/>
  <c r="I35" i="3"/>
  <c r="I61" i="5"/>
  <c r="I88" i="5"/>
  <c r="I187" i="3" l="1"/>
  <c r="I34" i="3"/>
  <c r="I127" i="3"/>
  <c r="I111" i="6"/>
  <c r="I67" i="3"/>
  <c r="I57" i="6"/>
  <c r="I199" i="7" s="1"/>
  <c r="I84" i="6"/>
  <c r="I18" i="6"/>
  <c r="I220" i="3"/>
  <c r="I219" i="3" l="1"/>
  <c r="I65" i="3"/>
  <c r="I133" i="6"/>
  <c r="I79" i="6"/>
  <c r="I221" i="7" s="1"/>
  <c r="I106" i="6"/>
  <c r="I55" i="6"/>
  <c r="I82" i="6"/>
  <c r="I134" i="3"/>
  <c r="I131" i="3"/>
  <c r="I135" i="3"/>
  <c r="I186" i="3"/>
  <c r="I126" i="3"/>
  <c r="I133" i="3"/>
  <c r="I136" i="3"/>
  <c r="I137" i="3"/>
  <c r="I132" i="3"/>
  <c r="I138" i="3"/>
  <c r="I128" i="3"/>
  <c r="I130" i="3"/>
  <c r="I129" i="3"/>
  <c r="I52" i="5" l="1"/>
  <c r="I84" i="5"/>
  <c r="I139" i="7" s="1"/>
  <c r="I138" i="5"/>
  <c r="I111" i="5"/>
  <c r="I64" i="3"/>
  <c r="I217" i="3"/>
  <c r="I40" i="6"/>
  <c r="I132" i="6"/>
  <c r="I78" i="6"/>
  <c r="I220" i="7" s="1"/>
  <c r="I105" i="6"/>
  <c r="I157" i="3" l="1"/>
  <c r="I83" i="5"/>
  <c r="I138" i="7" s="1"/>
  <c r="I137" i="5"/>
  <c r="I50" i="3"/>
  <c r="I110" i="5"/>
  <c r="I42" i="5"/>
  <c r="I166" i="3"/>
  <c r="I156" i="3"/>
  <c r="I167" i="3"/>
  <c r="I168" i="3"/>
  <c r="I163" i="3"/>
  <c r="I161" i="3"/>
  <c r="I165" i="3"/>
  <c r="I158" i="3"/>
  <c r="I216" i="3"/>
  <c r="I160" i="3"/>
  <c r="I159" i="3"/>
  <c r="I77" i="6"/>
  <c r="I219" i="7" s="1"/>
  <c r="I131" i="6"/>
  <c r="I80" i="3"/>
  <c r="I104" i="6"/>
  <c r="I33" i="6"/>
  <c r="I232" i="3" l="1"/>
  <c r="I78" i="3"/>
  <c r="I17" i="5"/>
  <c r="I157" i="5"/>
  <c r="I76" i="5"/>
  <c r="I103" i="5"/>
  <c r="I202" i="3"/>
  <c r="I48" i="3"/>
  <c r="I70" i="6"/>
  <c r="I97" i="6"/>
  <c r="I17" i="6"/>
  <c r="I136" i="6" l="1"/>
  <c r="I135" i="6"/>
  <c r="I156" i="6"/>
  <c r="I155" i="6"/>
  <c r="I148" i="6"/>
  <c r="I141" i="6"/>
  <c r="I54" i="6"/>
  <c r="I142" i="6"/>
  <c r="I149" i="6"/>
  <c r="I146" i="6"/>
  <c r="I153" i="6"/>
  <c r="I137" i="6"/>
  <c r="I139" i="6"/>
  <c r="I154" i="6"/>
  <c r="I152" i="6"/>
  <c r="I147" i="6"/>
  <c r="I145" i="6"/>
  <c r="I140" i="6"/>
  <c r="I138" i="6"/>
  <c r="I160" i="6"/>
  <c r="I159" i="6"/>
  <c r="I158" i="6"/>
  <c r="I141" i="5"/>
  <c r="I60" i="5"/>
  <c r="I150" i="5"/>
  <c r="I156" i="5"/>
  <c r="I162" i="5"/>
  <c r="I161" i="5"/>
  <c r="I163" i="5"/>
  <c r="I154" i="5"/>
  <c r="I147" i="5"/>
  <c r="I148" i="5"/>
  <c r="I155" i="5"/>
  <c r="I143" i="5"/>
  <c r="I152" i="5"/>
  <c r="I159" i="5"/>
  <c r="I145" i="5"/>
  <c r="I160" i="5"/>
  <c r="I153" i="5"/>
  <c r="I166" i="5"/>
  <c r="I151" i="5"/>
  <c r="I158" i="5"/>
  <c r="I146" i="5"/>
  <c r="I144" i="5"/>
  <c r="I142" i="5"/>
  <c r="I165" i="5"/>
  <c r="I164" i="5"/>
  <c r="M55" i="7"/>
  <c r="M134" i="4"/>
  <c r="I151" i="6"/>
  <c r="J133" i="5"/>
  <c r="J79" i="5"/>
  <c r="J134" i="7" s="1"/>
  <c r="J106" i="5"/>
  <c r="J43" i="5"/>
  <c r="I77" i="3"/>
  <c r="I230" i="3"/>
  <c r="I200" i="3"/>
  <c r="I47" i="3"/>
  <c r="I140" i="3" s="1"/>
  <c r="J126" i="5"/>
  <c r="J72" i="5"/>
  <c r="J127" i="7" s="1"/>
  <c r="J99" i="5"/>
  <c r="J33" i="5"/>
  <c r="I170" i="3" l="1"/>
  <c r="J70" i="5"/>
  <c r="J125" i="7" s="1"/>
  <c r="J124" i="5"/>
  <c r="J38" i="3"/>
  <c r="J97" i="5"/>
  <c r="J113" i="6"/>
  <c r="J59" i="6"/>
  <c r="J201" i="7" s="1"/>
  <c r="J86" i="6"/>
  <c r="J20" i="6"/>
  <c r="M53" i="7"/>
  <c r="M127" i="4"/>
  <c r="J127" i="6"/>
  <c r="J73" i="6"/>
  <c r="J215" i="7" s="1"/>
  <c r="J100" i="6"/>
  <c r="J34" i="6"/>
  <c r="I174" i="3"/>
  <c r="I176" i="3"/>
  <c r="I177" i="3"/>
  <c r="I173" i="3"/>
  <c r="I179" i="3"/>
  <c r="I180" i="3"/>
  <c r="I178" i="3"/>
  <c r="I169" i="3"/>
  <c r="I175" i="3"/>
  <c r="I229" i="3"/>
  <c r="I171" i="3"/>
  <c r="I172" i="3"/>
  <c r="J77" i="5"/>
  <c r="J132" i="7" s="1"/>
  <c r="J131" i="5"/>
  <c r="J49" i="3"/>
  <c r="J104" i="5"/>
  <c r="I147" i="3"/>
  <c r="I199" i="3"/>
  <c r="I143" i="3"/>
  <c r="I145" i="3"/>
  <c r="I144" i="3"/>
  <c r="I139" i="3"/>
  <c r="I146" i="3"/>
  <c r="I148" i="3"/>
  <c r="I149" i="3"/>
  <c r="I150" i="3"/>
  <c r="I141" i="3"/>
  <c r="I142" i="3"/>
  <c r="J65" i="5"/>
  <c r="J120" i="7" s="1"/>
  <c r="J119" i="5"/>
  <c r="J92" i="5"/>
  <c r="J21" i="5"/>
  <c r="J85" i="5"/>
  <c r="J140" i="7" s="1"/>
  <c r="J139" i="5"/>
  <c r="J112" i="5"/>
  <c r="J63" i="5" l="1"/>
  <c r="J118" i="7" s="1"/>
  <c r="J117" i="5"/>
  <c r="J37" i="3"/>
  <c r="J90" i="5"/>
  <c r="J18" i="5"/>
  <c r="J111" i="6"/>
  <c r="J67" i="3"/>
  <c r="J57" i="6"/>
  <c r="J199" i="7" s="1"/>
  <c r="J84" i="6"/>
  <c r="J190" i="3"/>
  <c r="J201" i="3"/>
  <c r="M46" i="7"/>
  <c r="M111" i="4"/>
  <c r="M30" i="7" s="1"/>
  <c r="J71" i="6"/>
  <c r="J213" i="7" s="1"/>
  <c r="J125" i="6"/>
  <c r="J79" i="3"/>
  <c r="J98" i="6"/>
  <c r="J120" i="6"/>
  <c r="J66" i="6"/>
  <c r="J208" i="7" s="1"/>
  <c r="J93" i="6"/>
  <c r="J27" i="6"/>
  <c r="J231" i="3" l="1"/>
  <c r="J18" i="6"/>
  <c r="J118" i="6"/>
  <c r="J68" i="3"/>
  <c r="J65" i="3" s="1"/>
  <c r="J64" i="6"/>
  <c r="J206" i="7" s="1"/>
  <c r="J91" i="6"/>
  <c r="J189" i="3"/>
  <c r="J35" i="3"/>
  <c r="J61" i="5"/>
  <c r="J88" i="5"/>
  <c r="J219" i="3"/>
  <c r="J133" i="6"/>
  <c r="J79" i="6"/>
  <c r="J221" i="7" s="1"/>
  <c r="J106" i="6"/>
  <c r="J187" i="3" l="1"/>
  <c r="J34" i="3"/>
  <c r="J127" i="3" s="1"/>
  <c r="J55" i="6"/>
  <c r="J82" i="6"/>
  <c r="J64" i="3"/>
  <c r="J217" i="3"/>
  <c r="J220" i="3"/>
  <c r="J157" i="3" l="1"/>
  <c r="J135" i="3"/>
  <c r="J136" i="3"/>
  <c r="J138" i="3"/>
  <c r="J126" i="3"/>
  <c r="J131" i="3"/>
  <c r="J186" i="3"/>
  <c r="J133" i="3"/>
  <c r="J132" i="3"/>
  <c r="J134" i="3"/>
  <c r="J137" i="3"/>
  <c r="J128" i="3"/>
  <c r="J130" i="3"/>
  <c r="J129" i="3"/>
  <c r="J40" i="6"/>
  <c r="J132" i="6"/>
  <c r="J78" i="6"/>
  <c r="J220" i="7" s="1"/>
  <c r="J105" i="6"/>
  <c r="J166" i="3"/>
  <c r="J156" i="3"/>
  <c r="J167" i="3"/>
  <c r="J168" i="3"/>
  <c r="J163" i="3"/>
  <c r="J161" i="3"/>
  <c r="J165" i="3"/>
  <c r="J158" i="3"/>
  <c r="J216" i="3"/>
  <c r="J159" i="3"/>
  <c r="J160" i="3"/>
  <c r="J84" i="5"/>
  <c r="J139" i="7" s="1"/>
  <c r="J52" i="5"/>
  <c r="J138" i="5"/>
  <c r="J111" i="5"/>
  <c r="J131" i="6" l="1"/>
  <c r="J80" i="3"/>
  <c r="J77" i="6"/>
  <c r="J219" i="7" s="1"/>
  <c r="J104" i="6"/>
  <c r="J33" i="6"/>
  <c r="J137" i="5"/>
  <c r="J83" i="5"/>
  <c r="J138" i="7" s="1"/>
  <c r="J50" i="3"/>
  <c r="J110" i="5"/>
  <c r="J42" i="5"/>
  <c r="J202" i="3" l="1"/>
  <c r="J48" i="3"/>
  <c r="J232" i="3"/>
  <c r="J78" i="3"/>
  <c r="J70" i="6"/>
  <c r="J97" i="6"/>
  <c r="J17" i="6"/>
  <c r="J76" i="5"/>
  <c r="J103" i="5"/>
  <c r="J17" i="5"/>
  <c r="J157" i="5" s="1"/>
  <c r="J77" i="3" l="1"/>
  <c r="J230" i="3"/>
  <c r="J135" i="6"/>
  <c r="J156" i="6"/>
  <c r="J155" i="6"/>
  <c r="J148" i="6"/>
  <c r="J54" i="6"/>
  <c r="J142" i="6"/>
  <c r="J141" i="6"/>
  <c r="J143" i="6"/>
  <c r="J149" i="6"/>
  <c r="J137" i="6"/>
  <c r="J146" i="6"/>
  <c r="J153" i="6"/>
  <c r="J139" i="6"/>
  <c r="J140" i="6"/>
  <c r="J154" i="6"/>
  <c r="J138" i="6"/>
  <c r="J147" i="6"/>
  <c r="J152" i="6"/>
  <c r="J145" i="6"/>
  <c r="J160" i="6"/>
  <c r="J136" i="6"/>
  <c r="J159" i="6"/>
  <c r="J158" i="6"/>
  <c r="J151" i="6"/>
  <c r="J200" i="3"/>
  <c r="J47" i="3"/>
  <c r="J140" i="3" s="1"/>
  <c r="J164" i="5"/>
  <c r="J60" i="5"/>
  <c r="J141" i="5"/>
  <c r="J156" i="5"/>
  <c r="J162" i="5"/>
  <c r="J161" i="5"/>
  <c r="J163" i="5"/>
  <c r="J154" i="5"/>
  <c r="J147" i="5"/>
  <c r="J148" i="5"/>
  <c r="J149" i="5"/>
  <c r="J155" i="5"/>
  <c r="J150" i="5"/>
  <c r="J152" i="5"/>
  <c r="J159" i="5"/>
  <c r="J143" i="5"/>
  <c r="J145" i="5"/>
  <c r="J160" i="5"/>
  <c r="J153" i="5"/>
  <c r="J166" i="5"/>
  <c r="J158" i="5"/>
  <c r="J146" i="5"/>
  <c r="J151" i="5"/>
  <c r="J144" i="5"/>
  <c r="J142" i="5"/>
  <c r="J165" i="5"/>
  <c r="J170" i="3" l="1"/>
  <c r="J148" i="3"/>
  <c r="J147" i="3"/>
  <c r="J150" i="3"/>
  <c r="J139" i="3"/>
  <c r="J145" i="3"/>
  <c r="J144" i="3"/>
  <c r="J143" i="3"/>
  <c r="J199" i="3"/>
  <c r="J146" i="3"/>
  <c r="J149" i="3"/>
  <c r="J141" i="3"/>
  <c r="J142" i="3"/>
  <c r="J174" i="3"/>
  <c r="J179" i="3"/>
  <c r="J178" i="3"/>
  <c r="J169" i="3"/>
  <c r="J175" i="3"/>
  <c r="J176" i="3"/>
  <c r="J173" i="3"/>
  <c r="J177" i="3"/>
  <c r="J180" i="3"/>
  <c r="J229" i="3"/>
  <c r="J171" i="3"/>
  <c r="J172" i="3"/>
  <c r="K126" i="5" l="1"/>
  <c r="K72" i="5"/>
  <c r="K127" i="7" s="1"/>
  <c r="K99" i="5"/>
  <c r="K33" i="5"/>
  <c r="K133" i="5"/>
  <c r="K79" i="5"/>
  <c r="K134" i="7" s="1"/>
  <c r="K106" i="5"/>
  <c r="K43" i="5"/>
  <c r="K131" i="5" l="1"/>
  <c r="K77" i="5"/>
  <c r="K132" i="7" s="1"/>
  <c r="K49" i="3"/>
  <c r="K104" i="5"/>
  <c r="K127" i="6"/>
  <c r="K73" i="6"/>
  <c r="K215" i="7" s="1"/>
  <c r="K100" i="6"/>
  <c r="K34" i="6"/>
  <c r="K139" i="5"/>
  <c r="K85" i="5"/>
  <c r="K140" i="7" s="1"/>
  <c r="K112" i="5"/>
  <c r="K119" i="5"/>
  <c r="K65" i="5"/>
  <c r="K120" i="7" s="1"/>
  <c r="K92" i="5"/>
  <c r="K21" i="5"/>
  <c r="K70" i="5"/>
  <c r="K125" i="7" s="1"/>
  <c r="K124" i="5"/>
  <c r="K38" i="3"/>
  <c r="K97" i="5"/>
  <c r="K120" i="6" l="1"/>
  <c r="K66" i="6"/>
  <c r="K208" i="7" s="1"/>
  <c r="K93" i="6"/>
  <c r="K27" i="6"/>
  <c r="K18" i="5"/>
  <c r="K117" i="5"/>
  <c r="K63" i="5"/>
  <c r="K118" i="7" s="1"/>
  <c r="K37" i="3"/>
  <c r="K90" i="5"/>
  <c r="K125" i="6"/>
  <c r="K79" i="3"/>
  <c r="K71" i="6"/>
  <c r="K213" i="7" s="1"/>
  <c r="K98" i="6"/>
  <c r="K201" i="3"/>
  <c r="K190" i="3"/>
  <c r="K61" i="5" l="1"/>
  <c r="K88" i="5"/>
  <c r="K113" i="6"/>
  <c r="K59" i="6"/>
  <c r="K201" i="7" s="1"/>
  <c r="K86" i="6"/>
  <c r="K20" i="6"/>
  <c r="K118" i="6"/>
  <c r="K68" i="3"/>
  <c r="K64" i="6"/>
  <c r="K206" i="7" s="1"/>
  <c r="K91" i="6"/>
  <c r="N55" i="7"/>
  <c r="N134" i="4"/>
  <c r="K189" i="3"/>
  <c r="K35" i="3"/>
  <c r="K231" i="3"/>
  <c r="K220" i="3" l="1"/>
  <c r="K187" i="3"/>
  <c r="K34" i="3"/>
  <c r="K127" i="3" s="1"/>
  <c r="K111" i="6"/>
  <c r="K67" i="3"/>
  <c r="K57" i="6"/>
  <c r="K199" i="7" s="1"/>
  <c r="K84" i="6"/>
  <c r="K18" i="6"/>
  <c r="Y169" i="4"/>
  <c r="N53" i="7"/>
  <c r="N127" i="4"/>
  <c r="K219" i="3" l="1"/>
  <c r="K65" i="3"/>
  <c r="K133" i="6"/>
  <c r="K79" i="6"/>
  <c r="K221" i="7" s="1"/>
  <c r="K106" i="6"/>
  <c r="K186" i="3"/>
  <c r="K133" i="3"/>
  <c r="K135" i="3"/>
  <c r="K137" i="3"/>
  <c r="K126" i="3"/>
  <c r="K134" i="3"/>
  <c r="K131" i="3"/>
  <c r="K136" i="3"/>
  <c r="K138" i="3"/>
  <c r="K132" i="3"/>
  <c r="K128" i="3"/>
  <c r="K130" i="3"/>
  <c r="K129" i="3"/>
  <c r="K55" i="6"/>
  <c r="K82" i="6"/>
  <c r="N46" i="7"/>
  <c r="N111" i="4"/>
  <c r="N30" i="7" s="1"/>
  <c r="K64" i="3" l="1"/>
  <c r="K157" i="3"/>
  <c r="K217" i="3"/>
  <c r="K138" i="5" l="1"/>
  <c r="K52" i="5"/>
  <c r="K84" i="5"/>
  <c r="K139" i="7" s="1"/>
  <c r="K111" i="5"/>
  <c r="K132" i="6"/>
  <c r="K40" i="6"/>
  <c r="K78" i="6"/>
  <c r="K220" i="7" s="1"/>
  <c r="K105" i="6"/>
  <c r="K165" i="3"/>
  <c r="K163" i="3"/>
  <c r="K161" i="3"/>
  <c r="K166" i="3"/>
  <c r="K156" i="3"/>
  <c r="K167" i="3"/>
  <c r="K168" i="3"/>
  <c r="K158" i="3"/>
  <c r="K216" i="3"/>
  <c r="K160" i="3"/>
  <c r="K159" i="3"/>
  <c r="K42" i="5" l="1"/>
  <c r="K137" i="5"/>
  <c r="K83" i="5"/>
  <c r="K138" i="7" s="1"/>
  <c r="K50" i="3"/>
  <c r="K110" i="5"/>
  <c r="K131" i="6"/>
  <c r="K80" i="3"/>
  <c r="K77" i="6"/>
  <c r="K219" i="7" s="1"/>
  <c r="K104" i="6"/>
  <c r="K33" i="6"/>
  <c r="Y5" i="4"/>
  <c r="K70" i="6" l="1"/>
  <c r="K97" i="6"/>
  <c r="K17" i="6"/>
  <c r="K202" i="3"/>
  <c r="K48" i="3"/>
  <c r="L126" i="5"/>
  <c r="L72" i="5"/>
  <c r="L127" i="7" s="1"/>
  <c r="L99" i="5"/>
  <c r="L33" i="5"/>
  <c r="K232" i="3"/>
  <c r="K78" i="3"/>
  <c r="L127" i="6"/>
  <c r="L73" i="6"/>
  <c r="L215" i="7" s="1"/>
  <c r="L100" i="6"/>
  <c r="L34" i="6"/>
  <c r="Y6" i="3"/>
  <c r="Y196" i="4"/>
  <c r="L133" i="5"/>
  <c r="L79" i="5"/>
  <c r="L134" i="7" s="1"/>
  <c r="L106" i="5"/>
  <c r="L43" i="5"/>
  <c r="K76" i="5"/>
  <c r="K103" i="5"/>
  <c r="K17" i="5"/>
  <c r="Y174" i="4" l="1"/>
  <c r="L77" i="5"/>
  <c r="L132" i="7" s="1"/>
  <c r="L131" i="5"/>
  <c r="L49" i="3"/>
  <c r="L104" i="5"/>
  <c r="L124" i="5"/>
  <c r="L70" i="5"/>
  <c r="L125" i="7" s="1"/>
  <c r="L38" i="3"/>
  <c r="L97" i="5"/>
  <c r="Y175" i="4"/>
  <c r="K151" i="6"/>
  <c r="K135" i="6"/>
  <c r="K155" i="6"/>
  <c r="K156" i="6"/>
  <c r="K142" i="6"/>
  <c r="K148" i="6"/>
  <c r="K149" i="6"/>
  <c r="K143" i="6"/>
  <c r="K141" i="6"/>
  <c r="K54" i="6"/>
  <c r="K137" i="6"/>
  <c r="K153" i="6"/>
  <c r="K146" i="6"/>
  <c r="K139" i="6"/>
  <c r="K154" i="6"/>
  <c r="K147" i="6"/>
  <c r="K152" i="6"/>
  <c r="K145" i="6"/>
  <c r="K140" i="6"/>
  <c r="K138" i="6"/>
  <c r="K160" i="6"/>
  <c r="K136" i="6"/>
  <c r="K159" i="6"/>
  <c r="K158" i="6"/>
  <c r="K142" i="5"/>
  <c r="K141" i="5"/>
  <c r="K60" i="5"/>
  <c r="K156" i="5"/>
  <c r="K161" i="5"/>
  <c r="K162" i="5"/>
  <c r="K163" i="5"/>
  <c r="K148" i="5"/>
  <c r="K154" i="5"/>
  <c r="K155" i="5"/>
  <c r="K149" i="5"/>
  <c r="K147" i="5"/>
  <c r="K150" i="5"/>
  <c r="K143" i="5"/>
  <c r="K152" i="5"/>
  <c r="K159" i="5"/>
  <c r="K145" i="5"/>
  <c r="K153" i="5"/>
  <c r="K160" i="5"/>
  <c r="K151" i="5"/>
  <c r="K158" i="5"/>
  <c r="K146" i="5"/>
  <c r="K166" i="5"/>
  <c r="K144" i="5"/>
  <c r="K165" i="5"/>
  <c r="K164" i="5"/>
  <c r="K77" i="3"/>
  <c r="K230" i="3"/>
  <c r="K200" i="3"/>
  <c r="K47" i="3"/>
  <c r="K140" i="3" s="1"/>
  <c r="K157" i="5"/>
  <c r="L125" i="6"/>
  <c r="L79" i="3"/>
  <c r="L71" i="6"/>
  <c r="L213" i="7" s="1"/>
  <c r="L98" i="6"/>
  <c r="K170" i="3" l="1"/>
  <c r="L120" i="6"/>
  <c r="L66" i="6"/>
  <c r="L208" i="7" s="1"/>
  <c r="L93" i="6"/>
  <c r="L27" i="6"/>
  <c r="L65" i="5"/>
  <c r="L120" i="7" s="1"/>
  <c r="L119" i="5"/>
  <c r="L92" i="5"/>
  <c r="L21" i="5"/>
  <c r="L190" i="3"/>
  <c r="L231" i="3"/>
  <c r="Y172" i="4"/>
  <c r="L85" i="5"/>
  <c r="L140" i="7" s="1"/>
  <c r="L139" i="5"/>
  <c r="L112" i="5"/>
  <c r="Y173" i="4"/>
  <c r="L201" i="3"/>
  <c r="L113" i="6"/>
  <c r="L59" i="6"/>
  <c r="L201" i="7" s="1"/>
  <c r="L86" i="6"/>
  <c r="L20" i="6"/>
  <c r="K144" i="3"/>
  <c r="K199" i="3"/>
  <c r="K146" i="3"/>
  <c r="K150" i="3"/>
  <c r="K149" i="3"/>
  <c r="K145" i="3"/>
  <c r="K148" i="3"/>
  <c r="K147" i="3"/>
  <c r="K139" i="3"/>
  <c r="K143" i="3"/>
  <c r="K141" i="3"/>
  <c r="K142" i="3"/>
  <c r="K173" i="3"/>
  <c r="K174" i="3"/>
  <c r="K176" i="3"/>
  <c r="K180" i="3"/>
  <c r="K179" i="3"/>
  <c r="K178" i="3"/>
  <c r="K169" i="3"/>
  <c r="K175" i="3"/>
  <c r="K177" i="3"/>
  <c r="K229" i="3"/>
  <c r="K171" i="3"/>
  <c r="K172" i="3"/>
  <c r="L117" i="5" l="1"/>
  <c r="L63" i="5"/>
  <c r="L118" i="7" s="1"/>
  <c r="L37" i="3"/>
  <c r="L18" i="5"/>
  <c r="L90" i="5"/>
  <c r="L118" i="6"/>
  <c r="L68" i="3"/>
  <c r="L64" i="6"/>
  <c r="L206" i="7" s="1"/>
  <c r="L91" i="6"/>
  <c r="Y176" i="4"/>
  <c r="Y171" i="4"/>
  <c r="Y33" i="4"/>
  <c r="L111" i="6"/>
  <c r="L67" i="3"/>
  <c r="L57" i="6"/>
  <c r="L199" i="7" s="1"/>
  <c r="L18" i="6"/>
  <c r="L84" i="6"/>
  <c r="L220" i="3" l="1"/>
  <c r="L55" i="6"/>
  <c r="L82" i="6"/>
  <c r="L65" i="3"/>
  <c r="L219" i="3"/>
  <c r="L133" i="6"/>
  <c r="L79" i="6"/>
  <c r="L221" i="7" s="1"/>
  <c r="L106" i="6"/>
  <c r="L61" i="5"/>
  <c r="L88" i="5"/>
  <c r="Y170" i="4"/>
  <c r="L189" i="3"/>
  <c r="L35" i="3"/>
  <c r="L138" i="5" l="1"/>
  <c r="L84" i="5"/>
  <c r="L139" i="7" s="1"/>
  <c r="L52" i="5"/>
  <c r="L111" i="5"/>
  <c r="L40" i="6"/>
  <c r="L132" i="6"/>
  <c r="L78" i="6"/>
  <c r="L220" i="7" s="1"/>
  <c r="L105" i="6"/>
  <c r="L187" i="3"/>
  <c r="L34" i="3"/>
  <c r="L127" i="3" s="1"/>
  <c r="L64" i="3"/>
  <c r="L217" i="3"/>
  <c r="L157" i="3" l="1"/>
  <c r="L137" i="5"/>
  <c r="L83" i="5"/>
  <c r="L138" i="7" s="1"/>
  <c r="L50" i="3"/>
  <c r="L110" i="5"/>
  <c r="L42" i="5"/>
  <c r="L161" i="3"/>
  <c r="L166" i="3"/>
  <c r="L156" i="3"/>
  <c r="L167" i="3"/>
  <c r="L168" i="3"/>
  <c r="L163" i="3"/>
  <c r="L165" i="3"/>
  <c r="L158" i="3"/>
  <c r="L216" i="3"/>
  <c r="L159" i="3"/>
  <c r="L160" i="3"/>
  <c r="L131" i="6"/>
  <c r="L80" i="3"/>
  <c r="L77" i="6"/>
  <c r="L219" i="7" s="1"/>
  <c r="L104" i="6"/>
  <c r="L33" i="6"/>
  <c r="Y181" i="4"/>
  <c r="L133" i="3"/>
  <c r="L186" i="3"/>
  <c r="L131" i="3"/>
  <c r="L126" i="3"/>
  <c r="L134" i="3"/>
  <c r="L136" i="3"/>
  <c r="L132" i="3"/>
  <c r="L138" i="3"/>
  <c r="L135" i="3"/>
  <c r="L137" i="3"/>
  <c r="L128" i="3"/>
  <c r="L130" i="3"/>
  <c r="L129" i="3"/>
  <c r="Y9" i="4"/>
  <c r="Y12" i="4"/>
  <c r="Y4" i="5"/>
  <c r="Y47" i="6" s="1"/>
  <c r="Y10" i="4"/>
  <c r="Y11" i="4"/>
  <c r="Y202" i="4" l="1"/>
  <c r="L76" i="5"/>
  <c r="L103" i="5"/>
  <c r="L17" i="5"/>
  <c r="Y201" i="4"/>
  <c r="Y96" i="5"/>
  <c r="Y203" i="4"/>
  <c r="L202" i="3"/>
  <c r="L48" i="3"/>
  <c r="Y179" i="4"/>
  <c r="Y40" i="4"/>
  <c r="Y200" i="4"/>
  <c r="L70" i="6"/>
  <c r="L97" i="6"/>
  <c r="L17" i="6"/>
  <c r="L232" i="3"/>
  <c r="L78" i="3"/>
  <c r="Y123" i="5"/>
  <c r="Y69" i="5"/>
  <c r="Y124" i="7" s="1"/>
  <c r="Y7" i="4"/>
  <c r="Y17" i="4"/>
  <c r="Y208" i="4" l="1"/>
  <c r="Y177" i="4"/>
  <c r="Y31" i="4"/>
  <c r="Y258" i="4" s="1"/>
  <c r="L151" i="6"/>
  <c r="L135" i="6"/>
  <c r="L155" i="6"/>
  <c r="L156" i="6"/>
  <c r="L142" i="6"/>
  <c r="L149" i="6"/>
  <c r="L54" i="6"/>
  <c r="L148" i="6"/>
  <c r="L143" i="6"/>
  <c r="L141" i="6"/>
  <c r="L137" i="6"/>
  <c r="L153" i="6"/>
  <c r="L146" i="6"/>
  <c r="L139" i="6"/>
  <c r="L154" i="6"/>
  <c r="L152" i="6"/>
  <c r="L147" i="6"/>
  <c r="L140" i="6"/>
  <c r="L138" i="6"/>
  <c r="L145" i="6"/>
  <c r="L160" i="6"/>
  <c r="L136" i="6"/>
  <c r="L159" i="6"/>
  <c r="L158" i="6"/>
  <c r="L144" i="5"/>
  <c r="L141" i="5"/>
  <c r="L60" i="5"/>
  <c r="L156" i="5"/>
  <c r="L162" i="5"/>
  <c r="L161" i="5"/>
  <c r="L148" i="5"/>
  <c r="L155" i="5"/>
  <c r="L163" i="5"/>
  <c r="L154" i="5"/>
  <c r="L149" i="5"/>
  <c r="L147" i="5"/>
  <c r="L150" i="5"/>
  <c r="L152" i="5"/>
  <c r="L159" i="5"/>
  <c r="L143" i="5"/>
  <c r="L145" i="5"/>
  <c r="L153" i="5"/>
  <c r="L160" i="5"/>
  <c r="L158" i="5"/>
  <c r="L151" i="5"/>
  <c r="L166" i="5"/>
  <c r="L146" i="5"/>
  <c r="L142" i="5"/>
  <c r="L165" i="5"/>
  <c r="L164" i="5"/>
  <c r="Y198" i="4"/>
  <c r="L77" i="3"/>
  <c r="L230" i="3"/>
  <c r="L157" i="5"/>
  <c r="L200" i="3"/>
  <c r="L47" i="3"/>
  <c r="L140" i="3" s="1"/>
  <c r="Y15" i="4"/>
  <c r="Y8" i="4"/>
  <c r="L170" i="3" l="1"/>
  <c r="Y249" i="4"/>
  <c r="Y30" i="4"/>
  <c r="Y168" i="4"/>
  <c r="Y263" i="4"/>
  <c r="Y261" i="4"/>
  <c r="Y259" i="4"/>
  <c r="Y250" i="4"/>
  <c r="Y256" i="4"/>
  <c r="Y255" i="4"/>
  <c r="Y254" i="4"/>
  <c r="Y253" i="4"/>
  <c r="Y252" i="4"/>
  <c r="Y257" i="4"/>
  <c r="Y251" i="4"/>
  <c r="Y262" i="4"/>
  <c r="Y260" i="4"/>
  <c r="Y6" i="4"/>
  <c r="Y199" i="4"/>
  <c r="L144" i="3"/>
  <c r="L149" i="3"/>
  <c r="L150" i="3"/>
  <c r="L148" i="3"/>
  <c r="L139" i="3"/>
  <c r="L145" i="3"/>
  <c r="L146" i="3"/>
  <c r="L143" i="3"/>
  <c r="L147" i="3"/>
  <c r="L199" i="3"/>
  <c r="L141" i="3"/>
  <c r="L142" i="3"/>
  <c r="Y134" i="5"/>
  <c r="Y80" i="5"/>
  <c r="Y135" i="7" s="1"/>
  <c r="Y107" i="5"/>
  <c r="Y206" i="4"/>
  <c r="Y13" i="4"/>
  <c r="Y144" i="6"/>
  <c r="Y117" i="6"/>
  <c r="Y63" i="6"/>
  <c r="Y90" i="6"/>
  <c r="L177" i="3"/>
  <c r="L169" i="3"/>
  <c r="L175" i="3"/>
  <c r="L173" i="3"/>
  <c r="L176" i="3"/>
  <c r="L180" i="3"/>
  <c r="L179" i="3"/>
  <c r="L174" i="3"/>
  <c r="L178" i="3"/>
  <c r="L229" i="3"/>
  <c r="L171" i="3"/>
  <c r="L172" i="3"/>
  <c r="Y127" i="5"/>
  <c r="Y73" i="5"/>
  <c r="Y128" i="7" s="1"/>
  <c r="Y100" i="5"/>
  <c r="Y101" i="6" l="1"/>
  <c r="Y128" i="6"/>
  <c r="Y74" i="6"/>
  <c r="Y216" i="7" s="1"/>
  <c r="Y7" i="3"/>
  <c r="Y197" i="4"/>
  <c r="Y143" i="4"/>
  <c r="Y4" i="4"/>
  <c r="Y231" i="4" s="1"/>
  <c r="Y167" i="4"/>
  <c r="Y132" i="5"/>
  <c r="Y78" i="5"/>
  <c r="Y133" i="7" s="1"/>
  <c r="Y105" i="5"/>
  <c r="Y121" i="6"/>
  <c r="Y67" i="6"/>
  <c r="Y209" i="7" s="1"/>
  <c r="Y94" i="6"/>
  <c r="Y150" i="4"/>
  <c r="Y204" i="4"/>
  <c r="Y8" i="3"/>
  <c r="Y71" i="5"/>
  <c r="Y126" i="7" s="1"/>
  <c r="Y125" i="5"/>
  <c r="Y98" i="5"/>
  <c r="Y116" i="5"/>
  <c r="Y36" i="3"/>
  <c r="Y62" i="5"/>
  <c r="Y117" i="7" s="1"/>
  <c r="Y89" i="5"/>
  <c r="O55" i="7"/>
  <c r="O134" i="4"/>
  <c r="Y120" i="5"/>
  <c r="Y66" i="5"/>
  <c r="Y121" i="7" s="1"/>
  <c r="Y93" i="5"/>
  <c r="Y224" i="4" l="1"/>
  <c r="O53" i="7"/>
  <c r="O127" i="4"/>
  <c r="Y188" i="3"/>
  <c r="Y60" i="6"/>
  <c r="Y202" i="7" s="1"/>
  <c r="Y114" i="6"/>
  <c r="Y87" i="6"/>
  <c r="Y234" i="4"/>
  <c r="Y141" i="4"/>
  <c r="Y222" i="4"/>
  <c r="Y195" i="4"/>
  <c r="Y232" i="4"/>
  <c r="Y236" i="4"/>
  <c r="Y223" i="4"/>
  <c r="Y227" i="4"/>
  <c r="Y229" i="4"/>
  <c r="Y230" i="4"/>
  <c r="Y228" i="4"/>
  <c r="Y225" i="4"/>
  <c r="Y235" i="4"/>
  <c r="Y226" i="4"/>
  <c r="Y233" i="4"/>
  <c r="Y5" i="3"/>
  <c r="Y66" i="3" l="1"/>
  <c r="Y110" i="6"/>
  <c r="Y56" i="6"/>
  <c r="Y198" i="7" s="1"/>
  <c r="Y83" i="6"/>
  <c r="Y4" i="3"/>
  <c r="O46" i="7"/>
  <c r="O111" i="4"/>
  <c r="O30" i="7" s="1"/>
  <c r="Y218" i="3" l="1"/>
  <c r="Y126" i="6"/>
  <c r="Y72" i="6"/>
  <c r="Y214" i="7" s="1"/>
  <c r="Y99" i="6"/>
  <c r="Y97" i="3"/>
  <c r="Y96" i="3"/>
  <c r="Y105" i="3"/>
  <c r="Y104" i="3"/>
  <c r="Y103" i="3"/>
  <c r="Y108" i="3"/>
  <c r="Y106" i="3"/>
  <c r="Y101" i="3"/>
  <c r="Y102" i="3"/>
  <c r="Y107" i="3"/>
  <c r="Y98" i="3"/>
  <c r="Y99" i="3"/>
  <c r="Y100" i="3"/>
  <c r="M113" i="6" l="1"/>
  <c r="M59" i="6"/>
  <c r="M201" i="7" s="1"/>
  <c r="M86" i="6"/>
  <c r="M20" i="6"/>
  <c r="Y135" i="5"/>
  <c r="Y81" i="5"/>
  <c r="Y136" i="7" s="1"/>
  <c r="Y108" i="5"/>
  <c r="Y119" i="6"/>
  <c r="Y65" i="6"/>
  <c r="Y207" i="7" s="1"/>
  <c r="Y92" i="6"/>
  <c r="Y68" i="5"/>
  <c r="Y123" i="7" s="1"/>
  <c r="Y122" i="5"/>
  <c r="Y95" i="5"/>
  <c r="M72" i="5"/>
  <c r="M127" i="7" s="1"/>
  <c r="M126" i="5"/>
  <c r="M99" i="5"/>
  <c r="M33" i="5"/>
  <c r="M79" i="5"/>
  <c r="M134" i="7" s="1"/>
  <c r="M133" i="5"/>
  <c r="M106" i="5"/>
  <c r="M43" i="5"/>
  <c r="M124" i="5" l="1"/>
  <c r="M70" i="5"/>
  <c r="M125" i="7" s="1"/>
  <c r="M38" i="3"/>
  <c r="M97" i="5"/>
  <c r="M119" i="5"/>
  <c r="M65" i="5"/>
  <c r="M120" i="7" s="1"/>
  <c r="M92" i="5"/>
  <c r="M21" i="5"/>
  <c r="Y116" i="6"/>
  <c r="Y62" i="6"/>
  <c r="Y204" i="7" s="1"/>
  <c r="Y89" i="6"/>
  <c r="Y129" i="6"/>
  <c r="Y75" i="6"/>
  <c r="Y217" i="7" s="1"/>
  <c r="Y102" i="6"/>
  <c r="M139" i="5"/>
  <c r="M85" i="5"/>
  <c r="M140" i="7" s="1"/>
  <c r="M112" i="5"/>
  <c r="M77" i="5"/>
  <c r="M132" i="7" s="1"/>
  <c r="M131" i="5"/>
  <c r="M49" i="3"/>
  <c r="M104" i="5"/>
  <c r="Y121" i="5"/>
  <c r="Y67" i="5"/>
  <c r="Y122" i="7" s="1"/>
  <c r="Y94" i="5"/>
  <c r="M127" i="6"/>
  <c r="M73" i="6"/>
  <c r="M215" i="7" s="1"/>
  <c r="M100" i="6"/>
  <c r="M34" i="6"/>
  <c r="M57" i="6"/>
  <c r="M199" i="7" s="1"/>
  <c r="M111" i="6"/>
  <c r="M67" i="3"/>
  <c r="M84" i="6"/>
  <c r="M63" i="5" l="1"/>
  <c r="M118" i="7" s="1"/>
  <c r="M117" i="5"/>
  <c r="M37" i="3"/>
  <c r="M90" i="5"/>
  <c r="M18" i="5"/>
  <c r="M71" i="6"/>
  <c r="M213" i="7" s="1"/>
  <c r="M125" i="6"/>
  <c r="M79" i="3"/>
  <c r="M98" i="6"/>
  <c r="Y118" i="5"/>
  <c r="Y64" i="5"/>
  <c r="Y119" i="7" s="1"/>
  <c r="Y91" i="5"/>
  <c r="M201" i="3"/>
  <c r="M219" i="3"/>
  <c r="M120" i="6"/>
  <c r="M66" i="6"/>
  <c r="M208" i="7" s="1"/>
  <c r="M93" i="6"/>
  <c r="M27" i="6"/>
  <c r="Y115" i="6"/>
  <c r="Y61" i="6"/>
  <c r="Y203" i="7" s="1"/>
  <c r="Y88" i="6"/>
  <c r="M190" i="3"/>
  <c r="M231" i="3" l="1"/>
  <c r="M61" i="5"/>
  <c r="M88" i="5"/>
  <c r="Y58" i="6"/>
  <c r="Y200" i="7" s="1"/>
  <c r="Y112" i="6"/>
  <c r="Y85" i="6"/>
  <c r="M189" i="3"/>
  <c r="M35" i="3"/>
  <c r="M64" i="6"/>
  <c r="M206" i="7" s="1"/>
  <c r="M118" i="6"/>
  <c r="M68" i="3"/>
  <c r="M91" i="6"/>
  <c r="M18" i="6"/>
  <c r="Y128" i="5"/>
  <c r="Y74" i="5"/>
  <c r="Y129" i="7" s="1"/>
  <c r="Y101" i="5"/>
  <c r="M133" i="6" l="1"/>
  <c r="M79" i="6"/>
  <c r="M221" i="7" s="1"/>
  <c r="M106" i="6"/>
  <c r="M55" i="6"/>
  <c r="M82" i="6"/>
  <c r="M187" i="3"/>
  <c r="M34" i="3"/>
  <c r="M127" i="3" s="1"/>
  <c r="M220" i="3"/>
  <c r="M65" i="3"/>
  <c r="Y68" i="6"/>
  <c r="Y210" i="7" s="1"/>
  <c r="Y122" i="6"/>
  <c r="Y95" i="6"/>
  <c r="M64" i="3" l="1"/>
  <c r="M217" i="3"/>
  <c r="M132" i="6"/>
  <c r="M40" i="6"/>
  <c r="M78" i="6"/>
  <c r="M220" i="7" s="1"/>
  <c r="M105" i="6"/>
  <c r="M138" i="5"/>
  <c r="M52" i="5"/>
  <c r="M84" i="5"/>
  <c r="M139" i="7" s="1"/>
  <c r="M111" i="5"/>
  <c r="M133" i="3"/>
  <c r="M135" i="3"/>
  <c r="M186" i="3"/>
  <c r="M126" i="3"/>
  <c r="M131" i="3"/>
  <c r="M134" i="3"/>
  <c r="M136" i="3"/>
  <c r="M138" i="3"/>
  <c r="M137" i="3"/>
  <c r="M132" i="3"/>
  <c r="M128" i="3"/>
  <c r="M130" i="3"/>
  <c r="M129" i="3"/>
  <c r="M157" i="3" l="1"/>
  <c r="M137" i="5"/>
  <c r="M83" i="5"/>
  <c r="M138" i="7" s="1"/>
  <c r="M50" i="3"/>
  <c r="M110" i="5"/>
  <c r="M42" i="5"/>
  <c r="M131" i="6"/>
  <c r="M80" i="3"/>
  <c r="M77" i="6"/>
  <c r="M219" i="7" s="1"/>
  <c r="M104" i="6"/>
  <c r="M33" i="6"/>
  <c r="M163" i="3"/>
  <c r="M161" i="3"/>
  <c r="M166" i="3"/>
  <c r="M156" i="3"/>
  <c r="M168" i="3"/>
  <c r="M167" i="3"/>
  <c r="M165" i="3"/>
  <c r="M158" i="3"/>
  <c r="M216" i="3"/>
  <c r="M159" i="3"/>
  <c r="M160" i="3"/>
  <c r="M76" i="5" l="1"/>
  <c r="M103" i="5"/>
  <c r="M17" i="5"/>
  <c r="M70" i="6"/>
  <c r="M97" i="6"/>
  <c r="M17" i="6"/>
  <c r="M202" i="3"/>
  <c r="M48" i="3"/>
  <c r="M232" i="3"/>
  <c r="M78" i="3"/>
  <c r="M200" i="3" l="1"/>
  <c r="M47" i="3"/>
  <c r="M140" i="3" s="1"/>
  <c r="M142" i="5"/>
  <c r="M60" i="5"/>
  <c r="M141" i="5"/>
  <c r="M156" i="5"/>
  <c r="M163" i="5"/>
  <c r="M161" i="5"/>
  <c r="M162" i="5"/>
  <c r="M148" i="5"/>
  <c r="M154" i="5"/>
  <c r="M155" i="5"/>
  <c r="M149" i="5"/>
  <c r="M147" i="5"/>
  <c r="M150" i="5"/>
  <c r="M143" i="5"/>
  <c r="M152" i="5"/>
  <c r="M159" i="5"/>
  <c r="M145" i="5"/>
  <c r="M160" i="5"/>
  <c r="M153" i="5"/>
  <c r="M158" i="5"/>
  <c r="M146" i="5"/>
  <c r="M166" i="5"/>
  <c r="M151" i="5"/>
  <c r="M144" i="5"/>
  <c r="M165" i="5"/>
  <c r="M164" i="5"/>
  <c r="M157" i="5"/>
  <c r="M151" i="6"/>
  <c r="M135" i="6"/>
  <c r="M155" i="6"/>
  <c r="M156" i="6"/>
  <c r="M142" i="6"/>
  <c r="M148" i="6"/>
  <c r="M54" i="6"/>
  <c r="M149" i="6"/>
  <c r="M143" i="6"/>
  <c r="M141" i="6"/>
  <c r="M137" i="6"/>
  <c r="M146" i="6"/>
  <c r="M153" i="6"/>
  <c r="M139" i="6"/>
  <c r="M140" i="6"/>
  <c r="M154" i="6"/>
  <c r="M138" i="6"/>
  <c r="M147" i="6"/>
  <c r="M152" i="6"/>
  <c r="M145" i="6"/>
  <c r="M160" i="6"/>
  <c r="M136" i="6"/>
  <c r="M159" i="6"/>
  <c r="M158" i="6"/>
  <c r="M77" i="3"/>
  <c r="M230" i="3"/>
  <c r="M170" i="3" l="1"/>
  <c r="M147" i="3"/>
  <c r="M148" i="3"/>
  <c r="M139" i="3"/>
  <c r="M145" i="3"/>
  <c r="M146" i="3"/>
  <c r="M199" i="3"/>
  <c r="M144" i="3"/>
  <c r="M143" i="3"/>
  <c r="M150" i="3"/>
  <c r="M149" i="3"/>
  <c r="M141" i="3"/>
  <c r="M142" i="3"/>
  <c r="M174" i="3"/>
  <c r="M169" i="3"/>
  <c r="M175" i="3"/>
  <c r="M173" i="3"/>
  <c r="M176" i="3"/>
  <c r="M177" i="3"/>
  <c r="M179" i="3"/>
  <c r="M180" i="3"/>
  <c r="M178" i="3"/>
  <c r="M229" i="3"/>
  <c r="M171" i="3"/>
  <c r="M172" i="3"/>
  <c r="N72" i="5" l="1"/>
  <c r="N127" i="7" s="1"/>
  <c r="N126" i="5"/>
  <c r="N99" i="5"/>
  <c r="N33" i="5"/>
  <c r="N133" i="5"/>
  <c r="N79" i="5"/>
  <c r="N134" i="7" s="1"/>
  <c r="N106" i="5"/>
  <c r="N43" i="5"/>
  <c r="N77" i="5" l="1"/>
  <c r="N132" i="7" s="1"/>
  <c r="N131" i="5"/>
  <c r="N49" i="3"/>
  <c r="N104" i="5"/>
  <c r="N127" i="6"/>
  <c r="N73" i="6"/>
  <c r="N215" i="7" s="1"/>
  <c r="N100" i="6"/>
  <c r="N34" i="6"/>
  <c r="N70" i="5"/>
  <c r="N125" i="7" s="1"/>
  <c r="N124" i="5"/>
  <c r="N38" i="3"/>
  <c r="N97" i="5"/>
  <c r="N190" i="3" l="1"/>
  <c r="N201" i="3"/>
  <c r="N120" i="6"/>
  <c r="N66" i="6"/>
  <c r="N208" i="7" s="1"/>
  <c r="N93" i="6"/>
  <c r="N27" i="6"/>
  <c r="N125" i="6"/>
  <c r="N79" i="3"/>
  <c r="N71" i="6"/>
  <c r="N213" i="7" s="1"/>
  <c r="N98" i="6"/>
  <c r="N65" i="5"/>
  <c r="N120" i="7" s="1"/>
  <c r="N119" i="5"/>
  <c r="N92" i="5"/>
  <c r="N21" i="5"/>
  <c r="N85" i="5"/>
  <c r="N140" i="7" s="1"/>
  <c r="N139" i="5"/>
  <c r="N112" i="5"/>
  <c r="N63" i="5" l="1"/>
  <c r="N118" i="7" s="1"/>
  <c r="N117" i="5"/>
  <c r="N37" i="3"/>
  <c r="N90" i="5"/>
  <c r="N18" i="5"/>
  <c r="N64" i="6"/>
  <c r="N206" i="7" s="1"/>
  <c r="N118" i="6"/>
  <c r="N68" i="3"/>
  <c r="N91" i="6"/>
  <c r="N231" i="3"/>
  <c r="N113" i="6"/>
  <c r="N59" i="6"/>
  <c r="N201" i="7" s="1"/>
  <c r="N86" i="6"/>
  <c r="N20" i="6"/>
  <c r="P55" i="7"/>
  <c r="P134" i="4"/>
  <c r="N133" i="6" l="1"/>
  <c r="N79" i="6"/>
  <c r="N221" i="7" s="1"/>
  <c r="N106" i="6"/>
  <c r="N61" i="5"/>
  <c r="N88" i="5"/>
  <c r="N220" i="3"/>
  <c r="N111" i="6"/>
  <c r="N67" i="3"/>
  <c r="N57" i="6"/>
  <c r="N199" i="7" s="1"/>
  <c r="N84" i="6"/>
  <c r="N18" i="6"/>
  <c r="N189" i="3"/>
  <c r="N35" i="3"/>
  <c r="P53" i="7"/>
  <c r="P127" i="4"/>
  <c r="N55" i="6" l="1"/>
  <c r="N82" i="6"/>
  <c r="N40" i="6"/>
  <c r="N132" i="6"/>
  <c r="N78" i="6"/>
  <c r="N220" i="7" s="1"/>
  <c r="N105" i="6"/>
  <c r="P46" i="7"/>
  <c r="P111" i="4"/>
  <c r="P30" i="7" s="1"/>
  <c r="N219" i="3"/>
  <c r="N65" i="3"/>
  <c r="N187" i="3"/>
  <c r="N34" i="3"/>
  <c r="N127" i="3" s="1"/>
  <c r="N52" i="5"/>
  <c r="N138" i="5"/>
  <c r="N84" i="5"/>
  <c r="N139" i="7" s="1"/>
  <c r="N111" i="5"/>
  <c r="N135" i="3" l="1"/>
  <c r="N136" i="3"/>
  <c r="N132" i="3"/>
  <c r="N137" i="3"/>
  <c r="N138" i="3"/>
  <c r="N186" i="3"/>
  <c r="N134" i="3"/>
  <c r="N133" i="3"/>
  <c r="N126" i="3"/>
  <c r="N131" i="3"/>
  <c r="N128" i="3"/>
  <c r="N130" i="3"/>
  <c r="N129" i="3"/>
  <c r="N77" i="6"/>
  <c r="N219" i="7" s="1"/>
  <c r="N131" i="6"/>
  <c r="N80" i="3"/>
  <c r="N104" i="6"/>
  <c r="N33" i="6"/>
  <c r="N83" i="5"/>
  <c r="N138" i="7" s="1"/>
  <c r="N137" i="5"/>
  <c r="N50" i="3"/>
  <c r="N110" i="5"/>
  <c r="N42" i="5"/>
  <c r="N64" i="3"/>
  <c r="N217" i="3"/>
  <c r="N157" i="3" l="1"/>
  <c r="N202" i="3"/>
  <c r="N48" i="3"/>
  <c r="N70" i="6"/>
  <c r="N97" i="6"/>
  <c r="N17" i="6"/>
  <c r="N161" i="3"/>
  <c r="N166" i="3"/>
  <c r="N156" i="3"/>
  <c r="N167" i="3"/>
  <c r="N168" i="3"/>
  <c r="N163" i="3"/>
  <c r="N165" i="3"/>
  <c r="N216" i="3"/>
  <c r="N158" i="3"/>
  <c r="N160" i="3"/>
  <c r="N159" i="3"/>
  <c r="N17" i="5"/>
  <c r="N157" i="5" s="1"/>
  <c r="N76" i="5"/>
  <c r="N103" i="5"/>
  <c r="N232" i="3"/>
  <c r="N78" i="3"/>
  <c r="N77" i="3" l="1"/>
  <c r="N230" i="3"/>
  <c r="N136" i="6"/>
  <c r="N135" i="6"/>
  <c r="N155" i="6"/>
  <c r="N156" i="6"/>
  <c r="N142" i="6"/>
  <c r="N54" i="6"/>
  <c r="N149" i="6"/>
  <c r="N148" i="6"/>
  <c r="N143" i="6"/>
  <c r="N141" i="6"/>
  <c r="N137" i="6"/>
  <c r="N153" i="6"/>
  <c r="N146" i="6"/>
  <c r="N139" i="6"/>
  <c r="N154" i="6"/>
  <c r="N152" i="6"/>
  <c r="N147" i="6"/>
  <c r="N145" i="6"/>
  <c r="N140" i="6"/>
  <c r="N160" i="6"/>
  <c r="N138" i="6"/>
  <c r="N159" i="6"/>
  <c r="N158" i="6"/>
  <c r="N200" i="3"/>
  <c r="N47" i="3"/>
  <c r="N140" i="3" s="1"/>
  <c r="N151" i="6"/>
  <c r="N141" i="5"/>
  <c r="N60" i="5"/>
  <c r="N163" i="5"/>
  <c r="N156" i="5"/>
  <c r="N161" i="5"/>
  <c r="N162" i="5"/>
  <c r="N148" i="5"/>
  <c r="N154" i="5"/>
  <c r="N155" i="5"/>
  <c r="N147" i="5"/>
  <c r="N149" i="5"/>
  <c r="N150" i="5"/>
  <c r="N152" i="5"/>
  <c r="N159" i="5"/>
  <c r="N143" i="5"/>
  <c r="N145" i="5"/>
  <c r="N160" i="5"/>
  <c r="N153" i="5"/>
  <c r="N158" i="5"/>
  <c r="N151" i="5"/>
  <c r="N166" i="5"/>
  <c r="N146" i="5"/>
  <c r="N144" i="5"/>
  <c r="N142" i="5"/>
  <c r="N165" i="5"/>
  <c r="N164" i="5"/>
  <c r="N170" i="3" l="1"/>
  <c r="N147" i="3"/>
  <c r="N144" i="3"/>
  <c r="N143" i="3"/>
  <c r="N150" i="3"/>
  <c r="N149" i="3"/>
  <c r="N199" i="3"/>
  <c r="N148" i="3"/>
  <c r="N139" i="3"/>
  <c r="N145" i="3"/>
  <c r="N146" i="3"/>
  <c r="N141" i="3"/>
  <c r="N142" i="3"/>
  <c r="N180" i="3"/>
  <c r="N179" i="3"/>
  <c r="N178" i="3"/>
  <c r="N169" i="3"/>
  <c r="N175" i="3"/>
  <c r="N177" i="3"/>
  <c r="N176" i="3"/>
  <c r="N174" i="3"/>
  <c r="N173" i="3"/>
  <c r="N229" i="3"/>
  <c r="N171" i="3"/>
  <c r="N172" i="3"/>
  <c r="O127" i="6" l="1"/>
  <c r="O73" i="6"/>
  <c r="O215" i="7" s="1"/>
  <c r="O100" i="6"/>
  <c r="O34" i="6"/>
  <c r="O79" i="5"/>
  <c r="O134" i="7" s="1"/>
  <c r="O133" i="5"/>
  <c r="O106" i="5"/>
  <c r="O43" i="5"/>
  <c r="O126" i="5"/>
  <c r="O72" i="5"/>
  <c r="O127" i="7" s="1"/>
  <c r="O99" i="5"/>
  <c r="O33" i="5"/>
  <c r="O77" i="5" l="1"/>
  <c r="O132" i="7" s="1"/>
  <c r="O131" i="5"/>
  <c r="O49" i="3"/>
  <c r="O104" i="5"/>
  <c r="O125" i="6"/>
  <c r="O79" i="3"/>
  <c r="O71" i="6"/>
  <c r="O213" i="7" s="1"/>
  <c r="O98" i="6"/>
  <c r="O70" i="5"/>
  <c r="O125" i="7" s="1"/>
  <c r="O124" i="5"/>
  <c r="O38" i="3"/>
  <c r="O97" i="5"/>
  <c r="O201" i="3" l="1"/>
  <c r="O231" i="3"/>
  <c r="O119" i="5"/>
  <c r="O65" i="5"/>
  <c r="O120" i="7" s="1"/>
  <c r="O92" i="5"/>
  <c r="O21" i="5"/>
  <c r="O190" i="3"/>
  <c r="O85" i="5"/>
  <c r="O140" i="7" s="1"/>
  <c r="O139" i="5"/>
  <c r="O112" i="5"/>
  <c r="O120" i="6"/>
  <c r="O66" i="6"/>
  <c r="O208" i="7" s="1"/>
  <c r="O93" i="6"/>
  <c r="O27" i="6"/>
  <c r="O64" i="6" l="1"/>
  <c r="O206" i="7" s="1"/>
  <c r="O118" i="6"/>
  <c r="O68" i="3"/>
  <c r="O91" i="6"/>
  <c r="O63" i="5"/>
  <c r="O118" i="7" s="1"/>
  <c r="O117" i="5"/>
  <c r="O37" i="3"/>
  <c r="O90" i="5"/>
  <c r="O18" i="5"/>
  <c r="O113" i="6"/>
  <c r="O59" i="6"/>
  <c r="O201" i="7" s="1"/>
  <c r="O86" i="6"/>
  <c r="O20" i="6"/>
  <c r="O61" i="5" l="1"/>
  <c r="O88" i="5"/>
  <c r="O57" i="6"/>
  <c r="O199" i="7" s="1"/>
  <c r="O111" i="6"/>
  <c r="O67" i="3"/>
  <c r="O84" i="6"/>
  <c r="O18" i="6"/>
  <c r="O220" i="3"/>
  <c r="O189" i="3"/>
  <c r="O35" i="3"/>
  <c r="O133" i="6"/>
  <c r="O79" i="6"/>
  <c r="O221" i="7" s="1"/>
  <c r="O106" i="6"/>
  <c r="Q55" i="7" l="1"/>
  <c r="Q134" i="4"/>
  <c r="O219" i="3"/>
  <c r="O65" i="3"/>
  <c r="O187" i="3"/>
  <c r="O34" i="3"/>
  <c r="O127" i="3" s="1"/>
  <c r="O55" i="6"/>
  <c r="O82" i="6"/>
  <c r="O64" i="3" l="1"/>
  <c r="O157" i="3"/>
  <c r="O217" i="3"/>
  <c r="O52" i="5"/>
  <c r="O84" i="5"/>
  <c r="O139" i="7" s="1"/>
  <c r="O138" i="5"/>
  <c r="O111" i="5"/>
  <c r="Q53" i="7"/>
  <c r="Q127" i="4"/>
  <c r="O40" i="6"/>
  <c r="O132" i="6"/>
  <c r="O78" i="6"/>
  <c r="O220" i="7" s="1"/>
  <c r="O105" i="6"/>
  <c r="O126" i="3"/>
  <c r="O131" i="3"/>
  <c r="O186" i="3"/>
  <c r="O132" i="3"/>
  <c r="O136" i="3"/>
  <c r="O135" i="3"/>
  <c r="O138" i="3"/>
  <c r="O134" i="3"/>
  <c r="O137" i="3"/>
  <c r="O133" i="3"/>
  <c r="O128" i="3"/>
  <c r="O130" i="3"/>
  <c r="O129" i="3"/>
  <c r="O131" i="6" l="1"/>
  <c r="O80" i="3"/>
  <c r="O77" i="6"/>
  <c r="O219" i="7" s="1"/>
  <c r="O104" i="6"/>
  <c r="O33" i="6"/>
  <c r="O83" i="5"/>
  <c r="O138" i="7" s="1"/>
  <c r="O137" i="5"/>
  <c r="O50" i="3"/>
  <c r="O110" i="5"/>
  <c r="O42" i="5"/>
  <c r="Q46" i="7"/>
  <c r="Q111" i="4"/>
  <c r="Q30" i="7" s="1"/>
  <c r="O165" i="3"/>
  <c r="O156" i="3"/>
  <c r="O168" i="3"/>
  <c r="O167" i="3"/>
  <c r="O163" i="3"/>
  <c r="O161" i="3"/>
  <c r="O166" i="3"/>
  <c r="O158" i="3"/>
  <c r="O216" i="3"/>
  <c r="O160" i="3"/>
  <c r="O159" i="3"/>
  <c r="O70" i="6" l="1"/>
  <c r="O97" i="6"/>
  <c r="O17" i="6"/>
  <c r="O232" i="3"/>
  <c r="O78" i="3"/>
  <c r="O202" i="3"/>
  <c r="O48" i="3"/>
  <c r="O76" i="5"/>
  <c r="O103" i="5"/>
  <c r="O17" i="5"/>
  <c r="O77" i="3" l="1"/>
  <c r="O170" i="3"/>
  <c r="O230" i="3"/>
  <c r="O142" i="5"/>
  <c r="O141" i="5"/>
  <c r="O60" i="5"/>
  <c r="O163" i="5"/>
  <c r="O154" i="5"/>
  <c r="O156" i="5"/>
  <c r="O161" i="5"/>
  <c r="O162" i="5"/>
  <c r="O148" i="5"/>
  <c r="O155" i="5"/>
  <c r="O147" i="5"/>
  <c r="O149" i="5"/>
  <c r="O150" i="5"/>
  <c r="O159" i="5"/>
  <c r="O143" i="5"/>
  <c r="O152" i="5"/>
  <c r="O145" i="5"/>
  <c r="O153" i="5"/>
  <c r="O160" i="5"/>
  <c r="O151" i="5"/>
  <c r="O158" i="5"/>
  <c r="O146" i="5"/>
  <c r="O166" i="5"/>
  <c r="O144" i="5"/>
  <c r="O165" i="5"/>
  <c r="O164" i="5"/>
  <c r="O157" i="5"/>
  <c r="O136" i="6"/>
  <c r="O135" i="6"/>
  <c r="O148" i="6"/>
  <c r="O155" i="6"/>
  <c r="O156" i="6"/>
  <c r="O142" i="6"/>
  <c r="O149" i="6"/>
  <c r="O141" i="6"/>
  <c r="O54" i="6"/>
  <c r="O143" i="6"/>
  <c r="O137" i="6"/>
  <c r="O146" i="6"/>
  <c r="O153" i="6"/>
  <c r="O139" i="6"/>
  <c r="O154" i="6"/>
  <c r="O152" i="6"/>
  <c r="O147" i="6"/>
  <c r="O140" i="6"/>
  <c r="O145" i="6"/>
  <c r="O160" i="6"/>
  <c r="O138" i="6"/>
  <c r="O159" i="6"/>
  <c r="O158" i="6"/>
  <c r="O200" i="3"/>
  <c r="O47" i="3"/>
  <c r="O140" i="3" s="1"/>
  <c r="O151" i="6"/>
  <c r="O139" i="3" l="1"/>
  <c r="O145" i="3"/>
  <c r="O199" i="3"/>
  <c r="O146" i="3"/>
  <c r="O143" i="3"/>
  <c r="O147" i="3"/>
  <c r="O150" i="3"/>
  <c r="O149" i="3"/>
  <c r="O144" i="3"/>
  <c r="O148" i="3"/>
  <c r="O141" i="3"/>
  <c r="O142" i="3"/>
  <c r="O179" i="3"/>
  <c r="O178" i="3"/>
  <c r="O169" i="3"/>
  <c r="O175" i="3"/>
  <c r="O173" i="3"/>
  <c r="O176" i="3"/>
  <c r="O174" i="3"/>
  <c r="O177" i="3"/>
  <c r="O180" i="3"/>
  <c r="O229" i="3"/>
  <c r="O171" i="3"/>
  <c r="O172" i="3"/>
  <c r="P127" i="6" l="1"/>
  <c r="P73" i="6"/>
  <c r="P215" i="7" s="1"/>
  <c r="P100" i="6"/>
  <c r="P34" i="6"/>
  <c r="P133" i="5"/>
  <c r="P79" i="5"/>
  <c r="P134" i="7" s="1"/>
  <c r="P106" i="5"/>
  <c r="P43" i="5"/>
  <c r="P126" i="5"/>
  <c r="P72" i="5"/>
  <c r="P127" i="7" s="1"/>
  <c r="P99" i="5"/>
  <c r="P33" i="5"/>
  <c r="P125" i="6" l="1"/>
  <c r="P79" i="3"/>
  <c r="P71" i="6"/>
  <c r="P213" i="7" s="1"/>
  <c r="P98" i="6"/>
  <c r="P131" i="5"/>
  <c r="P77" i="5"/>
  <c r="P132" i="7" s="1"/>
  <c r="P49" i="3"/>
  <c r="P104" i="5"/>
  <c r="P70" i="5"/>
  <c r="P125" i="7" s="1"/>
  <c r="P124" i="5"/>
  <c r="P38" i="3"/>
  <c r="P97" i="5"/>
  <c r="P231" i="3" l="1"/>
  <c r="P190" i="3"/>
  <c r="P201" i="3"/>
  <c r="P139" i="5"/>
  <c r="P85" i="5"/>
  <c r="P140" i="7" s="1"/>
  <c r="P112" i="5"/>
  <c r="P113" i="6"/>
  <c r="P59" i="6"/>
  <c r="P201" i="7" s="1"/>
  <c r="P86" i="6"/>
  <c r="P20" i="6"/>
  <c r="P120" i="6"/>
  <c r="P66" i="6"/>
  <c r="P208" i="7" s="1"/>
  <c r="P93" i="6"/>
  <c r="P27" i="6"/>
  <c r="P119" i="5"/>
  <c r="P65" i="5"/>
  <c r="P120" i="7" s="1"/>
  <c r="P92" i="5"/>
  <c r="P21" i="5"/>
  <c r="P63" i="5" l="1"/>
  <c r="P118" i="7" s="1"/>
  <c r="P117" i="5"/>
  <c r="P37" i="3"/>
  <c r="P18" i="5"/>
  <c r="P90" i="5"/>
  <c r="P111" i="6"/>
  <c r="P67" i="3"/>
  <c r="P57" i="6"/>
  <c r="P199" i="7" s="1"/>
  <c r="P84" i="6"/>
  <c r="P18" i="6"/>
  <c r="P68" i="3"/>
  <c r="P118" i="6"/>
  <c r="P64" i="6"/>
  <c r="P206" i="7" s="1"/>
  <c r="P91" i="6"/>
  <c r="P133" i="6" l="1"/>
  <c r="P79" i="6"/>
  <c r="P221" i="7" s="1"/>
  <c r="P106" i="6"/>
  <c r="P55" i="6"/>
  <c r="P82" i="6"/>
  <c r="P61" i="5"/>
  <c r="P88" i="5"/>
  <c r="P189" i="3"/>
  <c r="P35" i="3"/>
  <c r="P220" i="3"/>
  <c r="P219" i="3"/>
  <c r="P65" i="3"/>
  <c r="P64" i="3" l="1"/>
  <c r="P157" i="3" s="1"/>
  <c r="P217" i="3"/>
  <c r="R55" i="7"/>
  <c r="R134" i="4"/>
  <c r="P187" i="3"/>
  <c r="P34" i="3"/>
  <c r="P127" i="3" s="1"/>
  <c r="P135" i="3" l="1"/>
  <c r="P134" i="3"/>
  <c r="P137" i="3"/>
  <c r="P138" i="3"/>
  <c r="P133" i="3"/>
  <c r="P186" i="3"/>
  <c r="P126" i="3"/>
  <c r="P131" i="3"/>
  <c r="P132" i="3"/>
  <c r="P136" i="3"/>
  <c r="P128" i="3"/>
  <c r="P130" i="3"/>
  <c r="P129" i="3"/>
  <c r="P52" i="5"/>
  <c r="P138" i="5"/>
  <c r="P84" i="5"/>
  <c r="P139" i="7" s="1"/>
  <c r="P111" i="5"/>
  <c r="R53" i="7"/>
  <c r="R127" i="4"/>
  <c r="P40" i="6"/>
  <c r="P132" i="6"/>
  <c r="P78" i="6"/>
  <c r="P220" i="7" s="1"/>
  <c r="P105" i="6"/>
  <c r="P163" i="3"/>
  <c r="P165" i="3"/>
  <c r="P161" i="3"/>
  <c r="P166" i="3"/>
  <c r="P156" i="3"/>
  <c r="P167" i="3"/>
  <c r="P168" i="3"/>
  <c r="P158" i="3"/>
  <c r="P216" i="3"/>
  <c r="P160" i="3"/>
  <c r="P159" i="3"/>
  <c r="R46" i="7" l="1"/>
  <c r="R111" i="4"/>
  <c r="R30" i="7" s="1"/>
  <c r="P137" i="5"/>
  <c r="P83" i="5"/>
  <c r="P138" i="7" s="1"/>
  <c r="P50" i="3"/>
  <c r="P110" i="5"/>
  <c r="P42" i="5"/>
  <c r="P77" i="6"/>
  <c r="P219" i="7" s="1"/>
  <c r="P131" i="6"/>
  <c r="P80" i="3"/>
  <c r="P104" i="6"/>
  <c r="P33" i="6"/>
  <c r="P232" i="3" l="1"/>
  <c r="P78" i="3"/>
  <c r="P70" i="6"/>
  <c r="P97" i="6"/>
  <c r="P17" i="6"/>
  <c r="P76" i="5"/>
  <c r="P103" i="5"/>
  <c r="P17" i="5"/>
  <c r="P202" i="3"/>
  <c r="P48" i="3"/>
  <c r="P200" i="3" l="1"/>
  <c r="P47" i="3"/>
  <c r="P140" i="3"/>
  <c r="P142" i="5"/>
  <c r="P60" i="5"/>
  <c r="P141" i="5"/>
  <c r="P156" i="5"/>
  <c r="P150" i="5"/>
  <c r="P163" i="5"/>
  <c r="P154" i="5"/>
  <c r="P161" i="5"/>
  <c r="P162" i="5"/>
  <c r="P147" i="5"/>
  <c r="P148" i="5"/>
  <c r="P155" i="5"/>
  <c r="P152" i="5"/>
  <c r="P143" i="5"/>
  <c r="P159" i="5"/>
  <c r="P149" i="5"/>
  <c r="P145" i="5"/>
  <c r="P153" i="5"/>
  <c r="P160" i="5"/>
  <c r="P158" i="5"/>
  <c r="P151" i="5"/>
  <c r="P146" i="5"/>
  <c r="P166" i="5"/>
  <c r="P144" i="5"/>
  <c r="P165" i="5"/>
  <c r="P164" i="5"/>
  <c r="P230" i="3"/>
  <c r="P77" i="3"/>
  <c r="P151" i="6"/>
  <c r="P135" i="6"/>
  <c r="P148" i="6"/>
  <c r="P155" i="6"/>
  <c r="P156" i="6"/>
  <c r="P141" i="6"/>
  <c r="P54" i="6"/>
  <c r="P149" i="6"/>
  <c r="P142" i="6"/>
  <c r="P137" i="6"/>
  <c r="P153" i="6"/>
  <c r="P146" i="6"/>
  <c r="P143" i="6"/>
  <c r="P139" i="6"/>
  <c r="P154" i="6"/>
  <c r="P152" i="6"/>
  <c r="P140" i="6"/>
  <c r="P147" i="6"/>
  <c r="P138" i="6"/>
  <c r="P145" i="6"/>
  <c r="P160" i="6"/>
  <c r="P136" i="6"/>
  <c r="P159" i="6"/>
  <c r="P158" i="6"/>
  <c r="P157" i="5"/>
  <c r="P170" i="3" l="1"/>
  <c r="P144" i="3"/>
  <c r="P139" i="3"/>
  <c r="P145" i="3"/>
  <c r="P147" i="3"/>
  <c r="P146" i="3"/>
  <c r="P149" i="3"/>
  <c r="P143" i="3"/>
  <c r="P150" i="3"/>
  <c r="P199" i="3"/>
  <c r="P148" i="3"/>
  <c r="P141" i="3"/>
  <c r="P142" i="3"/>
  <c r="P178" i="3"/>
  <c r="P169" i="3"/>
  <c r="P175" i="3"/>
  <c r="P176" i="3"/>
  <c r="P173" i="3"/>
  <c r="P177" i="3"/>
  <c r="P174" i="3"/>
  <c r="P180" i="3"/>
  <c r="P179" i="3"/>
  <c r="P229" i="3"/>
  <c r="P171" i="3"/>
  <c r="P172" i="3"/>
  <c r="Q126" i="5" l="1"/>
  <c r="Q72" i="5"/>
  <c r="Q127" i="7" s="1"/>
  <c r="Q99" i="5"/>
  <c r="Q33" i="5"/>
  <c r="Q133" i="5"/>
  <c r="Q79" i="5"/>
  <c r="Q134" i="7" s="1"/>
  <c r="Q106" i="5"/>
  <c r="Q43" i="5"/>
  <c r="Q77" i="5" l="1"/>
  <c r="Q132" i="7" s="1"/>
  <c r="Q131" i="5"/>
  <c r="Q49" i="3"/>
  <c r="Q104" i="5"/>
  <c r="Q70" i="5"/>
  <c r="Q125" i="7" s="1"/>
  <c r="Q124" i="5"/>
  <c r="Q38" i="3"/>
  <c r="Q97" i="5"/>
  <c r="Q127" i="6"/>
  <c r="Q73" i="6"/>
  <c r="Q215" i="7" s="1"/>
  <c r="Q100" i="6"/>
  <c r="Q34" i="6"/>
  <c r="Q139" i="5" l="1"/>
  <c r="Q85" i="5"/>
  <c r="Q140" i="7" s="1"/>
  <c r="Q112" i="5"/>
  <c r="Q201" i="3"/>
  <c r="Q190" i="3"/>
  <c r="Q71" i="6"/>
  <c r="Q213" i="7" s="1"/>
  <c r="Q125" i="6"/>
  <c r="Q79" i="3"/>
  <c r="Q98" i="6"/>
  <c r="Q120" i="6"/>
  <c r="Q66" i="6"/>
  <c r="Q208" i="7" s="1"/>
  <c r="Q93" i="6"/>
  <c r="Q27" i="6"/>
  <c r="Q113" i="6"/>
  <c r="Q59" i="6"/>
  <c r="Q201" i="7" s="1"/>
  <c r="Q86" i="6"/>
  <c r="Q20" i="6"/>
  <c r="Q119" i="5"/>
  <c r="Q65" i="5"/>
  <c r="Q120" i="7" s="1"/>
  <c r="Q92" i="5"/>
  <c r="Q21" i="5"/>
  <c r="Q63" i="5" l="1"/>
  <c r="Q118" i="7" s="1"/>
  <c r="Q117" i="5"/>
  <c r="Q37" i="3"/>
  <c r="Q90" i="5"/>
  <c r="Q18" i="5"/>
  <c r="Q231" i="3"/>
  <c r="Q118" i="6"/>
  <c r="Q68" i="3"/>
  <c r="Q64" i="6"/>
  <c r="Q206" i="7" s="1"/>
  <c r="Q91" i="6"/>
  <c r="Q18" i="6"/>
  <c r="Q111" i="6"/>
  <c r="Q67" i="3"/>
  <c r="Q57" i="6"/>
  <c r="Q199" i="7" s="1"/>
  <c r="Q84" i="6"/>
  <c r="Q219" i="3" l="1"/>
  <c r="Q65" i="3"/>
  <c r="Q220" i="3"/>
  <c r="Q189" i="3"/>
  <c r="Q35" i="3"/>
  <c r="Q61" i="5"/>
  <c r="Q88" i="5"/>
  <c r="Q55" i="6"/>
  <c r="Q82" i="6"/>
  <c r="Q64" i="3" l="1"/>
  <c r="Q217" i="3"/>
  <c r="Q187" i="3"/>
  <c r="Q34" i="3"/>
  <c r="Q133" i="6"/>
  <c r="Q79" i="6"/>
  <c r="Q221" i="7" s="1"/>
  <c r="Q106" i="6"/>
  <c r="Q157" i="3" l="1"/>
  <c r="Q40" i="6"/>
  <c r="Q132" i="6"/>
  <c r="Q78" i="6"/>
  <c r="Q220" i="7" s="1"/>
  <c r="Q105" i="6"/>
  <c r="Q165" i="3"/>
  <c r="Q168" i="3"/>
  <c r="Q163" i="3"/>
  <c r="Q161" i="3"/>
  <c r="Q166" i="3"/>
  <c r="Q156" i="3"/>
  <c r="Q167" i="3"/>
  <c r="Q158" i="3"/>
  <c r="Q216" i="3"/>
  <c r="Q159" i="3"/>
  <c r="Q160" i="3"/>
  <c r="Q134" i="3"/>
  <c r="Q133" i="3"/>
  <c r="Q137" i="3"/>
  <c r="Q138" i="3"/>
  <c r="Q186" i="3"/>
  <c r="Q135" i="3"/>
  <c r="Q126" i="3"/>
  <c r="Q131" i="3"/>
  <c r="Q132" i="3"/>
  <c r="Q136" i="3"/>
  <c r="Q128" i="3"/>
  <c r="Q130" i="3"/>
  <c r="Q129" i="3"/>
  <c r="Q52" i="5"/>
  <c r="Q84" i="5"/>
  <c r="Q139" i="7" s="1"/>
  <c r="Q138" i="5"/>
  <c r="Q111" i="5"/>
  <c r="Q127" i="3"/>
  <c r="Q83" i="5" l="1"/>
  <c r="Q138" i="7" s="1"/>
  <c r="Q137" i="5"/>
  <c r="Q50" i="3"/>
  <c r="Q110" i="5"/>
  <c r="Q42" i="5"/>
  <c r="Q77" i="6"/>
  <c r="Q219" i="7" s="1"/>
  <c r="Q131" i="6"/>
  <c r="Q80" i="3"/>
  <c r="Q104" i="6"/>
  <c r="Q33" i="6"/>
  <c r="Q232" i="3" l="1"/>
  <c r="Q78" i="3"/>
  <c r="Q202" i="3"/>
  <c r="Q48" i="3"/>
  <c r="S55" i="7"/>
  <c r="S134" i="4"/>
  <c r="Q17" i="5"/>
  <c r="Q76" i="5"/>
  <c r="Q103" i="5"/>
  <c r="Q70" i="6"/>
  <c r="Q97" i="6"/>
  <c r="Q17" i="6"/>
  <c r="Q157" i="5" l="1"/>
  <c r="Q141" i="5"/>
  <c r="Q60" i="5"/>
  <c r="Q150" i="5"/>
  <c r="Q156" i="5"/>
  <c r="Q154" i="5"/>
  <c r="Q163" i="5"/>
  <c r="Q161" i="5"/>
  <c r="Q147" i="5"/>
  <c r="Q162" i="5"/>
  <c r="Q155" i="5"/>
  <c r="Q148" i="5"/>
  <c r="Q143" i="5"/>
  <c r="Q152" i="5"/>
  <c r="Q159" i="5"/>
  <c r="Q149" i="5"/>
  <c r="Q145" i="5"/>
  <c r="Q160" i="5"/>
  <c r="Q153" i="5"/>
  <c r="Q151" i="5"/>
  <c r="Q158" i="5"/>
  <c r="Q166" i="5"/>
  <c r="Q146" i="5"/>
  <c r="Q144" i="5"/>
  <c r="Q142" i="5"/>
  <c r="Q165" i="5"/>
  <c r="Q164" i="5"/>
  <c r="Q200" i="3"/>
  <c r="Q47" i="3"/>
  <c r="Q140" i="3" s="1"/>
  <c r="Q54" i="6"/>
  <c r="Q135" i="6"/>
  <c r="Q148" i="6"/>
  <c r="Q155" i="6"/>
  <c r="Q141" i="6"/>
  <c r="Q156" i="6"/>
  <c r="Q149" i="6"/>
  <c r="Q142" i="6"/>
  <c r="Q137" i="6"/>
  <c r="Q153" i="6"/>
  <c r="Q146" i="6"/>
  <c r="Q143" i="6"/>
  <c r="Q139" i="6"/>
  <c r="Q154" i="6"/>
  <c r="Q147" i="6"/>
  <c r="Q152" i="6"/>
  <c r="Q140" i="6"/>
  <c r="Q145" i="6"/>
  <c r="Q138" i="6"/>
  <c r="Q136" i="6"/>
  <c r="Q160" i="6"/>
  <c r="Q159" i="6"/>
  <c r="Q158" i="6"/>
  <c r="Q77" i="3"/>
  <c r="Q230" i="3"/>
  <c r="S53" i="7"/>
  <c r="S127" i="4"/>
  <c r="Q151" i="6"/>
  <c r="Q170" i="3" l="1"/>
  <c r="S46" i="7"/>
  <c r="S111" i="4"/>
  <c r="S30" i="7" s="1"/>
  <c r="Q144" i="3"/>
  <c r="Q147" i="3"/>
  <c r="Q150" i="3"/>
  <c r="Q199" i="3"/>
  <c r="Q146" i="3"/>
  <c r="Q143" i="3"/>
  <c r="Q149" i="3"/>
  <c r="Q148" i="3"/>
  <c r="Q139" i="3"/>
  <c r="Q145" i="3"/>
  <c r="Q141" i="3"/>
  <c r="Q142" i="3"/>
  <c r="Q174" i="3"/>
  <c r="Q180" i="3"/>
  <c r="Q179" i="3"/>
  <c r="Q178" i="3"/>
  <c r="Q169" i="3"/>
  <c r="Q175" i="3"/>
  <c r="Q176" i="3"/>
  <c r="Q177" i="3"/>
  <c r="Q173" i="3"/>
  <c r="Q229" i="3"/>
  <c r="Q171" i="3"/>
  <c r="Q172" i="3"/>
  <c r="R133" i="5" l="1"/>
  <c r="R79" i="5"/>
  <c r="R134" i="7" s="1"/>
  <c r="R106" i="5"/>
  <c r="R43" i="5"/>
  <c r="R127" i="6" l="1"/>
  <c r="R73" i="6"/>
  <c r="R215" i="7" s="1"/>
  <c r="R100" i="6"/>
  <c r="R34" i="6"/>
  <c r="R131" i="5"/>
  <c r="R77" i="5"/>
  <c r="R132" i="7" s="1"/>
  <c r="R49" i="3"/>
  <c r="R104" i="5"/>
  <c r="R85" i="5"/>
  <c r="R140" i="7" s="1"/>
  <c r="R139" i="5"/>
  <c r="R112" i="5"/>
  <c r="R72" i="5"/>
  <c r="R127" i="7" s="1"/>
  <c r="R126" i="5"/>
  <c r="R99" i="5"/>
  <c r="R33" i="5"/>
  <c r="R70" i="5" l="1"/>
  <c r="R125" i="7" s="1"/>
  <c r="R38" i="3"/>
  <c r="R124" i="5"/>
  <c r="R97" i="5"/>
  <c r="R119" i="5"/>
  <c r="R65" i="5"/>
  <c r="R120" i="7" s="1"/>
  <c r="R92" i="5"/>
  <c r="R21" i="5"/>
  <c r="R120" i="6"/>
  <c r="R66" i="6"/>
  <c r="R208" i="7" s="1"/>
  <c r="R93" i="6"/>
  <c r="R27" i="6"/>
  <c r="R113" i="6"/>
  <c r="R59" i="6"/>
  <c r="R201" i="7" s="1"/>
  <c r="R86" i="6"/>
  <c r="R20" i="6"/>
  <c r="R71" i="6"/>
  <c r="R213" i="7" s="1"/>
  <c r="R125" i="6"/>
  <c r="R79" i="3"/>
  <c r="R98" i="6"/>
  <c r="R201" i="3"/>
  <c r="R64" i="6" l="1"/>
  <c r="R206" i="7" s="1"/>
  <c r="R118" i="6"/>
  <c r="R68" i="3"/>
  <c r="R91" i="6"/>
  <c r="R57" i="6"/>
  <c r="R199" i="7" s="1"/>
  <c r="R111" i="6"/>
  <c r="R67" i="3"/>
  <c r="R84" i="6"/>
  <c r="R18" i="6"/>
  <c r="R117" i="5"/>
  <c r="R63" i="5"/>
  <c r="R118" i="7" s="1"/>
  <c r="R37" i="3"/>
  <c r="R90" i="5"/>
  <c r="R18" i="5"/>
  <c r="R190" i="3"/>
  <c r="R231" i="3"/>
  <c r="R220" i="3" l="1"/>
  <c r="R55" i="6"/>
  <c r="R82" i="6"/>
  <c r="R61" i="5"/>
  <c r="R88" i="5"/>
  <c r="R219" i="3"/>
  <c r="R65" i="3"/>
  <c r="R189" i="3"/>
  <c r="R35" i="3"/>
  <c r="R52" i="5" l="1"/>
  <c r="R84" i="5"/>
  <c r="R139" i="7" s="1"/>
  <c r="R138" i="5"/>
  <c r="R111" i="5"/>
  <c r="R64" i="3"/>
  <c r="R217" i="3"/>
  <c r="R133" i="6"/>
  <c r="R79" i="6"/>
  <c r="R221" i="7" s="1"/>
  <c r="R106" i="6"/>
  <c r="R187" i="3"/>
  <c r="R34" i="3"/>
  <c r="R127" i="3" s="1"/>
  <c r="R157" i="3" l="1"/>
  <c r="R40" i="6"/>
  <c r="R132" i="6"/>
  <c r="R78" i="6"/>
  <c r="R220" i="7" s="1"/>
  <c r="R105" i="6"/>
  <c r="R126" i="3"/>
  <c r="R131" i="3"/>
  <c r="R135" i="3"/>
  <c r="R186" i="3"/>
  <c r="R136" i="3"/>
  <c r="R137" i="3"/>
  <c r="R132" i="3"/>
  <c r="R138" i="3"/>
  <c r="R133" i="3"/>
  <c r="R134" i="3"/>
  <c r="R128" i="3"/>
  <c r="R130" i="3"/>
  <c r="R129" i="3"/>
  <c r="R216" i="3"/>
  <c r="R163" i="3"/>
  <c r="R161" i="3"/>
  <c r="R166" i="3"/>
  <c r="R156" i="3"/>
  <c r="R167" i="3"/>
  <c r="R168" i="3"/>
  <c r="R165" i="3"/>
  <c r="R158" i="3"/>
  <c r="R160" i="3"/>
  <c r="R159" i="3"/>
  <c r="R137" i="5"/>
  <c r="R83" i="5"/>
  <c r="R138" i="7" s="1"/>
  <c r="R50" i="3"/>
  <c r="R110" i="5"/>
  <c r="R42" i="5"/>
  <c r="R76" i="5" l="1"/>
  <c r="R103" i="5"/>
  <c r="R17" i="5"/>
  <c r="R202" i="3"/>
  <c r="R48" i="3"/>
  <c r="R77" i="6"/>
  <c r="R219" i="7" s="1"/>
  <c r="R131" i="6"/>
  <c r="R80" i="3"/>
  <c r="R104" i="6"/>
  <c r="R33" i="6"/>
  <c r="R142" i="5" l="1"/>
  <c r="R141" i="5"/>
  <c r="R60" i="5"/>
  <c r="R156" i="5"/>
  <c r="R150" i="5"/>
  <c r="R163" i="5"/>
  <c r="R154" i="5"/>
  <c r="R161" i="5"/>
  <c r="R147" i="5"/>
  <c r="R152" i="5"/>
  <c r="R143" i="5"/>
  <c r="R159" i="5"/>
  <c r="R162" i="5"/>
  <c r="R148" i="5"/>
  <c r="R149" i="5"/>
  <c r="R155" i="5"/>
  <c r="R145" i="5"/>
  <c r="R160" i="5"/>
  <c r="R166" i="5"/>
  <c r="R158" i="5"/>
  <c r="R153" i="5"/>
  <c r="R146" i="5"/>
  <c r="R151" i="5"/>
  <c r="R144" i="5"/>
  <c r="R165" i="5"/>
  <c r="R164" i="5"/>
  <c r="R17" i="6"/>
  <c r="R151" i="6" s="1"/>
  <c r="R70" i="6"/>
  <c r="R97" i="6"/>
  <c r="R157" i="5"/>
  <c r="R232" i="3"/>
  <c r="R78" i="3"/>
  <c r="R200" i="3"/>
  <c r="R47" i="3"/>
  <c r="R136" i="6" l="1"/>
  <c r="R135" i="6"/>
  <c r="R54" i="6"/>
  <c r="R148" i="6"/>
  <c r="R155" i="6"/>
  <c r="R141" i="6"/>
  <c r="R156" i="6"/>
  <c r="R137" i="6"/>
  <c r="R146" i="6"/>
  <c r="R153" i="6"/>
  <c r="R142" i="6"/>
  <c r="R149" i="6"/>
  <c r="R143" i="6"/>
  <c r="R139" i="6"/>
  <c r="R154" i="6"/>
  <c r="R140" i="6"/>
  <c r="R147" i="6"/>
  <c r="R152" i="6"/>
  <c r="R138" i="6"/>
  <c r="R145" i="6"/>
  <c r="R160" i="6"/>
  <c r="R159" i="6"/>
  <c r="R158" i="6"/>
  <c r="R77" i="3"/>
  <c r="R230" i="3"/>
  <c r="R143" i="3"/>
  <c r="R145" i="3"/>
  <c r="R148" i="3"/>
  <c r="R144" i="3"/>
  <c r="R149" i="3"/>
  <c r="R139" i="3"/>
  <c r="R150" i="3"/>
  <c r="R199" i="3"/>
  <c r="R147" i="3"/>
  <c r="R146" i="3"/>
  <c r="R141" i="3"/>
  <c r="R142" i="3"/>
  <c r="R140" i="3"/>
  <c r="R174" i="3" l="1"/>
  <c r="R178" i="3"/>
  <c r="R169" i="3"/>
  <c r="R175" i="3"/>
  <c r="R176" i="3"/>
  <c r="R177" i="3"/>
  <c r="R173" i="3"/>
  <c r="R180" i="3"/>
  <c r="R179" i="3"/>
  <c r="R229" i="3"/>
  <c r="R171" i="3"/>
  <c r="R172" i="3"/>
  <c r="R170" i="3"/>
  <c r="T55" i="7" l="1"/>
  <c r="T134" i="4"/>
  <c r="T53" i="7" l="1"/>
  <c r="T127" i="4"/>
  <c r="T46" i="7" l="1"/>
  <c r="T111" i="4"/>
  <c r="T30" i="7" s="1"/>
  <c r="S126" i="5" l="1"/>
  <c r="S72" i="5"/>
  <c r="S127" i="7" s="1"/>
  <c r="S99" i="5"/>
  <c r="S33" i="5"/>
  <c r="S70" i="5" l="1"/>
  <c r="S125" i="7" s="1"/>
  <c r="S124" i="5"/>
  <c r="S38" i="3"/>
  <c r="S97" i="5"/>
  <c r="S127" i="6"/>
  <c r="S73" i="6"/>
  <c r="S215" i="7" s="1"/>
  <c r="S100" i="6"/>
  <c r="S34" i="6"/>
  <c r="S133" i="5"/>
  <c r="S79" i="5"/>
  <c r="S134" i="7" s="1"/>
  <c r="S106" i="5"/>
  <c r="S43" i="5"/>
  <c r="S190" i="3" l="1"/>
  <c r="S125" i="6"/>
  <c r="S79" i="3"/>
  <c r="S71" i="6"/>
  <c r="S213" i="7" s="1"/>
  <c r="S98" i="6"/>
  <c r="S131" i="5"/>
  <c r="S77" i="5"/>
  <c r="S132" i="7" s="1"/>
  <c r="S49" i="3"/>
  <c r="S104" i="5"/>
  <c r="S120" i="6"/>
  <c r="S66" i="6"/>
  <c r="S208" i="7" s="1"/>
  <c r="S93" i="6"/>
  <c r="S27" i="6"/>
  <c r="S201" i="3" l="1"/>
  <c r="S231" i="3"/>
  <c r="S85" i="5"/>
  <c r="S140" i="7" s="1"/>
  <c r="S139" i="5"/>
  <c r="S112" i="5"/>
  <c r="S118" i="6"/>
  <c r="S68" i="3"/>
  <c r="S64" i="6"/>
  <c r="S206" i="7" s="1"/>
  <c r="S91" i="6"/>
  <c r="S113" i="6"/>
  <c r="S59" i="6"/>
  <c r="S201" i="7" s="1"/>
  <c r="S86" i="6"/>
  <c r="S20" i="6"/>
  <c r="S65" i="5"/>
  <c r="S120" i="7" s="1"/>
  <c r="S119" i="5"/>
  <c r="S92" i="5"/>
  <c r="S21" i="5"/>
  <c r="S220" i="3" l="1"/>
  <c r="S18" i="6"/>
  <c r="S111" i="6"/>
  <c r="S67" i="3"/>
  <c r="S57" i="6"/>
  <c r="S199" i="7" s="1"/>
  <c r="S84" i="6"/>
  <c r="S63" i="5"/>
  <c r="S118" i="7" s="1"/>
  <c r="S117" i="5"/>
  <c r="S37" i="3"/>
  <c r="S90" i="5"/>
  <c r="S18" i="5"/>
  <c r="S61" i="5" l="1"/>
  <c r="S88" i="5"/>
  <c r="S189" i="3"/>
  <c r="S35" i="3"/>
  <c r="S65" i="3"/>
  <c r="S219" i="3"/>
  <c r="S55" i="6"/>
  <c r="S82" i="6"/>
  <c r="S133" i="6" l="1"/>
  <c r="S79" i="6"/>
  <c r="S221" i="7" s="1"/>
  <c r="S106" i="6"/>
  <c r="S64" i="3"/>
  <c r="S217" i="3"/>
  <c r="S187" i="3"/>
  <c r="S34" i="3"/>
  <c r="S127" i="3" s="1"/>
  <c r="S157" i="3" l="1"/>
  <c r="S138" i="3"/>
  <c r="S186" i="3"/>
  <c r="S135" i="3"/>
  <c r="S132" i="3"/>
  <c r="S137" i="3"/>
  <c r="S133" i="3"/>
  <c r="S136" i="3"/>
  <c r="S134" i="3"/>
  <c r="S131" i="3"/>
  <c r="S126" i="3"/>
  <c r="S128" i="3"/>
  <c r="S130" i="3"/>
  <c r="S129" i="3"/>
  <c r="S168" i="3"/>
  <c r="S163" i="3"/>
  <c r="S156" i="3"/>
  <c r="S161" i="3"/>
  <c r="S166" i="3"/>
  <c r="S165" i="3"/>
  <c r="S167" i="3"/>
  <c r="S158" i="3"/>
  <c r="S216" i="3"/>
  <c r="S160" i="3"/>
  <c r="S159" i="3"/>
  <c r="S52" i="5" l="1"/>
  <c r="S138" i="5"/>
  <c r="S84" i="5"/>
  <c r="S139" i="7" s="1"/>
  <c r="S111" i="5"/>
  <c r="S40" i="6"/>
  <c r="S132" i="6"/>
  <c r="S78" i="6"/>
  <c r="S220" i="7" s="1"/>
  <c r="S105" i="6"/>
  <c r="S131" i="6" l="1"/>
  <c r="S80" i="3"/>
  <c r="S77" i="6"/>
  <c r="S219" i="7" s="1"/>
  <c r="S104" i="6"/>
  <c r="S33" i="6"/>
  <c r="S137" i="5"/>
  <c r="S83" i="5"/>
  <c r="S138" i="7" s="1"/>
  <c r="S50" i="3"/>
  <c r="S110" i="5"/>
  <c r="S42" i="5"/>
  <c r="S17" i="6" l="1"/>
  <c r="S151" i="6" s="1"/>
  <c r="S70" i="6"/>
  <c r="S97" i="6"/>
  <c r="S76" i="5"/>
  <c r="S103" i="5"/>
  <c r="S17" i="5"/>
  <c r="S232" i="3"/>
  <c r="S78" i="3"/>
  <c r="S202" i="3"/>
  <c r="S48" i="3"/>
  <c r="S162" i="5" l="1"/>
  <c r="S141" i="5"/>
  <c r="S60" i="5"/>
  <c r="S156" i="5"/>
  <c r="S150" i="5"/>
  <c r="S163" i="5"/>
  <c r="S154" i="5"/>
  <c r="S161" i="5"/>
  <c r="S147" i="5"/>
  <c r="S152" i="5"/>
  <c r="S159" i="5"/>
  <c r="S143" i="5"/>
  <c r="S155" i="5"/>
  <c r="S149" i="5"/>
  <c r="S148" i="5"/>
  <c r="S145" i="5"/>
  <c r="S153" i="5"/>
  <c r="S151" i="5"/>
  <c r="S160" i="5"/>
  <c r="S158" i="5"/>
  <c r="S166" i="5"/>
  <c r="S146" i="5"/>
  <c r="S144" i="5"/>
  <c r="S142" i="5"/>
  <c r="S165" i="5"/>
  <c r="S164" i="5"/>
  <c r="S77" i="3"/>
  <c r="S230" i="3"/>
  <c r="S157" i="5"/>
  <c r="S200" i="3"/>
  <c r="S47" i="3"/>
  <c r="S140" i="3" s="1"/>
  <c r="S135" i="6"/>
  <c r="S148" i="6"/>
  <c r="S155" i="6"/>
  <c r="S54" i="6"/>
  <c r="S137" i="6"/>
  <c r="S141" i="6"/>
  <c r="S153" i="6"/>
  <c r="S146" i="6"/>
  <c r="S156" i="6"/>
  <c r="S149" i="6"/>
  <c r="S143" i="6"/>
  <c r="S139" i="6"/>
  <c r="S142" i="6"/>
  <c r="S154" i="6"/>
  <c r="S147" i="6"/>
  <c r="S152" i="6"/>
  <c r="S140" i="6"/>
  <c r="S145" i="6"/>
  <c r="S138" i="6"/>
  <c r="S136" i="6"/>
  <c r="S160" i="6"/>
  <c r="S159" i="6"/>
  <c r="S158" i="6"/>
  <c r="S170" i="3" l="1"/>
  <c r="S147" i="3"/>
  <c r="S144" i="3"/>
  <c r="S150" i="3"/>
  <c r="S199" i="3"/>
  <c r="S139" i="3"/>
  <c r="S148" i="3"/>
  <c r="S149" i="3"/>
  <c r="S146" i="3"/>
  <c r="S145" i="3"/>
  <c r="S143" i="3"/>
  <c r="S141" i="3"/>
  <c r="S142" i="3"/>
  <c r="S177" i="3"/>
  <c r="S176" i="3"/>
  <c r="S174" i="3"/>
  <c r="S173" i="3"/>
  <c r="S180" i="3"/>
  <c r="S179" i="3"/>
  <c r="S178" i="3"/>
  <c r="S169" i="3"/>
  <c r="S175" i="3"/>
  <c r="S229" i="3"/>
  <c r="S171" i="3"/>
  <c r="S172" i="3"/>
  <c r="U55" i="7" l="1"/>
  <c r="U134" i="4"/>
  <c r="U53" i="7" l="1"/>
  <c r="U127" i="4"/>
  <c r="U46" i="7" l="1"/>
  <c r="U111" i="4"/>
  <c r="U30" i="7" s="1"/>
  <c r="T133" i="5" l="1"/>
  <c r="T79" i="5"/>
  <c r="T134" i="7" s="1"/>
  <c r="T106" i="5"/>
  <c r="T43" i="5"/>
  <c r="T126" i="5"/>
  <c r="T72" i="5"/>
  <c r="T127" i="7" s="1"/>
  <c r="T99" i="5"/>
  <c r="T33" i="5"/>
  <c r="T70" i="5" l="1"/>
  <c r="T125" i="7" s="1"/>
  <c r="T124" i="5"/>
  <c r="T38" i="3"/>
  <c r="T97" i="5"/>
  <c r="T131" i="5"/>
  <c r="T77" i="5"/>
  <c r="T132" i="7" s="1"/>
  <c r="T49" i="3"/>
  <c r="T104" i="5"/>
  <c r="T120" i="6" l="1"/>
  <c r="T66" i="6"/>
  <c r="T208" i="7" s="1"/>
  <c r="T93" i="6"/>
  <c r="T27" i="6"/>
  <c r="T127" i="6"/>
  <c r="T73" i="6"/>
  <c r="T215" i="7" s="1"/>
  <c r="T100" i="6"/>
  <c r="T34" i="6"/>
  <c r="T201" i="3"/>
  <c r="T190" i="3"/>
  <c r="T119" i="5"/>
  <c r="T65" i="5"/>
  <c r="T120" i="7" s="1"/>
  <c r="T92" i="5"/>
  <c r="T21" i="5"/>
  <c r="T139" i="5"/>
  <c r="T85" i="5"/>
  <c r="T140" i="7" s="1"/>
  <c r="T112" i="5"/>
  <c r="T118" i="6" l="1"/>
  <c r="T68" i="3"/>
  <c r="T64" i="6"/>
  <c r="T206" i="7" s="1"/>
  <c r="T91" i="6"/>
  <c r="T125" i="6"/>
  <c r="T79" i="3"/>
  <c r="T71" i="6"/>
  <c r="T213" i="7" s="1"/>
  <c r="T98" i="6"/>
  <c r="T113" i="6"/>
  <c r="T59" i="6"/>
  <c r="T201" i="7" s="1"/>
  <c r="T86" i="6"/>
  <c r="T20" i="6"/>
  <c r="T63" i="5"/>
  <c r="T118" i="7" s="1"/>
  <c r="T117" i="5"/>
  <c r="T37" i="3"/>
  <c r="T90" i="5"/>
  <c r="T18" i="5"/>
  <c r="T61" i="5" l="1"/>
  <c r="T88" i="5"/>
  <c r="T189" i="3"/>
  <c r="T35" i="3"/>
  <c r="T220" i="3"/>
  <c r="T231" i="3"/>
  <c r="T111" i="6"/>
  <c r="T67" i="3"/>
  <c r="T57" i="6"/>
  <c r="T199" i="7" s="1"/>
  <c r="T84" i="6"/>
  <c r="T18" i="6"/>
  <c r="T133" i="6"/>
  <c r="T79" i="6"/>
  <c r="T221" i="7" s="1"/>
  <c r="T106" i="6"/>
  <c r="T55" i="6" l="1"/>
  <c r="T82" i="6"/>
  <c r="T187" i="3"/>
  <c r="T34" i="3"/>
  <c r="T127" i="3" s="1"/>
  <c r="T219" i="3"/>
  <c r="T65" i="3"/>
  <c r="T40" i="6" l="1"/>
  <c r="T132" i="6"/>
  <c r="T78" i="6"/>
  <c r="T220" i="7" s="1"/>
  <c r="T105" i="6"/>
  <c r="T84" i="5"/>
  <c r="T139" i="7" s="1"/>
  <c r="T52" i="5"/>
  <c r="T138" i="5"/>
  <c r="T111" i="5"/>
  <c r="T135" i="3"/>
  <c r="T133" i="3"/>
  <c r="T138" i="3"/>
  <c r="T186" i="3"/>
  <c r="T131" i="3"/>
  <c r="T126" i="3"/>
  <c r="T132" i="3"/>
  <c r="T136" i="3"/>
  <c r="T134" i="3"/>
  <c r="T137" i="3"/>
  <c r="T128" i="3"/>
  <c r="T130" i="3"/>
  <c r="T129" i="3"/>
  <c r="T64" i="3"/>
  <c r="T217" i="3"/>
  <c r="T165" i="3" l="1"/>
  <c r="T166" i="3"/>
  <c r="T156" i="3"/>
  <c r="T167" i="3"/>
  <c r="T168" i="3"/>
  <c r="T163" i="3"/>
  <c r="T161" i="3"/>
  <c r="T158" i="3"/>
  <c r="T216" i="3"/>
  <c r="T160" i="3"/>
  <c r="T159" i="3"/>
  <c r="T42" i="5"/>
  <c r="T137" i="5"/>
  <c r="T83" i="5"/>
  <c r="T138" i="7" s="1"/>
  <c r="T50" i="3"/>
  <c r="T110" i="5"/>
  <c r="T157" i="3"/>
  <c r="T131" i="6"/>
  <c r="T80" i="3"/>
  <c r="T77" i="6"/>
  <c r="T219" i="7" s="1"/>
  <c r="T104" i="6"/>
  <c r="T33" i="6"/>
  <c r="T76" i="5" l="1"/>
  <c r="T103" i="5"/>
  <c r="T17" i="5"/>
  <c r="T232" i="3"/>
  <c r="T78" i="3"/>
  <c r="T202" i="3"/>
  <c r="T48" i="3"/>
  <c r="T70" i="6"/>
  <c r="T97" i="6"/>
  <c r="T17" i="6"/>
  <c r="T200" i="3" l="1"/>
  <c r="T47" i="3"/>
  <c r="T140" i="3" s="1"/>
  <c r="T151" i="5"/>
  <c r="T141" i="5"/>
  <c r="T60" i="5"/>
  <c r="T156" i="5"/>
  <c r="T150" i="5"/>
  <c r="T163" i="5"/>
  <c r="T161" i="5"/>
  <c r="T154" i="5"/>
  <c r="T147" i="5"/>
  <c r="T159" i="5"/>
  <c r="T143" i="5"/>
  <c r="T162" i="5"/>
  <c r="T152" i="5"/>
  <c r="T155" i="5"/>
  <c r="T148" i="5"/>
  <c r="T149" i="5"/>
  <c r="T145" i="5"/>
  <c r="T153" i="5"/>
  <c r="T160" i="5"/>
  <c r="T158" i="5"/>
  <c r="T166" i="5"/>
  <c r="T146" i="5"/>
  <c r="T144" i="5"/>
  <c r="T142" i="5"/>
  <c r="T165" i="5"/>
  <c r="T164" i="5"/>
  <c r="T157" i="5"/>
  <c r="T77" i="3"/>
  <c r="T230" i="3"/>
  <c r="T151" i="6"/>
  <c r="T135" i="6"/>
  <c r="T54" i="6"/>
  <c r="T148" i="6"/>
  <c r="T155" i="6"/>
  <c r="T156" i="6"/>
  <c r="T141" i="6"/>
  <c r="T137" i="6"/>
  <c r="T153" i="6"/>
  <c r="T149" i="6"/>
  <c r="T146" i="6"/>
  <c r="T142" i="6"/>
  <c r="T143" i="6"/>
  <c r="T139" i="6"/>
  <c r="T147" i="6"/>
  <c r="T154" i="6"/>
  <c r="T152" i="6"/>
  <c r="T145" i="6"/>
  <c r="T140" i="6"/>
  <c r="T160" i="6"/>
  <c r="T138" i="6"/>
  <c r="T136" i="6"/>
  <c r="T159" i="6"/>
  <c r="T158" i="6"/>
  <c r="T170" i="3" l="1"/>
  <c r="T177" i="3"/>
  <c r="T173" i="3"/>
  <c r="T176" i="3"/>
  <c r="T179" i="3"/>
  <c r="T180" i="3"/>
  <c r="T178" i="3"/>
  <c r="T174" i="3"/>
  <c r="T169" i="3"/>
  <c r="T175" i="3"/>
  <c r="T229" i="3"/>
  <c r="T171" i="3"/>
  <c r="T172" i="3"/>
  <c r="T144" i="3"/>
  <c r="T150" i="3"/>
  <c r="T199" i="3"/>
  <c r="T149" i="3"/>
  <c r="T148" i="3"/>
  <c r="T139" i="3"/>
  <c r="T145" i="3"/>
  <c r="T146" i="3"/>
  <c r="T143" i="3"/>
  <c r="T147" i="3"/>
  <c r="T141" i="3"/>
  <c r="T142" i="3"/>
  <c r="V55" i="7" l="1"/>
  <c r="V134" i="4"/>
  <c r="V53" i="7" l="1"/>
  <c r="V127" i="4"/>
  <c r="V46" i="7" l="1"/>
  <c r="V111" i="4"/>
  <c r="V30" i="7" s="1"/>
  <c r="U127" i="6" l="1"/>
  <c r="U73" i="6"/>
  <c r="U215" i="7" s="1"/>
  <c r="U100" i="6"/>
  <c r="U34" i="6"/>
  <c r="U79" i="5"/>
  <c r="U134" i="7" s="1"/>
  <c r="U133" i="5"/>
  <c r="U106" i="5"/>
  <c r="U43" i="5"/>
  <c r="U72" i="5"/>
  <c r="U127" i="7" s="1"/>
  <c r="U126" i="5"/>
  <c r="U99" i="5"/>
  <c r="U33" i="5"/>
  <c r="U77" i="5" l="1"/>
  <c r="U132" i="7" s="1"/>
  <c r="U131" i="5"/>
  <c r="U49" i="3"/>
  <c r="U104" i="5"/>
  <c r="U139" i="5"/>
  <c r="U85" i="5"/>
  <c r="U140" i="7" s="1"/>
  <c r="U112" i="5"/>
  <c r="U70" i="5"/>
  <c r="U125" i="7" s="1"/>
  <c r="U124" i="5"/>
  <c r="U38" i="3"/>
  <c r="U97" i="5"/>
  <c r="U71" i="6"/>
  <c r="U213" i="7" s="1"/>
  <c r="U125" i="6"/>
  <c r="U79" i="3"/>
  <c r="U98" i="6"/>
  <c r="U201" i="3" l="1"/>
  <c r="U231" i="3"/>
  <c r="U65" i="5"/>
  <c r="U120" i="7" s="1"/>
  <c r="U119" i="5"/>
  <c r="U92" i="5"/>
  <c r="U21" i="5"/>
  <c r="U190" i="3"/>
  <c r="U120" i="6"/>
  <c r="U66" i="6"/>
  <c r="U208" i="7" s="1"/>
  <c r="U93" i="6"/>
  <c r="U27" i="6"/>
  <c r="U113" i="6"/>
  <c r="U59" i="6"/>
  <c r="U201" i="7" s="1"/>
  <c r="U86" i="6"/>
  <c r="U20" i="6"/>
  <c r="U111" i="6" l="1"/>
  <c r="U67" i="3"/>
  <c r="U57" i="6"/>
  <c r="U199" i="7" s="1"/>
  <c r="U84" i="6"/>
  <c r="U18" i="6"/>
  <c r="U63" i="5"/>
  <c r="U118" i="7" s="1"/>
  <c r="U117" i="5"/>
  <c r="U37" i="3"/>
  <c r="U90" i="5"/>
  <c r="U18" i="5"/>
  <c r="U64" i="6"/>
  <c r="U206" i="7" s="1"/>
  <c r="U118" i="6"/>
  <c r="U68" i="3"/>
  <c r="U91" i="6"/>
  <c r="U133" i="6" l="1"/>
  <c r="U79" i="6"/>
  <c r="U221" i="7" s="1"/>
  <c r="U106" i="6"/>
  <c r="U55" i="6"/>
  <c r="U82" i="6"/>
  <c r="U189" i="3"/>
  <c r="U35" i="3"/>
  <c r="U61" i="5"/>
  <c r="U88" i="5"/>
  <c r="U219" i="3"/>
  <c r="U65" i="3"/>
  <c r="U220" i="3"/>
  <c r="U64" i="3" l="1"/>
  <c r="U217" i="3"/>
  <c r="U187" i="3"/>
  <c r="U34" i="3"/>
  <c r="U127" i="3" s="1"/>
  <c r="U157" i="3" l="1"/>
  <c r="U138" i="3"/>
  <c r="U132" i="3"/>
  <c r="U134" i="3"/>
  <c r="U133" i="3"/>
  <c r="U135" i="3"/>
  <c r="U126" i="3"/>
  <c r="U131" i="3"/>
  <c r="U136" i="3"/>
  <c r="U186" i="3"/>
  <c r="U137" i="3"/>
  <c r="U128" i="3"/>
  <c r="U130" i="3"/>
  <c r="U129" i="3"/>
  <c r="U163" i="3"/>
  <c r="U168" i="3"/>
  <c r="U161" i="3"/>
  <c r="U165" i="3"/>
  <c r="U166" i="3"/>
  <c r="U156" i="3"/>
  <c r="U167" i="3"/>
  <c r="U216" i="3"/>
  <c r="U158" i="3"/>
  <c r="U160" i="3"/>
  <c r="U159" i="3"/>
  <c r="U52" i="5" l="1"/>
  <c r="U138" i="5"/>
  <c r="U84" i="5"/>
  <c r="U139" i="7" s="1"/>
  <c r="U111" i="5"/>
  <c r="U132" i="6"/>
  <c r="U40" i="6"/>
  <c r="U78" i="6"/>
  <c r="U220" i="7" s="1"/>
  <c r="U105" i="6"/>
  <c r="U83" i="5" l="1"/>
  <c r="U138" i="7" s="1"/>
  <c r="U50" i="3"/>
  <c r="U110" i="5"/>
  <c r="U137" i="5"/>
  <c r="U42" i="5"/>
  <c r="U131" i="6"/>
  <c r="U80" i="3"/>
  <c r="U77" i="6"/>
  <c r="U219" i="7" s="1"/>
  <c r="U104" i="6"/>
  <c r="U33" i="6"/>
  <c r="U70" i="6" l="1"/>
  <c r="U97" i="6"/>
  <c r="U17" i="6"/>
  <c r="U76" i="5"/>
  <c r="U103" i="5"/>
  <c r="U17" i="5"/>
  <c r="U157" i="5" s="1"/>
  <c r="U232" i="3"/>
  <c r="U78" i="3"/>
  <c r="U202" i="3"/>
  <c r="U48" i="3"/>
  <c r="U200" i="3" l="1"/>
  <c r="U47" i="3"/>
  <c r="U140" i="3"/>
  <c r="U77" i="3"/>
  <c r="U170" i="3" s="1"/>
  <c r="U230" i="3"/>
  <c r="U136" i="6"/>
  <c r="U135" i="6"/>
  <c r="U54" i="6"/>
  <c r="U148" i="6"/>
  <c r="U155" i="6"/>
  <c r="U141" i="6"/>
  <c r="U137" i="6"/>
  <c r="U153" i="6"/>
  <c r="U146" i="6"/>
  <c r="U139" i="6"/>
  <c r="U143" i="6"/>
  <c r="U156" i="6"/>
  <c r="U142" i="6"/>
  <c r="U149" i="6"/>
  <c r="U154" i="6"/>
  <c r="U152" i="6"/>
  <c r="U140" i="6"/>
  <c r="U147" i="6"/>
  <c r="U145" i="6"/>
  <c r="U138" i="6"/>
  <c r="U160" i="6"/>
  <c r="U159" i="6"/>
  <c r="U158" i="6"/>
  <c r="U60" i="5"/>
  <c r="U141" i="5"/>
  <c r="U156" i="5"/>
  <c r="U163" i="5"/>
  <c r="U150" i="5"/>
  <c r="U154" i="5"/>
  <c r="U161" i="5"/>
  <c r="U147" i="5"/>
  <c r="U152" i="5"/>
  <c r="U159" i="5"/>
  <c r="U143" i="5"/>
  <c r="U162" i="5"/>
  <c r="U149" i="5"/>
  <c r="U145" i="5"/>
  <c r="U148" i="5"/>
  <c r="U155" i="5"/>
  <c r="U153" i="5"/>
  <c r="U160" i="5"/>
  <c r="U151" i="5"/>
  <c r="U166" i="5"/>
  <c r="U158" i="5"/>
  <c r="U146" i="5"/>
  <c r="U144" i="5"/>
  <c r="U142" i="5"/>
  <c r="U165" i="5"/>
  <c r="U164" i="5"/>
  <c r="U151" i="6"/>
  <c r="U178" i="3" l="1"/>
  <c r="U169" i="3"/>
  <c r="U175" i="3"/>
  <c r="U176" i="3"/>
  <c r="U173" i="3"/>
  <c r="U177" i="3"/>
  <c r="U179" i="3"/>
  <c r="U174" i="3"/>
  <c r="U180" i="3"/>
  <c r="U229" i="3"/>
  <c r="U171" i="3"/>
  <c r="U172" i="3"/>
  <c r="U144" i="3"/>
  <c r="U150" i="3"/>
  <c r="U149" i="3"/>
  <c r="U148" i="3"/>
  <c r="U199" i="3"/>
  <c r="U139" i="3"/>
  <c r="U145" i="3"/>
  <c r="U147" i="3"/>
  <c r="U143" i="3"/>
  <c r="U146" i="3"/>
  <c r="U141" i="3"/>
  <c r="U142" i="3"/>
  <c r="W55" i="7" l="1"/>
  <c r="W134" i="4"/>
  <c r="W53" i="7" l="1"/>
  <c r="W127" i="4"/>
  <c r="W46" i="7" l="1"/>
  <c r="W111" i="4"/>
  <c r="W30" i="7" s="1"/>
  <c r="V127" i="6" l="1"/>
  <c r="V73" i="6"/>
  <c r="V215" i="7" s="1"/>
  <c r="V100" i="6"/>
  <c r="V34" i="6"/>
  <c r="V72" i="5"/>
  <c r="V127" i="7" s="1"/>
  <c r="V126" i="5"/>
  <c r="V99" i="5"/>
  <c r="V33" i="5"/>
  <c r="V79" i="5"/>
  <c r="V134" i="7" s="1"/>
  <c r="V133" i="5"/>
  <c r="V106" i="5"/>
  <c r="V43" i="5"/>
  <c r="V113" i="6" l="1"/>
  <c r="V59" i="6"/>
  <c r="V201" i="7" s="1"/>
  <c r="V86" i="6"/>
  <c r="V20" i="6"/>
  <c r="V125" i="6"/>
  <c r="V79" i="3"/>
  <c r="V71" i="6"/>
  <c r="V213" i="7" s="1"/>
  <c r="V98" i="6"/>
  <c r="V70" i="5"/>
  <c r="V125" i="7" s="1"/>
  <c r="V124" i="5"/>
  <c r="V38" i="3"/>
  <c r="V190" i="3" s="1"/>
  <c r="V97" i="5"/>
  <c r="V77" i="5"/>
  <c r="V132" i="7" s="1"/>
  <c r="V49" i="3"/>
  <c r="V131" i="5"/>
  <c r="V104" i="5"/>
  <c r="V139" i="5"/>
  <c r="V85" i="5"/>
  <c r="V140" i="7" s="1"/>
  <c r="V112" i="5"/>
  <c r="V65" i="5"/>
  <c r="V120" i="7" s="1"/>
  <c r="V119" i="5"/>
  <c r="V92" i="5"/>
  <c r="V21" i="5"/>
  <c r="V201" i="3" l="1"/>
  <c r="V231" i="3"/>
  <c r="V120" i="6"/>
  <c r="V66" i="6"/>
  <c r="V208" i="7" s="1"/>
  <c r="V93" i="6"/>
  <c r="V27" i="6"/>
  <c r="V18" i="6" s="1"/>
  <c r="V63" i="5"/>
  <c r="V118" i="7" s="1"/>
  <c r="V117" i="5"/>
  <c r="V37" i="3"/>
  <c r="V90" i="5"/>
  <c r="V18" i="5"/>
  <c r="V111" i="6"/>
  <c r="V67" i="3"/>
  <c r="V57" i="6"/>
  <c r="V199" i="7" s="1"/>
  <c r="V84" i="6"/>
  <c r="V61" i="5" l="1"/>
  <c r="V88" i="5"/>
  <c r="V64" i="6"/>
  <c r="V206" i="7" s="1"/>
  <c r="V118" i="6"/>
  <c r="V68" i="3"/>
  <c r="V91" i="6"/>
  <c r="V55" i="6"/>
  <c r="V82" i="6"/>
  <c r="V189" i="3"/>
  <c r="V35" i="3"/>
  <c r="V219" i="3"/>
  <c r="V133" i="6"/>
  <c r="V79" i="6"/>
  <c r="V221" i="7" s="1"/>
  <c r="V106" i="6"/>
  <c r="V187" i="3" l="1"/>
  <c r="V34" i="3"/>
  <c r="V127" i="3"/>
  <c r="V220" i="3"/>
  <c r="V65" i="3"/>
  <c r="V130" i="3" l="1"/>
  <c r="V135" i="3"/>
  <c r="V133" i="3"/>
  <c r="V131" i="3"/>
  <c r="V136" i="3"/>
  <c r="V134" i="3"/>
  <c r="V138" i="3"/>
  <c r="V132" i="3"/>
  <c r="V186" i="3"/>
  <c r="V126" i="3"/>
  <c r="V137" i="3"/>
  <c r="V128" i="3"/>
  <c r="V129" i="3"/>
  <c r="V64" i="3"/>
  <c r="V217" i="3"/>
  <c r="V157" i="3" l="1"/>
  <c r="V138" i="5"/>
  <c r="V84" i="5"/>
  <c r="V139" i="7" s="1"/>
  <c r="V52" i="5"/>
  <c r="V111" i="5"/>
  <c r="V168" i="3"/>
  <c r="V165" i="3"/>
  <c r="V163" i="3"/>
  <c r="V161" i="3"/>
  <c r="V166" i="3"/>
  <c r="V156" i="3"/>
  <c r="V167" i="3"/>
  <c r="V158" i="3"/>
  <c r="V216" i="3"/>
  <c r="V159" i="3"/>
  <c r="V160" i="3"/>
  <c r="V40" i="6"/>
  <c r="V132" i="6"/>
  <c r="V78" i="6"/>
  <c r="V220" i="7" s="1"/>
  <c r="V105" i="6"/>
  <c r="V83" i="5" l="1"/>
  <c r="V138" i="7" s="1"/>
  <c r="V137" i="5"/>
  <c r="V50" i="3"/>
  <c r="V110" i="5"/>
  <c r="V42" i="5"/>
  <c r="V131" i="6"/>
  <c r="V80" i="3"/>
  <c r="V77" i="6"/>
  <c r="V219" i="7" s="1"/>
  <c r="V104" i="6"/>
  <c r="V33" i="6"/>
  <c r="V70" i="6" l="1"/>
  <c r="V97" i="6"/>
  <c r="V17" i="6"/>
  <c r="V76" i="5"/>
  <c r="V103" i="5"/>
  <c r="V17" i="5"/>
  <c r="V202" i="3"/>
  <c r="V48" i="3"/>
  <c r="V232" i="3"/>
  <c r="V78" i="3"/>
  <c r="V150" i="5" l="1"/>
  <c r="V141" i="5"/>
  <c r="V60" i="5"/>
  <c r="V156" i="5"/>
  <c r="V163" i="5"/>
  <c r="V154" i="5"/>
  <c r="V161" i="5"/>
  <c r="V147" i="5"/>
  <c r="V162" i="5"/>
  <c r="V148" i="5"/>
  <c r="V155" i="5"/>
  <c r="V152" i="5"/>
  <c r="V143" i="5"/>
  <c r="V159" i="5"/>
  <c r="V149" i="5"/>
  <c r="V145" i="5"/>
  <c r="V160" i="5"/>
  <c r="V153" i="5"/>
  <c r="V166" i="5"/>
  <c r="V151" i="5"/>
  <c r="V158" i="5"/>
  <c r="V146" i="5"/>
  <c r="V144" i="5"/>
  <c r="V142" i="5"/>
  <c r="V165" i="5"/>
  <c r="V164" i="5"/>
  <c r="V157" i="5"/>
  <c r="V77" i="3"/>
  <c r="V230" i="3"/>
  <c r="V136" i="6"/>
  <c r="V135" i="6"/>
  <c r="V148" i="6"/>
  <c r="V155" i="6"/>
  <c r="V141" i="6"/>
  <c r="V156" i="6"/>
  <c r="V142" i="6"/>
  <c r="V54" i="6"/>
  <c r="V149" i="6"/>
  <c r="V137" i="6"/>
  <c r="V146" i="6"/>
  <c r="V153" i="6"/>
  <c r="V143" i="6"/>
  <c r="V139" i="6"/>
  <c r="V154" i="6"/>
  <c r="V152" i="6"/>
  <c r="V140" i="6"/>
  <c r="V138" i="6"/>
  <c r="V147" i="6"/>
  <c r="V145" i="6"/>
  <c r="V160" i="6"/>
  <c r="V159" i="6"/>
  <c r="V158" i="6"/>
  <c r="V200" i="3"/>
  <c r="V47" i="3"/>
  <c r="V140" i="3" s="1"/>
  <c r="V151" i="6"/>
  <c r="V170" i="3" l="1"/>
  <c r="V174" i="3"/>
  <c r="V180" i="3"/>
  <c r="V176" i="3"/>
  <c r="V179" i="3"/>
  <c r="V177" i="3"/>
  <c r="V178" i="3"/>
  <c r="V169" i="3"/>
  <c r="V175" i="3"/>
  <c r="V173" i="3"/>
  <c r="V229" i="3"/>
  <c r="V171" i="3"/>
  <c r="V172" i="3"/>
  <c r="V142" i="3"/>
  <c r="V150" i="3"/>
  <c r="V144" i="3"/>
  <c r="V145" i="3"/>
  <c r="V143" i="3"/>
  <c r="V147" i="3"/>
  <c r="V146" i="3"/>
  <c r="V139" i="3"/>
  <c r="V149" i="3"/>
  <c r="V199" i="3"/>
  <c r="V148" i="3"/>
  <c r="V141" i="3"/>
  <c r="X55" i="7" l="1"/>
  <c r="X134" i="4"/>
  <c r="X53" i="7" l="1"/>
  <c r="X127" i="4"/>
  <c r="X46" i="7" l="1"/>
  <c r="X111" i="4"/>
  <c r="X30" i="7" s="1"/>
  <c r="W133" i="5" l="1"/>
  <c r="W79" i="5"/>
  <c r="W134" i="7" s="1"/>
  <c r="W106" i="5"/>
  <c r="W43" i="5"/>
  <c r="W72" i="5"/>
  <c r="W127" i="7" s="1"/>
  <c r="W126" i="5"/>
  <c r="W99" i="5"/>
  <c r="W33" i="5"/>
  <c r="W124" i="5" l="1"/>
  <c r="W70" i="5"/>
  <c r="W125" i="7" s="1"/>
  <c r="W38" i="3"/>
  <c r="W97" i="5"/>
  <c r="W127" i="6"/>
  <c r="W73" i="6"/>
  <c r="W215" i="7" s="1"/>
  <c r="W100" i="6"/>
  <c r="W34" i="6"/>
  <c r="W65" i="5"/>
  <c r="W120" i="7" s="1"/>
  <c r="W119" i="5"/>
  <c r="W92" i="5"/>
  <c r="W21" i="5"/>
  <c r="W85" i="5"/>
  <c r="W140" i="7" s="1"/>
  <c r="W139" i="5"/>
  <c r="W112" i="5"/>
  <c r="W131" i="5"/>
  <c r="W77" i="5"/>
  <c r="W132" i="7" s="1"/>
  <c r="W49" i="3"/>
  <c r="W104" i="5"/>
  <c r="W63" i="5" l="1"/>
  <c r="W118" i="7" s="1"/>
  <c r="W117" i="5"/>
  <c r="W37" i="3"/>
  <c r="W90" i="5"/>
  <c r="W18" i="5"/>
  <c r="W120" i="6"/>
  <c r="W66" i="6"/>
  <c r="W208" i="7" s="1"/>
  <c r="W93" i="6"/>
  <c r="W27" i="6"/>
  <c r="W190" i="3"/>
  <c r="W201" i="3"/>
  <c r="W125" i="6"/>
  <c r="W79" i="3"/>
  <c r="W71" i="6"/>
  <c r="W213" i="7" s="1"/>
  <c r="W98" i="6"/>
  <c r="W231" i="3" l="1"/>
  <c r="W118" i="6"/>
  <c r="W68" i="3"/>
  <c r="W64" i="6"/>
  <c r="W206" i="7" s="1"/>
  <c r="W91" i="6"/>
  <c r="W189" i="3"/>
  <c r="W35" i="3"/>
  <c r="W113" i="6"/>
  <c r="W59" i="6"/>
  <c r="W201" i="7" s="1"/>
  <c r="W86" i="6"/>
  <c r="W20" i="6"/>
  <c r="W61" i="5"/>
  <c r="W88" i="5"/>
  <c r="W220" i="3" l="1"/>
  <c r="W34" i="3"/>
  <c r="W127" i="3" s="1"/>
  <c r="W187" i="3"/>
  <c r="W57" i="6"/>
  <c r="W199" i="7" s="1"/>
  <c r="W111" i="6"/>
  <c r="W67" i="3"/>
  <c r="W84" i="6"/>
  <c r="W18" i="6"/>
  <c r="W219" i="3" l="1"/>
  <c r="W65" i="3"/>
  <c r="W132" i="3"/>
  <c r="W134" i="3"/>
  <c r="W136" i="3"/>
  <c r="W135" i="3"/>
  <c r="W126" i="3"/>
  <c r="W133" i="3"/>
  <c r="W138" i="3"/>
  <c r="W131" i="3"/>
  <c r="W137" i="3"/>
  <c r="W186" i="3"/>
  <c r="W128" i="3"/>
  <c r="W130" i="3"/>
  <c r="W129" i="3"/>
  <c r="W133" i="6"/>
  <c r="W79" i="6"/>
  <c r="W221" i="7" s="1"/>
  <c r="W106" i="6"/>
  <c r="W55" i="6"/>
  <c r="W82" i="6"/>
  <c r="W64" i="3" l="1"/>
  <c r="W217" i="3"/>
  <c r="W157" i="3" l="1"/>
  <c r="W40" i="6"/>
  <c r="W132" i="6"/>
  <c r="W78" i="6"/>
  <c r="W220" i="7" s="1"/>
  <c r="W105" i="6"/>
  <c r="W166" i="3"/>
  <c r="W168" i="3"/>
  <c r="W163" i="3"/>
  <c r="W165" i="3"/>
  <c r="W156" i="3"/>
  <c r="W167" i="3"/>
  <c r="W161" i="3"/>
  <c r="W158" i="3"/>
  <c r="W216" i="3"/>
  <c r="W160" i="3"/>
  <c r="W159" i="3"/>
  <c r="W52" i="5"/>
  <c r="W84" i="5"/>
  <c r="W139" i="7" s="1"/>
  <c r="W138" i="5"/>
  <c r="W111" i="5"/>
  <c r="W50" i="3" l="1"/>
  <c r="W83" i="5"/>
  <c r="W138" i="7" s="1"/>
  <c r="W137" i="5"/>
  <c r="W110" i="5"/>
  <c r="W42" i="5"/>
  <c r="W33" i="6"/>
  <c r="W80" i="3"/>
  <c r="W131" i="6"/>
  <c r="W77" i="6"/>
  <c r="W219" i="7" s="1"/>
  <c r="W104" i="6"/>
  <c r="W202" i="3" l="1"/>
  <c r="W48" i="3"/>
  <c r="W232" i="3"/>
  <c r="W78" i="3"/>
  <c r="W76" i="5"/>
  <c r="W103" i="5"/>
  <c r="W17" i="5"/>
  <c r="W70" i="6"/>
  <c r="W97" i="6"/>
  <c r="W17" i="6"/>
  <c r="W136" i="6" l="1"/>
  <c r="W135" i="6"/>
  <c r="W155" i="6"/>
  <c r="W148" i="6"/>
  <c r="W141" i="6"/>
  <c r="W156" i="6"/>
  <c r="W54" i="6"/>
  <c r="W142" i="6"/>
  <c r="W149" i="6"/>
  <c r="W153" i="6"/>
  <c r="W146" i="6"/>
  <c r="W137" i="6"/>
  <c r="W139" i="6"/>
  <c r="W143" i="6"/>
  <c r="W154" i="6"/>
  <c r="W147" i="6"/>
  <c r="W152" i="6"/>
  <c r="W145" i="6"/>
  <c r="W140" i="6"/>
  <c r="W138" i="6"/>
  <c r="W160" i="6"/>
  <c r="W159" i="6"/>
  <c r="W158" i="6"/>
  <c r="W77" i="3"/>
  <c r="W230" i="3"/>
  <c r="W151" i="6"/>
  <c r="W47" i="3"/>
  <c r="W200" i="3"/>
  <c r="W142" i="5"/>
  <c r="W141" i="5"/>
  <c r="W60" i="5"/>
  <c r="W156" i="5"/>
  <c r="W163" i="5"/>
  <c r="W154" i="5"/>
  <c r="W161" i="5"/>
  <c r="W147" i="5"/>
  <c r="W162" i="5"/>
  <c r="W148" i="5"/>
  <c r="W155" i="5"/>
  <c r="W150" i="5"/>
  <c r="W143" i="5"/>
  <c r="W152" i="5"/>
  <c r="W159" i="5"/>
  <c r="W149" i="5"/>
  <c r="W145" i="5"/>
  <c r="W153" i="5"/>
  <c r="W160" i="5"/>
  <c r="W158" i="5"/>
  <c r="W151" i="5"/>
  <c r="W146" i="5"/>
  <c r="W166" i="5"/>
  <c r="W144" i="5"/>
  <c r="W165" i="5"/>
  <c r="W164" i="5"/>
  <c r="W157" i="5"/>
  <c r="W169" i="3" l="1"/>
  <c r="W174" i="3"/>
  <c r="W180" i="3"/>
  <c r="W173" i="3"/>
  <c r="W175" i="3"/>
  <c r="W176" i="3"/>
  <c r="W177" i="3"/>
  <c r="W179" i="3"/>
  <c r="W178" i="3"/>
  <c r="W229" i="3"/>
  <c r="W171" i="3"/>
  <c r="W172" i="3"/>
  <c r="W140" i="3"/>
  <c r="W148" i="3"/>
  <c r="W139" i="3"/>
  <c r="W144" i="3"/>
  <c r="W150" i="3"/>
  <c r="W143" i="3"/>
  <c r="W146" i="3"/>
  <c r="W145" i="3"/>
  <c r="W149" i="3"/>
  <c r="W147" i="3"/>
  <c r="W199" i="3"/>
  <c r="W141" i="3"/>
  <c r="W142" i="3"/>
  <c r="W170" i="3"/>
  <c r="Y55" i="7" l="1"/>
  <c r="Y134" i="4"/>
  <c r="Y82" i="7" l="1"/>
  <c r="Y75" i="7" s="1"/>
  <c r="Y59" i="7" s="1"/>
  <c r="Y53" i="7"/>
  <c r="Y127" i="4"/>
  <c r="Y46" i="7" l="1"/>
  <c r="Y111" i="4"/>
  <c r="Y30" i="7" s="1"/>
  <c r="B82" i="7" l="1"/>
  <c r="B75" i="7" s="1"/>
  <c r="B59" i="7" s="1"/>
  <c r="C82" i="7" l="1"/>
  <c r="C75" i="7" s="1"/>
  <c r="C59" i="7" s="1"/>
  <c r="E82" i="7" l="1"/>
  <c r="E75" i="7" s="1"/>
  <c r="E59" i="7" s="1"/>
  <c r="D82" i="7"/>
  <c r="D75" i="7" s="1"/>
  <c r="D59" i="7" s="1"/>
  <c r="F82" i="7" l="1"/>
  <c r="F75" i="7" s="1"/>
  <c r="F59" i="7" s="1"/>
  <c r="G82" i="7" l="1"/>
  <c r="G75" i="7" s="1"/>
  <c r="G59" i="7" s="1"/>
  <c r="X126" i="5"/>
  <c r="X72" i="5"/>
  <c r="X127" i="7" s="1"/>
  <c r="X99" i="5"/>
  <c r="X33" i="5"/>
  <c r="X79" i="5"/>
  <c r="X134" i="7" s="1"/>
  <c r="X133" i="5"/>
  <c r="X106" i="5"/>
  <c r="X43" i="5"/>
  <c r="X127" i="6"/>
  <c r="X73" i="6"/>
  <c r="X215" i="7" s="1"/>
  <c r="X100" i="6"/>
  <c r="X34" i="6"/>
  <c r="H82" i="7"/>
  <c r="H75" i="7" s="1"/>
  <c r="H59" i="7" s="1"/>
  <c r="X49" i="3" l="1"/>
  <c r="X131" i="5"/>
  <c r="X77" i="5"/>
  <c r="X132" i="7" s="1"/>
  <c r="X104" i="5"/>
  <c r="X125" i="6"/>
  <c r="X79" i="3"/>
  <c r="X71" i="6"/>
  <c r="X213" i="7" s="1"/>
  <c r="X98" i="6"/>
  <c r="I82" i="7"/>
  <c r="I75" i="7" s="1"/>
  <c r="I59" i="7" s="1"/>
  <c r="X124" i="5"/>
  <c r="X70" i="5"/>
  <c r="X125" i="7" s="1"/>
  <c r="X38" i="3"/>
  <c r="X97" i="5"/>
  <c r="J82" i="7"/>
  <c r="J75" i="7" s="1"/>
  <c r="J59" i="7" s="1"/>
  <c r="X190" i="3" l="1"/>
  <c r="X231" i="3"/>
  <c r="X201" i="3"/>
  <c r="X113" i="6"/>
  <c r="X59" i="6"/>
  <c r="X201" i="7" s="1"/>
  <c r="X86" i="6"/>
  <c r="X20" i="6"/>
  <c r="X85" i="5"/>
  <c r="X140" i="7" s="1"/>
  <c r="X139" i="5"/>
  <c r="X112" i="5"/>
  <c r="X120" i="6"/>
  <c r="X66" i="6"/>
  <c r="X208" i="7" s="1"/>
  <c r="X93" i="6"/>
  <c r="X27" i="6"/>
  <c r="X119" i="5"/>
  <c r="X65" i="5"/>
  <c r="X120" i="7" s="1"/>
  <c r="X92" i="5"/>
  <c r="X21" i="5"/>
  <c r="K82" i="7"/>
  <c r="K75" i="7" s="1"/>
  <c r="K59" i="7" s="1"/>
  <c r="X117" i="5" l="1"/>
  <c r="X37" i="3"/>
  <c r="X63" i="5"/>
  <c r="X118" i="7" s="1"/>
  <c r="X90" i="5"/>
  <c r="X18" i="5"/>
  <c r="X111" i="6"/>
  <c r="X67" i="3"/>
  <c r="X57" i="6"/>
  <c r="X199" i="7" s="1"/>
  <c r="X84" i="6"/>
  <c r="X18" i="6"/>
  <c r="X68" i="3"/>
  <c r="X118" i="6"/>
  <c r="X64" i="6"/>
  <c r="X206" i="7" s="1"/>
  <c r="X91" i="6"/>
  <c r="L82" i="7"/>
  <c r="L75" i="7" s="1"/>
  <c r="L59" i="7" s="1"/>
  <c r="X61" i="5" l="1"/>
  <c r="X88" i="5"/>
  <c r="X220" i="3"/>
  <c r="X55" i="6"/>
  <c r="X82" i="6"/>
  <c r="X189" i="3"/>
  <c r="X35" i="3"/>
  <c r="X219" i="3"/>
  <c r="X65" i="3"/>
  <c r="X133" i="6"/>
  <c r="X79" i="6"/>
  <c r="X221" i="7" s="1"/>
  <c r="X106" i="6"/>
  <c r="X34" i="3" l="1"/>
  <c r="X187" i="3"/>
  <c r="X64" i="3"/>
  <c r="X217" i="3"/>
  <c r="M82" i="7"/>
  <c r="M75" i="7" s="1"/>
  <c r="M59" i="7" s="1"/>
  <c r="N82" i="7"/>
  <c r="N75" i="7" s="1"/>
  <c r="N59" i="7" s="1"/>
  <c r="X138" i="5" l="1"/>
  <c r="X84" i="5"/>
  <c r="X139" i="7" s="1"/>
  <c r="X52" i="5"/>
  <c r="X111" i="5"/>
  <c r="X40" i="6"/>
  <c r="X132" i="6"/>
  <c r="X78" i="6"/>
  <c r="X220" i="7" s="1"/>
  <c r="X105" i="6"/>
  <c r="X157" i="3"/>
  <c r="X161" i="3"/>
  <c r="X168" i="3"/>
  <c r="X163" i="3"/>
  <c r="X165" i="3"/>
  <c r="X156" i="3"/>
  <c r="X166" i="3"/>
  <c r="X167" i="3"/>
  <c r="X158" i="3"/>
  <c r="X216" i="3"/>
  <c r="X159" i="3"/>
  <c r="X160" i="3"/>
  <c r="X127" i="3"/>
  <c r="X138" i="3"/>
  <c r="X136" i="3"/>
  <c r="X137" i="3"/>
  <c r="X135" i="3"/>
  <c r="X134" i="3"/>
  <c r="X133" i="3"/>
  <c r="X126" i="3"/>
  <c r="X131" i="3"/>
  <c r="X132" i="3"/>
  <c r="X186" i="3"/>
  <c r="X128" i="3"/>
  <c r="X130" i="3"/>
  <c r="X129" i="3"/>
  <c r="X131" i="6" l="1"/>
  <c r="X80" i="3"/>
  <c r="X77" i="6"/>
  <c r="X219" i="7" s="1"/>
  <c r="X104" i="6"/>
  <c r="X33" i="6"/>
  <c r="X42" i="5"/>
  <c r="X137" i="5"/>
  <c r="X50" i="3"/>
  <c r="X83" i="5"/>
  <c r="X138" i="7" s="1"/>
  <c r="X110" i="5"/>
  <c r="O82" i="7"/>
  <c r="O75" i="7" s="1"/>
  <c r="O59" i="7" s="1"/>
  <c r="X202" i="3" l="1"/>
  <c r="X48" i="3"/>
  <c r="X76" i="5"/>
  <c r="X103" i="5"/>
  <c r="X17" i="5"/>
  <c r="X70" i="6"/>
  <c r="X97" i="6"/>
  <c r="X17" i="6"/>
  <c r="X232" i="3"/>
  <c r="X78" i="3"/>
  <c r="P82" i="7"/>
  <c r="P75" i="7" s="1"/>
  <c r="P59" i="7" s="1"/>
  <c r="X60" i="5" l="1"/>
  <c r="X141" i="5"/>
  <c r="X156" i="5"/>
  <c r="X163" i="5"/>
  <c r="X161" i="5"/>
  <c r="X154" i="5"/>
  <c r="X147" i="5"/>
  <c r="X150" i="5"/>
  <c r="X162" i="5"/>
  <c r="X143" i="5"/>
  <c r="X159" i="5"/>
  <c r="X152" i="5"/>
  <c r="X149" i="5"/>
  <c r="X145" i="5"/>
  <c r="X148" i="5"/>
  <c r="X155" i="5"/>
  <c r="X160" i="5"/>
  <c r="X153" i="5"/>
  <c r="X158" i="5"/>
  <c r="X151" i="5"/>
  <c r="X166" i="5"/>
  <c r="X146" i="5"/>
  <c r="X144" i="5"/>
  <c r="X142" i="5"/>
  <c r="X165" i="5"/>
  <c r="X164" i="5"/>
  <c r="X157" i="5"/>
  <c r="Q82" i="7"/>
  <c r="Q75" i="7" s="1"/>
  <c r="Q59" i="7" s="1"/>
  <c r="X135" i="6"/>
  <c r="X148" i="6"/>
  <c r="X155" i="6"/>
  <c r="X54" i="6"/>
  <c r="X141" i="6"/>
  <c r="X153" i="6"/>
  <c r="X146" i="6"/>
  <c r="X156" i="6"/>
  <c r="X137" i="6"/>
  <c r="X139" i="6"/>
  <c r="X143" i="6"/>
  <c r="X142" i="6"/>
  <c r="X149" i="6"/>
  <c r="X154" i="6"/>
  <c r="X152" i="6"/>
  <c r="X140" i="6"/>
  <c r="X147" i="6"/>
  <c r="X138" i="6"/>
  <c r="X145" i="6"/>
  <c r="X136" i="6"/>
  <c r="X160" i="6"/>
  <c r="X159" i="6"/>
  <c r="X158" i="6"/>
  <c r="X200" i="3"/>
  <c r="X47" i="3"/>
  <c r="X77" i="3"/>
  <c r="X230" i="3"/>
  <c r="X151" i="6"/>
  <c r="X147" i="3" l="1"/>
  <c r="X148" i="3"/>
  <c r="X146" i="3"/>
  <c r="X145" i="3"/>
  <c r="X144" i="3"/>
  <c r="X150" i="3"/>
  <c r="X139" i="3"/>
  <c r="X149" i="3"/>
  <c r="X143" i="3"/>
  <c r="X199" i="3"/>
  <c r="X141" i="3"/>
  <c r="X142" i="3"/>
  <c r="X170" i="3"/>
  <c r="X180" i="3"/>
  <c r="X174" i="3"/>
  <c r="X177" i="3"/>
  <c r="X169" i="3"/>
  <c r="X173" i="3"/>
  <c r="X176" i="3"/>
  <c r="X178" i="3"/>
  <c r="X175" i="3"/>
  <c r="X179" i="3"/>
  <c r="X229" i="3"/>
  <c r="X171" i="3"/>
  <c r="X172" i="3"/>
  <c r="R82" i="7"/>
  <c r="R75" i="7" s="1"/>
  <c r="R59" i="7" s="1"/>
  <c r="X140" i="3"/>
  <c r="S82" i="7" l="1"/>
  <c r="S75" i="7" s="1"/>
  <c r="S59" i="7" s="1"/>
  <c r="T82" i="7" l="1"/>
  <c r="T75" i="7" s="1"/>
  <c r="T59" i="7" s="1"/>
  <c r="U82" i="7" l="1"/>
  <c r="U75" i="7" s="1"/>
  <c r="U59" i="7" s="1"/>
  <c r="V82" i="7" l="1"/>
  <c r="V75" i="7" s="1"/>
  <c r="V59" i="7" s="1"/>
  <c r="W82" i="7"/>
  <c r="W75" i="7" s="1"/>
  <c r="W59" i="7" s="1"/>
  <c r="X82" i="7" l="1"/>
  <c r="X75" i="7" s="1"/>
  <c r="X59" i="7" s="1"/>
  <c r="Y127" i="6" l="1"/>
  <c r="Y73" i="6"/>
  <c r="Y215" i="7" s="1"/>
  <c r="Y100" i="6"/>
  <c r="Y34" i="6"/>
  <c r="Y79" i="5"/>
  <c r="Y134" i="7" s="1"/>
  <c r="Y133" i="5"/>
  <c r="Y106" i="5"/>
  <c r="Y43" i="5"/>
  <c r="Y126" i="5"/>
  <c r="Y72" i="5"/>
  <c r="Y127" i="7" s="1"/>
  <c r="Y99" i="5"/>
  <c r="Y33" i="5"/>
  <c r="Y79" i="3" l="1"/>
  <c r="Y125" i="6"/>
  <c r="Y71" i="6"/>
  <c r="Y213" i="7" s="1"/>
  <c r="Y98" i="6"/>
  <c r="Y49" i="3"/>
  <c r="Y131" i="5"/>
  <c r="Y77" i="5"/>
  <c r="Y132" i="7" s="1"/>
  <c r="Y104" i="5"/>
  <c r="Y38" i="3"/>
  <c r="Y70" i="5"/>
  <c r="Y125" i="7" s="1"/>
  <c r="Y124" i="5"/>
  <c r="Y97" i="5"/>
  <c r="Y119" i="5" l="1"/>
  <c r="Y65" i="5"/>
  <c r="Y120" i="7" s="1"/>
  <c r="Y92" i="5"/>
  <c r="Y21" i="5"/>
  <c r="Y113" i="6"/>
  <c r="Y59" i="6"/>
  <c r="Y201" i="7" s="1"/>
  <c r="Y86" i="6"/>
  <c r="Y20" i="6"/>
  <c r="Y85" i="5"/>
  <c r="Y140" i="7" s="1"/>
  <c r="Y139" i="5"/>
  <c r="Y112" i="5"/>
  <c r="Y201" i="3"/>
  <c r="Y231" i="3"/>
  <c r="Y120" i="6"/>
  <c r="Y66" i="6"/>
  <c r="Y208" i="7" s="1"/>
  <c r="Y93" i="6"/>
  <c r="Y27" i="6"/>
  <c r="Y190" i="3"/>
  <c r="Y37" i="3" l="1"/>
  <c r="Y117" i="5"/>
  <c r="Y63" i="5"/>
  <c r="Y118" i="7" s="1"/>
  <c r="Y90" i="5"/>
  <c r="Y18" i="5"/>
  <c r="Y68" i="3"/>
  <c r="Y118" i="6"/>
  <c r="Y64" i="6"/>
  <c r="Y206" i="7" s="1"/>
  <c r="Y91" i="6"/>
  <c r="Y67" i="3"/>
  <c r="Y111" i="6"/>
  <c r="Y57" i="6"/>
  <c r="Y199" i="7" s="1"/>
  <c r="Y84" i="6"/>
  <c r="Y18" i="6"/>
  <c r="Y61" i="5" l="1"/>
  <c r="Y88" i="5"/>
  <c r="Y220" i="3"/>
  <c r="Y219" i="3"/>
  <c r="Y65" i="3"/>
  <c r="Y55" i="6"/>
  <c r="Y82" i="6"/>
  <c r="Y133" i="6"/>
  <c r="Y79" i="6"/>
  <c r="Y221" i="7" s="1"/>
  <c r="Y106" i="6"/>
  <c r="Y189" i="3"/>
  <c r="Y35" i="3"/>
  <c r="Y78" i="6" l="1"/>
  <c r="Y220" i="7" s="1"/>
  <c r="Y132" i="6"/>
  <c r="Y40" i="6"/>
  <c r="Y105" i="6"/>
  <c r="Y64" i="3"/>
  <c r="Y157" i="3" s="1"/>
  <c r="Y217" i="3"/>
  <c r="Y187" i="3"/>
  <c r="Y34" i="3"/>
  <c r="Y127" i="3" s="1"/>
  <c r="Y111" i="5"/>
  <c r="Y52" i="5"/>
  <c r="Y138" i="5"/>
  <c r="Y84" i="5"/>
  <c r="Y139" i="7" s="1"/>
  <c r="Y80" i="3" l="1"/>
  <c r="Y131" i="6"/>
  <c r="Y77" i="6"/>
  <c r="Y219" i="7" s="1"/>
  <c r="Y104" i="6"/>
  <c r="Y33" i="6"/>
  <c r="Y161" i="3"/>
  <c r="Y168" i="3"/>
  <c r="Y167" i="3"/>
  <c r="Y165" i="3"/>
  <c r="Y166" i="3"/>
  <c r="Y156" i="3"/>
  <c r="Y163" i="3"/>
  <c r="Y216" i="3"/>
  <c r="Y158" i="3"/>
  <c r="Y159" i="3"/>
  <c r="Y160" i="3"/>
  <c r="Y50" i="3"/>
  <c r="Y137" i="5"/>
  <c r="Y83" i="5"/>
  <c r="Y138" i="7" s="1"/>
  <c r="Y110" i="5"/>
  <c r="Y42" i="5"/>
  <c r="Y135" i="3"/>
  <c r="Y126" i="3"/>
  <c r="Y136" i="3"/>
  <c r="Y137" i="3"/>
  <c r="Y133" i="3"/>
  <c r="Y134" i="3"/>
  <c r="Y132" i="3"/>
  <c r="Y131" i="3"/>
  <c r="Y138" i="3"/>
  <c r="Y186" i="3"/>
  <c r="Y128" i="3"/>
  <c r="Y130" i="3"/>
  <c r="Y129" i="3"/>
  <c r="Y202" i="3" l="1"/>
  <c r="Y48" i="3"/>
  <c r="Y70" i="6"/>
  <c r="Y97" i="6"/>
  <c r="Y17" i="6"/>
  <c r="Y76" i="5"/>
  <c r="Y103" i="5"/>
  <c r="Y17" i="5"/>
  <c r="Y232" i="3"/>
  <c r="Y78" i="3"/>
  <c r="Y142" i="5" l="1"/>
  <c r="Y141" i="5"/>
  <c r="Y60" i="5"/>
  <c r="Y156" i="5"/>
  <c r="Y163" i="5"/>
  <c r="Y150" i="5"/>
  <c r="Y154" i="5"/>
  <c r="Y161" i="5"/>
  <c r="Y147" i="5"/>
  <c r="Y159" i="5"/>
  <c r="Y143" i="5"/>
  <c r="Y152" i="5"/>
  <c r="Y149" i="5"/>
  <c r="Y162" i="5"/>
  <c r="Y148" i="5"/>
  <c r="Y145" i="5"/>
  <c r="Y155" i="5"/>
  <c r="Y153" i="5"/>
  <c r="Y160" i="5"/>
  <c r="Y151" i="5"/>
  <c r="Y158" i="5"/>
  <c r="Y146" i="5"/>
  <c r="Y166" i="5"/>
  <c r="Y144" i="5"/>
  <c r="Y165" i="5"/>
  <c r="Y164" i="5"/>
  <c r="Y47" i="3"/>
  <c r="Y140" i="3" s="1"/>
  <c r="Y200" i="3"/>
  <c r="Y151" i="6"/>
  <c r="Y135" i="6"/>
  <c r="Y54" i="6"/>
  <c r="Y148" i="6"/>
  <c r="Y155" i="6"/>
  <c r="Y141" i="6"/>
  <c r="Y137" i="6"/>
  <c r="Y153" i="6"/>
  <c r="Y146" i="6"/>
  <c r="Y143" i="6"/>
  <c r="Y156" i="6"/>
  <c r="Y142" i="6"/>
  <c r="Y139" i="6"/>
  <c r="Y149" i="6"/>
  <c r="Y154" i="6"/>
  <c r="Y152" i="6"/>
  <c r="Y140" i="6"/>
  <c r="Y147" i="6"/>
  <c r="Y138" i="6"/>
  <c r="Y145" i="6"/>
  <c r="Y136" i="6"/>
  <c r="Y160" i="6"/>
  <c r="Y159" i="6"/>
  <c r="Y158" i="6"/>
  <c r="Y157" i="5"/>
  <c r="Y77" i="3"/>
  <c r="Y230" i="3"/>
  <c r="Y170" i="3" l="1"/>
  <c r="Y143" i="3"/>
  <c r="Y150" i="3"/>
  <c r="Y144" i="3"/>
  <c r="Y147" i="3"/>
  <c r="Y139" i="3"/>
  <c r="Y149" i="3"/>
  <c r="Y146" i="3"/>
  <c r="Y145" i="3"/>
  <c r="Y148" i="3"/>
  <c r="Y199" i="3"/>
  <c r="Y141" i="3"/>
  <c r="Y142" i="3"/>
  <c r="Y177" i="3"/>
  <c r="Y173" i="3"/>
  <c r="Y178" i="3"/>
  <c r="Y180" i="3"/>
  <c r="Y176" i="3"/>
  <c r="Y175" i="3"/>
  <c r="Y174" i="3"/>
  <c r="Y179" i="3"/>
  <c r="Y169" i="3"/>
  <c r="Y229" i="3"/>
  <c r="Y171" i="3"/>
  <c r="Y172" i="3"/>
</calcChain>
</file>

<file path=xl/sharedStrings.xml><?xml version="1.0" encoding="utf-8"?>
<sst xmlns="http://schemas.openxmlformats.org/spreadsheetml/2006/main" count="2657" uniqueCount="1169">
  <si>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</si>
  <si>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</si>
  <si>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</si>
  <si>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</si>
  <si>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</si>
  <si>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</si>
  <si>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</si>
  <si>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Overview: Transport sectors</t>
  </si>
  <si>
    <t>Road transport - activity related data</t>
  </si>
  <si>
    <t>energy consumption</t>
  </si>
  <si>
    <t>CO2 emissions</t>
  </si>
  <si>
    <t>technology data</t>
  </si>
  <si>
    <t>Rail, metro and tram - activity related data</t>
  </si>
  <si>
    <t>Aviation - activity related data</t>
  </si>
  <si>
    <t>passenger transport specific data</t>
  </si>
  <si>
    <t>Coastal shipping and inland waterways - activity related data</t>
  </si>
  <si>
    <t>Click on the link to jump to the sheet</t>
  </si>
  <si>
    <t>Transport activity</t>
  </si>
  <si>
    <t>Passenger transport (mio pkm)</t>
  </si>
  <si>
    <t>Road transport</t>
  </si>
  <si>
    <t>Passenger cars</t>
  </si>
  <si>
    <t>Motor coaches, buses and trolley buses</t>
  </si>
  <si>
    <t>Rail, metro and tram</t>
  </si>
  <si>
    <t>Metro and tram, urban light rail</t>
  </si>
  <si>
    <t>Conventional passenger trains</t>
  </si>
  <si>
    <t>High speed passenger trains</t>
  </si>
  <si>
    <t>Aviation</t>
  </si>
  <si>
    <t>Domestic</t>
  </si>
  <si>
    <t>Freight transport (mio tkm)</t>
  </si>
  <si>
    <t>Rail transport</t>
  </si>
  <si>
    <t>Domestic coastal shipping</t>
  </si>
  <si>
    <t>Inland waterways</t>
  </si>
  <si>
    <t>Energy consumption (ktoe)</t>
  </si>
  <si>
    <t>Passenger transport</t>
  </si>
  <si>
    <t>Freight transport</t>
  </si>
  <si>
    <t>CO2 emissions (kt of CO2)</t>
  </si>
  <si>
    <t>Indicators</t>
  </si>
  <si>
    <t>Market shares of activity</t>
  </si>
  <si>
    <t>Passenger transport (% of pkm)</t>
  </si>
  <si>
    <t>Freight transport (% of tkm)</t>
  </si>
  <si>
    <t>Shares of total energy consumption (%)</t>
  </si>
  <si>
    <t>Shares of CO2 emissions (%)</t>
  </si>
  <si>
    <t>Energy consumption per activity</t>
  </si>
  <si>
    <t>Emission intensity</t>
  </si>
  <si>
    <t>CO2 emissions (kt CO2)</t>
  </si>
  <si>
    <t>by fuel</t>
  </si>
  <si>
    <t>Liquids</t>
  </si>
  <si>
    <t>Split of CO2 emissions (kt CO2)</t>
  </si>
  <si>
    <t>Emission factors (kt CO2 / ktoe)</t>
  </si>
  <si>
    <t>Emission intensity (kg of CO2 / 100 km)</t>
  </si>
  <si>
    <t>Emission intensity over activity (kg of CO2 / 000 tkm)</t>
  </si>
  <si>
    <t>by fuel (EUROSTAT DATA)</t>
  </si>
  <si>
    <t>Liquified petroleum gas (LPG)</t>
  </si>
  <si>
    <t>Gasoline (without biofuels)</t>
  </si>
  <si>
    <t>Gas/Diesel oil (without biofuels)</t>
  </si>
  <si>
    <t>Natural gas</t>
  </si>
  <si>
    <t>Renewable energies and wastes</t>
  </si>
  <si>
    <t>Biogas</t>
  </si>
  <si>
    <t>Biogasoline</t>
  </si>
  <si>
    <t>Biodiesel</t>
  </si>
  <si>
    <t>Other biofuels</t>
  </si>
  <si>
    <t>Total energy consumption (ktoe)</t>
  </si>
  <si>
    <t>Vehicle-efficiency (kgoe/100 km)</t>
  </si>
  <si>
    <t>Energy intensity over activity (kgoe / 000 tkm)</t>
  </si>
  <si>
    <t>Vehicle-km (mio km)</t>
  </si>
  <si>
    <t>Market shares of activity (% of tkm)</t>
  </si>
  <si>
    <t>Market shares of vehicle km (% of km)</t>
  </si>
  <si>
    <t>Number of seats available</t>
  </si>
  <si>
    <t>Seats available per flight</t>
  </si>
  <si>
    <t>Occupancy ratio (%)</t>
  </si>
  <si>
    <t>Energy consumption per seat-km (kgoe/seat-km)</t>
  </si>
  <si>
    <t>Emission intensity over activity</t>
  </si>
  <si>
    <t>CO2 emissions per flight (kg of CO2 / flight)</t>
  </si>
  <si>
    <t>Vehicle-efficiency - effective (kgoe/100 km)</t>
  </si>
  <si>
    <t>Energy intensity over activity</t>
  </si>
  <si>
    <t>Energy consumption per flight (kgoe/flight)</t>
  </si>
  <si>
    <t>Vehicle-efficiency - theoretical (kgoe/100 km)*</t>
  </si>
  <si>
    <t>Discrepancy between effective and theoretical efficiencies (ratio)</t>
  </si>
  <si>
    <t>* Theoretical efficiency is derived for the representative aircraft based on the distance travelled per flight</t>
  </si>
  <si>
    <t>Passenger transport (passengers)</t>
  </si>
  <si>
    <t>Freight transport (tonnes)</t>
  </si>
  <si>
    <t>Stock of aircrafts - total</t>
  </si>
  <si>
    <t>New aircrafts</t>
  </si>
  <si>
    <t>Load factor of flights</t>
  </si>
  <si>
    <t>Passenger transport (p/flight)</t>
  </si>
  <si>
    <t>Freight transport (t/flight)</t>
  </si>
  <si>
    <t>Passenger-km and tonne-km per flight</t>
  </si>
  <si>
    <t>Passenger transport (pkm/flight)</t>
  </si>
  <si>
    <t>Freight transport (tkm/flight)</t>
  </si>
  <si>
    <t>Flights per year by airplance</t>
  </si>
  <si>
    <t>Diesel</t>
  </si>
  <si>
    <t>Electricity</t>
  </si>
  <si>
    <t>Diesel oil</t>
  </si>
  <si>
    <t>Electric</t>
  </si>
  <si>
    <t>CO2 emissions per vehicle annum (t of CO2 / vehicle)</t>
  </si>
  <si>
    <t>Diesel oil (incl. biofuels)</t>
  </si>
  <si>
    <t>Energy consumption per vehicle annum (kgoe/vehicle)</t>
  </si>
  <si>
    <t>Stock of vehicles - total (representative train configuration)</t>
  </si>
  <si>
    <t>New vehicles - total (representative train configuration)</t>
  </si>
  <si>
    <t>Load factor of vehicles</t>
  </si>
  <si>
    <t>Passenger transport (p/movement)</t>
  </si>
  <si>
    <t>Freight transport (t/movement)</t>
  </si>
  <si>
    <t>Capacity of representative train configuration</t>
  </si>
  <si>
    <t>Passenger transport (passenger-seats)</t>
  </si>
  <si>
    <t>Occupancy / utilisation</t>
  </si>
  <si>
    <t>Vehicle-km per vehicle annum (km/vehicle)</t>
  </si>
  <si>
    <t>Passenger-km and tonne-km per vehicle annum</t>
  </si>
  <si>
    <t>Passenger transport (pkm/vehicle)</t>
  </si>
  <si>
    <t>Freight transport (tkm/vehicle)</t>
  </si>
  <si>
    <t>Stock of vehicles - total (vehicles)</t>
  </si>
  <si>
    <t>Gasoline engine</t>
  </si>
  <si>
    <t>Diesel oil engine</t>
  </si>
  <si>
    <t>LPG engine</t>
  </si>
  <si>
    <t>Natural gas engine</t>
  </si>
  <si>
    <t>Plug-in hybrid electric</t>
  </si>
  <si>
    <t>Battery electric vehicles</t>
  </si>
  <si>
    <t>International</t>
  </si>
  <si>
    <t>New vehicle-registrations</t>
  </si>
  <si>
    <t>Year of registration:</t>
  </si>
  <si>
    <t>&lt;=2000</t>
  </si>
  <si>
    <t>Test cycle efficiency of total stock (kgoe/100 km)</t>
  </si>
  <si>
    <t>Discrepancy between effective and test cycle efficiencies (ratio)</t>
  </si>
  <si>
    <t>Test cycle efficiency of new vehicles (kgoe/100 km)</t>
  </si>
  <si>
    <t>Test cycle emission intensity of total stock (g of CO2 / km)</t>
  </si>
  <si>
    <t>Discrepancy between effective and test cycle emission intensities (ratio)</t>
  </si>
  <si>
    <t>Test cycle emission intensity of new vehicles (g of CO2 / km)</t>
  </si>
  <si>
    <t>Gasoline (incl. biofuels)</t>
  </si>
  <si>
    <t>LPG</t>
  </si>
  <si>
    <t>Natural gas (incl. biogas)</t>
  </si>
  <si>
    <t>Emission intensity (g of CO2 / km)</t>
  </si>
  <si>
    <t>CO2 emissions per vehicle annum (kg of CO2 / vehicle)</t>
  </si>
  <si>
    <t>of which biofuels</t>
  </si>
  <si>
    <t>of which biogas</t>
  </si>
  <si>
    <t>of which electricity</t>
  </si>
  <si>
    <t>Vehicle-km driven (mio km)</t>
  </si>
  <si>
    <t>Stock of vehicles - in use (vehicles)</t>
  </si>
  <si>
    <t>Vehicle-km driven per vehicle annum (km/vehicle)</t>
  </si>
  <si>
    <t>Passenger-km and tonne-km driven per vehicle annum</t>
  </si>
  <si>
    <t>Number of departing flights</t>
  </si>
  <si>
    <t>Distance travelled per flight (km/flight)</t>
  </si>
  <si>
    <t>Volume carried in departing flights</t>
  </si>
  <si>
    <t>Domestic navigation</t>
  </si>
  <si>
    <t>Transport sector</t>
  </si>
  <si>
    <t>Load factor of vessels (t/movement)</t>
  </si>
  <si>
    <t>Gas oil and diesel oil (excluding biofuel portion)</t>
  </si>
  <si>
    <t>Fuel oil and Other oil products</t>
  </si>
  <si>
    <t>Blended biofuels</t>
  </si>
  <si>
    <t>Biogases</t>
  </si>
  <si>
    <t>Emission factor (kt CO2 / ktoe)</t>
  </si>
  <si>
    <t>Transport activity (Mtkm)</t>
  </si>
  <si>
    <t>Diesel oil (blend)</t>
  </si>
  <si>
    <t>Age structure in 2021</t>
  </si>
  <si>
    <t>Code</t>
  </si>
  <si>
    <t>Light commercial vehicles</t>
  </si>
  <si>
    <t>Heavy goods vehicles</t>
  </si>
  <si>
    <t>Passenger transport (kgoe / kpkm)</t>
  </si>
  <si>
    <t>Freight transport (kgoe / ktkm)</t>
  </si>
  <si>
    <t>Passenger transport  (g of CO2 / pkm)</t>
  </si>
  <si>
    <t>Freight transport  (g of CO2 / tkm)</t>
  </si>
  <si>
    <t>Freight transport (g of CO2 / tkm)</t>
  </si>
  <si>
    <t>Passenger transport (g of CO2 / pkm)</t>
  </si>
  <si>
    <t>Vehicle-km (Mkm)</t>
  </si>
  <si>
    <t>Energy intensity over activity (kgoe / ktkm)</t>
  </si>
  <si>
    <t>Emission intensity over activity (g of CO2 / tkm)</t>
  </si>
  <si>
    <t>Transport activity (mio tkm)</t>
  </si>
  <si>
    <t>International maritime bunkers - activity related data</t>
  </si>
  <si>
    <t>Intra-EEA</t>
  </si>
  <si>
    <t>Extra-EEA</t>
  </si>
  <si>
    <t>*EEA = European Economic Area (European Union + Iceland + Liechtenstein + Norway), United Kingdom excluded</t>
  </si>
  <si>
    <t>International maritime bunkers</t>
  </si>
  <si>
    <t>International maritime bunkers (mio tkm)</t>
  </si>
  <si>
    <t>International maritime bunkers (% of international tkm)</t>
  </si>
  <si>
    <t>International maritime bunkers (kgoe / ktkm)</t>
  </si>
  <si>
    <t>Powered two-wheelers</t>
  </si>
  <si>
    <t>Powered two-wheelers (Gasoline)</t>
  </si>
  <si>
    <t>excluding biofuels</t>
  </si>
  <si>
    <t>blended liquid biofuels</t>
  </si>
  <si>
    <t>Biodiesel and other biofuels</t>
  </si>
  <si>
    <t>Hydrogen</t>
  </si>
  <si>
    <t>JRC-IDEES-2023 - Integrated Database of the European Energy System</t>
  </si>
  <si>
    <t>v2023-1.00</t>
  </si>
  <si>
    <t>International - Intra-EEAwCHUK</t>
  </si>
  <si>
    <t>International - Extra-EEAwCHUK</t>
  </si>
  <si>
    <t>*EEAwCHUK = European Economic Area (European Union + Iceland + Liechtenstein + Norway), Switzerland and the United Kingdom</t>
  </si>
  <si>
    <t>**EEAwCHUK = European Economic Area (European Union + Iceland + Liechtenstein + Norway), Switzerland and the United Kingdom</t>
  </si>
  <si>
    <t>Plug-in hybrid electric (gasoline and electricity)</t>
  </si>
  <si>
    <t>Heavy goods vehicles (diesel oil incl. biofuels)</t>
  </si>
  <si>
    <t>PT</t>
  </si>
  <si>
    <t>Portugal</t>
  </si>
  <si>
    <t>Aviation - PT - Portugal</t>
  </si>
  <si>
    <t>Activity.Mpkm.PT.Tr.Avia.Passenger</t>
  </si>
  <si>
    <t>Activity.Mpkm.PT.Tr.Avia.Passenger.Domestic</t>
  </si>
  <si>
    <t>Activity.Mpkm.PT.Tr.Avia.Passenger.IntraEEAwCHUK</t>
  </si>
  <si>
    <t>Activity.Mpkm.PT.Tr.Avia.Passenger.ExtraEEAwCHUK</t>
  </si>
  <si>
    <t>Activity.Mtkm.PT.Tr.Avia.Freight</t>
  </si>
  <si>
    <t>Activity.Mtkm.PT.Tr.Avia.Freight.Domestic</t>
  </si>
  <si>
    <t>Activity.Mtkm.PT.Tr.Avia.Freight.IntraEEAwCHUK</t>
  </si>
  <si>
    <t>Activity.Mtkm.PT.Tr.Avia.Freight.ExtraEEAwCHUK</t>
  </si>
  <si>
    <t>VehicleKm.Mkm.PT.Tr.Avia</t>
  </si>
  <si>
    <t>VehicleKm.Mkm.PT.Tr.Avia.Passenger</t>
  </si>
  <si>
    <t>VehicleKm.Mkm.PT.Tr.Avia.Passenger.Domestic</t>
  </si>
  <si>
    <t>VehicleKm.Mkm.PT.Tr.Avia.Passenger.IntraEEAwCHUK</t>
  </si>
  <si>
    <t>VehicleKm.Mkm.PT.Tr.Avia.Passenger.ExtraEEAwCHUK</t>
  </si>
  <si>
    <t>VehicleKm.Mkm.PT.Tr.Avia.Freight</t>
  </si>
  <si>
    <t>VehicleKm.Mkm.PT.Tr.Avia.Freight.Domestic</t>
  </si>
  <si>
    <t>VehicleKm.Mkm.PT.Tr.Avia.Freight.IntraEEAwCHUK</t>
  </si>
  <si>
    <t>VehicleKm.Mkm.PT.Tr.Avia.Freight.ExtraEEAwCHUK</t>
  </si>
  <si>
    <t>Flights.number.PT.Tr.Avia</t>
  </si>
  <si>
    <t>Flights.number.PT.Tr.Avia.Passenger</t>
  </si>
  <si>
    <t>Flights.number.PT.Tr.Avia.Passenger.Domestic</t>
  </si>
  <si>
    <t>Flights.number.PT.Tr.Avia.Passenger.IntraEEAwCHUK</t>
  </si>
  <si>
    <t>Flights.number.PT.Tr.Avia.Passenger.ExtraEEAwCHUK</t>
  </si>
  <si>
    <t>Flights.number.PT.Tr.Avia.Freight</t>
  </si>
  <si>
    <t>Flights.number.PT.Tr.Avia.Freight.Domestic</t>
  </si>
  <si>
    <t>Flights.number.PT.Tr.Avia.Freight.IntraEEAwCHUK</t>
  </si>
  <si>
    <t>Flights.number.PT.Tr.Avia.Freight.ExtraEEAwCHUK</t>
  </si>
  <si>
    <t>VolCarried.passenger.PT.Tr.Avia.Passenger</t>
  </si>
  <si>
    <t>VolCarried.passenger.PT.Tr.Avia.Passenger.Domestic</t>
  </si>
  <si>
    <t>VolCarried.passenger.PT.Tr.Avia.Passenger.IntraEEAwCHUK</t>
  </si>
  <si>
    <t>VolCarried.passenger.PT.Tr.Avia.Passenger.ExtraEEAwCHUK</t>
  </si>
  <si>
    <t>VolCarried.t.PT.Tr.Avia.Freight</t>
  </si>
  <si>
    <t>VolCarried.t.PT.Tr.Avia.Freight.Domestic</t>
  </si>
  <si>
    <t>VolCarried.t.PT.Tr.Avia.Freight.IntraEEAwCHUK</t>
  </si>
  <si>
    <t>VolCarried.t.PT.Tr.Avia.Freight.ExtraEEAwCHUK</t>
  </si>
  <si>
    <t>Stock.number.PT.Tr.Avia</t>
  </si>
  <si>
    <t>Stock.number.PT.Tr.Avia.Passenger</t>
  </si>
  <si>
    <t>Stock.number.PT.Tr.Avia.Passenger.Domestic</t>
  </si>
  <si>
    <t>Stock.number.PT.Tr.Avia.Passenger.IntraEEAwCHUK</t>
  </si>
  <si>
    <t>Stock.number.PT.Tr.Avia.Passenger.ExtraEEAwCHUK</t>
  </si>
  <si>
    <t>Stock.number.PT.Tr.Avia.Freight</t>
  </si>
  <si>
    <t>Stock.number.PT.Tr.Avia.Freight.Domestic</t>
  </si>
  <si>
    <t>Stock.number.PT.Tr.Avia.Freight.IntraEEAwCHUK</t>
  </si>
  <si>
    <t>Stock.number.PT.Tr.Avia.Freight.ExtraEEAwCHUK</t>
  </si>
  <si>
    <t>StockNew.number.PT.Tr.Avia</t>
  </si>
  <si>
    <t>StockNew.number.PT.Tr.Avia.Passenger</t>
  </si>
  <si>
    <t>StockNew.number.PT.Tr.Avia.Passenger.Domestic</t>
  </si>
  <si>
    <t>StockNew.number.PT.Tr.Avia.Passenger.IntraEEAwCHUK</t>
  </si>
  <si>
    <t>StockNew.number.PT.Tr.Avia.Passenger.ExtraEEAwCHUK</t>
  </si>
  <si>
    <t>StockNew.number.PT.Tr.Avia.Freight</t>
  </si>
  <si>
    <t>StockNew.number.PT.Tr.Avia.Freight.Domestic</t>
  </si>
  <si>
    <t>StockNew.number.PT.Tr.Avia.Freight.IntraEEAwCHUK</t>
  </si>
  <si>
    <t>StockNew.number.PT.Tr.Avia.Freight.ExtraEEAwCHUK</t>
  </si>
  <si>
    <t>Load.passenger_per_movement.PT.Tr.Avia.Passenger</t>
  </si>
  <si>
    <t>Load.passenger_per_movement.PT.Tr.Avia.Passenger.Domestic</t>
  </si>
  <si>
    <t>Load.passenger_per_movement.PT.Tr.Avia.Passenger.IntraEEAwCHUK</t>
  </si>
  <si>
    <t>Load.passenger_per_movement.PT.Tr.Avia.Passenger.ExtraEEAwCHUK</t>
  </si>
  <si>
    <t>Load.t_per_movement.PT.Tr.Avia.Freight</t>
  </si>
  <si>
    <t>Load.t_per_movement.PT.Tr.Avia.Freight.Domestic</t>
  </si>
  <si>
    <t>Load.t_per_movement.PT.Tr.Avia.Freight.IntraEEAwCHUK</t>
  </si>
  <si>
    <t>Load.t_per_movement.PT.Tr.Avia.Freight.ExtraEEAwCHUK</t>
  </si>
  <si>
    <t>VehicleKm_per_flight.km.PT.Tr.Avia</t>
  </si>
  <si>
    <t>VehicleKm_per_flight.km.PT.Tr.Avia.Passenger</t>
  </si>
  <si>
    <t>VehicleKm_per_flight.km.PT.Tr.Avia.Passenger.Domestic</t>
  </si>
  <si>
    <t>VehicleKm_per_flight.km.PT.Tr.Avia.Passenger.IntraEEAwCHUK</t>
  </si>
  <si>
    <t>VehicleKm_per_flight.km.PT.Tr.Avia.Passenger.ExtraEEAwCHUK</t>
  </si>
  <si>
    <t>VehicleKm_per_flight.km.PT.Tr.Avia.Freight</t>
  </si>
  <si>
    <t>VehicleKm_per_flight.km.PT.Tr.Avia.Freight.Domestic</t>
  </si>
  <si>
    <t>VehicleKm_per_flight.km.PT.Tr.Avia.Freight.IntraEEAwCHUK</t>
  </si>
  <si>
    <t>VehicleKm_per_flight.km.PT.Tr.Avia.Freight.ExtraEEAwCHUK</t>
  </si>
  <si>
    <t>Activity_per_flight.pkm.PT.Tr.Avia.Passenger</t>
  </si>
  <si>
    <t>Activity_per_flight.pkm.PT.Tr.Avia.Passenger.Domestic</t>
  </si>
  <si>
    <t>Activity_per_flight.pkm.PT.Tr.Avia.Passenger.IntraEEAwCHUK</t>
  </si>
  <si>
    <t>Activity_per_flight.pkm.PT.Tr.Avia.Passenger.ExtraEEAwCHUK</t>
  </si>
  <si>
    <t>Activity_per_flight.tkm.PT.Tr.Avia.Freight</t>
  </si>
  <si>
    <t>Activity_per_flight.tkm.PT.Tr.Avia.Freight.Domestic</t>
  </si>
  <si>
    <t>Activity_per_flight.tkm.PT.Tr.Avia.Freight.IntraEEAwCHUK</t>
  </si>
  <si>
    <t>Activity_per_flight.tkm.PT.Tr.Avia.Freight.ExtraEEAwCHUK</t>
  </si>
  <si>
    <t>Flights_per_vehicle.number.PT.Tr.Avia</t>
  </si>
  <si>
    <t>Flights_per_vehicle.number.PT.Tr.Avia.Passenger</t>
  </si>
  <si>
    <t>Flights_per_vehicle.number.PT.Tr.Avia.Passenger.Domestic</t>
  </si>
  <si>
    <t>Flights_per_vehicle.number.PT.Tr.Avia.Passenger.IntraEEAwCHUK</t>
  </si>
  <si>
    <t>Flights_per_vehicle.number.PT.Tr.Avia.Passenger.ExtraEEAwCHUK</t>
  </si>
  <si>
    <t>Flights_per_vehicle.number.PT.Tr.Avia.Freight</t>
  </si>
  <si>
    <t>Flights_per_vehicle.number.PT.Tr.Avia.Freight.Domestic</t>
  </si>
  <si>
    <t>Flights_per_vehicle.number.PT.Tr.Avia.Freight.IntraEEAwCHUK</t>
  </si>
  <si>
    <t>Flights_per_vehicle.number.PT.Tr.Avia.Freight.ExtraEEAwCHUK</t>
  </si>
  <si>
    <t>Aviation / energy consumption - PT - Portugal</t>
  </si>
  <si>
    <t>FEC.ktoe.PT.Tr.Avia</t>
  </si>
  <si>
    <t>FEC.ktoe.PT.Tr.Avia.Domestic</t>
  </si>
  <si>
    <t>FEC.ktoe.PT.Tr.Avia.International</t>
  </si>
  <si>
    <t>FEC.ktoe.PT.Tr.Avia.Passenger</t>
  </si>
  <si>
    <t>FEC.ktoe.PT.Tr.Avia.Passenger.Domestic</t>
  </si>
  <si>
    <t>FEC.ktoe.PT.Tr.Avia.Passenger.IntraEEAwCHUK</t>
  </si>
  <si>
    <t>FEC.ktoe.PT.Tr.Avia.Passenger.ExtraEEAwCHUK</t>
  </si>
  <si>
    <t>FEC.ktoe.PT.Tr.Avia.Freight</t>
  </si>
  <si>
    <t>FEC.ktoe.PT.Tr.Avia.Freight.Domestic</t>
  </si>
  <si>
    <t>FEC.ktoe.PT.Tr.Avia.Freight.IntraEEAwCHUK</t>
  </si>
  <si>
    <t>FEC.ktoe.PT.Tr.Avia.Freight.ExtraEEAwCHUK</t>
  </si>
  <si>
    <t>Eff.kgoe_per_100km.PT.Tr.Avia</t>
  </si>
  <si>
    <t>Eff.kgoe_per_100km.PT.Tr.Avia.Passenger</t>
  </si>
  <si>
    <t>Eff.kgoe_per_100km.PT.Tr.Avia.Passenger.Domestic</t>
  </si>
  <si>
    <t>Eff.kgoe_per_100km.PT.Tr.Avia.Passenger.IntraEEAwCHUK</t>
  </si>
  <si>
    <t>Eff.kgoe_per_100km.PT.Tr.Avia.Passenger.ExtraEEAwCHUK</t>
  </si>
  <si>
    <t>Eff.kgoe_per_100km.PT.Tr.Avia.Freight</t>
  </si>
  <si>
    <t>Eff.kgoe_per_100km.PT.Tr.Avia.Freight.Domestic</t>
  </si>
  <si>
    <t>Eff.kgoe_per_100km.PT.Tr.Avia.Freight.IntraEEAwCHUK</t>
  </si>
  <si>
    <t>Eff.kgoe_per_100km.PT.Tr.Avia.Freight.ExtraEEAwCHUK</t>
  </si>
  <si>
    <t>Eff.kgoe_per_kpkm.PT.Tr.Avia.Passenger</t>
  </si>
  <si>
    <t>Eff.kgoe_per_kpkm.PT.Tr.Avia.Passenger.Domestic</t>
  </si>
  <si>
    <t>Eff.kgoe_per_kpkm.PT.Tr.Avia.Passenger.IntraEEAwCHUK</t>
  </si>
  <si>
    <t>Eff.kgoe_per_kpkm.PT.Tr.Avia.Passenger.ExtraEEAwCHUK</t>
  </si>
  <si>
    <t>Eff.kgoe_per_ktkm.PT.Tr.Avia.Freight</t>
  </si>
  <si>
    <t>Eff.kgoe_per_ktkm.PT.Tr.Avia.Freight.Domestic</t>
  </si>
  <si>
    <t>Eff.kgoe_per_ktkm.PT.Tr.Avia.Freight.IntraEEAwCHUK</t>
  </si>
  <si>
    <t>Eff.kgoe_per_ktkm.PT.Tr.Avia.Freight.ExtraEEAwCHUK</t>
  </si>
  <si>
    <t>FEC_per_flight.kgoe.PT.Tr.Avia</t>
  </si>
  <si>
    <t>FEC_per_flight.kgoe.PT.Tr.Avia.Passenger</t>
  </si>
  <si>
    <t>FEC_per_flight.kgoe.PT.Tr.Avia.Passenger.Domestic</t>
  </si>
  <si>
    <t>FEC_per_flight.kgoe.PT.Tr.Avia.Passenger.IntraEEAwCHUK</t>
  </si>
  <si>
    <t>FEC_per_flight.kgoe.PT.Tr.Avia.Passenger.ExtraEEAwCHUK</t>
  </si>
  <si>
    <t>FEC_per_flight.kgoe.PT.Tr.Avia.Freight</t>
  </si>
  <si>
    <t>FEC_per_flight.kgoe.PT.Tr.Avia.Freight.Domestic</t>
  </si>
  <si>
    <t>FEC_per_flight.kgoe.PT.Tr.Avia.Freight.IntraEEAwCHUK</t>
  </si>
  <si>
    <t>FEC_per_flight.kgoe.PT.Tr.Avia.Freight.ExtraEEAwCHUK</t>
  </si>
  <si>
    <t>Eff_theor.kgoe_per_100km.PT.Tr.Avia</t>
  </si>
  <si>
    <t>Eff_theor.kgoe_per_100km.PT.Tr.Avia.Passenger</t>
  </si>
  <si>
    <t>Eff_theor.kgoe_per_100km.PT.Tr.Avia.Passenger.Domestic</t>
  </si>
  <si>
    <t>Eff_theor.kgoe_per_100km.PT.Tr.Avia.Passenger.IntraEEAwCHUK</t>
  </si>
  <si>
    <t>Eff_theor.kgoe_per_100km.PT.Tr.Avia.Passenger.ExtraEEAwCHUK</t>
  </si>
  <si>
    <t>Eff_theor.kgoe_per_100km.PT.Tr.Avia.Freight</t>
  </si>
  <si>
    <t>Eff_theor.kgoe_per_100km.PT.Tr.Avia.Freight.Domestic</t>
  </si>
  <si>
    <t>Eff_theor.kgoe_per_100km.PT.Tr.Avia.Freight.IntraEEAwCHUK</t>
  </si>
  <si>
    <t>Eff_theor.kgoe_per_100km.PT.Tr.Avia.Freight.ExtraEEAwCHUK</t>
  </si>
  <si>
    <t>Aviation / CO2 emissions - PT - Portugal</t>
  </si>
  <si>
    <t>EMI.ktCO2.PT.Tr.Avia</t>
  </si>
  <si>
    <t>EMI.ktCO2.PT.Tr.Avia.Domestic</t>
  </si>
  <si>
    <t>EMI.ktCO2.PT.Tr.Avia.International</t>
  </si>
  <si>
    <t>EMI.ktCO2.PT.Tr.Avia.Passenger</t>
  </si>
  <si>
    <t>EMI.ktCO2.PT.Tr.Avia.Passenger.Domestic</t>
  </si>
  <si>
    <t>EMI.ktCO2.PT.Tr.Avia.Passenger.IntraEEAwCHUK</t>
  </si>
  <si>
    <t>EMI.ktCO2.PT.Tr.Avia.Passenger.ExtraEEAwCHUK</t>
  </si>
  <si>
    <t>EMI.ktCO2.PT.Tr.Avia.Freight</t>
  </si>
  <si>
    <t>EMI.ktCO2.PT.Tr.Avia.Freight.Domestic</t>
  </si>
  <si>
    <t>EMI.ktCO2.PT.Tr.Avia.Freight.IntraEEAwCHUK</t>
  </si>
  <si>
    <t>EMI.ktCO2.PT.Tr.Avia.Freight.ExtraEEAwCHUK</t>
  </si>
  <si>
    <t>EMIint.gCO2_per_km.PT.Tr.Avia</t>
  </si>
  <si>
    <t>EMIint.gCO2_per_km.PT.Tr.Avia.Passenger</t>
  </si>
  <si>
    <t>EMIint.gCO2_per_km.PT.Tr.Avia.Passenger.Domestic</t>
  </si>
  <si>
    <t>EMIint.gCO2_per_km.PT.Tr.Avia.Passenger.IntraEEAwCHUK</t>
  </si>
  <si>
    <t>EMIint.gCO2_per_km.PT.Tr.Avia.Passenger.ExtraEEAwCHUK</t>
  </si>
  <si>
    <t>EMIint.gCO2_per_km.PT.Tr.Avia.Freight</t>
  </si>
  <si>
    <t>EMIint.gCO2_per_km.PT.Tr.Avia.Freight.Domestic</t>
  </si>
  <si>
    <t>EMIint.gCO2_per_km.PT.Tr.Avia.Freight.IntraEEAwCHUK</t>
  </si>
  <si>
    <t>EMIint.gCO2_per_km.PT.Tr.Avia.Freight.ExtraEEAwCHUK</t>
  </si>
  <si>
    <t>EMIint.gCO2_per_pkm.PT.Tr.Avia.Passenger</t>
  </si>
  <si>
    <t>EMIint.gCO2_per_pkm.PT.Tr.Avia.Passenger.Domestic</t>
  </si>
  <si>
    <t>EMIint.gCO2_per_pkm.PT.Tr.Avia.Passenger.IntraEEAwCHUK</t>
  </si>
  <si>
    <t>EMIint.gCO2_per_pkm.PT.Tr.Avia.Passenger.ExtraEEAwCHUK</t>
  </si>
  <si>
    <t>EMIint.gCO2_per_tkm.PT.Tr.Avia.Freight</t>
  </si>
  <si>
    <t>EMIint.gCO2_per_tkm.PT.Tr.Avia.Freight.Domestic</t>
  </si>
  <si>
    <t>EMIint.gCO2_per_tkm.PT.Tr.Avia.Freight.IntraEEAwCHUK</t>
  </si>
  <si>
    <t>EMIint.gCO2_per_tkm.PT.Tr.Avia.Freight.ExtraEEAwCHUK</t>
  </si>
  <si>
    <t>EMI_per_flight.kgCO2.PT.Tr.Avia</t>
  </si>
  <si>
    <t>EMI_per_flight.kgCO2.PT.Tr.Avia.Passenger</t>
  </si>
  <si>
    <t>EMI_per_flight.kgCO2.PT.Tr.Avia.Passenger.Domestic</t>
  </si>
  <si>
    <t>EMI_per_flight.kgCO2.PT.Tr.Avia.Passenger.IntraEEAwCHUK</t>
  </si>
  <si>
    <t>EMI_per_flight.kgCO2.PT.Tr.Avia.Passenger.ExtraEEAwCHUK</t>
  </si>
  <si>
    <t>EMI_per_flight.kgCO2.PT.Tr.Avia.Freight</t>
  </si>
  <si>
    <t>EMI_per_flight.kgCO2.PT.Tr.Avia.Freight.Domestic</t>
  </si>
  <si>
    <t>EMI_per_flight.kgCO2.PT.Tr.Avia.Freight.IntraEEAwCHUK</t>
  </si>
  <si>
    <t>EMI_per_flight.kgCO2.PT.Tr.Avia.Freight.ExtraEEAwCHUK</t>
  </si>
  <si>
    <t>Aviation / passenger transport specific data - PT - Portugal</t>
  </si>
  <si>
    <t>TrCap.seats.PT.Tr.Avia.Passenger</t>
  </si>
  <si>
    <t>TrCap.seats.PT.Tr.Avia.Passenger.Domestic</t>
  </si>
  <si>
    <t>TrCap.seats.PT.Tr.Avia.Passenger.IntraEEAwCHUK</t>
  </si>
  <si>
    <t>TrCap.seats.PT.Tr.Avia.Passenger.ExtraEEAwCHUK</t>
  </si>
  <si>
    <t>TrCap_per_flight.seats.PT.Tr.Avia.Passenger</t>
  </si>
  <si>
    <t>TrCap_per_flight.seats.PT.Tr.Avia.Passenger.Domestic</t>
  </si>
  <si>
    <t>TrCap_per_flight.seats.PT.Tr.Avia.Passenger.IntraEEAwCHUK</t>
  </si>
  <si>
    <t>TrCap_per_flight.seats.PT.Tr.Avia.Passenger.ExtraEEAwCHUK</t>
  </si>
  <si>
    <t>Transport overview - PT - Portugal</t>
  </si>
  <si>
    <t>Activity.Mpkm.PT.Tr</t>
  </si>
  <si>
    <t>Activity.Mpkm.PT.Tr.Road.Passenger</t>
  </si>
  <si>
    <t>Activity.Mpkm.PT.Tr.Road.Passenger.P2W</t>
  </si>
  <si>
    <t>Activity.Mpkm.PT.Tr.Road.Passenger.Car</t>
  </si>
  <si>
    <t>Activity.Mpkm.PT.Tr.Road.Passenger.Bus</t>
  </si>
  <si>
    <t>Activity.Mpkm.PT.Tr.Rail.Passenger</t>
  </si>
  <si>
    <t>Activity.Mpkm.PT.Tr.Rail.Passenger.MTU</t>
  </si>
  <si>
    <t>Activity.Mpkm.PT.Tr.Rail.Passenger.CPT</t>
  </si>
  <si>
    <t>Activity.Mpkm.PT.Tr.Rail.Passenger.HST</t>
  </si>
  <si>
    <t>Activity.Mtkm.PT.Tr</t>
  </si>
  <si>
    <t>Activity.Mtkm.PT.Tr.Road.Freight</t>
  </si>
  <si>
    <t>Activity.Mtkm.PT.Tr.Road.Freight.LCV</t>
  </si>
  <si>
    <t>Activity.Mtkm.PT.Tr.Road.Freight.HGV_All</t>
  </si>
  <si>
    <t>Activity.Mtkm.PT.Tr.Rail.Freight</t>
  </si>
  <si>
    <t>Activity.Mtkm.PT.Tr.DNavi.Freight</t>
  </si>
  <si>
    <t>Activity.Mtkm.PT.Tr.DNavi.Freight.DCS</t>
  </si>
  <si>
    <t>Activity.Mtkm.PT.Tr.DNavi.Freight.IWW</t>
  </si>
  <si>
    <t>Activity.Mtkm.PT.MBunk.Freight</t>
  </si>
  <si>
    <t>Activity.Mtkm.PT.MBunk.Freight.IntraEEA</t>
  </si>
  <si>
    <t>Activity.Mtkm.PT.MBunk.Freight.ExtraEEA</t>
  </si>
  <si>
    <t>FEC.ktoe.PT.Tr.Road.Passenger</t>
  </si>
  <si>
    <t>FEC.ktoe.PT.Tr.Road.Passenger.P2W</t>
  </si>
  <si>
    <t>FEC.ktoe.PT.Tr.Road.Passenger.Car</t>
  </si>
  <si>
    <t>FEC.ktoe.PT.Tr.Road.Passenger.Bus</t>
  </si>
  <si>
    <t>FEC.ktoe.PT.Tr.Rail.Passenger</t>
  </si>
  <si>
    <t>FEC.ktoe.PT.Tr.Rail.Passenger.MTU</t>
  </si>
  <si>
    <t>FEC.ktoe.PT.Tr.Rail.Passenger.CPT</t>
  </si>
  <si>
    <t>FEC.ktoe.PT.Tr.Rail.Passenger.HST</t>
  </si>
  <si>
    <t>FEC.ktoe.PT.Tr.Road.Freight</t>
  </si>
  <si>
    <t>FEC.ktoe.PT.Tr.Road.Freight.LCV</t>
  </si>
  <si>
    <t>FEC.ktoe.PT.Tr.Road.Freight.HGV_All</t>
  </si>
  <si>
    <t>FEC.ktoe.PT.Tr.Rail.Freight</t>
  </si>
  <si>
    <t>EMI.ktCO2.PT.Tr.Road.Passenger</t>
  </si>
  <si>
    <t>EMI.ktCO2.PT.Tr.Road.Passenger.P2W</t>
  </si>
  <si>
    <t>EMI.ktCO2.PT.Tr.Road.Passenger.Car</t>
  </si>
  <si>
    <t>EMI.ktCO2.PT.Tr.Road.Passenger.Bus</t>
  </si>
  <si>
    <t>EMI.ktCO2.PT.Tr.Rail.Passenger</t>
  </si>
  <si>
    <t>EMI.ktCO2.PT.Tr.Rail.Passenger.MTU</t>
  </si>
  <si>
    <t>EMI.ktCO2.PT.Tr.Rail.Passenger.CPT</t>
  </si>
  <si>
    <t>EMI.ktCO2.PT.Tr.Rail.Passenger.HST</t>
  </si>
  <si>
    <t>EMI.ktCO2.PT.Tr.Road.Freight</t>
  </si>
  <si>
    <t>EMI.ktCO2.PT.Tr.Road.Freight.LCV</t>
  </si>
  <si>
    <t>EMI.ktCO2.PT.Tr.Road.Freight.HGV_All</t>
  </si>
  <si>
    <t>EMI.ktCO2.PT.Tr.Rail.Freight</t>
  </si>
  <si>
    <t>Eff.kgoe_per_kpkm.PT.Tr</t>
  </si>
  <si>
    <t>Eff.kgoe_per_kpkm.PT.Tr.Road.Passenger</t>
  </si>
  <si>
    <t>Eff.kgoe_per_kpkm.PT.Tr.Road.Passenger.P2W</t>
  </si>
  <si>
    <t>Eff.kgoe_per_kpkm.PT.Tr.Road.Passenger.Car</t>
  </si>
  <si>
    <t>Eff.kgoe_per_kpkm.PT.Tr.Road.Passenger.Bus</t>
  </si>
  <si>
    <t>Eff.kgoe_per_kpkm.PT.Tr.Rail.Passenger</t>
  </si>
  <si>
    <t>Eff.kgoe_per_kpkm.PT.Tr.Rail.Passenger.MTU</t>
  </si>
  <si>
    <t>Eff.kgoe_per_kpkm.PT.Tr.Rail.Passenger.CPT</t>
  </si>
  <si>
    <t>Eff.kgoe_per_kpkm.PT.Tr.Rail.Passenger.HST</t>
  </si>
  <si>
    <t>Eff.kgoe_per_ktkm.PT.Tr</t>
  </si>
  <si>
    <t>Eff.kgoe_per_ktkm.PT.Tr.Road.Freight</t>
  </si>
  <si>
    <t>Eff.kgoe_per_ktkm.PT.Tr.Road.Freight.LCV</t>
  </si>
  <si>
    <t>Eff.kgoe_per_ktkm.PT.Tr.Road.Freight.HGV_All</t>
  </si>
  <si>
    <t>Eff.kgoe_per_ktkm.PT.Tr.Rail.Freight</t>
  </si>
  <si>
    <t>Eff.kgoe_per_ktkm.PT.Tr.DNavi.Freight</t>
  </si>
  <si>
    <t>Eff.kgoe_per_ktkm.PT.Tr.DNavi.Freight.DCS</t>
  </si>
  <si>
    <t>Eff.kgoe_per_ktkm.PT.Tr.DNavi.Freight.IWW</t>
  </si>
  <si>
    <t>Eff.kgoe_per_ktkm.PT.MBunk.Freight</t>
  </si>
  <si>
    <t>Eff.kgoe_per_ktkm.PT.MBunk.Freight.IntraEEA</t>
  </si>
  <si>
    <t>Eff.kgoe_per_ktkm.PT.MBunk.Freight.ExtraEEA</t>
  </si>
  <si>
    <t>EMIint.gCO2_per_pkm.PT.Tr</t>
  </si>
  <si>
    <t>EMIint.gCO2_per_pkm.PT.Tr.Road.Passenger</t>
  </si>
  <si>
    <t>EMIint.gCO2_per_pkm.PT.Tr.Road.Passenger.P2W</t>
  </si>
  <si>
    <t>EMIint.gCO2_per_pkm.PT.Tr.Road.Passenger.Car</t>
  </si>
  <si>
    <t>EMIint.gCO2_per_pkm.PT.Tr.Road.Passenger.Bus</t>
  </si>
  <si>
    <t>EMIint.gCO2_per_pkm.PT.Tr.Rail.Passenger</t>
  </si>
  <si>
    <t>EMIint.gCO2_per_pkm.PT.Tr.Rail.Passenger.MTU</t>
  </si>
  <si>
    <t>EMIint.gCO2_per_pkm.PT.Tr.Rail.Passenger.CPT</t>
  </si>
  <si>
    <t>EMIint.gCO2_per_pkm.PT.Tr.Rail.Passenger.HST</t>
  </si>
  <si>
    <t>EMIint.gCO2_per_tkm.PT.Tr</t>
  </si>
  <si>
    <t>EMIint.gCO2_per_tkm.PT.Tr.Road.Freight</t>
  </si>
  <si>
    <t>EMIint.gCO2_per_tkm.PT.Tr.Road.Freight.LCV</t>
  </si>
  <si>
    <t>EMIint.gCO2_per_tkm.PT.Tr.Road.Freight.HGV_All</t>
  </si>
  <si>
    <t>EMIint.gCO2_per_tkm.PT.Tr.Rail.Freight</t>
  </si>
  <si>
    <t>EMIint.gCO2_per_tkm.PT.Tr.DNavi.Freight</t>
  </si>
  <si>
    <t>EMIint.gCO2_per_tkm.PT.Tr.DNavi.Freight.DCS</t>
  </si>
  <si>
    <t>EMIint.gCO2_per_tkm.PT.Tr.DNavi.Freight.IWW</t>
  </si>
  <si>
    <t>EMIint.gCO2_per_tkm.PT.MBunk.Freight</t>
  </si>
  <si>
    <t>EMIint.gCO2_per_tkm.PT.MBunk.Freight.IntraEEA</t>
  </si>
  <si>
    <t>EMIint.gCO2_per_tkm.PT.MBunk.Freight.ExtraEEA</t>
  </si>
  <si>
    <t>Road transport - PT - Portugal</t>
  </si>
  <si>
    <t>Activity.Mpkm.PT.Tr.Road.Passenger.Car.ICE.Gasoline</t>
  </si>
  <si>
    <t>Activity.Mpkm.PT.Tr.Road.Passenger.Car.ICE.Diesel</t>
  </si>
  <si>
    <t>Activity.Mpkm.PT.Tr.Road.Passenger.Car.ICE.LPG</t>
  </si>
  <si>
    <t>Activity.Mpkm.PT.Tr.Road.Passenger.Car.ICE.NGas</t>
  </si>
  <si>
    <t>Activity.Mpkm.PT.Tr.Road.Passenger.Car.PHEV.Gasoline</t>
  </si>
  <si>
    <t>Activity.Mpkm.PT.Tr.Road.Passenger.Car.BEV</t>
  </si>
  <si>
    <t>Activity.Mpkm.PT.Tr.Road.Passenger.Bus.ICE.Gasoline</t>
  </si>
  <si>
    <t>Activity.Mpkm.PT.Tr.Road.Passenger.Bus.ICE.Diesel</t>
  </si>
  <si>
    <t>Activity.Mpkm.PT.Tr.Road.Passenger.Bus.ICE.LPG</t>
  </si>
  <si>
    <t>Activity.Mpkm.PT.Tr.Road.Passenger.Bus.ICE.NGas</t>
  </si>
  <si>
    <t>Activity.Mpkm.PT.Tr.Road.Passenger.Bus.BEV</t>
  </si>
  <si>
    <t>Activity.Mtkm.PT.Tr.Road.Freight.LCV.ICE.Gasoline</t>
  </si>
  <si>
    <t>Activity.Mtkm.PT.Tr.Road.Freight.LCV.ICE.Diesel</t>
  </si>
  <si>
    <t>Activity.Mtkm.PT.Tr.Road.Freight.LCV.ICE.LPG</t>
  </si>
  <si>
    <t>Activity.Mtkm.PT.Tr.Road.Freight.LCV.ICE.NGas</t>
  </si>
  <si>
    <t>Activity.Mtkm.PT.Tr.Road.Freight.LCV.BEV</t>
  </si>
  <si>
    <t>Activity.Mtkm.PT.Tr.Road.Freight.HGV_Domestic</t>
  </si>
  <si>
    <t>Activity.Mtkm.PT.Tr.Road.Freight.HGV_International</t>
  </si>
  <si>
    <t>VehicleKm.Mkm.PT.Tr.Road</t>
  </si>
  <si>
    <t>VehicleKm.Mkm.PT.Tr.Road.Passenger</t>
  </si>
  <si>
    <t>VehicleKm.Mkm.PT.Tr.Road.Passenger.P2W</t>
  </si>
  <si>
    <t>VehicleKm.Mkm.PT.Tr.Road.Passenger.Car</t>
  </si>
  <si>
    <t>VehicleKm.Mkm.PT.Tr.Road.Passenger.Car.ICE.Gasoline</t>
  </si>
  <si>
    <t>VehicleKm.Mkm.PT.Tr.Road.Passenger.Car.ICE.Diesel</t>
  </si>
  <si>
    <t>VehicleKm.Mkm.PT.Tr.Road.Passenger.Car.ICE.LPG</t>
  </si>
  <si>
    <t>VehicleKm.Mkm.PT.Tr.Road.Passenger.Car.ICE.NGas</t>
  </si>
  <si>
    <t>VehicleKm.Mkm.PT.Tr.Road.Passenger.Car.PHEV.Gasoline</t>
  </si>
  <si>
    <t>VehicleKm.Mkm.PT.Tr.Road.Passenger.Car.BEV</t>
  </si>
  <si>
    <t>VehicleKm.Mkm.PT.Tr.Road.Passenger.Bus</t>
  </si>
  <si>
    <t>VehicleKm.Mkm.PT.Tr.Road.Passenger.Bus.ICE.Gasoline</t>
  </si>
  <si>
    <t>VehicleKm.Mkm.PT.Tr.Road.Passenger.Bus.ICE.Diesel</t>
  </si>
  <si>
    <t>VehicleKm.Mkm.PT.Tr.Road.Passenger.Bus.ICE.LPG</t>
  </si>
  <si>
    <t>VehicleKm.Mkm.PT.Tr.Road.Passenger.Bus.ICE.NGas</t>
  </si>
  <si>
    <t>VehicleKm.Mkm.PT.Tr.Road.Passenger.Bus.BEV</t>
  </si>
  <si>
    <t>VehicleKm.Mkm.PT.Tr.Road.Freight</t>
  </si>
  <si>
    <t>VehicleKm.Mkm.PT.Tr.Road.Freight.LCV</t>
  </si>
  <si>
    <t>VehicleKm.Mkm.PT.Tr.Road.Freight.LCV.ICE.Gasoline</t>
  </si>
  <si>
    <t>VehicleKm.Mkm.PT.Tr.Road.Freight.LCV.ICE.Diesel</t>
  </si>
  <si>
    <t>VehicleKm.Mkm.PT.Tr.Road.Freight.LCV.ICE.LPG</t>
  </si>
  <si>
    <t>VehicleKm.Mkm.PT.Tr.Road.Freight.LCV.ICE.NGas</t>
  </si>
  <si>
    <t>VehicleKm.Mkm.PT.Tr.Road.Freight.LCV.BEV</t>
  </si>
  <si>
    <t>VehicleKm.Mkm.PT.Tr.Road.Freight.HGV_All</t>
  </si>
  <si>
    <t>VehicleKm.Mkm.PT.Tr.Road.Freight.HGV_Domestic</t>
  </si>
  <si>
    <t>VehicleKm.Mkm.PT.Tr.Road.Freight.HGV_International</t>
  </si>
  <si>
    <t>Stock.number.PT.Tr.Road</t>
  </si>
  <si>
    <t>Stock.number.PT.Tr.Road.Passenger</t>
  </si>
  <si>
    <t>Stock.number.PT.Tr.Road.Passenger.P2W</t>
  </si>
  <si>
    <t>Stock.number.PT.Tr.Road.Passenger.Car</t>
  </si>
  <si>
    <t>Stock.number.PT.Tr.Road.Passenger.Car.ICE.Gasoline</t>
  </si>
  <si>
    <t>Stock.number.PT.Tr.Road.Passenger.Car.ICE.Diesel</t>
  </si>
  <si>
    <t>Stock.number.PT.Tr.Road.Passenger.Car.ICE.LPG</t>
  </si>
  <si>
    <t>Stock.number.PT.Tr.Road.Passenger.Car.ICE.NGas</t>
  </si>
  <si>
    <t>Stock.number.PT.Tr.Road.Passenger.Car.PHEV.Gasoline</t>
  </si>
  <si>
    <t>Stock.number.PT.Tr.Road.Passenger.Car.BEV</t>
  </si>
  <si>
    <t>Stock.number.PT.Tr.Road.Passenger.Bus</t>
  </si>
  <si>
    <t>Stock.number.PT.Tr.Road.Passenger.Bus.ICE.Gasoline</t>
  </si>
  <si>
    <t>Stock.number.PT.Tr.Road.Passenger.Bus.ICE.Diesel</t>
  </si>
  <si>
    <t>Stock.number.PT.Tr.Road.Passenger.Bus.ICE.LPG</t>
  </si>
  <si>
    <t>Stock.number.PT.Tr.Road.Passenger.Bus.ICE.NGas</t>
  </si>
  <si>
    <t>Stock.number.PT.Tr.Road.Passenger.Bus.BEV</t>
  </si>
  <si>
    <t>Stock.number.PT.Tr.Road.Freight</t>
  </si>
  <si>
    <t>Stock.number.PT.Tr.Road.Freight.LCV</t>
  </si>
  <si>
    <t>Stock.number.PT.Tr.Road.Freight.LCV.ICE.Gasoline</t>
  </si>
  <si>
    <t>Stock.number.PT.Tr.Road.Freight.LCV.ICE.Diesel</t>
  </si>
  <si>
    <t>Stock.number.PT.Tr.Road.Freight.LCV.ICE.LPG</t>
  </si>
  <si>
    <t>Stock.number.PT.Tr.Road.Freight.LCV.ICE.NGas</t>
  </si>
  <si>
    <t>Stock.number.PT.Tr.Road.Freight.LCV.BEV</t>
  </si>
  <si>
    <t>Stock.number.PT.Tr.Road.Freight.HGV_All</t>
  </si>
  <si>
    <t>Stock.number.PT.Tr.Road.Freight.HGV_Domestic</t>
  </si>
  <si>
    <t>Stock.number.PT.Tr.Road.Freight.HGV_International</t>
  </si>
  <si>
    <t>StockNew.number.PT.Tr.Road</t>
  </si>
  <si>
    <t>StockNew.number.PT.Tr.Road.Passenger</t>
  </si>
  <si>
    <t>StockNew.number.PT.Tr.Road.Passenger.P2W</t>
  </si>
  <si>
    <t>StockNew.number.PT.Tr.Road.Passenger.Car</t>
  </si>
  <si>
    <t>StockNew.number.PT.Tr.Road.Passenger.Car.ICE.Gasoline</t>
  </si>
  <si>
    <t>StockNew.number.PT.Tr.Road.Passenger.Car.ICE.Diesel</t>
  </si>
  <si>
    <t>StockNew.number.PT.Tr.Road.Passenger.Car.ICE.LPG</t>
  </si>
  <si>
    <t>StockNew.number.PT.Tr.Road.Passenger.Car.ICE.NGas</t>
  </si>
  <si>
    <t>StockNew.number.PT.Tr.Road.Passenger.Car.PHEV.Gasoline</t>
  </si>
  <si>
    <t>StockNew.number.PT.Tr.Road.Passenger.Car.BEV</t>
  </si>
  <si>
    <t>StockNew.number.PT.Tr.Road.Passenger.Bus</t>
  </si>
  <si>
    <t>StockNew.number.PT.Tr.Road.Passenger.Bus.ICE.Gasoline</t>
  </si>
  <si>
    <t>StockNew.number.PT.Tr.Road.Passenger.Bus.ICE.Diesel</t>
  </si>
  <si>
    <t>StockNew.number.PT.Tr.Road.Passenger.Bus.ICE.LPG</t>
  </si>
  <si>
    <t>StockNew.number.PT.Tr.Road.Passenger.Bus.ICE.NGas</t>
  </si>
  <si>
    <t>StockNew.number.PT.Tr.Road.Passenger.Bus.BEV</t>
  </si>
  <si>
    <t>StockNew.number.PT.Tr.Road.Freight</t>
  </si>
  <si>
    <t>StockNew.number.PT.Tr.Road.Freight.LCV</t>
  </si>
  <si>
    <t>StockNew.number.PT.Tr.Road.Freight.LCV.ICE.Gasoline</t>
  </si>
  <si>
    <t>StockNew.number.PT.Tr.Road.Freight.LCV.ICE.Diesel</t>
  </si>
  <si>
    <t>StockNew.number.PT.Tr.Road.Freight.LCV.ICE.LPG</t>
  </si>
  <si>
    <t>StockNew.number.PT.Tr.Road.Freight.LCV.ICE.NGas</t>
  </si>
  <si>
    <t>StockNew.number.PT.Tr.Road.Freight.LCV.BEV</t>
  </si>
  <si>
    <t>StockNew.number.PT.Tr.Road.Freight.HGV_All</t>
  </si>
  <si>
    <t>StockNew.number.PT.Tr.Road.Freight.HGV_Domestic</t>
  </si>
  <si>
    <t>StockNew.number.PT.Tr.Road.Freight.HGV_International</t>
  </si>
  <si>
    <t>Load.passenger_per_movement.PT.Tr.Road.Passenger</t>
  </si>
  <si>
    <t>Load.passenger_per_movement.PT.Tr.Road.Passenger.P2W</t>
  </si>
  <si>
    <t>Load.passenger_per_movement.PT.Tr.Road.Passenger.Car</t>
  </si>
  <si>
    <t>Load.passenger_per_movement.PT.Tr.Road.Passenger.Car.ICE.Gasoline</t>
  </si>
  <si>
    <t>Load.passenger_per_movement.PT.Tr.Road.Passenger.Car.ICE.Diesel</t>
  </si>
  <si>
    <t>Load.passenger_per_movement.PT.Tr.Road.Passenger.Car.ICE.LPG</t>
  </si>
  <si>
    <t>Load.passenger_per_movement.PT.Tr.Road.Passenger.Car.ICE.NGas</t>
  </si>
  <si>
    <t>Load.passenger_per_movement.PT.Tr.Road.Passenger.Car.PHEV.Gasoline</t>
  </si>
  <si>
    <t>Load.passenger_per_movement.PT.Tr.Road.Passenger.Car.BEV</t>
  </si>
  <si>
    <t>Load.passenger_per_movement.PT.Tr.Road.Passenger.Bus</t>
  </si>
  <si>
    <t>Load.passenger_per_movement.PT.Tr.Road.Passenger.Bus.ICE.Gasoline</t>
  </si>
  <si>
    <t>Load.passenger_per_movement.PT.Tr.Road.Passenger.Bus.ICE.Diesel</t>
  </si>
  <si>
    <t>Load.passenger_per_movement.PT.Tr.Road.Passenger.Bus.ICE.LPG</t>
  </si>
  <si>
    <t>Load.passenger_per_movement.PT.Tr.Road.Passenger.Bus.ICE.NGas</t>
  </si>
  <si>
    <t>Load.passenger_per_movement.PT.Tr.Road.Passenger.Bus.BEV</t>
  </si>
  <si>
    <t>Load.t_per_movement.PT.Tr.Road.Freight</t>
  </si>
  <si>
    <t>Load.t_per_movement.PT.Tr.Road.Freight.LCV</t>
  </si>
  <si>
    <t>Load.t_per_movement.PT.Tr.Road.Freight.LCV.ICE.Gasoline</t>
  </si>
  <si>
    <t>Load.t_per_movement.PT.Tr.Road.Freight.LCV.ICE.Diesel</t>
  </si>
  <si>
    <t>Load.t_per_movement.PT.Tr.Road.Freight.LCV.ICE.LPG</t>
  </si>
  <si>
    <t>Load.t_per_movement.PT.Tr.Road.Freight.LCV.ICE.NGas</t>
  </si>
  <si>
    <t>Load.t_per_movement.PT.Tr.Road.Freight.LCV.BEV</t>
  </si>
  <si>
    <t>Load.t_per_movement.PT.Tr.Road.Freight.HGV_All</t>
  </si>
  <si>
    <t>Load.t_per_movement.PT.Tr.Road.Freight.HGV_Domestic</t>
  </si>
  <si>
    <t>Load.t_per_movement.PT.Tr.Road.Freight.HGV_International</t>
  </si>
  <si>
    <t>VehicleKm_per_vehicle.km.PT.Tr.Road</t>
  </si>
  <si>
    <t>VehicleKm_per_vehicle.km.PT.Tr.Road.Passenger</t>
  </si>
  <si>
    <t>VehicleKm_per_vehicle.km.PT.Tr.Road.Passenger.P2W</t>
  </si>
  <si>
    <t>VehicleKm_per_vehicle.km.PT.Tr.Road.Passenger.Car</t>
  </si>
  <si>
    <t>VehicleKm_per_vehicle.km.PT.Tr.Road.Passenger.Car.ICE.Gasoline</t>
  </si>
  <si>
    <t>VehicleKm_per_vehicle.km.PT.Tr.Road.Passenger.Car.ICE.Diesel</t>
  </si>
  <si>
    <t>VehicleKm_per_vehicle.km.PT.Tr.Road.Passenger.Car.ICE.LPG</t>
  </si>
  <si>
    <t>VehicleKm_per_vehicle.km.PT.Tr.Road.Passenger.Car.ICE.NGas</t>
  </si>
  <si>
    <t>VehicleKm_per_vehicle.km.PT.Tr.Road.Passenger.Car.PHEV.Gasoline</t>
  </si>
  <si>
    <t>VehicleKm_per_vehicle.km.PT.Tr.Road.Passenger.Car.BEV</t>
  </si>
  <si>
    <t>VehicleKm_per_vehicle.km.PT.Tr.Road.Passenger.Bus</t>
  </si>
  <si>
    <t>VehicleKm_per_vehicle.km.PT.Tr.Road.Passenger.Bus.ICE.Gasoline</t>
  </si>
  <si>
    <t>VehicleKm_per_vehicle.km.PT.Tr.Road.Passenger.Bus.ICE.Diesel</t>
  </si>
  <si>
    <t>VehicleKm_per_vehicle.km.PT.Tr.Road.Passenger.Bus.ICE.LPG</t>
  </si>
  <si>
    <t>VehicleKm_per_vehicle.km.PT.Tr.Road.Passenger.Bus.ICE.NGas</t>
  </si>
  <si>
    <t>VehicleKm_per_vehicle.km.PT.Tr.Road.Passenger.Bus.BEV</t>
  </si>
  <si>
    <t>VehicleKm_per_vehicle.km.PT.Tr.Road.Freight</t>
  </si>
  <si>
    <t>VehicleKm_per_vehicle.km.PT.Tr.Road.Freight.LCV</t>
  </si>
  <si>
    <t>VehicleKm_per_vehicle.km.PT.Tr.Road.Freight.LCV.ICE.Gasoline</t>
  </si>
  <si>
    <t>VehicleKm_per_vehicle.km.PT.Tr.Road.Freight.LCV.ICE.Diesel</t>
  </si>
  <si>
    <t>VehicleKm_per_vehicle.km.PT.Tr.Road.Freight.LCV.ICE.LPG</t>
  </si>
  <si>
    <t>VehicleKm_per_vehicle.km.PT.Tr.Road.Freight.LCV.ICE.NGas</t>
  </si>
  <si>
    <t>VehicleKm_per_vehicle.km.PT.Tr.Road.Freight.LCV.BEV</t>
  </si>
  <si>
    <t>VehicleKm_per_vehicle.km.PT.Tr.Road.Freight.HGV_All</t>
  </si>
  <si>
    <t>VehicleKm_per_vehicle.km.PT.Tr.Road.Freight.HGV_Domestic</t>
  </si>
  <si>
    <t>VehicleKm_per_vehicle.km.PT.Tr.Road.Freight.HGV_International</t>
  </si>
  <si>
    <t>Activity_per_vehicle.pkm.PT.Tr.Road.Passenger</t>
  </si>
  <si>
    <t>Activity_per_vehicle.pkm.PT.Tr.Road.Passenger.P2W</t>
  </si>
  <si>
    <t>Activity_per_vehicle.pkm.PT.Tr.Road.Passenger.Car</t>
  </si>
  <si>
    <t>Activity_per_vehicle.pkm.PT.Tr.Road.Passenger.Car.ICE.Gasoline</t>
  </si>
  <si>
    <t>Activity_per_vehicle.pkm.PT.Tr.Road.Passenger.Car.ICE.Diesel</t>
  </si>
  <si>
    <t>Activity_per_vehicle.pkm.PT.Tr.Road.Passenger.Car.ICE.LPG</t>
  </si>
  <si>
    <t>Activity_per_vehicle.pkm.PT.Tr.Road.Passenger.Car.ICE.NGas</t>
  </si>
  <si>
    <t>Activity_per_vehicle.pkm.PT.Tr.Road.Passenger.Car.PHEV.Gasoline</t>
  </si>
  <si>
    <t>Activity_per_vehicle.pkm.PT.Tr.Road.Passenger.Car.BEV</t>
  </si>
  <si>
    <t>Activity_per_vehicle.pkm.PT.Tr.Road.Passenger.Bus</t>
  </si>
  <si>
    <t>Activity_per_vehicle.pkm.PT.Tr.Road.Passenger.Bus.ICE.Gasoline</t>
  </si>
  <si>
    <t>Activity_per_vehicle.pkm.PT.Tr.Road.Passenger.Bus.ICE.Diesel</t>
  </si>
  <si>
    <t>Activity_per_vehicle.pkm.PT.Tr.Road.Passenger.Bus.ICE.LPG</t>
  </si>
  <si>
    <t>Activity_per_vehicle.pkm.PT.Tr.Road.Passenger.Bus.ICE.NGas</t>
  </si>
  <si>
    <t>Activity_per_vehicle.pkm.PT.Tr.Road.Passenger.Bus.BEV</t>
  </si>
  <si>
    <t>Activity_per_vehicle.tkm.PT.Tr.Road.Freight</t>
  </si>
  <si>
    <t>Activity_per_vehicle.tkm.PT.Tr.Road.Freight.LCV</t>
  </si>
  <si>
    <t>Activity_per_vehicle.tkm.PT.Tr.Road.Freight.LCV.ICE.Gasoline</t>
  </si>
  <si>
    <t>Activity_per_vehicle.tkm.PT.Tr.Road.Freight.LCV.ICE.Diesel</t>
  </si>
  <si>
    <t>Activity_per_vehicle.tkm.PT.Tr.Road.Freight.LCV.ICE.LPG</t>
  </si>
  <si>
    <t>Activity_per_vehicle.tkm.PT.Tr.Road.Freight.LCV.ICE.NGas</t>
  </si>
  <si>
    <t>Activity_per_vehicle.tkm.PT.Tr.Road.Freight.LCV.BEV</t>
  </si>
  <si>
    <t>Activity_per_vehicle.tkm.PT.Tr.Road.Freight.HGV_All</t>
  </si>
  <si>
    <t>Activity_per_vehicle.tkm.PT.Tr.Road.Freight.HGV_Domestic</t>
  </si>
  <si>
    <t>Activity_per_vehicle.tkm.PT.Tr.Road.Freight.HGV_International</t>
  </si>
  <si>
    <t>Road transport / energy consumption - PT - Portugal</t>
  </si>
  <si>
    <t>FEC.ktoe.PT.ES.Tr.Road</t>
  </si>
  <si>
    <t>FEC.ktoe.PT.ES.Tr.Road.LPG</t>
  </si>
  <si>
    <t>FEC.ktoe.PT.ES.Tr.Road.Gasoline</t>
  </si>
  <si>
    <t>FEC.ktoe.PT.ES.Tr.Road.Diesel</t>
  </si>
  <si>
    <t>FEC.ktoe.PT.ES.Tr.Road.NG</t>
  </si>
  <si>
    <t>FEC.ktoe.PT.ES.Tr.Road.Biogas</t>
  </si>
  <si>
    <t>FEC.ktoe.PT.ES.Tr.Road.Biogasoline</t>
  </si>
  <si>
    <t>FEC.ktoe.PT.ES.Tr.Road.Biodiesel</t>
  </si>
  <si>
    <t>FEC.ktoe.PT.ES.Tr.Road.OthLiqBio</t>
  </si>
  <si>
    <t>FEC.ktoe.PT.ES.Tr.Road.Elec</t>
  </si>
  <si>
    <t>FEC.ktoe.PT.Tr.Road</t>
  </si>
  <si>
    <t>FEC.ktoe.PT.Tr.Road.Passenger.P2W.Total.Total.Biogasoline</t>
  </si>
  <si>
    <t>FEC.ktoe.PT.Tr.Road.Passenger.Car.ICE.Gasoline</t>
  </si>
  <si>
    <t>FEC.ktoe.PT.Tr.Road.Passenger.Car.ICE.Gasoline.Biogasoline</t>
  </si>
  <si>
    <t>FEC.ktoe.PT.Tr.Road.Passenger.Car.ICE.Diesel</t>
  </si>
  <si>
    <t>FEC.ktoe.PT.Tr.Road.Passenger.Car.ICE.Diesel.BioDiesel_OthLiqBio</t>
  </si>
  <si>
    <t>FEC.ktoe.PT.Tr.Road.Passenger.Car.ICE.LPG</t>
  </si>
  <si>
    <t>FEC.ktoe.PT.Tr.Road.Passenger.Car.ICE.NGas</t>
  </si>
  <si>
    <t>FEC.ktoe.PT.Tr.Road.Passenger.Car.ICE.NGas.Biogas</t>
  </si>
  <si>
    <t>FEC.ktoe.PT.Tr.Road.Passenger.Car.PHEV.Gasoline</t>
  </si>
  <si>
    <t>FEC.ktoe.PT.Tr.Road.Passenger.Car.PHEV.Gasoline.Biogasoline</t>
  </si>
  <si>
    <t>FEC.ktoe.PT.Tr.Road.Passenger.Car.PHEV.Gasoline.Elec</t>
  </si>
  <si>
    <t>FEC.ktoe.PT.Tr.Road.Passenger.Car.BEV</t>
  </si>
  <si>
    <t>FEC.ktoe.PT.Tr.Road.Passenger.Bus.ICE.Gasoline</t>
  </si>
  <si>
    <t>FEC.ktoe.PT.Tr.Road.Passenger.Bus.ICE.Gasoline.Biogasoline</t>
  </si>
  <si>
    <t>FEC.ktoe.PT.Tr.Road.Passenger.Bus.ICE.Diesel</t>
  </si>
  <si>
    <t>FEC.ktoe.PT.Tr.Road.Passenger.Bus.ICE.Diesel.BioDiesel_OthLiqBio</t>
  </si>
  <si>
    <t>FEC.ktoe.PT.Tr.Road.Passenger.Bus.ICE.LPG</t>
  </si>
  <si>
    <t>FEC.ktoe.PT.Tr.Road.Passenger.Bus.ICE.NGas</t>
  </si>
  <si>
    <t>FEC.ktoe.PT.Tr.Road.Passenger.Bus.ICE.NGas.Biogas</t>
  </si>
  <si>
    <t>FEC.ktoe.PT.Tr.Road.Passenger.Bus.BEV</t>
  </si>
  <si>
    <t>FEC.ktoe.PT.Tr.Road.Freight.LCV.ICE.Gasoline</t>
  </si>
  <si>
    <t>FEC.ktoe.PT.Tr.Road.Freight.LCV.ICE.Gasoline.Biogasoline</t>
  </si>
  <si>
    <t>FEC.ktoe.PT.Tr.Road.Freight.LCV.ICE.Diesel</t>
  </si>
  <si>
    <t>FEC.ktoe.PT.Tr.Road.Freight.LCV.ICE.Diesel.BioDiesel_OthLiqBio</t>
  </si>
  <si>
    <t>FEC.ktoe.PT.Tr.Road.Freight.LCV.ICE.LPG</t>
  </si>
  <si>
    <t>FEC.ktoe.PT.Tr.Road.Freight.LCV.ICE.NGas</t>
  </si>
  <si>
    <t>FEC.ktoe.PT.Tr.Road.Freight.LCV.ICE.NGas.Biogas</t>
  </si>
  <si>
    <t>FEC.ktoe.PT.Tr.Road.Freight.LCV.BEV</t>
  </si>
  <si>
    <t>FEC.ktoe.PT.Tr.Road.Freight.HGV_Domestic</t>
  </si>
  <si>
    <t>FEC.ktoe.PT.Tr.Road.Freight.HGV_Domestic.Total.Total.BioDiesel_OthLiqBio</t>
  </si>
  <si>
    <t>FEC.ktoe.PT.Tr.Road.Freight.HGV_International</t>
  </si>
  <si>
    <t>FEC.ktoe.PT.Tr.Road.Freight.HGV_International.Total.Total.BioDiesel_OthLiqBio</t>
  </si>
  <si>
    <t>Eff.kgoe_per_100km.PT.Tr.Road</t>
  </si>
  <si>
    <t>Eff.kgoe_per_100km.PT.Tr.Road.Passenger</t>
  </si>
  <si>
    <t>Eff.kgoe_per_100km.PT.Tr.Road.Passenger.P2W</t>
  </si>
  <si>
    <t>Eff.kgoe_per_100km.PT.Tr.Road.Passenger.Car</t>
  </si>
  <si>
    <t>Eff.kgoe_per_100km.PT.Tr.Road.Passenger.Car.ICE.Gasoline</t>
  </si>
  <si>
    <t>Eff.kgoe_per_100km.PT.Tr.Road.Passenger.Car.ICE.Diesel</t>
  </si>
  <si>
    <t>Eff.kgoe_per_100km.PT.Tr.Road.Passenger.Car.ICE.LPG</t>
  </si>
  <si>
    <t>Eff.kgoe_per_100km.PT.Tr.Road.Passenger.Car.ICE.NGas</t>
  </si>
  <si>
    <t>Eff.kgoe_per_100km.PT.Tr.Road.Passenger.Car.PHEV.Gasoline</t>
  </si>
  <si>
    <t>Eff.kgoe_per_100km.PT.Tr.Road.Passenger.Car.BEV</t>
  </si>
  <si>
    <t>Eff.kgoe_per_100km.PT.Tr.Road.Passenger.Bus</t>
  </si>
  <si>
    <t>Eff.kgoe_per_100km.PT.Tr.Road.Passenger.Bus.ICE.Gasoline</t>
  </si>
  <si>
    <t>Eff.kgoe_per_100km.PT.Tr.Road.Passenger.Bus.ICE.Diesel</t>
  </si>
  <si>
    <t>Eff.kgoe_per_100km.PT.Tr.Road.Passenger.Bus.ICE.LPG</t>
  </si>
  <si>
    <t>Eff.kgoe_per_100km.PT.Tr.Road.Passenger.Bus.ICE.NGas</t>
  </si>
  <si>
    <t>Eff.kgoe_per_100km.PT.Tr.Road.Passenger.Bus.BEV</t>
  </si>
  <si>
    <t>Eff.kgoe_per_100km.PT.Tr.Road.Freight</t>
  </si>
  <si>
    <t>Eff.kgoe_per_100km.PT.Tr.Road.Freight.LCV</t>
  </si>
  <si>
    <t>Eff.kgoe_per_100km.PT.Tr.Road.Freight.LCV.ICE.Gasoline</t>
  </si>
  <si>
    <t>Eff.kgoe_per_100km.PT.Tr.Road.Freight.LCV.ICE.Diesel</t>
  </si>
  <si>
    <t>Eff.kgoe_per_100km.PT.Tr.Road.Freight.LCV.ICE.LPG</t>
  </si>
  <si>
    <t>Eff.kgoe_per_100km.PT.Tr.Road.Freight.LCV.ICE.NGas</t>
  </si>
  <si>
    <t>Eff.kgoe_per_100km.PT.Tr.Road.Freight.LCV.BEV</t>
  </si>
  <si>
    <t>Eff.kgoe_per_100km.PT.Tr.Road.Freight.HGV_All</t>
  </si>
  <si>
    <t>Eff.kgoe_per_100km.PT.Tr.Road.Freight.HGV_Domestic</t>
  </si>
  <si>
    <t>Eff.kgoe_per_100km.PT.Tr.Road.Freight.HGV_International</t>
  </si>
  <si>
    <t>Eff.kgoe_per_kpkm.PT.Tr.Road.Passenger.Car.ICE.Gasoline</t>
  </si>
  <si>
    <t>Eff.kgoe_per_kpkm.PT.Tr.Road.Passenger.Car.ICE.Diesel</t>
  </si>
  <si>
    <t>Eff.kgoe_per_kpkm.PT.Tr.Road.Passenger.Car.ICE.LPG</t>
  </si>
  <si>
    <t>Eff.kgoe_per_kpkm.PT.Tr.Road.Passenger.Car.ICE.NGas</t>
  </si>
  <si>
    <t>Eff.kgoe_per_kpkm.PT.Tr.Road.Passenger.Car.PHEV.Gasoline</t>
  </si>
  <si>
    <t>Eff.kgoe_per_kpkm.PT.Tr.Road.Passenger.Car.BEV</t>
  </si>
  <si>
    <t>Eff.kgoe_per_kpkm.PT.Tr.Road.Passenger.Bus.ICE.Gasoline</t>
  </si>
  <si>
    <t>Eff.kgoe_per_kpkm.PT.Tr.Road.Passenger.Bus.ICE.Diesel</t>
  </si>
  <si>
    <t>Eff.kgoe_per_kpkm.PT.Tr.Road.Passenger.Bus.ICE.LPG</t>
  </si>
  <si>
    <t>Eff.kgoe_per_kpkm.PT.Tr.Road.Passenger.Bus.ICE.NGas</t>
  </si>
  <si>
    <t>Eff.kgoe_per_kpkm.PT.Tr.Road.Passenger.Bus.BEV</t>
  </si>
  <si>
    <t>Eff.kgoe_per_ktkm.PT.Tr.Road.Freight.LCV.ICE.Gasoline</t>
  </si>
  <si>
    <t>Eff.kgoe_per_ktkm.PT.Tr.Road.Freight.LCV.ICE.Diesel</t>
  </si>
  <si>
    <t>Eff.kgoe_per_ktkm.PT.Tr.Road.Freight.LCV.ICE.LPG</t>
  </si>
  <si>
    <t>Eff.kgoe_per_ktkm.PT.Tr.Road.Freight.LCV.ICE.NGas</t>
  </si>
  <si>
    <t>Eff.kgoe_per_ktkm.PT.Tr.Road.Freight.LCV.BEV</t>
  </si>
  <si>
    <t>Eff.kgoe_per_ktkm.PT.Tr.Road.Freight.HGV_Domestic</t>
  </si>
  <si>
    <t>Eff.kgoe_per_ktkm.PT.Tr.Road.Freight.HGV_International</t>
  </si>
  <si>
    <t>FEC_per_vehicle.kgoe.PT.Tr.Road.Passenger.P2W</t>
  </si>
  <si>
    <t>FEC_per_vehicle.kgoe.PT.Tr.Road.Passenger.Car</t>
  </si>
  <si>
    <t>FEC_per_vehicle.kgoe.PT.Tr.Road.Passenger.Car.ICE.Gasoline</t>
  </si>
  <si>
    <t>FEC_per_vehicle.kgoe.PT.Tr.Road.Passenger.Car.ICE.Diesel</t>
  </si>
  <si>
    <t>FEC_per_vehicle.kgoe.PT.Tr.Road.Passenger.Car.ICE.LPG</t>
  </si>
  <si>
    <t>FEC_per_vehicle.kgoe.PT.Tr.Road.Passenger.Car.ICE.NGas</t>
  </si>
  <si>
    <t>FEC_per_vehicle.kgoe.PT.Tr.Road.Passenger.Car.PHEV.Gasoline</t>
  </si>
  <si>
    <t>FEC_per_vehicle.kgoe.PT.Tr.Road.Passenger.Car.BEV</t>
  </si>
  <si>
    <t>FEC_per_vehicle.kgoe.PT.Tr.Road.Passenger.Bus</t>
  </si>
  <si>
    <t>FEC_per_vehicle.kgoe.PT.Tr.Road.Passenger.Bus.ICE.Gasoline</t>
  </si>
  <si>
    <t>FEC_per_vehicle.kgoe.PT.Tr.Road.Passenger.Bus.ICE.Diesel</t>
  </si>
  <si>
    <t>FEC_per_vehicle.kgoe.PT.Tr.Road.Passenger.Bus.ICE.LPG</t>
  </si>
  <si>
    <t>FEC_per_vehicle.kgoe.PT.Tr.Road.Passenger.Bus.ICE.NGas</t>
  </si>
  <si>
    <t>FEC_per_vehicle.kgoe.PT.Tr.Road.Passenger.Bus.BEV</t>
  </si>
  <si>
    <t>FEC_per_vehicle.kgoe.PT.Tr.Road.Freight.LCV</t>
  </si>
  <si>
    <t>FEC_per_vehicle.kgoe.PT.Tr.Road.Freight.LCV.ICE.Gasoline</t>
  </si>
  <si>
    <t>FEC_per_vehicle.kgoe.PT.Tr.Road.Freight.LCV.ICE.Diesel</t>
  </si>
  <si>
    <t>FEC_per_vehicle.kgoe.PT.Tr.Road.Freight.LCV.ICE.LPG</t>
  </si>
  <si>
    <t>FEC_per_vehicle.kgoe.PT.Tr.Road.Freight.LCV.ICE.NGas</t>
  </si>
  <si>
    <t>FEC_per_vehicle.kgoe.PT.Tr.Road.Freight.LCV.BEV</t>
  </si>
  <si>
    <t>FEC_per_vehicle.kgoe.PT.Tr.Road.Freight.HGV_All</t>
  </si>
  <si>
    <t>FEC_per_vehicle.kgoe.PT.Tr.Road.Freight.HGV_Domestic</t>
  </si>
  <si>
    <t>FEC_per_vehicle.kgoe.PT.Tr.Road.Freight.HGV_International</t>
  </si>
  <si>
    <t>Road transport / CO2 emissions - PT - Portugal</t>
  </si>
  <si>
    <t>EMI.ktCO2.PT.ES.Tr.Road</t>
  </si>
  <si>
    <t>EMI.ktCO2.PT.ES.Tr.Road.LPG</t>
  </si>
  <si>
    <t>EMI.ktCO2.PT.ES.Tr.Road.Gasoline</t>
  </si>
  <si>
    <t>EMI.ktCO2.PT.ES.Tr.Road.Diesel</t>
  </si>
  <si>
    <t>EMI.ktCO2.PT.ES.Tr.Road.NG</t>
  </si>
  <si>
    <t>EMI.ktCO2.PT.ES.Tr.Road.Biogas</t>
  </si>
  <si>
    <t>EMI.ktCO2.PT.ES.Tr.Road.Biogasoline</t>
  </si>
  <si>
    <t>EMI.ktCO2.PT.ES.Tr.Road.Biodiesel</t>
  </si>
  <si>
    <t>EMI.ktCO2.PT.ES.Tr.Road.OthLiqBio</t>
  </si>
  <si>
    <t>EMI.ktCO2.PT.ES.Tr.Road.Elec</t>
  </si>
  <si>
    <t>EMI.ktCO2.PT.Tr.Road</t>
  </si>
  <si>
    <t>EMI.ktCO2.PT.Tr.Road.Passenger.Car.ICE.Gasoline</t>
  </si>
  <si>
    <t>EMI.ktCO2.PT.Tr.Road.Passenger.Car.ICE.Diesel</t>
  </si>
  <si>
    <t>EMI.ktCO2.PT.Tr.Road.Passenger.Car.ICE.LPG</t>
  </si>
  <si>
    <t>EMI.ktCO2.PT.Tr.Road.Passenger.Car.ICE.NGas</t>
  </si>
  <si>
    <t>EMI.ktCO2.PT.Tr.Road.Passenger.Car.PHEV.Gasoline</t>
  </si>
  <si>
    <t>EMI.ktCO2.PT.Tr.Road.Passenger.Car.BEV</t>
  </si>
  <si>
    <t>EMI.ktCO2.PT.Tr.Road.Passenger.Bus.ICE.Gasoline</t>
  </si>
  <si>
    <t>EMI.ktCO2.PT.Tr.Road.Passenger.Bus.ICE.Diesel</t>
  </si>
  <si>
    <t>EMI.ktCO2.PT.Tr.Road.Passenger.Bus.ICE.LPG</t>
  </si>
  <si>
    <t>EMI.ktCO2.PT.Tr.Road.Passenger.Bus.ICE.NGas</t>
  </si>
  <si>
    <t>EMI.ktCO2.PT.Tr.Road.Passenger.Bus.BEV</t>
  </si>
  <si>
    <t>EMI.ktCO2.PT.Tr.Road.Freight.LCV.ICE.Gasoline</t>
  </si>
  <si>
    <t>EMI.ktCO2.PT.Tr.Road.Freight.LCV.ICE.Diesel</t>
  </si>
  <si>
    <t>EMI.ktCO2.PT.Tr.Road.Freight.LCV.ICE.LPG</t>
  </si>
  <si>
    <t>EMI.ktCO2.PT.Tr.Road.Freight.LCV.ICE.NGas</t>
  </si>
  <si>
    <t>EMI.ktCO2.PT.Tr.Road.Freight.LCV.BEV</t>
  </si>
  <si>
    <t>EMI.ktCO2.PT.Tr.Road.Freight.HGV_Domestic</t>
  </si>
  <si>
    <t>EMI.ktCO2.PT.Tr.Road.Freight.HGV_International</t>
  </si>
  <si>
    <t>EMIint.gCO2_per_km.PT.Tr.Road</t>
  </si>
  <si>
    <t>EMIint.gCO2_per_km.PT.Tr.Road.Passenger</t>
  </si>
  <si>
    <t>EMIint.gCO2_per_km.PT.Tr.Road.Passenger.P2W</t>
  </si>
  <si>
    <t>EMIint.gCO2_per_km.PT.Tr.Road.Passenger.Car</t>
  </si>
  <si>
    <t>EMIint.gCO2_per_km.PT.Tr.Road.Passenger.Car.ICE.Gasoline</t>
  </si>
  <si>
    <t>EMIint.gCO2_per_km.PT.Tr.Road.Passenger.Car.ICE.Diesel</t>
  </si>
  <si>
    <t>EMIint.gCO2_per_km.PT.Tr.Road.Passenger.Car.ICE.LPG</t>
  </si>
  <si>
    <t>EMIint.gCO2_per_km.PT.Tr.Road.Passenger.Car.ICE.NGas</t>
  </si>
  <si>
    <t>EMIint.gCO2_per_km.PT.Tr.Road.Passenger.Car.PHEV.Gasoline</t>
  </si>
  <si>
    <t>EMIint.gCO2_per_km.PT.Tr.Road.Passenger.Car.BEV</t>
  </si>
  <si>
    <t>EMIint.gCO2_per_km.PT.Tr.Road.Passenger.Bus</t>
  </si>
  <si>
    <t>EMIint.gCO2_per_km.PT.Tr.Road.Passenger.Bus.ICE.Gasoline</t>
  </si>
  <si>
    <t>EMIint.gCO2_per_km.PT.Tr.Road.Passenger.Bus.ICE.Diesel</t>
  </si>
  <si>
    <t>EMIint.gCO2_per_km.PT.Tr.Road.Passenger.Bus.ICE.LPG</t>
  </si>
  <si>
    <t>EMIint.gCO2_per_km.PT.Tr.Road.Passenger.Bus.ICE.NGas</t>
  </si>
  <si>
    <t>EMIint.gCO2_per_km.PT.Tr.Road.Passenger.Bus.BEV</t>
  </si>
  <si>
    <t>EMIint.gCO2_per_km.PT.Tr.Road.Freight</t>
  </si>
  <si>
    <t>EMIint.gCO2_per_km.PT.Tr.Road.Freight.LCV</t>
  </si>
  <si>
    <t>EMIint.gCO2_per_km.PT.Tr.Road.Freight.LCV.ICE.Gasoline</t>
  </si>
  <si>
    <t>EMIint.gCO2_per_km.PT.Tr.Road.Freight.LCV.ICE.Diesel</t>
  </si>
  <si>
    <t>EMIint.gCO2_per_km.PT.Tr.Road.Freight.LCV.ICE.LPG</t>
  </si>
  <si>
    <t>EMIint.gCO2_per_km.PT.Tr.Road.Freight.LCV.ICE.NGas</t>
  </si>
  <si>
    <t>EMIint.gCO2_per_km.PT.Tr.Road.Freight.LCV.BEV</t>
  </si>
  <si>
    <t>EMIint.gCO2_per_km.PT.Tr.Road.Freight.HGV_All</t>
  </si>
  <si>
    <t>EMIint.gCO2_per_km.PT.Tr.Road.Freight.HGV_Domestic</t>
  </si>
  <si>
    <t>EMIint.gCO2_per_km.PT.Tr.Road.Freight.HGV_International</t>
  </si>
  <si>
    <t>EMIint.gCO2_per_pkm.PT.Tr.Road.Passenger.Car.ICE.Gasoline</t>
  </si>
  <si>
    <t>EMIint.gCO2_per_pkm.PT.Tr.Road.Passenger.Car.ICE.Diesel</t>
  </si>
  <si>
    <t>EMIint.gCO2_per_pkm.PT.Tr.Road.Passenger.Car.ICE.LPG</t>
  </si>
  <si>
    <t>EMIint.gCO2_per_pkm.PT.Tr.Road.Passenger.Car.ICE.NGas</t>
  </si>
  <si>
    <t>EMIint.gCO2_per_pkm.PT.Tr.Road.Passenger.Car.PHEV.Gasoline</t>
  </si>
  <si>
    <t>EMIint.gCO2_per_pkm.PT.Tr.Road.Passenger.Car.BEV</t>
  </si>
  <si>
    <t>EMIint.gCO2_per_pkm.PT.Tr.Road.Passenger.Bus.ICE.Gasoline</t>
  </si>
  <si>
    <t>EMIint.gCO2_per_pkm.PT.Tr.Road.Passenger.Bus.ICE.Diesel</t>
  </si>
  <si>
    <t>EMIint.gCO2_per_pkm.PT.Tr.Road.Passenger.Bus.ICE.LPG</t>
  </si>
  <si>
    <t>EMIint.gCO2_per_pkm.PT.Tr.Road.Passenger.Bus.ICE.NGas</t>
  </si>
  <si>
    <t>EMIint.gCO2_per_pkm.PT.Tr.Road.Passenger.Bus.BEV</t>
  </si>
  <si>
    <t>EMIint.gCO2_per_tkm.PT.Tr.Road.Freight.LCV.ICE.Gasoline</t>
  </si>
  <si>
    <t>EMIint.gCO2_per_tkm.PT.Tr.Road.Freight.LCV.ICE.Diesel</t>
  </si>
  <si>
    <t>EMIint.gCO2_per_tkm.PT.Tr.Road.Freight.LCV.ICE.LPG</t>
  </si>
  <si>
    <t>EMIint.gCO2_per_tkm.PT.Tr.Road.Freight.LCV.ICE.NGas</t>
  </si>
  <si>
    <t>EMIint.gCO2_per_tkm.PT.Tr.Road.Freight.LCV.BEV</t>
  </si>
  <si>
    <t>EMIint.gCO2_per_tkm.PT.Tr.Road.Freight.HGV_Domestic</t>
  </si>
  <si>
    <t>EMIint.gCO2_per_tkm.PT.Tr.Road.Freight.HGV_International</t>
  </si>
  <si>
    <t>EMI_per_vehicle.kgCO2.PT.Tr.Road.Passenger.P2W</t>
  </si>
  <si>
    <t>EMI_per_vehicle.kgCO2.PT.Tr.Road.Passenger.Car</t>
  </si>
  <si>
    <t>EMI_per_vehicle.kgCO2.PT.Tr.Road.Passenger.Car.ICE.Gasoline</t>
  </si>
  <si>
    <t>EMI_per_vehicle.kgCO2.PT.Tr.Road.Passenger.Car.ICE.Diesel</t>
  </si>
  <si>
    <t>EMI_per_vehicle.kgCO2.PT.Tr.Road.Passenger.Car.ICE.LPG</t>
  </si>
  <si>
    <t>EMI_per_vehicle.kgCO2.PT.Tr.Road.Passenger.Car.ICE.NGas</t>
  </si>
  <si>
    <t>EMI_per_vehicle.kgCO2.PT.Tr.Road.Passenger.Car.PHEV.Gasoline</t>
  </si>
  <si>
    <t>EMI_per_vehicle.kgCO2.PT.Tr.Road.Passenger.Car.BEV</t>
  </si>
  <si>
    <t>EMI_per_vehicle.kgCO2.PT.Tr.Road.Passenger.Bus</t>
  </si>
  <si>
    <t>EMI_per_vehicle.kgCO2.PT.Tr.Road.Passenger.Bus.ICE.Gasoline</t>
  </si>
  <si>
    <t>EMI_per_vehicle.kgCO2.PT.Tr.Road.Passenger.Bus.ICE.Diesel</t>
  </si>
  <si>
    <t>EMI_per_vehicle.kgCO2.PT.Tr.Road.Passenger.Bus.ICE.LPG</t>
  </si>
  <si>
    <t>EMI_per_vehicle.kgCO2.PT.Tr.Road.Passenger.Bus.ICE.NGas</t>
  </si>
  <si>
    <t>EMI_per_vehicle.kgCO2.PT.Tr.Road.Passenger.Bus.BEV</t>
  </si>
  <si>
    <t>EMI_per_vehicle.kgCO2.PT.Tr.Road.Freight.LCV</t>
  </si>
  <si>
    <t>EMI_per_vehicle.kgCO2.PT.Tr.Road.Freight.LCV.ICE.Gasoline</t>
  </si>
  <si>
    <t>EMI_per_vehicle.kgCO2.PT.Tr.Road.Freight.LCV.ICE.Diesel</t>
  </si>
  <si>
    <t>EMI_per_vehicle.kgCO2.PT.Tr.Road.Freight.LCV.ICE.LPG</t>
  </si>
  <si>
    <t>EMI_per_vehicle.kgCO2.PT.Tr.Road.Freight.LCV.ICE.NGas</t>
  </si>
  <si>
    <t>EMI_per_vehicle.kgCO2.PT.Tr.Road.Freight.LCV.BEV</t>
  </si>
  <si>
    <t>EMI_per_vehicle.kgCO2.PT.Tr.Road.Freight.HGV_All</t>
  </si>
  <si>
    <t>EMI_per_vehicle.kgCO2.PT.Tr.Road.Freight.HGV_Domestic</t>
  </si>
  <si>
    <t>EMI_per_vehicle.kgCO2.PT.Tr.Road.Freight.HGV_International</t>
  </si>
  <si>
    <t>Road transport / technologies - PT - Portugal</t>
  </si>
  <si>
    <t>Stock.number.PT.Tr.Road.Freight.HGV_all</t>
  </si>
  <si>
    <t>StockVin.number.PT.Tr.Road</t>
  </si>
  <si>
    <t>StockVin.number.PT.Tr.Road.Passenger</t>
  </si>
  <si>
    <t>StockVin.number.PT.Tr.Road.Passenger.P2W</t>
  </si>
  <si>
    <t>StockVin.number.PT.Tr.Road.Passenger.Car</t>
  </si>
  <si>
    <t>StockVin.number.PT.Tr.Road.Passenger.Car.ICE.Gasoline</t>
  </si>
  <si>
    <t>StockVin.number.PT.Tr.Road.Passenger.Car.ICE.Diesel</t>
  </si>
  <si>
    <t>StockVin.number.PT.Tr.Road.Passenger.Car.ICE.LPG</t>
  </si>
  <si>
    <t>StockVin.number.PT.Tr.Road.Passenger.Car.ICE.NGas</t>
  </si>
  <si>
    <t>StockVin.number.PT.Tr.Road.Passenger.Car.PHEV.Gasoline</t>
  </si>
  <si>
    <t>StockVin.number.PT.Tr.Road.Passenger.Car.BEV</t>
  </si>
  <si>
    <t>StockVin.number.PT.Tr.Road.Passenger.Bus</t>
  </si>
  <si>
    <t>StockVin.number.PT.Tr.Road.Passenger.Bus.ICE.Gasoline</t>
  </si>
  <si>
    <t>StockVin.number.PT.Tr.Road.Passenger.Bus.ICE.Diesel</t>
  </si>
  <si>
    <t>StockVin.number.PT.Tr.Road.Passenger.Bus.ICE.LPG</t>
  </si>
  <si>
    <t>StockVin.number.PT.Tr.Road.Passenger.Bus.ICE.NGas</t>
  </si>
  <si>
    <t>StockVin.number.PT.Tr.Road.Passenger.Bus.BEV</t>
  </si>
  <si>
    <t>StockVin.number.PT.Tr.Road.Freight</t>
  </si>
  <si>
    <t>StockVin.number.PT.Tr.Road.Freight.LCV</t>
  </si>
  <si>
    <t>StockVin.number.PT.Tr.Road.Freight.LCV.ICE.Gasoline</t>
  </si>
  <si>
    <t>StockVin.number.PT.Tr.Road.Freight.LCV.ICE.Diesel</t>
  </si>
  <si>
    <t>StockVin.number.PT.Tr.Road.Freight.LCV.ICE.LPG</t>
  </si>
  <si>
    <t>StockVin.number.PT.Tr.Road.Freight.LCV.ICE.NGas</t>
  </si>
  <si>
    <t>StockVin.number.PT.Tr.Road.Freight.LCV.BEV</t>
  </si>
  <si>
    <t>StockVin.number.PT.Tr.Road.Freight.HGV_All</t>
  </si>
  <si>
    <t>StockVin.number.PT.Tr.Road.Freight.HGV_Domestic</t>
  </si>
  <si>
    <t>StockVin.number.PT.Tr.Road.Freight.HGV_International</t>
  </si>
  <si>
    <t>Eff_test_stock.kgoe_per_100km.PT.Tr.Road.Passenger.P2W</t>
  </si>
  <si>
    <t>Eff_test_stock.kgoe_per_100km.PT.Tr.Road.Passenger.Car</t>
  </si>
  <si>
    <t>Eff_test_stock.kgoe_per_100km.PT.Tr.Road.Passenger.Car.ICE.Gasoline</t>
  </si>
  <si>
    <t>Eff_test_stock.kgoe_per_100km.PT.Tr.Road.Passenger.Car.ICE.Diesel</t>
  </si>
  <si>
    <t>Eff_test_stock.kgoe_per_100km.PT.Tr.Road.Passenger.Car.ICE.LPG</t>
  </si>
  <si>
    <t>Eff_test_stock.kgoe_per_100km.PT.Tr.Road.Passenger.Car.ICE.NGas</t>
  </si>
  <si>
    <t>Eff_test_stock.kgoe_per_100km.PT.Tr.Road.Passenger.Car.PHEV.Gasoline</t>
  </si>
  <si>
    <t>Eff_test_stock.kgoe_per_100km.PT.Tr.Road.Passenger.Car.BEV</t>
  </si>
  <si>
    <t>Eff_test_stock.kgoe_per_100km.PT.Tr.Road.Passenger.Bus</t>
  </si>
  <si>
    <t>Eff_test_stock.kgoe_per_100km.PT.Tr.Road.Passenger.Bus.ICE.Gasoline</t>
  </si>
  <si>
    <t>Eff_test_stock.kgoe_per_100km.PT.Tr.Road.Passenger.Bus.ICE.Diesel</t>
  </si>
  <si>
    <t>Eff_test_stock.kgoe_per_100km.PT.Tr.Road.Passenger.Bus.ICE.LPG</t>
  </si>
  <si>
    <t>Eff_test_stock.kgoe_per_100km.PT.Tr.Road.Passenger.Bus.ICE.NGas</t>
  </si>
  <si>
    <t>Eff_test_stock.kgoe_per_100km.PT.Tr.Road.Passenger.Bus.BEV</t>
  </si>
  <si>
    <t>Eff_test_stock.kgoe_per_100km.PT.Tr.Road.Freight.LCV</t>
  </si>
  <si>
    <t>Eff_test_stock.kgoe_per_100km.PT.Tr.Road.Freight.LCV.ICE.Gasoline</t>
  </si>
  <si>
    <t>Eff_test_stock.kgoe_per_100km.PT.Tr.Road.Freight.LCV.ICE.Diesel</t>
  </si>
  <si>
    <t>Eff_test_stock.kgoe_per_100km.PT.Tr.Road.Freight.LCV.ICE.LPG</t>
  </si>
  <si>
    <t>Eff_test_stock.kgoe_per_100km.PT.Tr.Road.Freight.LCV.ICE.NGas</t>
  </si>
  <si>
    <t>Eff_test_stock.kgoe_per_100km.PT.Tr.Road.Freight.LCV.BEV</t>
  </si>
  <si>
    <t>Eff_test_stock.kgoe_per_100km.PT.Tr.Road.Freight.HGV_All</t>
  </si>
  <si>
    <t>Eff_test_stock.kgoe_per_100km.PT.Tr.Road.Freight.HGV_Domestic</t>
  </si>
  <si>
    <t>Eff_test_stock.kgoe_per_100km.PT.Tr.Road.Freight.HGV_International</t>
  </si>
  <si>
    <t>Eff_test_new.kgoe_per_100km.PT.Tr.Road.Passenger.P2W</t>
  </si>
  <si>
    <t>Eff_test_new.kgoe_per_100km.PT.Tr.Road.Passenger.Car</t>
  </si>
  <si>
    <t>Eff_test_new.kgoe_per_100km.PT.Tr.Road.Passenger.Car.ICE.Gasoline</t>
  </si>
  <si>
    <t>Eff_test_new.kgoe_per_100km.PT.Tr.Road.Passenger.Car.ICE.Diesel</t>
  </si>
  <si>
    <t>Eff_test_new.kgoe_per_100km.PT.Tr.Road.Passenger.Car.ICE.LPG</t>
  </si>
  <si>
    <t>Eff_test_new.kgoe_per_100km.PT.Tr.Road.Passenger.Car.ICE.NGas</t>
  </si>
  <si>
    <t>Eff_test_new.kgoe_per_100km.PT.Tr.Road.Passenger.Car.PHEV.Gasoline</t>
  </si>
  <si>
    <t>Eff_test_new.kgoe_per_100km.PT.Tr.Road.Passenger.Car.BEV</t>
  </si>
  <si>
    <t>Eff_test_new.kgoe_per_100km.PT.Tr.Road.Passenger.Bus</t>
  </si>
  <si>
    <t>Eff_test_new.kgoe_per_100km.PT.Tr.Road.Passenger.Bus.ICE.Gasoline</t>
  </si>
  <si>
    <t>Eff_test_new.kgoe_per_100km.PT.Tr.Road.Passenger.Bus.ICE.Diesel</t>
  </si>
  <si>
    <t>Eff_test_new.kgoe_per_100km.PT.Tr.Road.Passenger.Bus.ICE.LPG</t>
  </si>
  <si>
    <t>Eff_test_new.kgoe_per_100km.PT.Tr.Road.Passenger.Bus.ICE.NGas</t>
  </si>
  <si>
    <t>Eff_test_new.kgoe_per_100km.PT.Tr.Road.Passenger.Bus.BEV</t>
  </si>
  <si>
    <t>Eff_test_new.kgoe_per_100km.PT.Tr.Road.Freight.LCV</t>
  </si>
  <si>
    <t>Eff_test_new.kgoe_per_100km.PT.Tr.Road.Freight.LCV.ICE.Gasoline</t>
  </si>
  <si>
    <t>Eff_test_new.kgoe_per_100km.PT.Tr.Road.Freight.LCV.ICE.Diesel</t>
  </si>
  <si>
    <t>Eff_test_new.kgoe_per_100km.PT.Tr.Road.Freight.LCV.ICE.LPG</t>
  </si>
  <si>
    <t>Eff_test_new.kgoe_per_100km.PT.Tr.Road.Freight.LCV.ICE.NGas</t>
  </si>
  <si>
    <t>Eff_test_new.kgoe_per_100km.PT.Tr.Road.Freight.LCV.BEV</t>
  </si>
  <si>
    <t>Eff_test_new.kgoe_per_100km.PT.Tr.Road.Freight.HGV_All</t>
  </si>
  <si>
    <t>Eff_test_new.kgoe_per_100km.PT.Tr.Road.Freight.HGV_Domestic</t>
  </si>
  <si>
    <t>Eff_test_new.kgoe_per_100km.PT.Tr.Road.Freight.HGV_International</t>
  </si>
  <si>
    <t>EMIint_test_stock.gCO2_per_km.PT.Tr.Road.Passenger.P2W</t>
  </si>
  <si>
    <t>EMIint_test_stock.gCO2_per_km.PT.Tr.Road.Passenger.Car</t>
  </si>
  <si>
    <t>EMIint_test_stock.gCO2_per_km.PT.Tr.Road.Passenger.Car.ICE.Gasoline</t>
  </si>
  <si>
    <t>EMIint_test_stock.gCO2_per_km.PT.Tr.Road.Passenger.Car.ICE.Diesel</t>
  </si>
  <si>
    <t>EMIint_test_stock.gCO2_per_km.PT.Tr.Road.Passenger.Car.ICE.LPG</t>
  </si>
  <si>
    <t>EMIint_test_stock.gCO2_per_km.PT.Tr.Road.Passenger.Car.ICE.NGas</t>
  </si>
  <si>
    <t>EMIint_test_stock.gCO2_per_km.PT.Tr.Road.Passenger.Car.PHEV.Gasoline</t>
  </si>
  <si>
    <t>EMIint_test_stock.gCO2_per_km.PT.Tr.Road.Passenger.Car.BEV</t>
  </si>
  <si>
    <t>EMIint_test_stock.gCO2_per_km.PT.Tr.Road.Passenger.Bus</t>
  </si>
  <si>
    <t>EMIint_test_stock.gCO2_per_km.PT.Tr.Road.Passenger.Bus.ICE.Gasoline</t>
  </si>
  <si>
    <t>EMIint_test_stock.gCO2_per_km.PT.Tr.Road.Passenger.Bus.ICE.Diesel</t>
  </si>
  <si>
    <t>EMIint_test_stock.gCO2_per_km.PT.Tr.Road.Passenger.Bus.ICE.LPG</t>
  </si>
  <si>
    <t>EMIint_test_stock.gCO2_per_km.PT.Tr.Road.Passenger.Bus.ICE.NGas</t>
  </si>
  <si>
    <t>EMIint_test_stock.gCO2_per_km.PT.Tr.Road.Passenger.Bus.BEV</t>
  </si>
  <si>
    <t>EMIint_test_stock.gCO2_per_km.PT.Tr.Road.Freight.LCV</t>
  </si>
  <si>
    <t>EMIint_test_stock.gCO2_per_km.PT.Tr.Road.Freight.LCV.ICE.Gasoline</t>
  </si>
  <si>
    <t>EMIint_test_stock.gCO2_per_km.PT.Tr.Road.Freight.LCV.ICE.Diesel</t>
  </si>
  <si>
    <t>EMIint_test_stock.gCO2_per_km.PT.Tr.Road.Freight.LCV.ICE.LPG</t>
  </si>
  <si>
    <t>EMIint_test_stock.gCO2_per_km.PT.Tr.Road.Freight.LCV.ICE.NGas</t>
  </si>
  <si>
    <t>EMIint_test_stock.gCO2_per_km.PT.Tr.Road.Freight.LCV.BEV</t>
  </si>
  <si>
    <t>EMIint_test_stock.gCO2_per_km.PT.Tr.Road.Freight.HGV_All</t>
  </si>
  <si>
    <t>EMIint_test_stock.gCO2_per_km.PT.Tr.Road.Freight.HGV_Domestic</t>
  </si>
  <si>
    <t>EMIint_test_stock.gCO2_per_km.PT.Tr.Road.Freight.HGV_International</t>
  </si>
  <si>
    <t>EMIint_test_new.gCO2_per_km.PT.Tr.Road.Passenger.P2W</t>
  </si>
  <si>
    <t>EMIint_test_new.gCO2_per_km.PT.Tr.Road.Passenger.Car</t>
  </si>
  <si>
    <t>EMIint_test_new.gCO2_per_km.PT.Tr.Road.Passenger.Car.ICE.Gasoline</t>
  </si>
  <si>
    <t>EMIint_test_new.gCO2_per_km.PT.Tr.Road.Passenger.Car.ICE.Diesel</t>
  </si>
  <si>
    <t>EMIint_test_new.gCO2_per_km.PT.Tr.Road.Passenger.Car.ICE.LPG</t>
  </si>
  <si>
    <t>EMIint_test_new.gCO2_per_km.PT.Tr.Road.Passenger.Car.ICE.NGas</t>
  </si>
  <si>
    <t>EMIint_test_new.gCO2_per_km.PT.Tr.Road.Passenger.Car.PHEV.Gasoline</t>
  </si>
  <si>
    <t>EMIint_test_new.gCO2_per_km.PT.Tr.Road.Passenger.Car.BEV</t>
  </si>
  <si>
    <t>EMIint_test_new.gCO2_per_km.PT.Tr.Road.Passenger.Bus</t>
  </si>
  <si>
    <t>EMIint_test_new.gCO2_per_km.PT.Tr.Road.Passenger.Bus.ICE.Gasoline</t>
  </si>
  <si>
    <t>EMIint_test_new.gCO2_per_km.PT.Tr.Road.Passenger.Bus.ICE.Diesel</t>
  </si>
  <si>
    <t>EMIint_test_new.gCO2_per_km.PT.Tr.Road.Passenger.Bus.ICE.LPG</t>
  </si>
  <si>
    <t>EMIint_test_new.gCO2_per_km.PT.Tr.Road.Passenger.Bus.ICE.NGas</t>
  </si>
  <si>
    <t>EMIint_test_new.gCO2_per_km.PT.Tr.Road.Passenger.Bus.BEV</t>
  </si>
  <si>
    <t>EMIint_test_new.gCO2_per_km.PT.Tr.Road.Freight.LCV</t>
  </si>
  <si>
    <t>EMIint_test_new.gCO2_per_km.PT.Tr.Road.Freight.LCV.ICE.Gasoline</t>
  </si>
  <si>
    <t>EMIint_test_new.gCO2_per_km.PT.Tr.Road.Freight.LCV.ICE.Diesel</t>
  </si>
  <si>
    <t>EMIint_test_new.gCO2_per_km.PT.Tr.Road.Freight.LCV.ICE.LPG</t>
  </si>
  <si>
    <t>EMIint_test_new.gCO2_per_km.PT.Tr.Road.Freight.LCV.ICE.NGas</t>
  </si>
  <si>
    <t>EMIint_test_new.gCO2_per_km.PT.Tr.Road.Freight.LCV.BEV</t>
  </si>
  <si>
    <t>EMIint_test_new.gCO2_per_km.PT.Tr.Road.Freight.HGV_All</t>
  </si>
  <si>
    <t>EMIint_test_new.gCO2_per_km.PT.Tr.Road.Freight.HGV_Domestic</t>
  </si>
  <si>
    <t>EMIint_test_new.gCO2_per_km.PT.Tr.Road.Freight.HGV_International</t>
  </si>
  <si>
    <t>FEC.ktoe.PT.MBunk</t>
  </si>
  <si>
    <t>FEC.ktoe.PT.MBunk.IntraEEA</t>
  </si>
  <si>
    <t>FEC.ktoe.PT.MBunk.ExtraEEA</t>
  </si>
  <si>
    <t>EMI.ktCO2.PT.MBunk</t>
  </si>
  <si>
    <t>EMI.ktCO2.PT.MBunk.IntraEEA</t>
  </si>
  <si>
    <t>EMI.ktCO2.PT.MBunk.ExtraEEA</t>
  </si>
  <si>
    <t>International maritime bunkers - PT - Portugal</t>
  </si>
  <si>
    <t>VehicleKm.Mkm.PT.MBunk.Freight</t>
  </si>
  <si>
    <t>VehicleKm.Mkm.PT.MBunk.Freight.IntraEEA</t>
  </si>
  <si>
    <t>VehicleKm.Mkm.PT.MBunk.Freight.ExtraEEA</t>
  </si>
  <si>
    <t>Load.t_per_movement.PT.MBunk.Freight</t>
  </si>
  <si>
    <t>Load.t_per_movement.PT.MBunk.Freight.IntraEEA</t>
  </si>
  <si>
    <t>Load.t_per_movement.PT.MBunk.Freight.ExtraEEA</t>
  </si>
  <si>
    <t>International maritime bunkers / energy consumption - PT - Portugal</t>
  </si>
  <si>
    <t>FEC.ktoe.PT.ES.MBunk</t>
  </si>
  <si>
    <t>FEC.ktoe.PT.ES.MBunk.IntraEEA</t>
  </si>
  <si>
    <t>FEC.ktoe.PT.ES.MBunk.IntraEEA.Diesel</t>
  </si>
  <si>
    <t>FEC.ktoe.PT.ES.MBunk.IntraEEA.RFO_Other</t>
  </si>
  <si>
    <t>FEC.ktoe.PT.ES.MBunk.IntraEEA.LiqBio</t>
  </si>
  <si>
    <t>FEC.ktoe.PT.ES.MBunk.IntraEEA.NG</t>
  </si>
  <si>
    <t>FEC.ktoe.PT.ES.MBunk.IntraEEA.Biogas</t>
  </si>
  <si>
    <t>FEC.ktoe.PT.ES.MBunk.ExtraEEA</t>
  </si>
  <si>
    <t>FEC.ktoe.PT.ES.MBunk.ExtraEEA.Diesel</t>
  </si>
  <si>
    <t>FEC.ktoe.PT.ES.MBunk.ExtraEEA.RFO_Other</t>
  </si>
  <si>
    <t>FEC.ktoe.PT.ES.MBunk.ExtraEEA.LiqBio</t>
  </si>
  <si>
    <t>FEC.ktoe.PT.ES.MBunk.ExtraEEA.NG</t>
  </si>
  <si>
    <t>FEC.ktoe.PT.ES.MBunk.ExtraEEA.Biogas</t>
  </si>
  <si>
    <t>Eff.kgoe_per_100km.PT.MBunk.Freight</t>
  </si>
  <si>
    <t>Eff.kgoe_per_100km.PT.MBunk.Freight.IntraEEA</t>
  </si>
  <si>
    <t>Eff.kgoe_per_100km.PT.MBunk.Freight.ExtraEEA</t>
  </si>
  <si>
    <t>International maritime bunkers / CO2 emissions - PT - Portugal</t>
  </si>
  <si>
    <t>EMI.ktCO2.PT.ES.MBunk</t>
  </si>
  <si>
    <t>EMI.ktCO2.PT.ES.MBunk.IntraEEA</t>
  </si>
  <si>
    <t>EMI.ktCO2.PT.ES.MBunk.ExtraEEA</t>
  </si>
  <si>
    <t>EMIint.gCO2_per_km.PT.MBunk.Freight</t>
  </si>
  <si>
    <t>EMIint.gCO2_per_km.PT.MBunk.Freight.IntraEEA</t>
  </si>
  <si>
    <t>EMIint.gCO2_per_km.PT.MBunk.Freight.ExtraEEA</t>
  </si>
  <si>
    <t>FEC.ktoe.PT.Tr.DNavi</t>
  </si>
  <si>
    <t>FEC.ktoe.PT.Tr.Dnavi.DCS</t>
  </si>
  <si>
    <t>FEC.ktoe.PT.Tr.Dnavi.IWW</t>
  </si>
  <si>
    <t>EMI.ktCO2.PT.Tr.DNavi</t>
  </si>
  <si>
    <t>EMI.ktCO2.PT.Tr.Dnavi.DCS</t>
  </si>
  <si>
    <t>EMI.ktCO2.PT.Tr.Dnavi.IWW</t>
  </si>
  <si>
    <t>Domestic navigation - PT - Portugal</t>
  </si>
  <si>
    <t>VehicleKm.Mkm.PT.Tr.DNavi.Freight</t>
  </si>
  <si>
    <t>VehicleKm.Mkm.PT.Tr.DNavi.Freight.DCS</t>
  </si>
  <si>
    <t>VehicleKm.Mkm.PT.Tr.DNavi.Freight.IWW</t>
  </si>
  <si>
    <t>Load.t_per_movement.PT.Tr.DNavi.Freight</t>
  </si>
  <si>
    <t>Load.t_per_movement.PT.Tr.DNavi.Freight.DCS</t>
  </si>
  <si>
    <t>Load.t_per_movement.PT.Tr.DNavi.Freight.IWW</t>
  </si>
  <si>
    <t>Domestic navigation / energy consumption - PT - Portugal</t>
  </si>
  <si>
    <t>FEC.ktoe.PT.ES.Tr.DNavi</t>
  </si>
  <si>
    <t>FEC.ktoe.PT.ES.Tr.DNavi.DCS</t>
  </si>
  <si>
    <t>FEC.ktoe.PT.ES.Tr.DNavi.DCS.Diesel</t>
  </si>
  <si>
    <t>FEC.ktoe.PT.ES.Tr.DNavi.DCS.RFO_Other</t>
  </si>
  <si>
    <t>FEC.ktoe.PT.ES.Tr.DNavi.DCS.LiqBio</t>
  </si>
  <si>
    <t>FEC.ktoe.PT.ES.Tr.DNavi.DCS.NG</t>
  </si>
  <si>
    <t>FEC.ktoe.PT.ES.Tr.DNavi.DCS.Biogas</t>
  </si>
  <si>
    <t>FEC.ktoe.PT.ES.Tr.DNavi.IWW</t>
  </si>
  <si>
    <t>FEC.ktoe.PT.ES.Tr.DNavi.IWW.Diesel</t>
  </si>
  <si>
    <t>FEC.ktoe.PT.ES.Tr.DNavi.IWW.RFO_Other</t>
  </si>
  <si>
    <t>FEC.ktoe.PT.ES.Tr.DNavi.IWW.LiqBio</t>
  </si>
  <si>
    <t>FEC.ktoe.PT.ES.Tr.DNavi.IWW.NG</t>
  </si>
  <si>
    <t>FEC.ktoe.PT.ES.Tr.DNavi.IWW.Biogas</t>
  </si>
  <si>
    <t>Eff.kgoe_per_100km.PT.Tr.DNavi.Freight</t>
  </si>
  <si>
    <t>Eff.kgoe_per_100km.PT.Tr.DNavi.Freight.DCS</t>
  </si>
  <si>
    <t>Eff.kgoe_per_100km.PT.Tr.DNavi.Freight.IWW</t>
  </si>
  <si>
    <t>Domestic navigation / CO2 emissions - PT - Portugal</t>
  </si>
  <si>
    <t>EMI.ktCO2.PT.ES.Tr.DNavi</t>
  </si>
  <si>
    <t>EMI.ktCO2.PT.ES.Tr.DNavi.DCS</t>
  </si>
  <si>
    <t>EMI.ktCO2.PT.ES.Tr.DNavi.IWW</t>
  </si>
  <si>
    <t>EMIint.gCO2_per_km.PT.Tr.DNavi.Freight</t>
  </si>
  <si>
    <t>EMIint.gCO2_per_km.PT.Tr.DNavi.Freight.DCS</t>
  </si>
  <si>
    <t>EMIint.gCO2_per_km.PT.Tr.DNavi.Freight.IWW</t>
  </si>
  <si>
    <t>Rail, metro and tram - PT - Portugal</t>
  </si>
  <si>
    <t>Activity.Mpkm.PT.Tr.Rail.Passenger.CPT.Diesel</t>
  </si>
  <si>
    <t>Activity.Mpkm.PT.Tr.Rail.Passenger.CPT.Elc</t>
  </si>
  <si>
    <t>Activity.Mtkm.PT.Tr.Rail.Freight.Diesel</t>
  </si>
  <si>
    <t>Activity.Mtkm.PT.Tr.Rail.Freight.Elc</t>
  </si>
  <si>
    <t>VehicleKm.Mkm.PT.Tr.Rail</t>
  </si>
  <si>
    <t>VehicleKm.Mkm.PT.Tr.Rail.Passenger</t>
  </si>
  <si>
    <t>VehicleKm.Mkm.PT.Tr.Rail.Passenger.MTU</t>
  </si>
  <si>
    <t>VehicleKm.Mkm.PT.Tr.Rail.Passenger.CPT</t>
  </si>
  <si>
    <t>VehicleKm.Mkm.PT.Tr.Rail.Passenger.CPT.Diesel</t>
  </si>
  <si>
    <t>VehicleKm.Mkm.PT.Tr.Rail.Passenger.CPT.Elc</t>
  </si>
  <si>
    <t>VehicleKm.Mkm.PT.Tr.Rail.Passenger.HST</t>
  </si>
  <si>
    <t>VehicleKm.Mkm.PT.Tr.Rail.Freight</t>
  </si>
  <si>
    <t>VehicleKm.Mkm.PT.Tr.Rail.Freight.Diesel</t>
  </si>
  <si>
    <t>VehicleKm.Mkm.PT.Tr.Rail.Freight.Elc</t>
  </si>
  <si>
    <t>Stock.number.PT.Tr.Rail</t>
  </si>
  <si>
    <t>Stock.number.PT.Tr.Rail.Passenger</t>
  </si>
  <si>
    <t>Stock.number.PT.Tr.Rail.Passenger.MTU</t>
  </si>
  <si>
    <t>Stock.number.PT.Tr.Rail.Passenger.CPT</t>
  </si>
  <si>
    <t>Stock.number.PT.Tr.Rail.Passenger.CPT.Diesel</t>
  </si>
  <si>
    <t>Stock.number.PT.Tr.Rail.Passenger.CPT.Elc</t>
  </si>
  <si>
    <t>Stock.number.PT.Tr.Rail.Passenger.HST</t>
  </si>
  <si>
    <t>Stock.number.PT.Tr.Rail.Freight</t>
  </si>
  <si>
    <t>Stock.number.PT.Tr.Rail.Freight.Diesel</t>
  </si>
  <si>
    <t>Stock.number.PT.Tr.Rail.Freight.Elc</t>
  </si>
  <si>
    <t>StockNew.number.PT.Tr.Rail</t>
  </si>
  <si>
    <t>StockNew.number.PT.Tr.Rail.Passenger</t>
  </si>
  <si>
    <t>StockNew.number.PT.Tr.Rail.Passenger.MTU</t>
  </si>
  <si>
    <t>StockNew.number.PT.Tr.Rail.Passenger.CPT</t>
  </si>
  <si>
    <t>StockNew.number.PT.Tr.Rail.Passenger.CPT.Diesel</t>
  </si>
  <si>
    <t>StockNew.number.PT.Tr.Rail.Passenger.CPT.Elc</t>
  </si>
  <si>
    <t>StockNew.number.PT.Tr.Rail.Passenger.HST</t>
  </si>
  <si>
    <t>StockNew.number.PT.Tr.Rail.Freight</t>
  </si>
  <si>
    <t>StockNew.number.PT.Tr.Rail.Freight.Diesel</t>
  </si>
  <si>
    <t>StockNew.number.PT.Tr.Rail.Freight.Elc</t>
  </si>
  <si>
    <t>Load.passenger_per_movement.PT.Tr.Rail.Passenger</t>
  </si>
  <si>
    <t>Load.passenger_per_movement.PT.Tr.Rail.Passenger.MTU</t>
  </si>
  <si>
    <t>Load.passenger_per_movement.PT.Tr.Rail.Passenger.CPT</t>
  </si>
  <si>
    <t>Load.passenger_per_movement.PT.Tr.Rail.Passenger.CPT.Diesel</t>
  </si>
  <si>
    <t>Load.passenger_per_movement.PT.Tr.Rail.Passenger.CPT.Elc</t>
  </si>
  <si>
    <t>Load.passenger_per_movement.PT.Tr.Rail.Passenger.HST</t>
  </si>
  <si>
    <t>Load.t_per_movement.PT.Tr.Rail.Freight</t>
  </si>
  <si>
    <t>Load.t_per_movement.PT.Tr.Rail.Freight.Diesel</t>
  </si>
  <si>
    <t>Load.t_per_movement.PT.Tr.Rail.Freight.Elc</t>
  </si>
  <si>
    <t>TrCap.seats.PT.Tr.Rail.Passenger</t>
  </si>
  <si>
    <t>TrCap.seats.PT.Tr.Rail.Passenger.MTU</t>
  </si>
  <si>
    <t>TrCap.seats.PT.Tr.Rail.Passenger.CPT</t>
  </si>
  <si>
    <t>TrCap.seats.PT.Tr.Rail.Passenger.CPT.Diesel</t>
  </si>
  <si>
    <t>TrCap.seats.PT.Tr.Rail.Passenger.CPT.Elc</t>
  </si>
  <si>
    <t>TrCap.seats.PT.Tr.Rail.Passenger.HST</t>
  </si>
  <si>
    <t>TrCap.t.PT.Tr.Rail.Freight</t>
  </si>
  <si>
    <t>TrCap.t.PT.Tr.Rail.Freight.Diesel</t>
  </si>
  <si>
    <t>TrCap.t.PT.Tr.Rail.Freight.Elc</t>
  </si>
  <si>
    <t>VehicleKm_per_vehicle.km.PT.Tr.Rail</t>
  </si>
  <si>
    <t>VehicleKm_per_vehicle.km.PT.Tr.Rail.Passenger</t>
  </si>
  <si>
    <t>VehicleKm_per_vehicle.km.PT.Tr.Rail.Passenger.MTU</t>
  </si>
  <si>
    <t>VehicleKm_per_vehicle.km.PT.Tr.Rail.Passenger.CPT</t>
  </si>
  <si>
    <t>VehicleKm_per_vehicle.km.PT.Tr.Rail.Passenger.CPT.Diesel</t>
  </si>
  <si>
    <t>VehicleKm_per_vehicle.km.PT.Tr.Rail.Passenger.CPT.Elc</t>
  </si>
  <si>
    <t>VehicleKm_per_vehicle.km.PT.Tr.Rail.Passenger.HST</t>
  </si>
  <si>
    <t>VehicleKm_per_vehicle.km.PT.Tr.Rail.Freight</t>
  </si>
  <si>
    <t>VehicleKm_per_vehicle.km.PT.Tr.Rail.Freight.Diesel</t>
  </si>
  <si>
    <t>VehicleKm_per_vehicle.km.PT.Tr.Rail.Freight.Elc</t>
  </si>
  <si>
    <t>Activity_per_vehicle.pkm.PT.Tr.Rail.Passenger</t>
  </si>
  <si>
    <t>Activity_per_vehicle.pkm.PT.Tr.Rail.Passenger.MTU</t>
  </si>
  <si>
    <t>Activity_per_vehicle.pkm.PT.Tr.Rail.Passenger.CPT</t>
  </si>
  <si>
    <t>Activity_per_vehicle.pkm.PT.Tr.Rail.Passenger.CPT.Diesel</t>
  </si>
  <si>
    <t>Activity_per_vehicle.pkm.PT.Tr.Rail.Passenger.CPT.Elc</t>
  </si>
  <si>
    <t>Activity_per_vehicle.pkm.PT.Tr.Rail.Passenger.HST</t>
  </si>
  <si>
    <t>Activity_per_vehicle.tkm.PT.Tr.Rail.Freight</t>
  </si>
  <si>
    <t>Activity_per_vehicle.tkm.PT.Tr.Rail.Freight.Diesel</t>
  </si>
  <si>
    <t>Activity_per_vehicle.tkm.PT.Tr.Rail.Freight.Elc</t>
  </si>
  <si>
    <t>Rail, metro and tram / energy consumption - PT - Portugal</t>
  </si>
  <si>
    <t>FEC.ktoe.PT.ES.Tr.Rail</t>
  </si>
  <si>
    <t>FEC.ktoe.PT.ES.Tr.Rail.Diesel</t>
  </si>
  <si>
    <t>FEC.ktoe.PT.ES.Tr.Rail.LiqBio</t>
  </si>
  <si>
    <t>FEC.ktoe.PT.ES.Tr.Rail.Elec</t>
  </si>
  <si>
    <t>FEC.ktoe.PT.Tr.Rail</t>
  </si>
  <si>
    <t>FEC.ktoe.PT.Tr.Rail.Passenger.CPT.Diesel</t>
  </si>
  <si>
    <t>FEC.ktoe.PT.Tr.Rail.Passenger.CPT.Elc</t>
  </si>
  <si>
    <t>FEC.ktoe.PT.Tr.Rail.Freight.Diesel</t>
  </si>
  <si>
    <t>FEC.ktoe.PT.Tr.Rail.Freight.Elc</t>
  </si>
  <si>
    <t>Eff.kgoe_per_100km.PT.Tr.Rail</t>
  </si>
  <si>
    <t>Eff.kgoe_per_100km.PT.Tr.Rail.Passenger</t>
  </si>
  <si>
    <t>Eff.kgoe_per_100km.PT.Tr.Rail.Passenger.MTU</t>
  </si>
  <si>
    <t>Eff.kgoe_per_100km.PT.Tr.Rail.Passenger.CPT</t>
  </si>
  <si>
    <t>Eff.kgoe_per_100km.PT.Tr.Rail.Passenger.CPT.Diesel</t>
  </si>
  <si>
    <t>Eff.kgoe_per_100km.PT.Tr.Rail.Passenger.CPT.Elc</t>
  </si>
  <si>
    <t>Eff.kgoe_per_100km.PT.Tr.Rail.Passenger.HST</t>
  </si>
  <si>
    <t>Eff.kgoe_per_100km.PT.Tr.Rail.Freight</t>
  </si>
  <si>
    <t>Eff.kgoe_per_100km.PT.Tr.Rail.Freight.Diesel</t>
  </si>
  <si>
    <t>Eff.kgoe_per_100km.PT.Tr.Rail.Freight.Elc</t>
  </si>
  <si>
    <t>Eff.kgoe_per_kpkm.PT.Tr.Rail.Passenger.CPT.Diesel</t>
  </si>
  <si>
    <t>Eff.kgoe_per_kpkm.PT.Tr.Rail.Passenger.CPT.Elc</t>
  </si>
  <si>
    <t>Eff.kgoe_per_ktkm.PT.Tr.Rail.Freight.Diesel</t>
  </si>
  <si>
    <t>Eff.kgoe_per_ktkm.PT.Tr.Rail.Freight.Elc</t>
  </si>
  <si>
    <t>FEC_per_vehicle.kgoe.PT.Tr.Rail</t>
  </si>
  <si>
    <t>FEC_per_vehicle.kgoe.PT.Tr.Rail.Passenger</t>
  </si>
  <si>
    <t>FEC_per_vehicle.kgoe.PT.Tr.Rail.Passenger.MTU</t>
  </si>
  <si>
    <t>FEC_per_vehicle.kgoe.PT.Tr.Rail.Passenger.CPT</t>
  </si>
  <si>
    <t>FEC_per_vehicle.kgoe.PT.Tr.Rail.Passenger.CPT.Diesel</t>
  </si>
  <si>
    <t>FEC_per_vehicle.kgoe.PT.Tr.Rail.Passenger.CPT.Elc</t>
  </si>
  <si>
    <t>FEC_per_vehicle.kgoe.PT.Tr.Rail.Passenger.HST</t>
  </si>
  <si>
    <t>FEC_per_vehicle.kgoe.PT.Tr.Rail.Freight</t>
  </si>
  <si>
    <t>FEC_per_vehicle.kgoe.PT.Tr.Rail.Freight.Diesel</t>
  </si>
  <si>
    <t>FEC_per_vehicle.kgoe.PT.Tr.Rail.Freight.Elc</t>
  </si>
  <si>
    <t>Rail, metro and tram / CO2 emissions - PT - Portugal</t>
  </si>
  <si>
    <t>EMI.ktCO2.PT.ES.Tr.Rail</t>
  </si>
  <si>
    <t>EMI.ktCO2.PT.ES.Tr.Rail.Diesel</t>
  </si>
  <si>
    <t>EMI.ktCO2.PT.ES.Tr.Rail.Elec</t>
  </si>
  <si>
    <t>EMI.ktCO2.PT.Tr.Rail</t>
  </si>
  <si>
    <t>EMI.ktCO2.PT.Tr.Rail.Passenger.CPT.Diesel</t>
  </si>
  <si>
    <t>EMI.ktCO2.PT.Tr.Rail.Passenger.CPT.Elc</t>
  </si>
  <si>
    <t>EMI.ktCO2.PT.Tr.Rail.Freight.Diesel</t>
  </si>
  <si>
    <t>EMI.ktCO2.PT.Tr.Rail.Freight.Elc</t>
  </si>
  <si>
    <t>EMIint.gCO2_per_km.PT.Tr.Rail</t>
  </si>
  <si>
    <t>EMIint.gCO2_per_km.PT.Tr.Rail.Passenger</t>
  </si>
  <si>
    <t>EMIint.gCO2_per_km.PT.Tr.Rail.Passenger.MTU</t>
  </si>
  <si>
    <t>EMIint.gCO2_per_km.PT.Tr.Rail.Passenger.CPT</t>
  </si>
  <si>
    <t>EMIint.gCO2_per_km.PT.Tr.Rail.Passenger.CPT.Diesel</t>
  </si>
  <si>
    <t>EMIint.gCO2_per_km.PT.Tr.Rail.Passenger.CPT.Elc</t>
  </si>
  <si>
    <t>EMIint.gCO2_per_km.PT.Tr.Rail.Passenger.HST</t>
  </si>
  <si>
    <t>EMIint.gCO2_per_km.PT.Tr.Rail.Freight</t>
  </si>
  <si>
    <t>EMIint.gCO2_per_km.PT.Tr.Rail.Freight.Diesel</t>
  </si>
  <si>
    <t>EMIint.gCO2_per_km.PT.Tr.Rail.Freight.Elc</t>
  </si>
  <si>
    <t>EMIint.gCO2_per_pkm.PT.Tr.Rail.Passenger.CPT.Diesel</t>
  </si>
  <si>
    <t>EMIint.gCO2_per_pkm.PT.Tr.Rail.Passenger.CPT.Elc</t>
  </si>
  <si>
    <t>EMIint.gCO2_per_tkm.PT.Tr.Rail.Freight.Diesel</t>
  </si>
  <si>
    <t>EMIint.gCO2_per_tkm.PT.Tr.Rail.Freight.Elc</t>
  </si>
  <si>
    <t>EMI_per_vehicle.tCO2.PT.Tr.Rail</t>
  </si>
  <si>
    <t>EMI_per_vehicle.tCO2.PT.Tr.Rail.Passenger</t>
  </si>
  <si>
    <t>EMI_per_vehicle.tCO2.PT.Tr.Rail.Passenger.MTU</t>
  </si>
  <si>
    <t>EMI_per_vehicle.tCO2.PT.Tr.Rail.Passenger.CPT</t>
  </si>
  <si>
    <t>EMI_per_vehicle.tCO2.PT.Tr.Rail.Passenger.CPT.Diesel</t>
  </si>
  <si>
    <t>EMI_per_vehicle.tCO2.PT.Tr.Rail.Passenger.CPT.Elc</t>
  </si>
  <si>
    <t>EMI_per_vehicle.tCO2.PT.Tr.Rail.Passenger.HST</t>
  </si>
  <si>
    <t>EMI_per_vehicle.tCO2.PT.Tr.Rail.Freight</t>
  </si>
  <si>
    <t>EMI_per_vehicle.tCO2.PT.Tr.Rail.Freight.Diesel</t>
  </si>
  <si>
    <t>EMI_per_vehicle.tCO2.PT.Tr.Rail.Freight.Elc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</si>
</sst>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mmmm\ yyyy"/>
    <numFmt numFmtId="165" formatCode="#,##0.0"/>
    <numFmt numFmtId="166" formatCode="#,##0;\-#,##0;&quot;-&quot;"/>
    <numFmt numFmtId="167" formatCode="#,##0.000;\-#,##0.000;&quot;-&quot;"/>
    <numFmt numFmtId="168" formatCode="0.00%;\-0.00%;&quot;-&quot;"/>
    <numFmt numFmtId="169" formatCode="#,##0.00;\-#,##0.00;&quot;-&quot;"/>
    <numFmt numFmtId="170" formatCode="#,##0.0;\-#,##0.0;&quot;-&quot;"/>
    <numFmt numFmtId="171" formatCode="0.0%;\-0.0%;&quot;-&quot;"/>
    <numFmt numFmtId="172" formatCode="0.0%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sz val="8"/>
      <color rgb="FF001E5F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232D37"/>
      <name val="Calibri"/>
      <family val="2"/>
      <scheme val="minor"/>
    </font>
    <font>
      <i/>
      <sz val="8"/>
      <color rgb="FF001E5F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8"/>
      <color rgb="FF282428"/>
      <name val="Calibri"/>
      <family val="2"/>
      <scheme val="minor"/>
    </font>
    <font>
      <i/>
      <sz val="8"/>
      <color rgb="FF00143C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E1F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 applyNumberFormat="0" applyFill="0" applyBorder="0" applyAlignment="0" applyProtection="0"/>
  </cellStyleXfs>
  <cellXfs count="232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2" xfId="0" applyFont="1" applyBorder="1"/>
    <xf numFmtId="0" fontId="4" fillId="0" borderId="0" xfId="4"/>
    <xf numFmtId="0" fontId="8" fillId="0" borderId="0" xfId="4" applyFont="1"/>
    <xf numFmtId="0" fontId="9" fillId="0" borderId="0" xfId="0" applyFont="1"/>
    <xf numFmtId="0" fontId="10" fillId="0" borderId="0" xfId="4" applyFont="1"/>
    <xf numFmtId="0" fontId="10" fillId="0" borderId="0" xfId="4" applyFont="1" applyAlignment="1">
      <alignment horizontal="left" indent="1"/>
    </xf>
    <xf numFmtId="0" fontId="0" fillId="0" borderId="2" xfId="0" applyBorder="1"/>
    <xf numFmtId="0" fontId="12" fillId="4" borderId="3" xfId="3" applyFont="1" applyFill="1" applyBorder="1" applyAlignment="1">
      <alignment horizontal="left" vertical="center" indent="1"/>
    </xf>
    <xf numFmtId="166" fontId="12" fillId="4" borderId="3" xfId="3" applyNumberFormat="1" applyFont="1" applyFill="1" applyBorder="1" applyAlignment="1">
      <alignment vertical="center"/>
    </xf>
    <xf numFmtId="0" fontId="12" fillId="4" borderId="4" xfId="3" applyFont="1" applyFill="1" applyBorder="1" applyAlignment="1">
      <alignment horizontal="left" vertical="center" indent="1"/>
    </xf>
    <xf numFmtId="166" fontId="12" fillId="4" borderId="4" xfId="3" applyNumberFormat="1" applyFont="1" applyFill="1" applyBorder="1" applyAlignment="1">
      <alignment vertical="center"/>
    </xf>
    <xf numFmtId="170" fontId="12" fillId="4" borderId="3" xfId="3" applyNumberFormat="1" applyFont="1" applyFill="1" applyBorder="1" applyAlignment="1">
      <alignment vertical="center"/>
    </xf>
    <xf numFmtId="170" fontId="12" fillId="4" borderId="4" xfId="3" applyNumberFormat="1" applyFont="1" applyFill="1" applyBorder="1" applyAlignment="1">
      <alignment vertical="center"/>
    </xf>
    <xf numFmtId="168" fontId="12" fillId="4" borderId="3" xfId="1" applyNumberFormat="1" applyFont="1" applyFill="1" applyBorder="1" applyAlignment="1">
      <alignment vertical="center"/>
    </xf>
    <xf numFmtId="168" fontId="12" fillId="4" borderId="4" xfId="1" applyNumberFormat="1" applyFont="1" applyFill="1" applyBorder="1" applyAlignment="1">
      <alignment vertical="center"/>
    </xf>
    <xf numFmtId="0" fontId="3" fillId="0" borderId="0" xfId="3" applyFont="1" applyFill="1" applyAlignment="1">
      <alignment vertical="center"/>
    </xf>
    <xf numFmtId="0" fontId="3" fillId="0" borderId="0" xfId="3" applyNumberFormat="1" applyFont="1" applyFill="1" applyAlignment="1">
      <alignment vertical="center"/>
    </xf>
    <xf numFmtId="0" fontId="14" fillId="4" borderId="1" xfId="3" applyFont="1" applyFill="1" applyBorder="1" applyAlignment="1">
      <alignment horizontal="left" vertical="center" indent="1"/>
    </xf>
    <xf numFmtId="169" fontId="12" fillId="4" borderId="3" xfId="3" applyNumberFormat="1" applyFont="1" applyFill="1" applyBorder="1" applyAlignment="1">
      <alignment vertical="center"/>
    </xf>
    <xf numFmtId="169" fontId="12" fillId="4" borderId="4" xfId="3" applyNumberFormat="1" applyFont="1" applyFill="1" applyBorder="1" applyAlignment="1">
      <alignment vertical="center"/>
    </xf>
    <xf numFmtId="167" fontId="12" fillId="4" borderId="3" xfId="3" applyNumberFormat="1" applyFont="1" applyFill="1" applyBorder="1" applyAlignment="1">
      <alignment vertical="center"/>
    </xf>
    <xf numFmtId="167" fontId="12" fillId="4" borderId="4" xfId="3" applyNumberFormat="1" applyFont="1" applyFill="1" applyBorder="1" applyAlignment="1">
      <alignment vertical="center"/>
    </xf>
    <xf numFmtId="171" fontId="12" fillId="4" borderId="3" xfId="1" applyNumberFormat="1" applyFont="1" applyFill="1" applyBorder="1" applyAlignment="1">
      <alignment vertical="center"/>
    </xf>
    <xf numFmtId="169" fontId="11" fillId="4" borderId="0" xfId="3" applyNumberFormat="1" applyFont="1" applyFill="1" applyBorder="1" applyAlignment="1">
      <alignment vertical="center"/>
    </xf>
    <xf numFmtId="0" fontId="12" fillId="4" borderId="1" xfId="3" applyFont="1" applyFill="1" applyBorder="1" applyAlignment="1">
      <alignment horizontal="left" vertical="center" indent="1"/>
    </xf>
    <xf numFmtId="166" fontId="12" fillId="4" borderId="1" xfId="3" applyNumberFormat="1" applyFont="1" applyFill="1" applyBorder="1" applyAlignment="1">
      <alignment vertical="center"/>
    </xf>
    <xf numFmtId="170" fontId="12" fillId="4" borderId="1" xfId="3" applyNumberFormat="1" applyFont="1" applyFill="1" applyBorder="1" applyAlignment="1">
      <alignment vertical="center"/>
    </xf>
    <xf numFmtId="171" fontId="12" fillId="4" borderId="1" xfId="3" applyNumberFormat="1" applyFont="1" applyFill="1" applyBorder="1" applyAlignment="1">
      <alignment vertical="center"/>
    </xf>
    <xf numFmtId="168" fontId="12" fillId="4" borderId="1" xfId="3" applyNumberFormat="1" applyFont="1" applyFill="1" applyBorder="1" applyAlignment="1">
      <alignment vertical="center"/>
    </xf>
    <xf numFmtId="169" fontId="12" fillId="4" borderId="1" xfId="3" applyNumberFormat="1" applyFont="1" applyFill="1" applyBorder="1" applyAlignment="1">
      <alignment vertical="center"/>
    </xf>
    <xf numFmtId="0" fontId="3" fillId="2" borderId="0" xfId="3" applyNumberFormat="1" applyFont="1" applyFill="1" applyAlignment="1">
      <alignment vertical="center"/>
    </xf>
    <xf numFmtId="166" fontId="13" fillId="2" borderId="0" xfId="3" applyNumberFormat="1" applyFont="1" applyFill="1" applyBorder="1" applyAlignment="1">
      <alignment vertical="center"/>
    </xf>
    <xf numFmtId="166" fontId="13" fillId="2" borderId="2" xfId="3" applyNumberFormat="1" applyFont="1" applyFill="1" applyBorder="1" applyAlignment="1">
      <alignment vertical="center"/>
    </xf>
    <xf numFmtId="166" fontId="13" fillId="2" borderId="0" xfId="3" applyNumberFormat="1" applyFont="1" applyFill="1" applyAlignment="1">
      <alignment vertical="center"/>
    </xf>
    <xf numFmtId="0" fontId="13" fillId="2" borderId="0" xfId="3" applyFont="1" applyFill="1" applyAlignment="1">
      <alignment horizontal="left" vertical="center" indent="2"/>
    </xf>
    <xf numFmtId="0" fontId="13" fillId="2" borderId="2" xfId="3" applyFont="1" applyFill="1" applyBorder="1" applyAlignment="1">
      <alignment horizontal="left" vertical="center" indent="2"/>
    </xf>
    <xf numFmtId="170" fontId="13" fillId="2" borderId="0" xfId="3" applyNumberFormat="1" applyFont="1" applyFill="1" applyAlignment="1">
      <alignment vertical="center"/>
    </xf>
    <xf numFmtId="170" fontId="13" fillId="2" borderId="2" xfId="3" applyNumberFormat="1" applyFont="1" applyFill="1" applyBorder="1" applyAlignment="1">
      <alignment vertical="center"/>
    </xf>
    <xf numFmtId="170" fontId="13" fillId="2" borderId="0" xfId="3" applyNumberFormat="1" applyFont="1" applyFill="1" applyBorder="1" applyAlignment="1">
      <alignment vertical="center"/>
    </xf>
    <xf numFmtId="0" fontId="13" fillId="2" borderId="0" xfId="3" applyFont="1" applyFill="1" applyBorder="1" applyAlignment="1">
      <alignment horizontal="left" vertical="center" indent="2"/>
    </xf>
    <xf numFmtId="168" fontId="13" fillId="2" borderId="0" xfId="1" applyNumberFormat="1" applyFont="1" applyFill="1" applyAlignment="1">
      <alignment vertical="center"/>
    </xf>
    <xf numFmtId="168" fontId="13" fillId="2" borderId="0" xfId="1" applyNumberFormat="1" applyFont="1" applyFill="1" applyBorder="1" applyAlignment="1">
      <alignment vertical="center"/>
    </xf>
    <xf numFmtId="168" fontId="13" fillId="2" borderId="2" xfId="1" applyNumberFormat="1" applyFont="1" applyFill="1" applyBorder="1" applyAlignment="1">
      <alignment vertical="center"/>
    </xf>
    <xf numFmtId="168" fontId="12" fillId="4" borderId="1" xfId="1" applyNumberFormat="1" applyFont="1" applyFill="1" applyBorder="1" applyAlignment="1">
      <alignment vertical="center"/>
    </xf>
    <xf numFmtId="167" fontId="12" fillId="4" borderId="1" xfId="3" applyNumberFormat="1" applyFont="1" applyFill="1" applyBorder="1" applyAlignment="1">
      <alignment vertical="center"/>
    </xf>
    <xf numFmtId="0" fontId="15" fillId="6" borderId="1" xfId="3" applyFont="1" applyFill="1" applyBorder="1" applyAlignment="1">
      <alignment horizontal="left" vertical="center"/>
    </xf>
    <xf numFmtId="1" fontId="16" fillId="6" borderId="1" xfId="3" applyNumberFormat="1" applyFont="1" applyFill="1" applyBorder="1" applyAlignment="1">
      <alignment horizontal="center" vertical="center"/>
    </xf>
    <xf numFmtId="0" fontId="17" fillId="8" borderId="0" xfId="3" applyNumberFormat="1" applyFont="1" applyFill="1" applyAlignment="1">
      <alignment vertical="center"/>
    </xf>
    <xf numFmtId="0" fontId="17" fillId="8" borderId="0" xfId="3" applyFont="1" applyFill="1" applyAlignment="1">
      <alignment vertical="center"/>
    </xf>
    <xf numFmtId="0" fontId="18" fillId="8" borderId="0" xfId="3" applyNumberFormat="1" applyFont="1" applyFill="1" applyAlignment="1">
      <alignment vertical="center"/>
    </xf>
    <xf numFmtId="0" fontId="19" fillId="3" borderId="1" xfId="3" applyFont="1" applyFill="1" applyBorder="1" applyAlignment="1">
      <alignment horizontal="left" vertical="center"/>
    </xf>
    <xf numFmtId="166" fontId="20" fillId="3" borderId="1" xfId="3" applyNumberFormat="1" applyFont="1" applyFill="1" applyBorder="1" applyAlignment="1">
      <alignment vertical="center"/>
    </xf>
    <xf numFmtId="0" fontId="17" fillId="8" borderId="0" xfId="3" applyFont="1" applyFill="1" applyAlignment="1">
      <alignment horizontal="left" vertical="center" indent="1"/>
    </xf>
    <xf numFmtId="166" fontId="17" fillId="8" borderId="0" xfId="3" applyNumberFormat="1" applyFont="1" applyFill="1" applyAlignment="1">
      <alignment vertical="center"/>
    </xf>
    <xf numFmtId="0" fontId="17" fillId="8" borderId="2" xfId="3" applyFont="1" applyFill="1" applyBorder="1" applyAlignment="1">
      <alignment horizontal="left" vertical="center" indent="1"/>
    </xf>
    <xf numFmtId="166" fontId="17" fillId="8" borderId="2" xfId="3" applyNumberFormat="1" applyFont="1" applyFill="1" applyBorder="1" applyAlignment="1">
      <alignment vertical="center"/>
    </xf>
    <xf numFmtId="167" fontId="20" fillId="3" borderId="1" xfId="3" applyNumberFormat="1" applyFont="1" applyFill="1" applyBorder="1" applyAlignment="1">
      <alignment vertical="center"/>
    </xf>
    <xf numFmtId="167" fontId="17" fillId="8" borderId="0" xfId="3" applyNumberFormat="1" applyFont="1" applyFill="1" applyAlignment="1">
      <alignment vertical="center"/>
    </xf>
    <xf numFmtId="167" fontId="17" fillId="8" borderId="2" xfId="3" applyNumberFormat="1" applyFont="1" applyFill="1" applyBorder="1" applyAlignment="1">
      <alignment vertical="center"/>
    </xf>
    <xf numFmtId="170" fontId="20" fillId="3" borderId="1" xfId="3" applyNumberFormat="1" applyFont="1" applyFill="1" applyBorder="1" applyAlignment="1">
      <alignment vertical="center"/>
    </xf>
    <xf numFmtId="170" fontId="17" fillId="8" borderId="0" xfId="3" applyNumberFormat="1" applyFont="1" applyFill="1" applyAlignment="1">
      <alignment vertical="center"/>
    </xf>
    <xf numFmtId="170" fontId="17" fillId="8" borderId="2" xfId="3" applyNumberFormat="1" applyFont="1" applyFill="1" applyBorder="1" applyAlignment="1">
      <alignment vertical="center"/>
    </xf>
    <xf numFmtId="168" fontId="20" fillId="3" borderId="1" xfId="3" applyNumberFormat="1" applyFont="1" applyFill="1" applyBorder="1" applyAlignment="1">
      <alignment vertical="center"/>
    </xf>
    <xf numFmtId="168" fontId="17" fillId="8" borderId="0" xfId="3" applyNumberFormat="1" applyFont="1" applyFill="1" applyAlignment="1">
      <alignment vertical="center"/>
    </xf>
    <xf numFmtId="168" fontId="17" fillId="8" borderId="2" xfId="3" applyNumberFormat="1" applyFont="1" applyFill="1" applyBorder="1" applyAlignment="1">
      <alignment vertical="center"/>
    </xf>
    <xf numFmtId="0" fontId="21" fillId="5" borderId="1" xfId="3" applyFont="1" applyFill="1" applyBorder="1" applyAlignment="1">
      <alignment horizontal="left" vertical="center"/>
    </xf>
    <xf numFmtId="167" fontId="22" fillId="5" borderId="1" xfId="3" applyNumberFormat="1" applyFont="1" applyFill="1" applyBorder="1" applyAlignment="1">
      <alignment vertical="center"/>
    </xf>
    <xf numFmtId="0" fontId="17" fillId="8" borderId="1" xfId="3" applyFont="1" applyFill="1" applyBorder="1" applyAlignment="1">
      <alignment horizontal="left" vertical="center" indent="1"/>
    </xf>
    <xf numFmtId="170" fontId="17" fillId="8" borderId="1" xfId="3" applyNumberFormat="1" applyFont="1" applyFill="1" applyBorder="1" applyAlignment="1">
      <alignment vertical="center"/>
    </xf>
    <xf numFmtId="0" fontId="23" fillId="8" borderId="0" xfId="3" applyFont="1" applyFill="1" applyAlignment="1">
      <alignment horizontal="left" vertical="center" indent="2"/>
    </xf>
    <xf numFmtId="170" fontId="23" fillId="8" borderId="0" xfId="3" applyNumberFormat="1" applyFont="1" applyFill="1" applyAlignment="1">
      <alignment vertical="center"/>
    </xf>
    <xf numFmtId="0" fontId="23" fillId="8" borderId="2" xfId="3" applyFont="1" applyFill="1" applyBorder="1" applyAlignment="1">
      <alignment horizontal="left" vertical="center" indent="2"/>
    </xf>
    <xf numFmtId="170" fontId="23" fillId="8" borderId="2" xfId="3" applyNumberFormat="1" applyFont="1" applyFill="1" applyBorder="1" applyAlignment="1">
      <alignment vertical="center"/>
    </xf>
    <xf numFmtId="168" fontId="20" fillId="3" borderId="1" xfId="1" applyNumberFormat="1" applyFont="1" applyFill="1" applyBorder="1" applyAlignment="1">
      <alignment vertical="center"/>
    </xf>
    <xf numFmtId="168" fontId="17" fillId="8" borderId="0" xfId="1" applyNumberFormat="1" applyFont="1" applyFill="1" applyAlignment="1">
      <alignment vertical="center"/>
    </xf>
    <xf numFmtId="168" fontId="17" fillId="8" borderId="2" xfId="1" applyNumberFormat="1" applyFont="1" applyFill="1" applyBorder="1" applyAlignment="1">
      <alignment vertical="center"/>
    </xf>
    <xf numFmtId="169" fontId="20" fillId="3" borderId="1" xfId="3" applyNumberFormat="1" applyFont="1" applyFill="1" applyBorder="1" applyAlignment="1">
      <alignment vertical="center"/>
    </xf>
    <xf numFmtId="169" fontId="17" fillId="8" borderId="0" xfId="3" applyNumberFormat="1" applyFont="1" applyFill="1" applyAlignment="1">
      <alignment vertical="center"/>
    </xf>
    <xf numFmtId="169" fontId="17" fillId="8" borderId="2" xfId="3" applyNumberFormat="1" applyFont="1" applyFill="1" applyBorder="1" applyAlignment="1">
      <alignment vertical="center"/>
    </xf>
    <xf numFmtId="171" fontId="20" fillId="3" borderId="1" xfId="1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2"/>
    </xf>
    <xf numFmtId="166" fontId="17" fillId="2" borderId="0" xfId="3" applyNumberFormat="1" applyFont="1" applyFill="1" applyAlignment="1">
      <alignment vertical="center"/>
    </xf>
    <xf numFmtId="0" fontId="17" fillId="2" borderId="2" xfId="3" applyFont="1" applyFill="1" applyBorder="1" applyAlignment="1">
      <alignment horizontal="left" vertical="center" indent="2"/>
    </xf>
    <xf numFmtId="166" fontId="17" fillId="2" borderId="2" xfId="3" applyNumberFormat="1" applyFont="1" applyFill="1" applyBorder="1" applyAlignment="1">
      <alignment vertical="center"/>
    </xf>
    <xf numFmtId="170" fontId="17" fillId="2" borderId="0" xfId="3" applyNumberFormat="1" applyFont="1" applyFill="1" applyAlignment="1">
      <alignment vertical="center"/>
    </xf>
    <xf numFmtId="170" fontId="17" fillId="2" borderId="2" xfId="3" applyNumberFormat="1" applyFont="1" applyFill="1" applyBorder="1" applyAlignment="1">
      <alignment vertical="center"/>
    </xf>
    <xf numFmtId="171" fontId="17" fillId="2" borderId="0" xfId="1" applyNumberFormat="1" applyFont="1" applyFill="1" applyAlignment="1">
      <alignment vertical="center"/>
    </xf>
    <xf numFmtId="171" fontId="17" fillId="2" borderId="2" xfId="1" applyNumberFormat="1" applyFont="1" applyFill="1" applyBorder="1" applyAlignment="1">
      <alignment vertical="center"/>
    </xf>
    <xf numFmtId="167" fontId="17" fillId="2" borderId="0" xfId="3" applyNumberFormat="1" applyFont="1" applyFill="1" applyAlignment="1">
      <alignment vertical="center"/>
    </xf>
    <xf numFmtId="0" fontId="17" fillId="2" borderId="0" xfId="3" applyFont="1" applyFill="1" applyBorder="1" applyAlignment="1">
      <alignment horizontal="left" vertical="center" indent="2"/>
    </xf>
    <xf numFmtId="167" fontId="17" fillId="2" borderId="0" xfId="3" applyNumberFormat="1" applyFont="1" applyFill="1" applyBorder="1" applyAlignment="1">
      <alignment vertical="center"/>
    </xf>
    <xf numFmtId="167" fontId="17" fillId="2" borderId="2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1"/>
    </xf>
    <xf numFmtId="169" fontId="17" fillId="2" borderId="0" xfId="3" applyNumberFormat="1" applyFont="1" applyFill="1" applyAlignment="1">
      <alignment vertical="center"/>
    </xf>
    <xf numFmtId="169" fontId="17" fillId="2" borderId="0" xfId="3" applyNumberFormat="1" applyFont="1" applyFill="1" applyBorder="1" applyAlignment="1">
      <alignment vertical="center"/>
    </xf>
    <xf numFmtId="169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1"/>
    </xf>
    <xf numFmtId="0" fontId="17" fillId="2" borderId="2" xfId="3" applyFont="1" applyFill="1" applyBorder="1" applyAlignment="1">
      <alignment horizontal="left" vertical="center" indent="1"/>
    </xf>
    <xf numFmtId="170" fontId="17" fillId="2" borderId="0" xfId="3" applyNumberFormat="1" applyFont="1" applyFill="1" applyBorder="1" applyAlignment="1">
      <alignment vertical="center"/>
    </xf>
    <xf numFmtId="166" fontId="17" fillId="2" borderId="0" xfId="3" applyNumberFormat="1" applyFont="1" applyFill="1" applyBorder="1" applyAlignment="1">
      <alignment vertical="center"/>
    </xf>
    <xf numFmtId="168" fontId="17" fillId="2" borderId="0" xfId="1" applyNumberFormat="1" applyFont="1" applyFill="1" applyAlignment="1">
      <alignment vertical="center"/>
    </xf>
    <xf numFmtId="168" fontId="17" fillId="2" borderId="0" xfId="1" applyNumberFormat="1" applyFont="1" applyFill="1" applyBorder="1" applyAlignment="1">
      <alignment vertical="center"/>
    </xf>
    <xf numFmtId="168" fontId="17" fillId="2" borderId="2" xfId="1" applyNumberFormat="1" applyFont="1" applyFill="1" applyBorder="1" applyAlignment="1">
      <alignment vertical="center"/>
    </xf>
    <xf numFmtId="0" fontId="17" fillId="2" borderId="0" xfId="3" applyNumberFormat="1" applyFont="1" applyFill="1" applyAlignment="1">
      <alignment vertical="center"/>
    </xf>
    <xf numFmtId="0" fontId="17" fillId="2" borderId="5" xfId="3" applyFont="1" applyFill="1" applyBorder="1" applyAlignment="1">
      <alignment horizontal="left" vertical="center" indent="2"/>
    </xf>
    <xf numFmtId="166" fontId="17" fillId="2" borderId="5" xfId="3" applyNumberFormat="1" applyFont="1" applyFill="1" applyBorder="1" applyAlignment="1">
      <alignment vertical="center"/>
    </xf>
    <xf numFmtId="0" fontId="17" fillId="2" borderId="4" xfId="3" applyFont="1" applyFill="1" applyBorder="1" applyAlignment="1">
      <alignment horizontal="left" vertical="center" indent="2"/>
    </xf>
    <xf numFmtId="166" fontId="17" fillId="2" borderId="4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3"/>
    </xf>
    <xf numFmtId="0" fontId="17" fillId="2" borderId="6" xfId="3" applyFont="1" applyFill="1" applyBorder="1" applyAlignment="1">
      <alignment horizontal="left" vertical="center" indent="2"/>
    </xf>
    <xf numFmtId="166" fontId="17" fillId="2" borderId="6" xfId="3" applyNumberFormat="1" applyFont="1" applyFill="1" applyBorder="1" applyAlignment="1">
      <alignment vertical="center"/>
    </xf>
    <xf numFmtId="0" fontId="17" fillId="0" borderId="0" xfId="3" applyNumberFormat="1" applyFont="1" applyFill="1" applyAlignment="1">
      <alignment vertical="center"/>
    </xf>
    <xf numFmtId="170" fontId="17" fillId="2" borderId="5" xfId="3" applyNumberFormat="1" applyFont="1" applyFill="1" applyBorder="1" applyAlignment="1">
      <alignment vertical="center"/>
    </xf>
    <xf numFmtId="170" fontId="17" fillId="2" borderId="4" xfId="3" applyNumberFormat="1" applyFont="1" applyFill="1" applyBorder="1" applyAlignment="1">
      <alignment vertical="center"/>
    </xf>
    <xf numFmtId="170" fontId="17" fillId="2" borderId="6" xfId="3" applyNumberFormat="1" applyFont="1" applyFill="1" applyBorder="1" applyAlignment="1">
      <alignment vertical="center"/>
    </xf>
    <xf numFmtId="171" fontId="17" fillId="2" borderId="5" xfId="3" applyNumberFormat="1" applyFont="1" applyFill="1" applyBorder="1" applyAlignment="1">
      <alignment vertical="center"/>
    </xf>
    <xf numFmtId="171" fontId="17" fillId="2" borderId="4" xfId="3" applyNumberFormat="1" applyFont="1" applyFill="1" applyBorder="1" applyAlignment="1">
      <alignment vertical="center"/>
    </xf>
    <xf numFmtId="171" fontId="17" fillId="2" borderId="0" xfId="3" applyNumberFormat="1" applyFont="1" applyFill="1" applyAlignment="1">
      <alignment vertical="center"/>
    </xf>
    <xf numFmtId="171" fontId="17" fillId="2" borderId="6" xfId="3" applyNumberFormat="1" applyFont="1" applyFill="1" applyBorder="1" applyAlignment="1">
      <alignment vertical="center"/>
    </xf>
    <xf numFmtId="171" fontId="17" fillId="2" borderId="2" xfId="3" applyNumberFormat="1" applyFont="1" applyFill="1" applyBorder="1" applyAlignment="1">
      <alignment vertical="center"/>
    </xf>
    <xf numFmtId="168" fontId="17" fillId="2" borderId="5" xfId="3" applyNumberFormat="1" applyFont="1" applyFill="1" applyBorder="1" applyAlignment="1">
      <alignment vertical="center"/>
    </xf>
    <xf numFmtId="168" fontId="17" fillId="2" borderId="4" xfId="3" applyNumberFormat="1" applyFont="1" applyFill="1" applyBorder="1" applyAlignment="1">
      <alignment vertical="center"/>
    </xf>
    <xf numFmtId="168" fontId="17" fillId="2" borderId="0" xfId="3" applyNumberFormat="1" applyFont="1" applyFill="1" applyAlignment="1">
      <alignment vertical="center"/>
    </xf>
    <xf numFmtId="168" fontId="17" fillId="2" borderId="6" xfId="3" applyNumberFormat="1" applyFont="1" applyFill="1" applyBorder="1" applyAlignment="1">
      <alignment vertical="center"/>
    </xf>
    <xf numFmtId="168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3"/>
    </xf>
    <xf numFmtId="169" fontId="17" fillId="2" borderId="5" xfId="3" applyNumberFormat="1" applyFont="1" applyFill="1" applyBorder="1" applyAlignment="1">
      <alignment vertical="center"/>
    </xf>
    <xf numFmtId="169" fontId="17" fillId="2" borderId="4" xfId="3" applyNumberFormat="1" applyFont="1" applyFill="1" applyBorder="1" applyAlignment="1">
      <alignment vertical="center"/>
    </xf>
    <xf numFmtId="169" fontId="17" fillId="2" borderId="6" xfId="3" applyNumberFormat="1" applyFont="1" applyFill="1" applyBorder="1" applyAlignment="1">
      <alignment vertical="center"/>
    </xf>
    <xf numFmtId="3" fontId="20" fillId="3" borderId="1" xfId="3" applyNumberFormat="1" applyFont="1" applyFill="1" applyBorder="1" applyAlignment="1">
      <alignment vertical="center"/>
    </xf>
    <xf numFmtId="0" fontId="24" fillId="4" borderId="1" xfId="3" applyFont="1" applyFill="1" applyBorder="1" applyAlignment="1">
      <alignment horizontal="left" vertical="center" indent="1"/>
    </xf>
    <xf numFmtId="169" fontId="20" fillId="4" borderId="0" xfId="3" applyNumberFormat="1" applyFont="1" applyFill="1" applyBorder="1" applyAlignment="1">
      <alignment vertical="center"/>
    </xf>
    <xf numFmtId="171" fontId="20" fillId="3" borderId="1" xfId="3" applyNumberFormat="1" applyFont="1" applyFill="1" applyBorder="1" applyAlignment="1">
      <alignment vertical="center"/>
    </xf>
    <xf numFmtId="0" fontId="17" fillId="2" borderId="3" xfId="3" applyFont="1" applyFill="1" applyBorder="1" applyAlignment="1">
      <alignment horizontal="left" vertical="center" indent="2"/>
    </xf>
    <xf numFmtId="166" fontId="17" fillId="2" borderId="3" xfId="3" applyNumberFormat="1" applyFont="1" applyFill="1" applyBorder="1" applyAlignment="1">
      <alignment vertical="center"/>
    </xf>
    <xf numFmtId="0" fontId="17" fillId="2" borderId="2" xfId="3" applyFont="1" applyFill="1" applyBorder="1" applyAlignment="1">
      <alignment horizontal="left" vertical="center" indent="3"/>
    </xf>
    <xf numFmtId="168" fontId="17" fillId="2" borderId="3" xfId="3" applyNumberFormat="1" applyFont="1" applyFill="1" applyBorder="1" applyAlignment="1">
      <alignment vertical="center"/>
    </xf>
    <xf numFmtId="168" fontId="17" fillId="2" borderId="0" xfId="3" applyNumberFormat="1" applyFont="1" applyFill="1" applyBorder="1" applyAlignment="1">
      <alignment vertical="center"/>
    </xf>
    <xf numFmtId="169" fontId="17" fillId="2" borderId="3" xfId="3" applyNumberFormat="1" applyFont="1" applyFill="1" applyBorder="1" applyAlignment="1">
      <alignment vertical="center"/>
    </xf>
    <xf numFmtId="165" fontId="20" fillId="3" borderId="1" xfId="3" applyNumberFormat="1" applyFont="1" applyFill="1" applyBorder="1" applyAlignment="1">
      <alignment vertical="center"/>
    </xf>
    <xf numFmtId="0" fontId="21" fillId="5" borderId="1" xfId="3" applyNumberFormat="1" applyFont="1" applyFill="1" applyBorder="1" applyAlignment="1">
      <alignment horizontal="left" vertical="center"/>
    </xf>
    <xf numFmtId="0" fontId="22" fillId="5" borderId="1" xfId="3" applyNumberFormat="1" applyFont="1" applyFill="1" applyBorder="1" applyAlignment="1">
      <alignment vertical="center"/>
    </xf>
    <xf numFmtId="169" fontId="20" fillId="4" borderId="1" xfId="3" applyNumberFormat="1" applyFont="1" applyFill="1" applyBorder="1" applyAlignment="1">
      <alignment vertical="center"/>
    </xf>
    <xf numFmtId="170" fontId="20" fillId="4" borderId="1" xfId="3" applyNumberFormat="1" applyFont="1" applyFill="1" applyBorder="1" applyAlignment="1">
      <alignment vertical="center"/>
    </xf>
    <xf numFmtId="1" fontId="19" fillId="7" borderId="1" xfId="3" applyNumberFormat="1" applyFont="1" applyFill="1" applyBorder="1" applyAlignment="1">
      <alignment horizontal="center" vertical="center"/>
    </xf>
    <xf numFmtId="0" fontId="21" fillId="6" borderId="1" xfId="3" applyFont="1" applyFill="1" applyBorder="1" applyAlignment="1">
      <alignment horizontal="left" vertical="center"/>
    </xf>
    <xf numFmtId="1" fontId="19" fillId="7" borderId="1" xfId="3" applyNumberFormat="1" applyFont="1" applyFill="1" applyBorder="1" applyAlignment="1">
      <alignment horizontal="right" vertical="center"/>
    </xf>
    <xf numFmtId="167" fontId="17" fillId="2" borderId="3" xfId="3" applyNumberFormat="1" applyFont="1" applyFill="1" applyBorder="1" applyAlignment="1">
      <alignment vertical="center"/>
    </xf>
    <xf numFmtId="167" fontId="17" fillId="2" borderId="4" xfId="3" applyNumberFormat="1" applyFont="1" applyFill="1" applyBorder="1" applyAlignment="1">
      <alignment vertical="center"/>
    </xf>
    <xf numFmtId="170" fontId="17" fillId="2" borderId="3" xfId="3" applyNumberFormat="1" applyFont="1" applyFill="1" applyBorder="1" applyAlignment="1">
      <alignment vertical="center"/>
    </xf>
    <xf numFmtId="172" fontId="17" fillId="2" borderId="3" xfId="1" applyNumberFormat="1" applyFont="1" applyFill="1" applyBorder="1" applyAlignment="1">
      <alignment horizontal="left" vertical="center" indent="2"/>
    </xf>
    <xf numFmtId="168" fontId="17" fillId="2" borderId="3" xfId="1" applyNumberFormat="1" applyFont="1" applyFill="1" applyBorder="1" applyAlignment="1">
      <alignment vertical="center"/>
    </xf>
    <xf numFmtId="172" fontId="17" fillId="2" borderId="4" xfId="1" applyNumberFormat="1" applyFont="1" applyFill="1" applyBorder="1" applyAlignment="1">
      <alignment horizontal="left" vertical="center" indent="2"/>
    </xf>
    <xf numFmtId="168" fontId="17" fillId="2" borderId="4" xfId="1" applyNumberFormat="1" applyFont="1" applyFill="1" applyBorder="1" applyAlignment="1">
      <alignment vertical="center"/>
    </xf>
    <xf numFmtId="172" fontId="17" fillId="2" borderId="0" xfId="1" applyNumberFormat="1" applyFont="1" applyFill="1" applyAlignment="1">
      <alignment horizontal="left" vertical="center" indent="3"/>
    </xf>
    <xf numFmtId="172" fontId="17" fillId="2" borderId="2" xfId="1" applyNumberFormat="1" applyFont="1" applyFill="1" applyBorder="1" applyAlignment="1">
      <alignment horizontal="left" vertical="center" indent="3"/>
    </xf>
    <xf numFmtId="0" fontId="18" fillId="2" borderId="7" xfId="3" applyFont="1" applyFill="1" applyBorder="1" applyAlignment="1">
      <alignment horizontal="left" vertical="center" indent="3"/>
    </xf>
    <xf numFmtId="0" fontId="18" fillId="2" borderId="0" xfId="3" applyFont="1" applyFill="1" applyAlignment="1">
      <alignment horizontal="left" vertical="center" indent="4"/>
    </xf>
    <xf numFmtId="0" fontId="18" fillId="2" borderId="2" xfId="3" applyFont="1" applyFill="1" applyBorder="1" applyAlignment="1">
      <alignment horizontal="left" vertical="center" indent="4"/>
    </xf>
    <xf numFmtId="172" fontId="17" fillId="2" borderId="0" xfId="1" applyNumberFormat="1" applyFont="1" applyFill="1" applyBorder="1" applyAlignment="1">
      <alignment horizontal="left" vertical="center" indent="3"/>
    </xf>
    <xf numFmtId="166" fontId="17" fillId="2" borderId="8" xfId="3" applyNumberFormat="1" applyFont="1" applyFill="1" applyBorder="1" applyAlignment="1">
      <alignment vertical="center"/>
    </xf>
    <xf numFmtId="0" fontId="17" fillId="2" borderId="8" xfId="3" applyFont="1" applyFill="1" applyBorder="1" applyAlignment="1">
      <alignment horizontal="left" vertical="center" indent="3"/>
    </xf>
    <xf numFmtId="170" fontId="17" fillId="2" borderId="8" xfId="3" applyNumberFormat="1" applyFont="1" applyFill="1" applyBorder="1" applyAlignment="1">
      <alignment vertical="center"/>
    </xf>
    <xf numFmtId="0" fontId="17" fillId="2" borderId="7" xfId="3" applyFont="1" applyFill="1" applyBorder="1" applyAlignment="1">
      <alignment horizontal="left" vertical="center" indent="3"/>
    </xf>
    <xf numFmtId="170" fontId="17" fillId="2" borderId="7" xfId="3" applyNumberFormat="1" applyFont="1" applyFill="1" applyBorder="1" applyAlignment="1">
      <alignment vertical="center"/>
    </xf>
    <xf numFmtId="1" fontId="19" fillId="6" borderId="1" xfId="3" applyNumberFormat="1" applyFont="1" applyFill="1" applyBorder="1" applyAlignment="1">
      <alignment vertical="center"/>
    </xf>
    <xf numFmtId="166" fontId="17" fillId="2" borderId="7" xfId="3" applyNumberFormat="1" applyFont="1" applyFill="1" applyBorder="1" applyAlignment="1">
      <alignment vertical="center"/>
    </xf>
    <xf numFmtId="1" fontId="16" fillId="6" borderId="1" xfId="3" applyNumberFormat="1" applyFont="1" applyFill="1" applyBorder="1" applyAlignment="1">
      <alignment horizontal="center" vertical="center" shrinkToFit="1"/>
    </xf>
    <xf numFmtId="0" fontId="17" fillId="2" borderId="0" xfId="3" applyNumberFormat="1" applyFont="1" applyFill="1" applyAlignment="1">
      <alignment vertical="center" shrinkToFit="1"/>
    </xf>
    <xf numFmtId="0" fontId="20" fillId="3" borderId="1" xfId="3" applyNumberFormat="1" applyFont="1" applyFill="1" applyBorder="1" applyAlignment="1">
      <alignment vertical="center" shrinkToFit="1"/>
    </xf>
    <xf numFmtId="0" fontId="12" fillId="4" borderId="1" xfId="3" applyNumberFormat="1" applyFont="1" applyFill="1" applyBorder="1" applyAlignment="1">
      <alignment vertical="center" shrinkToFit="1"/>
    </xf>
    <xf numFmtId="0" fontId="17" fillId="2" borderId="3" xfId="3" applyNumberFormat="1" applyFont="1" applyFill="1" applyBorder="1" applyAlignment="1">
      <alignment vertical="center" shrinkToFit="1"/>
    </xf>
    <xf numFmtId="0" fontId="17" fillId="2" borderId="0" xfId="3" applyNumberFormat="1" applyFont="1" applyFill="1" applyBorder="1" applyAlignment="1">
      <alignment vertical="center" shrinkToFit="1"/>
    </xf>
    <xf numFmtId="0" fontId="17" fillId="2" borderId="4" xfId="3" applyNumberFormat="1" applyFont="1" applyFill="1" applyBorder="1" applyAlignment="1">
      <alignment vertical="center" shrinkToFit="1"/>
    </xf>
    <xf numFmtId="0" fontId="17" fillId="2" borderId="7" xfId="3" applyNumberFormat="1" applyFont="1" applyFill="1" applyBorder="1" applyAlignment="1">
      <alignment vertical="center" shrinkToFit="1"/>
    </xf>
    <xf numFmtId="0" fontId="17" fillId="2" borderId="2" xfId="3" applyNumberFormat="1" applyFont="1" applyFill="1" applyBorder="1" applyAlignment="1">
      <alignment vertical="center" shrinkToFit="1"/>
    </xf>
    <xf numFmtId="0" fontId="22" fillId="5" borderId="1" xfId="3" applyNumberFormat="1" applyFont="1" applyFill="1" applyBorder="1" applyAlignment="1">
      <alignment vertical="center" shrinkToFit="1"/>
    </xf>
    <xf numFmtId="0" fontId="3" fillId="0" borderId="0" xfId="3" applyNumberFormat="1" applyFont="1" applyFill="1" applyAlignment="1">
      <alignment vertical="center" shrinkToFit="1"/>
    </xf>
    <xf numFmtId="0" fontId="17" fillId="8" borderId="0" xfId="3" applyNumberFormat="1" applyFont="1" applyFill="1" applyAlignment="1">
      <alignment vertical="center" shrinkToFit="1"/>
    </xf>
    <xf numFmtId="0" fontId="17" fillId="8" borderId="2" xfId="3" applyNumberFormat="1" applyFont="1" applyFill="1" applyBorder="1" applyAlignment="1">
      <alignment vertical="center" shrinkToFit="1"/>
    </xf>
    <xf numFmtId="0" fontId="20" fillId="3" borderId="1" xfId="1" applyNumberFormat="1" applyFont="1" applyFill="1" applyBorder="1" applyAlignment="1">
      <alignment vertical="center" shrinkToFit="1"/>
    </xf>
    <xf numFmtId="0" fontId="17" fillId="8" borderId="0" xfId="1" applyNumberFormat="1" applyFont="1" applyFill="1" applyAlignment="1">
      <alignment vertical="center" shrinkToFit="1"/>
    </xf>
    <xf numFmtId="0" fontId="17" fillId="8" borderId="2" xfId="1" applyNumberFormat="1" applyFont="1" applyFill="1" applyBorder="1" applyAlignment="1">
      <alignment vertical="center" shrinkToFit="1"/>
    </xf>
    <xf numFmtId="0" fontId="17" fillId="8" borderId="1" xfId="3" applyNumberFormat="1" applyFont="1" applyFill="1" applyBorder="1" applyAlignment="1">
      <alignment vertical="center" shrinkToFit="1"/>
    </xf>
    <xf numFmtId="0" fontId="23" fillId="8" borderId="0" xfId="3" applyNumberFormat="1" applyFont="1" applyFill="1" applyAlignment="1">
      <alignment vertical="center" shrinkToFit="1"/>
    </xf>
    <xf numFmtId="0" fontId="23" fillId="8" borderId="2" xfId="3" applyNumberFormat="1" applyFont="1" applyFill="1" applyBorder="1" applyAlignment="1">
      <alignment vertical="center" shrinkToFit="1"/>
    </xf>
    <xf numFmtId="0" fontId="12" fillId="4" borderId="3" xfId="3" applyNumberFormat="1" applyFont="1" applyFill="1" applyBorder="1" applyAlignment="1">
      <alignment vertical="center" shrinkToFit="1"/>
    </xf>
    <xf numFmtId="0" fontId="12" fillId="4" borderId="3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Alignment="1">
      <alignment vertical="center" shrinkToFit="1"/>
    </xf>
    <xf numFmtId="0" fontId="17" fillId="2" borderId="2" xfId="1" applyNumberFormat="1" applyFont="1" applyFill="1" applyBorder="1" applyAlignment="1">
      <alignment vertical="center" shrinkToFit="1"/>
    </xf>
    <xf numFmtId="0" fontId="12" fillId="4" borderId="4" xfId="3" applyNumberFormat="1" applyFont="1" applyFill="1" applyBorder="1" applyAlignment="1">
      <alignment vertical="center" shrinkToFit="1"/>
    </xf>
    <xf numFmtId="0" fontId="12" fillId="4" borderId="4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Border="1" applyAlignment="1">
      <alignment vertical="center" shrinkToFit="1"/>
    </xf>
    <xf numFmtId="0" fontId="13" fillId="2" borderId="0" xfId="3" applyNumberFormat="1" applyFont="1" applyFill="1" applyBorder="1" applyAlignment="1">
      <alignment vertical="center" shrinkToFit="1"/>
    </xf>
    <xf numFmtId="0" fontId="13" fillId="2" borderId="2" xfId="3" applyNumberFormat="1" applyFont="1" applyFill="1" applyBorder="1" applyAlignment="1">
      <alignment vertical="center" shrinkToFit="1"/>
    </xf>
    <xf numFmtId="0" fontId="13" fillId="2" borderId="0" xfId="3" applyNumberFormat="1" applyFont="1" applyFill="1" applyAlignment="1">
      <alignment vertical="center" shrinkToFit="1"/>
    </xf>
    <xf numFmtId="0" fontId="13" fillId="2" borderId="0" xfId="1" applyNumberFormat="1" applyFont="1" applyFill="1" applyAlignment="1">
      <alignment vertical="center" shrinkToFit="1"/>
    </xf>
    <xf numFmtId="0" fontId="13" fillId="2" borderId="0" xfId="1" applyNumberFormat="1" applyFont="1" applyFill="1" applyBorder="1" applyAlignment="1">
      <alignment vertical="center" shrinkToFit="1"/>
    </xf>
    <xf numFmtId="0" fontId="13" fillId="2" borderId="2" xfId="1" applyNumberFormat="1" applyFont="1" applyFill="1" applyBorder="1" applyAlignment="1">
      <alignment vertical="center" shrinkToFit="1"/>
    </xf>
    <xf numFmtId="0" fontId="11" fillId="4" borderId="0" xfId="3" applyNumberFormat="1" applyFont="1" applyFill="1" applyBorder="1" applyAlignment="1">
      <alignment vertical="center" shrinkToFit="1"/>
    </xf>
    <xf numFmtId="0" fontId="17" fillId="2" borderId="5" xfId="3" applyNumberFormat="1" applyFont="1" applyFill="1" applyBorder="1" applyAlignment="1">
      <alignment vertical="center" shrinkToFit="1"/>
    </xf>
    <xf numFmtId="0" fontId="17" fillId="2" borderId="6" xfId="3" applyNumberFormat="1" applyFont="1" applyFill="1" applyBorder="1" applyAlignment="1">
      <alignment vertical="center" shrinkToFit="1"/>
    </xf>
    <xf numFmtId="0" fontId="20" fillId="4" borderId="0" xfId="3" applyNumberFormat="1" applyFont="1" applyFill="1" applyBorder="1" applyAlignment="1">
      <alignment vertical="center" shrinkToFit="1"/>
    </xf>
    <xf numFmtId="0" fontId="20" fillId="4" borderId="1" xfId="3" applyNumberFormat="1" applyFont="1" applyFill="1" applyBorder="1" applyAlignment="1">
      <alignment vertical="center" shrinkToFit="1"/>
    </xf>
    <xf numFmtId="0" fontId="17" fillId="2" borderId="8" xfId="3" applyNumberFormat="1" applyFont="1" applyFill="1" applyBorder="1" applyAlignment="1">
      <alignment vertical="center" shrinkToFit="1"/>
    </xf>
    <xf numFmtId="0" fontId="3" fillId="2" borderId="0" xfId="3" applyNumberFormat="1" applyFont="1" applyFill="1" applyAlignment="1">
      <alignment vertical="center" shrinkToFit="1"/>
    </xf>
    <xf numFmtId="0" fontId="19" fillId="6" borderId="1" xfId="3" applyNumberFormat="1" applyFont="1" applyFill="1" applyBorder="1" applyAlignment="1">
      <alignment vertical="center" shrinkToFit="1"/>
    </xf>
    <xf numFmtId="0" fontId="19" fillId="7" borderId="1" xfId="3" applyNumberFormat="1" applyFont="1" applyFill="1" applyBorder="1" applyAlignment="1">
      <alignment horizontal="center" vertical="center" shrinkToFit="1"/>
    </xf>
    <xf numFmtId="0" fontId="12" fillId="4" borderId="1" xfId="1" applyNumberFormat="1" applyFont="1" applyFill="1" applyBorder="1" applyAlignment="1">
      <alignment vertical="center" shrinkToFit="1"/>
    </xf>
    <xf numFmtId="0" fontId="17" fillId="2" borderId="3" xfId="1" applyNumberFormat="1" applyFont="1" applyFill="1" applyBorder="1" applyAlignment="1">
      <alignment vertical="center" shrinkToFit="1"/>
    </xf>
    <xf numFmtId="0" fontId="17" fillId="2" borderId="4" xfId="1" applyNumberFormat="1" applyFont="1" applyFill="1" applyBorder="1" applyAlignment="1">
      <alignment vertical="center" shrinkToFit="1"/>
    </xf>
    <xf numFmtId="0" fontId="25" fillId="2" borderId="0" xfId="2" applyFont="1" applyFill="1"/>
    <xf numFmtId="0" fontId="17" fillId="2" borderId="0" xfId="2" applyFont="1" applyFill="1" applyAlignment="1">
      <alignment vertical="center"/>
    </xf>
    <xf numFmtId="0" fontId="17" fillId="2" borderId="0" xfId="2" applyFont="1" applyFill="1" applyAlignment="1">
      <alignment horizontal="center" vertical="center"/>
    </xf>
    <xf numFmtId="0" fontId="26" fillId="2" borderId="1" xfId="2" applyFont="1" applyFill="1" applyBorder="1" applyAlignment="1">
      <alignment vertical="center"/>
    </xf>
    <xf numFmtId="0" fontId="27" fillId="2" borderId="1" xfId="2" applyFont="1" applyFill="1" applyBorder="1" applyAlignment="1">
      <alignment vertical="center"/>
    </xf>
    <xf numFmtId="0" fontId="28" fillId="2" borderId="0" xfId="2" applyFont="1" applyFill="1" applyAlignment="1">
      <alignment vertical="center"/>
    </xf>
    <xf numFmtId="0" fontId="27" fillId="2" borderId="0" xfId="2" applyFont="1" applyFill="1" applyAlignment="1">
      <alignment vertical="center"/>
    </xf>
    <xf numFmtId="0" fontId="15" fillId="2" borderId="0" xfId="2" applyFont="1" applyFill="1" applyAlignment="1">
      <alignment vertical="center"/>
    </xf>
    <xf numFmtId="0" fontId="31" fillId="2" borderId="0" xfId="2" applyFont="1" applyFill="1" applyAlignment="1">
      <alignment vertical="center"/>
    </xf>
    <xf numFmtId="0" fontId="32" fillId="2" borderId="0" xfId="3" applyFont="1" applyFill="1" applyAlignment="1">
      <alignment vertical="center"/>
    </xf>
    <xf numFmtId="0" fontId="33" fillId="2" borderId="0" xfId="4" applyFont="1" applyFill="1" applyAlignment="1">
      <alignment horizontal="left" vertical="center" indent="1"/>
    </xf>
    <xf numFmtId="0" fontId="34" fillId="0" borderId="2" xfId="0" applyFont="1" applyBorder="1"/>
    <xf numFmtId="0" fontId="35" fillId="0" borderId="0" xfId="0" applyFont="1"/>
    <xf numFmtId="0" fontId="35" fillId="0" borderId="0" xfId="0" applyFont="1" applyAlignment="1">
      <alignment horizontal="left" indent="1"/>
    </xf>
    <xf numFmtId="0" fontId="29" fillId="2" borderId="0" xfId="2" applyFont="1" applyFill="1" applyAlignment="1">
      <alignment horizontal="left" vertical="center"/>
    </xf>
    <xf numFmtId="164" fontId="30" fillId="2" borderId="0" xfId="2" quotePrefix="1" applyNumberFormat="1" applyFont="1" applyFill="1" applyAlignment="1">
      <alignment horizontal="left" vertical="center"/>
    </xf>
    <xf numFmtId="0" fontId="36" fillId="0" borderId="0" xfId="2" applyFont="1" applyAlignment="1">
      <alignment horizontal="left" vertical="center"/>
    </xf>
    <xf numFmtId="1" fontId="19" fillId="6" borderId="1" xfId="3" applyNumberFormat="1" applyFont="1" applyFill="1" applyBorder="1" applyAlignment="1">
      <alignment horizontal="center" vertical="center"/>
    </xf>
  </cellXfs>
  <cellStyles count="5">
    <cellStyle name="Hyperlink" xfId="4" builtinId="8"/>
    <cellStyle name="Normal" xfId="0" builtinId="0"/>
    <cellStyle name="Normal 2" xfId="3"/>
    <cellStyle name="Normal 3" xfId="2"/>
    <cellStyle name="Percent" xfId="1" builtinId="5"/>
  </cellStyles>
  <dxfs count="0"/>
  <tableStyles count="0" defaultTableStyle="TableStyleMedium2" defaultPivotStyle="PivotStyleLight16"/>
  <colors>
    <mruColors>
      <color rgb="FF0564C3"/>
      <color rgb="FF050505"/>
      <color rgb="FFD7D7D7"/>
      <color rgb="FF00143C"/>
      <color rgb="FF001E5F"/>
      <color rgb="FF232D37"/>
      <color rgb="FFDCEBF5"/>
      <color rgb="FFD7E1F0"/>
      <color rgb="FFF0F0F0"/>
      <color rgb="FFBEBE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15"/>
    <col min="5" max="21" width="9.7109375" style="215" customWidth="1"/>
    <col min="22" max="22" width="9.7109375" style="216" customWidth="1"/>
    <col min="23" max="23" width="107.42578125" style="215" customWidth="1"/>
    <col min="24" max="24" width="44.7109375" style="215" customWidth="1"/>
    <col min="25" max="26" width="9.7109375" style="215" customWidth="1"/>
    <col min="27" max="16384" width="9.140625" style="215"/>
  </cols>
  <sheetData>
    <row r="2" spans="1:23" ht="21" x14ac:dyDescent="0.35">
      <c r="A2" s="214"/>
      <c r="B2" s="230"/>
      <c r="C2" s="230"/>
      <c r="D2" s="230"/>
      <c r="E2" s="230"/>
      <c r="F2" s="230"/>
      <c r="G2" s="230"/>
      <c r="H2" s="230"/>
      <c r="I2" s="230"/>
      <c r="J2" s="230"/>
      <c r="K2" s="230"/>
    </row>
    <row r="3" spans="1:23" ht="15" customHeight="1" x14ac:dyDescent="0.25">
      <c r="B3" s="230"/>
      <c r="C3" s="230"/>
      <c r="D3" s="230"/>
      <c r="E3" s="230"/>
      <c r="F3" s="230"/>
      <c r="G3" s="230"/>
      <c r="H3" s="230"/>
      <c r="I3" s="230"/>
      <c r="J3" s="230"/>
      <c r="K3" s="230"/>
    </row>
    <row r="6" spans="1:23" ht="31.5" x14ac:dyDescent="0.25">
      <c r="A6" s="217"/>
      <c r="B6" s="218" t="s">
        <v>179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V6" s="215"/>
    </row>
    <row r="7" spans="1:23" ht="15" customHeight="1" x14ac:dyDescent="0.25">
      <c r="V7" s="215"/>
    </row>
    <row r="8" spans="1:23" ht="15" customHeight="1" x14ac:dyDescent="0.25">
      <c r="V8" s="215"/>
    </row>
    <row r="9" spans="1:23" ht="15" customHeight="1" x14ac:dyDescent="0.25">
      <c r="V9" s="215"/>
    </row>
    <row r="10" spans="1:23" ht="28.5" x14ac:dyDescent="0.25">
      <c r="C10" s="219" t="s">
        <v>188</v>
      </c>
      <c r="V10" s="215"/>
    </row>
    <row r="11" spans="1:23" ht="15" customHeight="1" x14ac:dyDescent="0.25">
      <c r="V11" s="215"/>
    </row>
    <row r="15" spans="1:23" ht="30" customHeight="1" x14ac:dyDescent="0.25">
      <c r="C15" s="219" t="s">
        <v>142</v>
      </c>
    </row>
    <row r="16" spans="1:23" ht="15" customHeight="1" x14ac:dyDescent="0.25">
      <c r="W16" s="220"/>
    </row>
    <row r="17" spans="12:32" ht="15" customHeight="1" x14ac:dyDescent="0.25">
      <c r="W17" s="220"/>
    </row>
    <row r="28" spans="12:32" ht="21" x14ac:dyDescent="0.25">
      <c r="L28" s="228" t="s">
        <v>0</v>
      </c>
      <c r="M28" s="228"/>
      <c r="N28" s="228"/>
      <c r="O28" s="228"/>
    </row>
    <row r="29" spans="12:32" ht="15" customHeight="1" x14ac:dyDescent="0.25">
      <c r="V29" s="215"/>
    </row>
    <row r="30" spans="12:32" ht="18.75" x14ac:dyDescent="0.25">
      <c r="L30" s="229">
        <v>45967.479120370372</v>
      </c>
      <c r="M30" s="229"/>
      <c r="N30" s="229"/>
      <c r="O30" s="229"/>
      <c r="V30" s="215"/>
    </row>
    <row r="31" spans="12:32" ht="15" customHeight="1" x14ac:dyDescent="0.25">
      <c r="L31" s="221" t="s">
        <v>180</v>
      </c>
      <c r="V31" s="215"/>
      <c r="AA31" s="222"/>
      <c r="AB31" s="222"/>
      <c r="AC31" s="222"/>
      <c r="AD31" s="222"/>
      <c r="AE31" s="222"/>
      <c r="AF31" s="222"/>
    </row>
    <row r="32" spans="12:32" ht="15" customHeight="1" x14ac:dyDescent="0.25">
      <c r="V32" s="215"/>
    </row>
    <row r="33" spans="2:32" ht="15" customHeight="1" x14ac:dyDescent="0.25">
      <c r="B33" s="223" t="s">
        <v>1</v>
      </c>
      <c r="V33" s="215"/>
    </row>
    <row r="34" spans="2:32" ht="15" customHeight="1" x14ac:dyDescent="0.25">
      <c r="B34" s="223"/>
      <c r="V34" s="223"/>
    </row>
    <row r="35" spans="2:32" ht="15" customHeight="1" x14ac:dyDescent="0.25">
      <c r="B35" s="223" t="s">
        <v>2</v>
      </c>
      <c r="V35" s="223"/>
    </row>
    <row r="36" spans="2:32" ht="15" customHeight="1" x14ac:dyDescent="0.25">
      <c r="B36" s="223" t="s">
        <v>3</v>
      </c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W36" s="222"/>
      <c r="X36" s="222"/>
      <c r="Y36" s="222"/>
      <c r="Z36" s="222"/>
    </row>
    <row r="38" spans="2:32" ht="15" customHeight="1" x14ac:dyDescent="0.25">
      <c r="B38" s="223" t="s">
        <v>4</v>
      </c>
    </row>
    <row r="39" spans="2:32" ht="15" customHeight="1" x14ac:dyDescent="0.25">
      <c r="B39" s="223" t="s">
        <v>5</v>
      </c>
    </row>
    <row r="40" spans="2:32" ht="15" customHeight="1" x14ac:dyDescent="0.25">
      <c r="B40" s="224" t="s">
        <v>6</v>
      </c>
      <c r="AA40" s="222"/>
      <c r="AB40" s="222"/>
      <c r="AC40" s="222"/>
      <c r="AD40" s="222"/>
      <c r="AE40" s="222"/>
      <c r="AF40" s="222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6"/>
  <sheetViews>
    <sheetView showGridLines="0" workbookViewId="0"/>
  </sheetViews>
  <sheetFormatPr defaultRowHeight="15" x14ac:dyDescent="0.25"/>
  <cols>
    <col min="1" max="1" width="7.7109375" customWidth="1"/>
    <col min="2" max="2" width="15.85546875" customWidth="1"/>
    <col min="3" max="3" width="2.85546875" customWidth="1"/>
    <col min="4" max="4" width="54.7109375" customWidth="1"/>
  </cols>
  <sheetData>
    <row r="1" spans="1:4" ht="18.75" x14ac:dyDescent="0.3">
      <c r="A1" s="6" t="s">
        <v>187</v>
      </c>
      <c r="B1" s="6" t="s">
        <v>188</v>
      </c>
      <c r="C1" s="2"/>
    </row>
    <row r="2" spans="1:4" ht="18.75" x14ac:dyDescent="0.3">
      <c r="A2" s="1"/>
      <c r="B2" s="2"/>
      <c r="C2" s="2"/>
    </row>
    <row r="3" spans="1:4" ht="18.75" x14ac:dyDescent="0.3">
      <c r="A3" s="1"/>
      <c r="B3" s="225" t="s">
        <v>16</v>
      </c>
      <c r="C3" s="3"/>
      <c r="D3" s="9"/>
    </row>
    <row r="4" spans="1:4" x14ac:dyDescent="0.25">
      <c r="A4" s="4"/>
      <c r="B4" s="7" t="str">
        <f ca="1">HYPERLINK("#"&amp;CELL("address",Transport!$B$2),MID(CELL("filename",Transport!$B$2),FIND("]",CELL("filename",Transport!$B$2))+1,256))</f>
        <v>Transport</v>
      </c>
      <c r="C4" s="5"/>
      <c r="D4" s="226" t="s">
        <v>7</v>
      </c>
    </row>
    <row r="5" spans="1:4" ht="5.0999999999999996" customHeight="1" x14ac:dyDescent="0.25">
      <c r="B5" s="7"/>
      <c r="C5" s="5"/>
      <c r="D5" s="2"/>
    </row>
    <row r="6" spans="1:4" x14ac:dyDescent="0.25">
      <c r="B6" s="7" t="str">
        <f ca="1">HYPERLINK("#"&amp;CELL("address",TrRoad_act!$B$2),MID(CELL("filename",TrRoad_act!$B$2),FIND("]",CELL("filename",TrRoad_act!$B$2))+1,256))</f>
        <v>TrRoad_act</v>
      </c>
      <c r="C6" s="5"/>
      <c r="D6" s="226" t="s">
        <v>8</v>
      </c>
    </row>
    <row r="7" spans="1:4" x14ac:dyDescent="0.25">
      <c r="B7" s="8" t="str">
        <f ca="1">HYPERLINK("#"&amp;CELL("address",TrRoad_ene!$B$2),MID(CELL("filename",TrRoad_ene!$B$2),FIND("]",CELL("filename",TrRoad_ene!$B$2))+1,256))</f>
        <v>TrRoad_ene</v>
      </c>
      <c r="C7" s="5"/>
      <c r="D7" s="227" t="s">
        <v>9</v>
      </c>
    </row>
    <row r="8" spans="1:4" x14ac:dyDescent="0.25">
      <c r="B8" s="8" t="str">
        <f ca="1">HYPERLINK("#"&amp;CELL("address",TrRoad_emi!$B$2),MID(CELL("filename",TrRoad_emi!$B$2),FIND("]",CELL("filename",TrRoad_emi!$B$2))+1,256))</f>
        <v>TrRoad_emi</v>
      </c>
      <c r="C8" s="5"/>
      <c r="D8" s="227" t="s">
        <v>10</v>
      </c>
    </row>
    <row r="9" spans="1:4" x14ac:dyDescent="0.25">
      <c r="B9" s="8" t="str">
        <f ca="1">HYPERLINK("#"&amp;CELL("address",TrRoad_tech!$B$2),MID(CELL("filename",TrRoad_tech!$B$2),FIND("]",CELL("filename",TrRoad_tech!$B$2))+1,256))</f>
        <v>TrRoad_tech</v>
      </c>
      <c r="C9" s="5"/>
      <c r="D9" s="227" t="s">
        <v>11</v>
      </c>
    </row>
    <row r="10" spans="1:4" ht="5.0999999999999996" customHeight="1" x14ac:dyDescent="0.25">
      <c r="B10" s="7"/>
      <c r="C10" s="5"/>
      <c r="D10" s="2"/>
    </row>
    <row r="11" spans="1:4" x14ac:dyDescent="0.25">
      <c r="B11" s="7" t="str">
        <f ca="1">HYPERLINK("#"&amp;CELL("address",TrRail_act!$B$2),MID(CELL("filename",TrRail_act!$B$2),FIND("]",CELL("filename",TrRail_act!$B$2))+1,256))</f>
        <v>TrRail_act</v>
      </c>
      <c r="C11" s="5"/>
      <c r="D11" s="226" t="s">
        <v>12</v>
      </c>
    </row>
    <row r="12" spans="1:4" x14ac:dyDescent="0.25">
      <c r="B12" s="8" t="str">
        <f ca="1">HYPERLINK("#"&amp;CELL("address",TrRail_ene!$B$2),MID(CELL("filename",TrRail_ene!$B$2),FIND("]",CELL("filename",TrRail_ene!$B$2))+1,256))</f>
        <v>TrRail_ene</v>
      </c>
      <c r="C12" s="5"/>
      <c r="D12" s="227" t="s">
        <v>9</v>
      </c>
    </row>
    <row r="13" spans="1:4" x14ac:dyDescent="0.25">
      <c r="B13" s="8" t="str">
        <f ca="1">HYPERLINK("#"&amp;CELL("address",TrRail_emi!$B$2),MID(CELL("filename",TrRail_emi!$B$2),FIND("]",CELL("filename",TrRail_emi!$B$2))+1,256))</f>
        <v>TrRail_emi</v>
      </c>
      <c r="C13" s="5"/>
      <c r="D13" s="227" t="s">
        <v>10</v>
      </c>
    </row>
    <row r="14" spans="1:4" ht="5.0999999999999996" customHeight="1" x14ac:dyDescent="0.25">
      <c r="B14" s="7"/>
      <c r="C14" s="5"/>
      <c r="D14" s="2"/>
    </row>
    <row r="15" spans="1:4" x14ac:dyDescent="0.25">
      <c r="B15" s="7" t="str">
        <f ca="1">HYPERLINK("#"&amp;CELL("address",TrAvia_act!$B$2),MID(CELL("filename",TrAvia_act!$B$2),FIND("]",CELL("filename",TrAvia_act!$B$2))+1,256))</f>
        <v>TrAvia_act</v>
      </c>
      <c r="C15" s="5"/>
      <c r="D15" s="226" t="s">
        <v>13</v>
      </c>
    </row>
    <row r="16" spans="1:4" x14ac:dyDescent="0.25">
      <c r="B16" s="8" t="str">
        <f ca="1">HYPERLINK("#"&amp;CELL("address",TrAvia_ene!$B$2),MID(CELL("filename",TrAvia_ene!$B$2),FIND("]",CELL("filename",TrAvia_ene!$B$2))+1,256))</f>
        <v>TrAvia_ene</v>
      </c>
      <c r="C16" s="5"/>
      <c r="D16" s="227" t="s">
        <v>9</v>
      </c>
    </row>
    <row r="17" spans="2:4" x14ac:dyDescent="0.25">
      <c r="B17" s="8" t="str">
        <f ca="1">HYPERLINK("#"&amp;CELL("address",TrAvia_emi!$B$2),MID(CELL("filename",TrAvia_emi!$B$2),FIND("]",CELL("filename",TrAvia_emi!$B$2))+1,256))</f>
        <v>TrAvia_emi</v>
      </c>
      <c r="C17" s="5"/>
      <c r="D17" s="227" t="s">
        <v>10</v>
      </c>
    </row>
    <row r="18" spans="2:4" x14ac:dyDescent="0.25">
      <c r="B18" s="8" t="str">
        <f ca="1">HYPERLINK("#"&amp;CELL("address",TrAvia_png!$B$2),MID(CELL("filename",TrAvia_png!$B$2),FIND("]",CELL("filename",TrAvia_png!$B$2))+1,256))</f>
        <v>TrAvia_png</v>
      </c>
      <c r="C18" s="5"/>
      <c r="D18" s="227" t="s">
        <v>14</v>
      </c>
    </row>
    <row r="19" spans="2:4" ht="5.0999999999999996" customHeight="1" x14ac:dyDescent="0.25">
      <c r="B19" s="7"/>
      <c r="C19" s="5"/>
      <c r="D19" s="2"/>
    </row>
    <row r="20" spans="2:4" x14ac:dyDescent="0.25">
      <c r="B20" s="7" t="str">
        <f ca="1">HYPERLINK("#"&amp;CELL("address",TrNavi_act!$B$2),MID(CELL("filename",TrNavi_act!$B$2),FIND("]",CELL("filename",TrNavi_act!$B$2))+1,256))</f>
        <v>TrNavi_act</v>
      </c>
      <c r="C20" s="5"/>
      <c r="D20" s="226" t="s">
        <v>15</v>
      </c>
    </row>
    <row r="21" spans="2:4" x14ac:dyDescent="0.25">
      <c r="B21" s="8" t="str">
        <f ca="1">HYPERLINK("#"&amp;CELL("address",TrNavi_ene!$B$2),MID(CELL("filename",TrNavi_ene!$B$2),FIND("]",CELL("filename",TrNavi_ene!$B$2))+1,256))</f>
        <v>TrNavi_ene</v>
      </c>
      <c r="C21" s="5"/>
      <c r="D21" s="227" t="s">
        <v>9</v>
      </c>
    </row>
    <row r="22" spans="2:4" x14ac:dyDescent="0.25">
      <c r="B22" s="8" t="str">
        <f ca="1">HYPERLINK("#"&amp;CELL("address",TrNavi_emi!$B$2),MID(CELL("filename",TrNavi_emi!$B$2),FIND("]",CELL("filename",TrNavi_emi!$B$2))+1,256))</f>
        <v>TrNavi_emi</v>
      </c>
      <c r="C22" s="5"/>
      <c r="D22" s="227" t="s">
        <v>10</v>
      </c>
    </row>
    <row r="23" spans="2:4" ht="5.0999999999999996" customHeight="1" x14ac:dyDescent="0.25">
      <c r="B23" s="7"/>
      <c r="C23" s="5"/>
      <c r="D23" s="2"/>
    </row>
    <row r="24" spans="2:4" x14ac:dyDescent="0.25">
      <c r="B24" s="7" t="str">
        <f ca="1">HYPERLINK("#"&amp;CELL("address",MBunk_act!$B$2),MID(CELL("filename",MBunk_act!$B$2),FIND("]",CELL("filename",MBunk_act!$B$2))+1,256))</f>
        <v>MBunk_act</v>
      </c>
      <c r="C24" s="5"/>
      <c r="D24" s="226" t="s">
        <v>165</v>
      </c>
    </row>
    <row r="25" spans="2:4" x14ac:dyDescent="0.25">
      <c r="B25" s="8" t="str">
        <f ca="1">HYPERLINK("#"&amp;CELL("address",MBunk_ene!$B$2),MID(CELL("filename",MBunk_ene!$B$2),FIND("]",CELL("filename",MBunk_ene!$B$2))+1,256))</f>
        <v>MBunk_ene</v>
      </c>
      <c r="C25" s="5"/>
      <c r="D25" s="227" t="s">
        <v>9</v>
      </c>
    </row>
    <row r="26" spans="2:4" x14ac:dyDescent="0.25">
      <c r="B26" s="8" t="str">
        <f ca="1">HYPERLINK("#"&amp;CELL("address",MBunk_emi!$B$2),MID(CELL("filename",MBunk_emi!$B$2),FIND("]",CELL("filename",MBunk_emi!$B$2))+1,256))</f>
        <v>MBunk_emi</v>
      </c>
      <c r="C26" s="5"/>
      <c r="D26" s="227" t="s">
        <v>10</v>
      </c>
    </row>
  </sheetData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A246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370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17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DA3" s="172"/>
    </row>
    <row r="4" spans="1:105" ht="11.45" customHeight="1" x14ac:dyDescent="0.25">
      <c r="A4" s="27" t="s">
        <v>18</v>
      </c>
      <c r="B4" s="28">
        <f t="shared" ref="B4:Q4" si="0">B5+B9+B13</f>
        <v>109192.12656312011</v>
      </c>
      <c r="C4" s="28">
        <f t="shared" si="0"/>
        <v>110373.58501628417</v>
      </c>
      <c r="D4" s="28">
        <f t="shared" si="0"/>
        <v>114212.6818470665</v>
      </c>
      <c r="E4" s="28">
        <f t="shared" si="0"/>
        <v>119132.20528693483</v>
      </c>
      <c r="F4" s="28">
        <f t="shared" si="0"/>
        <v>121912.57072464604</v>
      </c>
      <c r="G4" s="28">
        <f t="shared" si="0"/>
        <v>121280.26644653198</v>
      </c>
      <c r="H4" s="28">
        <f t="shared" si="0"/>
        <v>123500.58108412405</v>
      </c>
      <c r="I4" s="28">
        <f t="shared" si="0"/>
        <v>126915.472174922</v>
      </c>
      <c r="J4" s="28">
        <f t="shared" si="0"/>
        <v>128366.88308736513</v>
      </c>
      <c r="K4" s="28">
        <f t="shared" si="0"/>
        <v>125914.05426102955</v>
      </c>
      <c r="L4" s="28">
        <f t="shared" si="0"/>
        <v>125453.67070712194</v>
      </c>
      <c r="M4" s="28">
        <f t="shared" si="0"/>
        <v>126929.78550156372</v>
      </c>
      <c r="N4" s="28">
        <f t="shared" si="0"/>
        <v>126357.8995124783</v>
      </c>
      <c r="O4" s="28">
        <f t="shared" si="0"/>
        <v>127861.47606157481</v>
      </c>
      <c r="P4" s="28">
        <f t="shared" si="0"/>
        <v>131613.05834414644</v>
      </c>
      <c r="Q4" s="28">
        <f t="shared" si="0"/>
        <v>135054.97763644799</v>
      </c>
      <c r="R4" s="28">
        <f t="shared" ref="R4:V4" si="1">R5+R9+R13</f>
        <v>146198.49799974743</v>
      </c>
      <c r="S4" s="28">
        <f t="shared" si="1"/>
        <v>156558.80475897112</v>
      </c>
      <c r="T4" s="28">
        <f t="shared" si="1"/>
        <v>164821.65623528548</v>
      </c>
      <c r="U4" s="28">
        <f t="shared" si="1"/>
        <v>173691.65756363352</v>
      </c>
      <c r="V4" s="28">
        <f t="shared" si="1"/>
        <v>112218.71689255117</v>
      </c>
      <c r="W4" s="28">
        <f t="shared" ref="W4:Y4" si="2">W5+W9+W13</f>
        <v>125578.8094726335</v>
      </c>
      <c r="X4" s="28">
        <f t="shared" si="2"/>
        <v>168615.01185582188</v>
      </c>
      <c r="Y4" s="28">
        <f t="shared" si="2"/>
        <v>185406.12666053826</v>
      </c>
      <c r="DA4" s="173" t="s">
        <v>371</v>
      </c>
    </row>
    <row r="5" spans="1:105" ht="11.45" customHeight="1" x14ac:dyDescent="0.25">
      <c r="A5" s="136" t="s">
        <v>19</v>
      </c>
      <c r="B5" s="137">
        <f t="shared" ref="B5:Q5" si="3">B6+B7+B8</f>
        <v>84395.429471431475</v>
      </c>
      <c r="C5" s="137">
        <f t="shared" si="3"/>
        <v>86058.873650865411</v>
      </c>
      <c r="D5" s="137">
        <f t="shared" si="3"/>
        <v>89466.327588645989</v>
      </c>
      <c r="E5" s="137">
        <f t="shared" si="3"/>
        <v>93970.45502645032</v>
      </c>
      <c r="F5" s="137">
        <f t="shared" si="3"/>
        <v>95880.881228197424</v>
      </c>
      <c r="G5" s="137">
        <f t="shared" si="3"/>
        <v>93552.616720398859</v>
      </c>
      <c r="H5" s="137">
        <f t="shared" si="3"/>
        <v>94353.625054534976</v>
      </c>
      <c r="I5" s="137">
        <f t="shared" si="3"/>
        <v>95018.578042178662</v>
      </c>
      <c r="J5" s="137">
        <f t="shared" si="3"/>
        <v>95477.858770322506</v>
      </c>
      <c r="K5" s="137">
        <f t="shared" si="3"/>
        <v>94054.932873486963</v>
      </c>
      <c r="L5" s="137">
        <f t="shared" si="3"/>
        <v>91765.075429244083</v>
      </c>
      <c r="M5" s="137">
        <f t="shared" si="3"/>
        <v>90984.023141529091</v>
      </c>
      <c r="N5" s="137">
        <f t="shared" si="3"/>
        <v>89935.105173080825</v>
      </c>
      <c r="O5" s="137">
        <f t="shared" si="3"/>
        <v>89810.696076485008</v>
      </c>
      <c r="P5" s="137">
        <f t="shared" si="3"/>
        <v>90887.560810949057</v>
      </c>
      <c r="Q5" s="137">
        <f t="shared" si="3"/>
        <v>91768.426005264133</v>
      </c>
      <c r="R5" s="137">
        <f t="shared" ref="R5:V5" si="4">R6+R7+R8</f>
        <v>97724.837678328826</v>
      </c>
      <c r="S5" s="137">
        <f t="shared" si="4"/>
        <v>100283.3782809617</v>
      </c>
      <c r="T5" s="137">
        <f t="shared" si="4"/>
        <v>103934.48013096393</v>
      </c>
      <c r="U5" s="137">
        <f t="shared" si="4"/>
        <v>106613.04326978141</v>
      </c>
      <c r="V5" s="137">
        <f t="shared" si="4"/>
        <v>90716.128791358104</v>
      </c>
      <c r="W5" s="137">
        <f t="shared" ref="W5:Y5" si="5">W6+W7+W8</f>
        <v>98093.717882192868</v>
      </c>
      <c r="X5" s="137">
        <f t="shared" si="5"/>
        <v>106673.59325815114</v>
      </c>
      <c r="Y5" s="137">
        <f t="shared" si="5"/>
        <v>111082.43377379236</v>
      </c>
      <c r="DA5" s="174" t="s">
        <v>372</v>
      </c>
    </row>
    <row r="6" spans="1:105" ht="11.45" customHeight="1" x14ac:dyDescent="0.25">
      <c r="A6" s="128" t="str">
        <f>TrRoad_act!$A$5</f>
        <v>Powered two-wheelers</v>
      </c>
      <c r="B6" s="102">
        <f>TrRoad_act!B$5</f>
        <v>1574.4294714314808</v>
      </c>
      <c r="C6" s="102">
        <f>TrRoad_act!C$5</f>
        <v>1699.873650865409</v>
      </c>
      <c r="D6" s="102">
        <f>TrRoad_act!D$5</f>
        <v>1830.3275886459926</v>
      </c>
      <c r="E6" s="102">
        <f>TrRoad_act!E$5</f>
        <v>1933.4550264503389</v>
      </c>
      <c r="F6" s="102">
        <f>TrRoad_act!F$5</f>
        <v>2071.8812281974297</v>
      </c>
      <c r="G6" s="102">
        <f>TrRoad_act!G$5</f>
        <v>2176.353553752986</v>
      </c>
      <c r="H6" s="102">
        <f>TrRoad_act!H$5</f>
        <v>2289.2817887439328</v>
      </c>
      <c r="I6" s="102">
        <f>TrRoad_act!I$5</f>
        <v>2169.8401388656785</v>
      </c>
      <c r="J6" s="102">
        <f>TrRoad_act!J$5</f>
        <v>2195.2290177453697</v>
      </c>
      <c r="K6" s="102">
        <f>TrRoad_act!K$5</f>
        <v>2054.5728892767697</v>
      </c>
      <c r="L6" s="102">
        <f>TrRoad_act!L$5</f>
        <v>1987.5200866212617</v>
      </c>
      <c r="M6" s="102">
        <f>TrRoad_act!M$5</f>
        <v>1943.9386126090665</v>
      </c>
      <c r="N6" s="102">
        <f>TrRoad_act!N$5</f>
        <v>1954.3317502796574</v>
      </c>
      <c r="O6" s="102">
        <f>TrRoad_act!O$5</f>
        <v>1921.7588051520365</v>
      </c>
      <c r="P6" s="102">
        <f>TrRoad_act!P$5</f>
        <v>1894.6681208341433</v>
      </c>
      <c r="Q6" s="102">
        <f>TrRoad_act!Q$5</f>
        <v>1837.5684906353188</v>
      </c>
      <c r="R6" s="102">
        <f>TrRoad_act!R$5</f>
        <v>1959.84367710279</v>
      </c>
      <c r="S6" s="102">
        <f>TrRoad_act!S$5</f>
        <v>1870.070977618323</v>
      </c>
      <c r="T6" s="102">
        <f>TrRoad_act!T$5</f>
        <v>1793.0925957470808</v>
      </c>
      <c r="U6" s="102">
        <f>TrRoad_act!U$5</f>
        <v>1921.0536118664029</v>
      </c>
      <c r="V6" s="102">
        <f>TrRoad_act!V$5</f>
        <v>1731.6274165879918</v>
      </c>
      <c r="W6" s="102">
        <f>TrRoad_act!W$5</f>
        <v>1814.9608668245555</v>
      </c>
      <c r="X6" s="102">
        <f>TrRoad_act!X$5</f>
        <v>1851.8990421437211</v>
      </c>
      <c r="Y6" s="102">
        <f>TrRoad_act!Y$5</f>
        <v>2035.3284093575012</v>
      </c>
      <c r="DA6" s="175" t="s">
        <v>373</v>
      </c>
    </row>
    <row r="7" spans="1:105" ht="11.45" customHeight="1" x14ac:dyDescent="0.25">
      <c r="A7" s="128" t="str">
        <f>TrRoad_act!$A$6</f>
        <v>Passenger cars</v>
      </c>
      <c r="B7" s="102">
        <f>TrRoad_act!B$6</f>
        <v>71000</v>
      </c>
      <c r="C7" s="102">
        <f>TrRoad_act!C$6</f>
        <v>73200</v>
      </c>
      <c r="D7" s="102">
        <f>TrRoad_act!D$6</f>
        <v>77700</v>
      </c>
      <c r="E7" s="102">
        <f>TrRoad_act!E$6</f>
        <v>81499.999999999985</v>
      </c>
      <c r="F7" s="102">
        <f>TrRoad_act!F$6</f>
        <v>83000</v>
      </c>
      <c r="G7" s="102">
        <f>TrRoad_act!G$6</f>
        <v>85000</v>
      </c>
      <c r="H7" s="102">
        <f>TrRoad_act!H$6</f>
        <v>86000</v>
      </c>
      <c r="I7" s="102">
        <f>TrRoad_act!I$6</f>
        <v>86600.000000000015</v>
      </c>
      <c r="J7" s="102">
        <f>TrRoad_act!J$6</f>
        <v>87000.000000000015</v>
      </c>
      <c r="K7" s="102">
        <f>TrRoad_act!K$6</f>
        <v>86000</v>
      </c>
      <c r="L7" s="102">
        <f>TrRoad_act!L$6</f>
        <v>83700</v>
      </c>
      <c r="M7" s="102">
        <f>TrRoad_act!M$6</f>
        <v>83190.084528920022</v>
      </c>
      <c r="N7" s="102">
        <f>TrRoad_act!N$6</f>
        <v>82130.773422801169</v>
      </c>
      <c r="O7" s="102">
        <f>TrRoad_act!O$6</f>
        <v>81865.937271332965</v>
      </c>
      <c r="P7" s="102">
        <f>TrRoad_act!P$6</f>
        <v>83335.89269011491</v>
      </c>
      <c r="Q7" s="102">
        <f>TrRoad_act!Q$6</f>
        <v>84467.85751462882</v>
      </c>
      <c r="R7" s="102">
        <f>TrRoad_act!R$6</f>
        <v>90461.994001226034</v>
      </c>
      <c r="S7" s="102">
        <f>TrRoad_act!S$6</f>
        <v>92191.507303343373</v>
      </c>
      <c r="T7" s="102">
        <f>TrRoad_act!T$6</f>
        <v>95460.477535216851</v>
      </c>
      <c r="U7" s="102">
        <f>TrRoad_act!U$6</f>
        <v>98038.049657915006</v>
      </c>
      <c r="V7" s="102">
        <f>TrRoad_act!V$6</f>
        <v>85184.631374770121</v>
      </c>
      <c r="W7" s="102">
        <f>TrRoad_act!W$6</f>
        <v>90605.457015368316</v>
      </c>
      <c r="X7" s="102">
        <f>TrRoad_act!X$6</f>
        <v>96554.494216007428</v>
      </c>
      <c r="Y7" s="102">
        <f>TrRoad_act!Y$6</f>
        <v>100487.10536443486</v>
      </c>
      <c r="DA7" s="175" t="s">
        <v>374</v>
      </c>
    </row>
    <row r="8" spans="1:105" ht="11.45" customHeight="1" x14ac:dyDescent="0.25">
      <c r="A8" s="128" t="str">
        <f>TrRoad_act!$A$13</f>
        <v>Motor coaches, buses and trolley buses</v>
      </c>
      <c r="B8" s="102">
        <f>TrRoad_act!B$13</f>
        <v>11821</v>
      </c>
      <c r="C8" s="102">
        <f>TrRoad_act!C$13</f>
        <v>11159</v>
      </c>
      <c r="D8" s="102">
        <f>TrRoad_act!D$13</f>
        <v>9936</v>
      </c>
      <c r="E8" s="102">
        <f>TrRoad_act!E$13</f>
        <v>10537</v>
      </c>
      <c r="F8" s="102">
        <f>TrRoad_act!F$13</f>
        <v>10809</v>
      </c>
      <c r="G8" s="102">
        <f>TrRoad_act!G$13</f>
        <v>6376.2631666458828</v>
      </c>
      <c r="H8" s="102">
        <f>TrRoad_act!H$13</f>
        <v>6064.3432657910444</v>
      </c>
      <c r="I8" s="102">
        <f>TrRoad_act!I$13</f>
        <v>6248.7379033129673</v>
      </c>
      <c r="J8" s="102">
        <f>TrRoad_act!J$13</f>
        <v>6282.6297525771188</v>
      </c>
      <c r="K8" s="102">
        <f>TrRoad_act!K$13</f>
        <v>6000.3599842101912</v>
      </c>
      <c r="L8" s="102">
        <f>TrRoad_act!L$13</f>
        <v>6077.5553426228325</v>
      </c>
      <c r="M8" s="102">
        <f>TrRoad_act!M$13</f>
        <v>5849.9999999999991</v>
      </c>
      <c r="N8" s="102">
        <f>TrRoad_act!N$13</f>
        <v>5850</v>
      </c>
      <c r="O8" s="102">
        <f>TrRoad_act!O$13</f>
        <v>6023.0000000000009</v>
      </c>
      <c r="P8" s="102">
        <f>TrRoad_act!P$13</f>
        <v>5656.9999999999991</v>
      </c>
      <c r="Q8" s="102">
        <f>TrRoad_act!Q$13</f>
        <v>5462.9999999999991</v>
      </c>
      <c r="R8" s="102">
        <f>TrRoad_act!R$13</f>
        <v>5302.9999999999991</v>
      </c>
      <c r="S8" s="102">
        <f>TrRoad_act!S$13</f>
        <v>6221.8</v>
      </c>
      <c r="T8" s="102">
        <f>TrRoad_act!T$13</f>
        <v>6680.91</v>
      </c>
      <c r="U8" s="102">
        <f>TrRoad_act!U$13</f>
        <v>6653.94</v>
      </c>
      <c r="V8" s="102">
        <f>TrRoad_act!V$13</f>
        <v>3799.87</v>
      </c>
      <c r="W8" s="102">
        <f>TrRoad_act!W$13</f>
        <v>5673.2999999999993</v>
      </c>
      <c r="X8" s="102">
        <f>TrRoad_act!X$13</f>
        <v>8267.2000000000007</v>
      </c>
      <c r="Y8" s="102">
        <f>TrRoad_act!Y$13</f>
        <v>8560</v>
      </c>
      <c r="DA8" s="175" t="s">
        <v>375</v>
      </c>
    </row>
    <row r="9" spans="1:105" ht="11.45" customHeight="1" x14ac:dyDescent="0.25">
      <c r="A9" s="109" t="s">
        <v>22</v>
      </c>
      <c r="B9" s="110">
        <f t="shared" ref="B9:Q9" si="6">B10+B11+B12</f>
        <v>4562</v>
      </c>
      <c r="C9" s="110">
        <f t="shared" si="6"/>
        <v>4537</v>
      </c>
      <c r="D9" s="110">
        <f t="shared" si="6"/>
        <v>4475</v>
      </c>
      <c r="E9" s="110">
        <f t="shared" si="6"/>
        <v>4523</v>
      </c>
      <c r="F9" s="110">
        <f t="shared" si="6"/>
        <v>4599</v>
      </c>
      <c r="G9" s="110">
        <f t="shared" si="6"/>
        <v>4656.7160000000003</v>
      </c>
      <c r="H9" s="110">
        <f t="shared" si="6"/>
        <v>4863.8</v>
      </c>
      <c r="I9" s="110">
        <f t="shared" si="6"/>
        <v>5036.8900000000003</v>
      </c>
      <c r="J9" s="110">
        <f t="shared" si="6"/>
        <v>5307.7610000000004</v>
      </c>
      <c r="K9" s="110">
        <f t="shared" si="6"/>
        <v>5303.1840000000002</v>
      </c>
      <c r="L9" s="110">
        <f t="shared" si="6"/>
        <v>5244.2330000000002</v>
      </c>
      <c r="M9" s="110">
        <f t="shared" si="6"/>
        <v>5385</v>
      </c>
      <c r="N9" s="110">
        <f t="shared" si="6"/>
        <v>4831.0689999999995</v>
      </c>
      <c r="O9" s="110">
        <f t="shared" si="6"/>
        <v>4590.2960000000003</v>
      </c>
      <c r="P9" s="110">
        <f t="shared" si="6"/>
        <v>4818.5609999999997</v>
      </c>
      <c r="Q9" s="110">
        <f t="shared" si="6"/>
        <v>4965.652</v>
      </c>
      <c r="R9" s="110">
        <f t="shared" ref="R9:V9" si="7">R10+R11+R12</f>
        <v>5327.2989999999991</v>
      </c>
      <c r="S9" s="110">
        <f t="shared" si="7"/>
        <v>5637.0770000000002</v>
      </c>
      <c r="T9" s="110">
        <f t="shared" si="7"/>
        <v>5746</v>
      </c>
      <c r="U9" s="110">
        <f t="shared" si="7"/>
        <v>6346.6639999999998</v>
      </c>
      <c r="V9" s="110">
        <f t="shared" si="7"/>
        <v>3228.5</v>
      </c>
      <c r="W9" s="110">
        <f t="shared" ref="W9:Y9" si="8">W10+W11+W12</f>
        <v>3561.654</v>
      </c>
      <c r="X9" s="110">
        <f t="shared" si="8"/>
        <v>5519.817</v>
      </c>
      <c r="Y9" s="110">
        <f t="shared" si="8"/>
        <v>6174</v>
      </c>
      <c r="DA9" s="176" t="s">
        <v>376</v>
      </c>
    </row>
    <row r="10" spans="1:105" ht="11.45" customHeight="1" x14ac:dyDescent="0.25">
      <c r="A10" s="128" t="str">
        <f>TrRail_act!$A$5</f>
        <v>Metro and tram, urban light rail</v>
      </c>
      <c r="B10" s="102">
        <f>TrRail_act!B$5</f>
        <v>530</v>
      </c>
      <c r="C10" s="102">
        <f>TrRail_act!C$5</f>
        <v>545</v>
      </c>
      <c r="D10" s="102">
        <f>TrRail_act!D$5</f>
        <v>550</v>
      </c>
      <c r="E10" s="102">
        <f>TrRail_act!E$5</f>
        <v>770</v>
      </c>
      <c r="F10" s="102">
        <f>TrRail_act!F$5</f>
        <v>847</v>
      </c>
      <c r="G10" s="102">
        <f>TrRail_act!G$5</f>
        <v>847.71600000000001</v>
      </c>
      <c r="H10" s="102">
        <f>TrRail_act!H$5</f>
        <v>987.8</v>
      </c>
      <c r="I10" s="102">
        <f>TrRail_act!I$5</f>
        <v>1049.8900000000001</v>
      </c>
      <c r="J10" s="102">
        <f>TrRail_act!J$5</f>
        <v>1094.7610000000002</v>
      </c>
      <c r="K10" s="102">
        <f>TrRail_act!K$5</f>
        <v>1090.184</v>
      </c>
      <c r="L10" s="102">
        <f>TrRail_act!L$5</f>
        <v>1133.2329999999999</v>
      </c>
      <c r="M10" s="102">
        <f>TrRail_act!M$5</f>
        <v>1148</v>
      </c>
      <c r="N10" s="102">
        <f>TrRail_act!N$5</f>
        <v>1028.069</v>
      </c>
      <c r="O10" s="102">
        <f>TrRail_act!O$5</f>
        <v>941.29599999999994</v>
      </c>
      <c r="P10" s="102">
        <f>TrRail_act!P$5</f>
        <v>966.56100000000004</v>
      </c>
      <c r="Q10" s="102">
        <f>TrRail_act!Q$5</f>
        <v>1008.6520000000002</v>
      </c>
      <c r="R10" s="102">
        <f>TrRail_act!R$5</f>
        <v>1061.299</v>
      </c>
      <c r="S10" s="102">
        <f>TrRail_act!S$5</f>
        <v>1121.077</v>
      </c>
      <c r="T10" s="102">
        <f>TrRail_act!T$5</f>
        <v>1176</v>
      </c>
      <c r="U10" s="102">
        <f>TrRail_act!U$5</f>
        <v>1291.664</v>
      </c>
      <c r="V10" s="102">
        <f>TrRail_act!V$5</f>
        <v>665.5</v>
      </c>
      <c r="W10" s="102">
        <f>TrRail_act!W$5</f>
        <v>649.654</v>
      </c>
      <c r="X10" s="102">
        <f>TrRail_act!X$5</f>
        <v>1100.817</v>
      </c>
      <c r="Y10" s="102">
        <f>TrRail_act!Y$5</f>
        <v>1345</v>
      </c>
      <c r="DA10" s="175" t="s">
        <v>377</v>
      </c>
    </row>
    <row r="11" spans="1:105" ht="11.45" customHeight="1" x14ac:dyDescent="0.25">
      <c r="A11" s="128" t="str">
        <f>TrRail_act!$A$6</f>
        <v>Conventional passenger trains</v>
      </c>
      <c r="B11" s="102">
        <f>TrRail_act!B$6</f>
        <v>4032</v>
      </c>
      <c r="C11" s="102">
        <f>TrRail_act!C$6</f>
        <v>3992</v>
      </c>
      <c r="D11" s="102">
        <f>TrRail_act!D$6</f>
        <v>3925</v>
      </c>
      <c r="E11" s="102">
        <f>TrRail_act!E$6</f>
        <v>3753</v>
      </c>
      <c r="F11" s="102">
        <f>TrRail_act!F$6</f>
        <v>3316</v>
      </c>
      <c r="G11" s="102">
        <f>TrRail_act!G$6</f>
        <v>3319</v>
      </c>
      <c r="H11" s="102">
        <f>TrRail_act!H$6</f>
        <v>3368</v>
      </c>
      <c r="I11" s="102">
        <f>TrRail_act!I$6</f>
        <v>3481</v>
      </c>
      <c r="J11" s="102">
        <f>TrRail_act!J$6</f>
        <v>3688</v>
      </c>
      <c r="K11" s="102">
        <f>TrRail_act!K$6</f>
        <v>3684</v>
      </c>
      <c r="L11" s="102">
        <f>TrRail_act!L$6</f>
        <v>3591.7406019999999</v>
      </c>
      <c r="M11" s="102">
        <f>TrRail_act!M$6</f>
        <v>3771</v>
      </c>
      <c r="N11" s="102">
        <f>TrRail_act!N$6</f>
        <v>3341</v>
      </c>
      <c r="O11" s="102">
        <f>TrRail_act!O$6</f>
        <v>3184</v>
      </c>
      <c r="P11" s="102">
        <f>TrRail_act!P$6</f>
        <v>3314</v>
      </c>
      <c r="Q11" s="102">
        <f>TrRail_act!Q$6</f>
        <v>3388</v>
      </c>
      <c r="R11" s="102">
        <f>TrRail_act!R$6</f>
        <v>3651.8899999999994</v>
      </c>
      <c r="S11" s="102">
        <f>TrRail_act!S$6</f>
        <v>3863</v>
      </c>
      <c r="T11" s="102">
        <f>TrRail_act!T$6</f>
        <v>3909</v>
      </c>
      <c r="U11" s="102">
        <f>TrRail_act!U$6</f>
        <v>4359</v>
      </c>
      <c r="V11" s="102">
        <f>TrRail_act!V$6</f>
        <v>2340</v>
      </c>
      <c r="W11" s="102">
        <f>TrRail_act!W$6</f>
        <v>2642</v>
      </c>
      <c r="X11" s="102">
        <f>TrRail_act!X$6</f>
        <v>3868</v>
      </c>
      <c r="Y11" s="102">
        <f>TrRail_act!Y$6</f>
        <v>4229</v>
      </c>
      <c r="DA11" s="175" t="s">
        <v>378</v>
      </c>
    </row>
    <row r="12" spans="1:105" ht="11.45" customHeight="1" x14ac:dyDescent="0.25">
      <c r="A12" s="128" t="str">
        <f>TrRail_act!$A$9</f>
        <v>High speed passenger trains</v>
      </c>
      <c r="B12" s="102">
        <f>TrRail_act!B$9</f>
        <v>0</v>
      </c>
      <c r="C12" s="102">
        <f>TrRail_act!C$9</f>
        <v>0</v>
      </c>
      <c r="D12" s="102">
        <f>TrRail_act!D$9</f>
        <v>0</v>
      </c>
      <c r="E12" s="102">
        <f>TrRail_act!E$9</f>
        <v>0</v>
      </c>
      <c r="F12" s="102">
        <f>TrRail_act!F$9</f>
        <v>436</v>
      </c>
      <c r="G12" s="102">
        <f>TrRail_act!G$9</f>
        <v>490</v>
      </c>
      <c r="H12" s="102">
        <f>TrRail_act!H$9</f>
        <v>508</v>
      </c>
      <c r="I12" s="102">
        <f>TrRail_act!I$9</f>
        <v>506</v>
      </c>
      <c r="J12" s="102">
        <f>TrRail_act!J$9</f>
        <v>525</v>
      </c>
      <c r="K12" s="102">
        <f>TrRail_act!K$9</f>
        <v>529</v>
      </c>
      <c r="L12" s="102">
        <f>TrRail_act!L$9</f>
        <v>519.25939800000003</v>
      </c>
      <c r="M12" s="102">
        <f>TrRail_act!M$9</f>
        <v>466</v>
      </c>
      <c r="N12" s="102">
        <f>TrRail_act!N$9</f>
        <v>462</v>
      </c>
      <c r="O12" s="102">
        <f>TrRail_act!O$9</f>
        <v>465</v>
      </c>
      <c r="P12" s="102">
        <f>TrRail_act!P$9</f>
        <v>538</v>
      </c>
      <c r="Q12" s="102">
        <f>TrRail_act!Q$9</f>
        <v>569</v>
      </c>
      <c r="R12" s="102">
        <f>TrRail_act!R$9</f>
        <v>614.11</v>
      </c>
      <c r="S12" s="102">
        <f>TrRail_act!S$9</f>
        <v>653</v>
      </c>
      <c r="T12" s="102">
        <f>TrRail_act!T$9</f>
        <v>661</v>
      </c>
      <c r="U12" s="102">
        <f>TrRail_act!U$9</f>
        <v>696</v>
      </c>
      <c r="V12" s="102">
        <f>TrRail_act!V$9</f>
        <v>223</v>
      </c>
      <c r="W12" s="102">
        <f>TrRail_act!W$9</f>
        <v>270</v>
      </c>
      <c r="X12" s="102">
        <f>TrRail_act!X$9</f>
        <v>551</v>
      </c>
      <c r="Y12" s="102">
        <f>TrRail_act!Y$9</f>
        <v>600</v>
      </c>
      <c r="DA12" s="175" t="s">
        <v>379</v>
      </c>
    </row>
    <row r="13" spans="1:105" ht="11.45" customHeight="1" x14ac:dyDescent="0.25">
      <c r="A13" s="109" t="s">
        <v>26</v>
      </c>
      <c r="B13" s="110">
        <f t="shared" ref="B13" si="9">B14+B15+B16</f>
        <v>20234.697091688635</v>
      </c>
      <c r="C13" s="110">
        <f t="shared" ref="C13:V13" si="10">C14+C15+C16</f>
        <v>19777.711365418749</v>
      </c>
      <c r="D13" s="110">
        <f t="shared" si="10"/>
        <v>20271.354258420513</v>
      </c>
      <c r="E13" s="110">
        <f t="shared" si="10"/>
        <v>20638.750260484507</v>
      </c>
      <c r="F13" s="110">
        <f t="shared" si="10"/>
        <v>21432.689496448613</v>
      </c>
      <c r="G13" s="110">
        <f t="shared" si="10"/>
        <v>23070.933726133124</v>
      </c>
      <c r="H13" s="110">
        <f t="shared" si="10"/>
        <v>24283.156029589059</v>
      </c>
      <c r="I13" s="110">
        <f t="shared" si="10"/>
        <v>26860.004132743339</v>
      </c>
      <c r="J13" s="110">
        <f t="shared" si="10"/>
        <v>27581.263317042627</v>
      </c>
      <c r="K13" s="110">
        <f t="shared" si="10"/>
        <v>26555.937387542603</v>
      </c>
      <c r="L13" s="110">
        <f t="shared" si="10"/>
        <v>28444.362277877852</v>
      </c>
      <c r="M13" s="110">
        <f t="shared" si="10"/>
        <v>30560.762360034634</v>
      </c>
      <c r="N13" s="110">
        <f t="shared" si="10"/>
        <v>31591.725339397461</v>
      </c>
      <c r="O13" s="110">
        <f t="shared" si="10"/>
        <v>33460.483985089799</v>
      </c>
      <c r="P13" s="110">
        <f t="shared" si="10"/>
        <v>35906.93653319739</v>
      </c>
      <c r="Q13" s="110">
        <f t="shared" si="10"/>
        <v>38320.899631183849</v>
      </c>
      <c r="R13" s="110">
        <f t="shared" si="10"/>
        <v>43146.361321418597</v>
      </c>
      <c r="S13" s="110">
        <f t="shared" si="10"/>
        <v>50638.349478009419</v>
      </c>
      <c r="T13" s="110">
        <f t="shared" si="10"/>
        <v>55141.176104321559</v>
      </c>
      <c r="U13" s="110">
        <f t="shared" si="10"/>
        <v>60731.950293852111</v>
      </c>
      <c r="V13" s="110">
        <f t="shared" si="10"/>
        <v>18274.088101193065</v>
      </c>
      <c r="W13" s="110">
        <f t="shared" ref="W13:Y13" si="11">W14+W15+W16</f>
        <v>23923.437590440626</v>
      </c>
      <c r="X13" s="110">
        <f t="shared" si="11"/>
        <v>56421.601597670728</v>
      </c>
      <c r="Y13" s="110">
        <f t="shared" si="11"/>
        <v>68149.692886745906</v>
      </c>
      <c r="DA13" s="176" t="s">
        <v>190</v>
      </c>
    </row>
    <row r="14" spans="1:105" ht="11.45" customHeight="1" x14ac:dyDescent="0.25">
      <c r="A14" s="128" t="s">
        <v>27</v>
      </c>
      <c r="B14" s="102">
        <f>TrAvia_act!B$5</f>
        <v>2294.2930642270876</v>
      </c>
      <c r="C14" s="102">
        <f>TrAvia_act!C$5</f>
        <v>2361.6355087898546</v>
      </c>
      <c r="D14" s="102">
        <f>TrAvia_act!D$5</f>
        <v>2400.6222978771752</v>
      </c>
      <c r="E14" s="102">
        <f>TrAvia_act!E$5</f>
        <v>2343.084291431373</v>
      </c>
      <c r="F14" s="102">
        <f>TrAvia_act!F$5</f>
        <v>2461.1048743589745</v>
      </c>
      <c r="G14" s="102">
        <f>TrAvia_act!G$5</f>
        <v>2521.9397876835269</v>
      </c>
      <c r="H14" s="102">
        <f>TrAvia_act!H$5</f>
        <v>2076.1597177346871</v>
      </c>
      <c r="I14" s="102">
        <f>TrAvia_act!I$5</f>
        <v>2082.8061526086494</v>
      </c>
      <c r="J14" s="102">
        <f>TrAvia_act!J$5</f>
        <v>2186.7911242093323</v>
      </c>
      <c r="K14" s="102">
        <f>TrAvia_act!K$5</f>
        <v>2389.455111545647</v>
      </c>
      <c r="L14" s="102">
        <f>TrAvia_act!L$5</f>
        <v>2421.8079873141469</v>
      </c>
      <c r="M14" s="102">
        <f>TrAvia_act!M$5</f>
        <v>2222.6347126151586</v>
      </c>
      <c r="N14" s="102">
        <f>TrAvia_act!N$5</f>
        <v>2232.2132962710562</v>
      </c>
      <c r="O14" s="102">
        <f>TrAvia_act!O$5</f>
        <v>2322.1691698620984</v>
      </c>
      <c r="P14" s="102">
        <f>TrAvia_act!P$5</f>
        <v>2319.0282931864631</v>
      </c>
      <c r="Q14" s="102">
        <f>TrAvia_act!Q$5</f>
        <v>2909.3717059229411</v>
      </c>
      <c r="R14" s="102">
        <f>TrAvia_act!R$5</f>
        <v>3606.0848769095651</v>
      </c>
      <c r="S14" s="102">
        <f>TrAvia_act!S$5</f>
        <v>4181.8080341853474</v>
      </c>
      <c r="T14" s="102">
        <f>TrAvia_act!T$5</f>
        <v>4353.2570955315769</v>
      </c>
      <c r="U14" s="102">
        <f>TrAvia_act!U$5</f>
        <v>4407.6003878604424</v>
      </c>
      <c r="V14" s="102">
        <f>TrAvia_act!V$5</f>
        <v>1533.0278646673662</v>
      </c>
      <c r="W14" s="102">
        <f>TrAvia_act!W$5</f>
        <v>2839.3121154368614</v>
      </c>
      <c r="X14" s="102">
        <f>TrAvia_act!X$5</f>
        <v>5206.3369866772582</v>
      </c>
      <c r="Y14" s="102">
        <f>TrAvia_act!Y$5</f>
        <v>5677.7640388380441</v>
      </c>
      <c r="DA14" s="175" t="s">
        <v>191</v>
      </c>
    </row>
    <row r="15" spans="1:105" ht="11.45" customHeight="1" x14ac:dyDescent="0.25">
      <c r="A15" s="128" t="s">
        <v>181</v>
      </c>
      <c r="B15" s="102">
        <f>TrAvia_act!B$6</f>
        <v>13126.838886352327</v>
      </c>
      <c r="C15" s="102">
        <f>TrAvia_act!C$6</f>
        <v>12710.374702429126</v>
      </c>
      <c r="D15" s="102">
        <f>TrAvia_act!D$6</f>
        <v>12690.552122223728</v>
      </c>
      <c r="E15" s="102">
        <f>TrAvia_act!E$6</f>
        <v>12611.359509440375</v>
      </c>
      <c r="F15" s="102">
        <f>TrAvia_act!F$6</f>
        <v>12927.415086295407</v>
      </c>
      <c r="G15" s="102">
        <f>TrAvia_act!G$6</f>
        <v>13581.123301653488</v>
      </c>
      <c r="H15" s="102">
        <f>TrAvia_act!H$6</f>
        <v>14800.814772810512</v>
      </c>
      <c r="I15" s="102">
        <f>TrAvia_act!I$6</f>
        <v>16140.811021767197</v>
      </c>
      <c r="J15" s="102">
        <f>TrAvia_act!J$6</f>
        <v>16134.712001431304</v>
      </c>
      <c r="K15" s="102">
        <f>TrAvia_act!K$6</f>
        <v>15333.594226925863</v>
      </c>
      <c r="L15" s="102">
        <f>TrAvia_act!L$6</f>
        <v>16162.974909377859</v>
      </c>
      <c r="M15" s="102">
        <f>TrAvia_act!M$6</f>
        <v>17583.271072982432</v>
      </c>
      <c r="N15" s="102">
        <f>TrAvia_act!N$6</f>
        <v>18072.159428999294</v>
      </c>
      <c r="O15" s="102">
        <f>TrAvia_act!O$6</f>
        <v>19400.821409235374</v>
      </c>
      <c r="P15" s="102">
        <f>TrAvia_act!P$6</f>
        <v>21177.64024331257</v>
      </c>
      <c r="Q15" s="102">
        <f>TrAvia_act!Q$6</f>
        <v>22980.021685984662</v>
      </c>
      <c r="R15" s="102">
        <f>TrAvia_act!R$6</f>
        <v>26429.740384816436</v>
      </c>
      <c r="S15" s="102">
        <f>TrAvia_act!S$6</f>
        <v>30669.439461988222</v>
      </c>
      <c r="T15" s="102">
        <f>TrAvia_act!T$6</f>
        <v>32358.66937277191</v>
      </c>
      <c r="U15" s="102">
        <f>TrAvia_act!U$6</f>
        <v>34270.364459923745</v>
      </c>
      <c r="V15" s="102">
        <f>TrAvia_act!V$6</f>
        <v>10837.995519697968</v>
      </c>
      <c r="W15" s="102">
        <f>TrAvia_act!W$6</f>
        <v>13963.80076741417</v>
      </c>
      <c r="X15" s="102">
        <f>TrAvia_act!X$6</f>
        <v>31573.097712484418</v>
      </c>
      <c r="Y15" s="102">
        <f>TrAvia_act!Y$6</f>
        <v>37454.342925612349</v>
      </c>
      <c r="DA15" s="175" t="s">
        <v>192</v>
      </c>
    </row>
    <row r="16" spans="1:105" ht="11.45" customHeight="1" x14ac:dyDescent="0.25">
      <c r="A16" s="128" t="s">
        <v>182</v>
      </c>
      <c r="B16" s="102">
        <f>TrAvia_act!B$7</f>
        <v>4813.5651411092222</v>
      </c>
      <c r="C16" s="102">
        <f>TrAvia_act!C$7</f>
        <v>4705.701154199769</v>
      </c>
      <c r="D16" s="102">
        <f>TrAvia_act!D$7</f>
        <v>5180.1798383196128</v>
      </c>
      <c r="E16" s="102">
        <f>TrAvia_act!E$7</f>
        <v>5684.306459612757</v>
      </c>
      <c r="F16" s="102">
        <f>TrAvia_act!F$7</f>
        <v>6044.1695357942299</v>
      </c>
      <c r="G16" s="102">
        <f>TrAvia_act!G$7</f>
        <v>6967.8706367961095</v>
      </c>
      <c r="H16" s="102">
        <f>TrAvia_act!H$7</f>
        <v>7406.1815390438605</v>
      </c>
      <c r="I16" s="102">
        <f>TrAvia_act!I$7</f>
        <v>8636.3869583674932</v>
      </c>
      <c r="J16" s="102">
        <f>TrAvia_act!J$7</f>
        <v>9259.7601914019888</v>
      </c>
      <c r="K16" s="102">
        <f>TrAvia_act!K$7</f>
        <v>8832.8880490710962</v>
      </c>
      <c r="L16" s="102">
        <f>TrAvia_act!L$7</f>
        <v>9859.5793811858475</v>
      </c>
      <c r="M16" s="102">
        <f>TrAvia_act!M$7</f>
        <v>10754.856574437041</v>
      </c>
      <c r="N16" s="102">
        <f>TrAvia_act!N$7</f>
        <v>11287.352614127109</v>
      </c>
      <c r="O16" s="102">
        <f>TrAvia_act!O$7</f>
        <v>11737.493405992327</v>
      </c>
      <c r="P16" s="102">
        <f>TrAvia_act!P$7</f>
        <v>12410.267996698358</v>
      </c>
      <c r="Q16" s="102">
        <f>TrAvia_act!Q$7</f>
        <v>12431.506239276245</v>
      </c>
      <c r="R16" s="102">
        <f>TrAvia_act!R$7</f>
        <v>13110.536059692598</v>
      </c>
      <c r="S16" s="102">
        <f>TrAvia_act!S$7</f>
        <v>15787.101981835849</v>
      </c>
      <c r="T16" s="102">
        <f>TrAvia_act!T$7</f>
        <v>18429.249636018074</v>
      </c>
      <c r="U16" s="102">
        <f>TrAvia_act!U$7</f>
        <v>22053.985446067927</v>
      </c>
      <c r="V16" s="102">
        <f>TrAvia_act!V$7</f>
        <v>5903.0647168277301</v>
      </c>
      <c r="W16" s="102">
        <f>TrAvia_act!W$7</f>
        <v>7120.3247075895943</v>
      </c>
      <c r="X16" s="102">
        <f>TrAvia_act!X$7</f>
        <v>19642.166898509055</v>
      </c>
      <c r="Y16" s="102">
        <f>TrAvia_act!Y$7</f>
        <v>25017.585922295504</v>
      </c>
      <c r="DA16" s="175" t="s">
        <v>193</v>
      </c>
    </row>
    <row r="17" spans="1:105" ht="11.45" customHeight="1" x14ac:dyDescent="0.25">
      <c r="A17" s="27" t="s">
        <v>28</v>
      </c>
      <c r="B17" s="28">
        <f t="shared" ref="B17:Q17" si="12">B18+B21+B22+B26</f>
        <v>23912.08737702241</v>
      </c>
      <c r="C17" s="28">
        <f t="shared" si="12"/>
        <v>26419.211689641725</v>
      </c>
      <c r="D17" s="28">
        <f t="shared" si="12"/>
        <v>25328.553255292685</v>
      </c>
      <c r="E17" s="28">
        <f t="shared" si="12"/>
        <v>24491.949864006368</v>
      </c>
      <c r="F17" s="28">
        <f t="shared" si="12"/>
        <v>28700.394201836007</v>
      </c>
      <c r="G17" s="28">
        <f t="shared" si="12"/>
        <v>29072.71301793589</v>
      </c>
      <c r="H17" s="28">
        <f t="shared" si="12"/>
        <v>29721.128718634111</v>
      </c>
      <c r="I17" s="28">
        <f t="shared" si="12"/>
        <v>31346.156431800326</v>
      </c>
      <c r="J17" s="28">
        <f t="shared" si="12"/>
        <v>29182.799773051793</v>
      </c>
      <c r="K17" s="28">
        <f t="shared" si="12"/>
        <v>26031.131324954316</v>
      </c>
      <c r="L17" s="28">
        <f t="shared" si="12"/>
        <v>24213.593636243884</v>
      </c>
      <c r="M17" s="28">
        <f t="shared" si="12"/>
        <v>24112.623585814239</v>
      </c>
      <c r="N17" s="28">
        <f t="shared" si="12"/>
        <v>21306.151905578219</v>
      </c>
      <c r="O17" s="28">
        <f t="shared" si="12"/>
        <v>20405.533939664194</v>
      </c>
      <c r="P17" s="28">
        <f t="shared" si="12"/>
        <v>21590.564803069414</v>
      </c>
      <c r="Q17" s="28">
        <f t="shared" si="12"/>
        <v>21474.377904109922</v>
      </c>
      <c r="R17" s="28">
        <f t="shared" ref="R17:V17" si="13">R18+R21+R22+R26</f>
        <v>21762.563311232476</v>
      </c>
      <c r="S17" s="28">
        <f t="shared" si="13"/>
        <v>22203.053486116794</v>
      </c>
      <c r="T17" s="28">
        <f t="shared" si="13"/>
        <v>22200.836504899362</v>
      </c>
      <c r="U17" s="28">
        <f t="shared" si="13"/>
        <v>21974.695819915534</v>
      </c>
      <c r="V17" s="28">
        <f t="shared" si="13"/>
        <v>18627.18457704613</v>
      </c>
      <c r="W17" s="28">
        <f t="shared" ref="W17:Y17" si="14">W18+W21+W22+W26</f>
        <v>20145.495295250385</v>
      </c>
      <c r="X17" s="28">
        <f t="shared" si="14"/>
        <v>20916.116606431435</v>
      </c>
      <c r="Y17" s="28">
        <f t="shared" si="14"/>
        <v>19095.342540445479</v>
      </c>
      <c r="DA17" s="173" t="s">
        <v>380</v>
      </c>
    </row>
    <row r="18" spans="1:105" ht="11.45" customHeight="1" x14ac:dyDescent="0.25">
      <c r="A18" s="136" t="s">
        <v>19</v>
      </c>
      <c r="B18" s="137">
        <f t="shared" ref="B18:Q18" si="15">B19+B20</f>
        <v>21259.73555025737</v>
      </c>
      <c r="C18" s="137">
        <f t="shared" si="15"/>
        <v>23807.702636935945</v>
      </c>
      <c r="D18" s="137">
        <f t="shared" si="15"/>
        <v>22669.939051658173</v>
      </c>
      <c r="E18" s="137">
        <f t="shared" si="15"/>
        <v>21964.606232663013</v>
      </c>
      <c r="F18" s="137">
        <f t="shared" si="15"/>
        <v>25955.620775051921</v>
      </c>
      <c r="G18" s="137">
        <f t="shared" si="15"/>
        <v>26117.556363496933</v>
      </c>
      <c r="H18" s="137">
        <f t="shared" si="15"/>
        <v>26723.031501891899</v>
      </c>
      <c r="I18" s="137">
        <f t="shared" si="15"/>
        <v>28107.175060506241</v>
      </c>
      <c r="J18" s="137">
        <f t="shared" si="15"/>
        <v>25932.361288017499</v>
      </c>
      <c r="K18" s="137">
        <f t="shared" si="15"/>
        <v>23221.076788775103</v>
      </c>
      <c r="L18" s="137">
        <f t="shared" si="15"/>
        <v>21230.304973930113</v>
      </c>
      <c r="M18" s="137">
        <f t="shared" si="15"/>
        <v>21123.994619929614</v>
      </c>
      <c r="N18" s="137">
        <f t="shared" si="15"/>
        <v>18260.219017977503</v>
      </c>
      <c r="O18" s="137">
        <f t="shared" si="15"/>
        <v>17492.561756704126</v>
      </c>
      <c r="P18" s="137">
        <f t="shared" si="15"/>
        <v>18536.625098697627</v>
      </c>
      <c r="Q18" s="137">
        <f t="shared" si="15"/>
        <v>18211.723991106624</v>
      </c>
      <c r="R18" s="137">
        <f t="shared" ref="R18:V18" si="16">R19+R20</f>
        <v>18326.134495602128</v>
      </c>
      <c r="S18" s="137">
        <f t="shared" si="16"/>
        <v>18769.607078012858</v>
      </c>
      <c r="T18" s="137">
        <f t="shared" si="16"/>
        <v>18742.863678863079</v>
      </c>
      <c r="U18" s="137">
        <f t="shared" si="16"/>
        <v>18788.855176537872</v>
      </c>
      <c r="V18" s="137">
        <f t="shared" si="16"/>
        <v>15809.833129584884</v>
      </c>
      <c r="W18" s="137">
        <f t="shared" ref="W18:Y18" si="17">W19+W20</f>
        <v>17662.192121089938</v>
      </c>
      <c r="X18" s="137">
        <f t="shared" si="17"/>
        <v>17935.97641115537</v>
      </c>
      <c r="Y18" s="137">
        <f t="shared" si="17"/>
        <v>16248.446048360887</v>
      </c>
      <c r="DA18" s="174" t="s">
        <v>381</v>
      </c>
    </row>
    <row r="19" spans="1:105" ht="11.45" customHeight="1" x14ac:dyDescent="0.25">
      <c r="A19" s="128" t="str">
        <f>TrRoad_act!$A$20</f>
        <v>Light commercial vehicles</v>
      </c>
      <c r="B19" s="102">
        <f>TrRoad_act!B$20</f>
        <v>2407.97028169445</v>
      </c>
      <c r="C19" s="102">
        <f>TrRoad_act!C$20</f>
        <v>2494.9957295966146</v>
      </c>
      <c r="D19" s="102">
        <f>TrRoad_act!D$20</f>
        <v>2500.0754743704492</v>
      </c>
      <c r="E19" s="102">
        <f>TrRoad_act!E$20</f>
        <v>2427.300555084656</v>
      </c>
      <c r="F19" s="102">
        <f>TrRoad_act!F$20</f>
        <v>2324.2990668028215</v>
      </c>
      <c r="G19" s="102">
        <f>TrRoad_act!G$20</f>
        <v>2256.4499149494181</v>
      </c>
      <c r="H19" s="102">
        <f>TrRoad_act!H$20</f>
        <v>2288.3254828886024</v>
      </c>
      <c r="I19" s="102">
        <f>TrRoad_act!I$20</f>
        <v>2229.8484311884686</v>
      </c>
      <c r="J19" s="102">
        <f>TrRoad_act!J$20</f>
        <v>2256.5622265838374</v>
      </c>
      <c r="K19" s="102">
        <f>TrRoad_act!K$20</f>
        <v>2299.6416666533373</v>
      </c>
      <c r="L19" s="102">
        <f>TrRoad_act!L$20</f>
        <v>2280.909642085272</v>
      </c>
      <c r="M19" s="102">
        <f>TrRoad_act!M$20</f>
        <v>2067.5041731708193</v>
      </c>
      <c r="N19" s="102">
        <f>TrRoad_act!N$20</f>
        <v>1800.6995956496421</v>
      </c>
      <c r="O19" s="102">
        <f>TrRoad_act!O$20</f>
        <v>1732.8988052144709</v>
      </c>
      <c r="P19" s="102">
        <f>TrRoad_act!P$20</f>
        <v>1886.9643381130168</v>
      </c>
      <c r="Q19" s="102">
        <f>TrRoad_act!Q$20</f>
        <v>1888.3979367466791</v>
      </c>
      <c r="R19" s="102">
        <f>TrRoad_act!R$20</f>
        <v>1944.1839766661014</v>
      </c>
      <c r="S19" s="102">
        <f>TrRoad_act!S$20</f>
        <v>2025.0483429893266</v>
      </c>
      <c r="T19" s="102">
        <f>TrRoad_act!T$20</f>
        <v>2084.8636788630783</v>
      </c>
      <c r="U19" s="102">
        <f>TrRoad_act!U$20</f>
        <v>2176.855176537872</v>
      </c>
      <c r="V19" s="102">
        <f>TrRoad_act!V$20</f>
        <v>1880.8331295848832</v>
      </c>
      <c r="W19" s="102">
        <f>TrRoad_act!W$20</f>
        <v>2045.1921210899391</v>
      </c>
      <c r="X19" s="102">
        <f>TrRoad_act!X$20</f>
        <v>2270.9764111553709</v>
      </c>
      <c r="Y19" s="102">
        <f>TrRoad_act!Y$20</f>
        <v>2459.4460483608868</v>
      </c>
      <c r="DA19" s="175" t="s">
        <v>382</v>
      </c>
    </row>
    <row r="20" spans="1:105" ht="11.45" customHeight="1" x14ac:dyDescent="0.25">
      <c r="A20" s="128" t="str">
        <f>TrRoad_act!$A$26</f>
        <v>Heavy goods vehicles</v>
      </c>
      <c r="B20" s="102">
        <f>TrRoad_act!B$26</f>
        <v>18851.765268562922</v>
      </c>
      <c r="C20" s="102">
        <f>TrRoad_act!C$26</f>
        <v>21312.706907339329</v>
      </c>
      <c r="D20" s="102">
        <f>TrRoad_act!D$26</f>
        <v>20169.863577287724</v>
      </c>
      <c r="E20" s="102">
        <f>TrRoad_act!E$26</f>
        <v>19537.305677578355</v>
      </c>
      <c r="F20" s="102">
        <f>TrRoad_act!F$26</f>
        <v>23631.321708249099</v>
      </c>
      <c r="G20" s="102">
        <f>TrRoad_act!G$26</f>
        <v>23861.106448547514</v>
      </c>
      <c r="H20" s="102">
        <f>TrRoad_act!H$26</f>
        <v>24434.706019003297</v>
      </c>
      <c r="I20" s="102">
        <f>TrRoad_act!I$26</f>
        <v>25877.326629317773</v>
      </c>
      <c r="J20" s="102">
        <f>TrRoad_act!J$26</f>
        <v>23675.799061433663</v>
      </c>
      <c r="K20" s="102">
        <f>TrRoad_act!K$26</f>
        <v>20921.435122121766</v>
      </c>
      <c r="L20" s="102">
        <f>TrRoad_act!L$26</f>
        <v>18949.39533184484</v>
      </c>
      <c r="M20" s="102">
        <f>TrRoad_act!M$26</f>
        <v>19056.490446758795</v>
      </c>
      <c r="N20" s="102">
        <f>TrRoad_act!N$26</f>
        <v>16459.51942232786</v>
      </c>
      <c r="O20" s="102">
        <f>TrRoad_act!O$26</f>
        <v>15759.662951489654</v>
      </c>
      <c r="P20" s="102">
        <f>TrRoad_act!P$26</f>
        <v>16649.660760584611</v>
      </c>
      <c r="Q20" s="102">
        <f>TrRoad_act!Q$26</f>
        <v>16323.326054359946</v>
      </c>
      <c r="R20" s="102">
        <f>TrRoad_act!R$26</f>
        <v>16381.950518936026</v>
      </c>
      <c r="S20" s="102">
        <f>TrRoad_act!S$26</f>
        <v>16744.558735023529</v>
      </c>
      <c r="T20" s="102">
        <f>TrRoad_act!T$26</f>
        <v>16658</v>
      </c>
      <c r="U20" s="102">
        <f>TrRoad_act!U$26</f>
        <v>16612</v>
      </c>
      <c r="V20" s="102">
        <f>TrRoad_act!V$26</f>
        <v>13929</v>
      </c>
      <c r="W20" s="102">
        <f>TrRoad_act!W$26</f>
        <v>15617</v>
      </c>
      <c r="X20" s="102">
        <f>TrRoad_act!X$26</f>
        <v>15665</v>
      </c>
      <c r="Y20" s="102">
        <f>TrRoad_act!Y$26</f>
        <v>13789</v>
      </c>
      <c r="DA20" s="175" t="s">
        <v>383</v>
      </c>
    </row>
    <row r="21" spans="1:105" ht="11.45" customHeight="1" x14ac:dyDescent="0.25">
      <c r="A21" s="109" t="s">
        <v>29</v>
      </c>
      <c r="B21" s="110">
        <f>TrRail_act!B$10</f>
        <v>2183</v>
      </c>
      <c r="C21" s="110">
        <f>TrRail_act!C$10</f>
        <v>2138</v>
      </c>
      <c r="D21" s="110">
        <f>TrRail_act!D$10</f>
        <v>2193</v>
      </c>
      <c r="E21" s="110">
        <f>TrRail_act!E$10</f>
        <v>2073</v>
      </c>
      <c r="F21" s="110">
        <f>TrRail_act!F$10</f>
        <v>2282</v>
      </c>
      <c r="G21" s="110">
        <f>TrRail_act!G$10</f>
        <v>2422</v>
      </c>
      <c r="H21" s="110">
        <f>TrRail_act!H$10</f>
        <v>2430</v>
      </c>
      <c r="I21" s="110">
        <f>TrRail_act!I$10</f>
        <v>2586</v>
      </c>
      <c r="J21" s="110">
        <f>TrRail_act!J$10</f>
        <v>2549</v>
      </c>
      <c r="K21" s="110">
        <f>TrRail_act!K$10</f>
        <v>2174</v>
      </c>
      <c r="L21" s="110">
        <f>TrRail_act!L$10</f>
        <v>2313</v>
      </c>
      <c r="M21" s="110">
        <f>TrRail_act!M$10</f>
        <v>2322</v>
      </c>
      <c r="N21" s="110">
        <f>TrRail_act!N$10</f>
        <v>2421</v>
      </c>
      <c r="O21" s="110">
        <f>TrRail_act!O$10</f>
        <v>2290</v>
      </c>
      <c r="P21" s="110">
        <f>TrRail_act!P$10</f>
        <v>2434</v>
      </c>
      <c r="Q21" s="110">
        <f>TrRail_act!Q$10</f>
        <v>2688</v>
      </c>
      <c r="R21" s="110">
        <f>TrRail_act!R$10</f>
        <v>2774</v>
      </c>
      <c r="S21" s="110">
        <f>TrRail_act!S$10</f>
        <v>2751</v>
      </c>
      <c r="T21" s="110">
        <f>TrRail_act!T$10</f>
        <v>2765</v>
      </c>
      <c r="U21" s="110">
        <f>TrRail_act!U$10</f>
        <v>2478</v>
      </c>
      <c r="V21" s="110">
        <f>TrRail_act!V$10</f>
        <v>2302</v>
      </c>
      <c r="W21" s="110">
        <f>TrRail_act!W$10</f>
        <v>1881</v>
      </c>
      <c r="X21" s="110">
        <f>TrRail_act!X$10</f>
        <v>2190</v>
      </c>
      <c r="Y21" s="110">
        <f>TrRail_act!Y$10</f>
        <v>2263</v>
      </c>
      <c r="DA21" s="176" t="s">
        <v>384</v>
      </c>
    </row>
    <row r="22" spans="1:105" ht="11.45" customHeight="1" x14ac:dyDescent="0.25">
      <c r="A22" s="109" t="s">
        <v>26</v>
      </c>
      <c r="B22" s="110">
        <f t="shared" ref="B22" si="18">B23+B24+B25</f>
        <v>165.32782676503928</v>
      </c>
      <c r="C22" s="110">
        <f t="shared" ref="C22:V22" si="19">C23+C24+C25</f>
        <v>162.20605270578181</v>
      </c>
      <c r="D22" s="110">
        <f t="shared" si="19"/>
        <v>155.8112036345137</v>
      </c>
      <c r="E22" s="110">
        <f t="shared" si="19"/>
        <v>136.6516313433556</v>
      </c>
      <c r="F22" s="110">
        <f t="shared" si="19"/>
        <v>139.41442678408617</v>
      </c>
      <c r="G22" s="110">
        <f t="shared" si="19"/>
        <v>157.57065443895854</v>
      </c>
      <c r="H22" s="110">
        <f t="shared" si="19"/>
        <v>191.78921674220896</v>
      </c>
      <c r="I22" s="110">
        <f t="shared" si="19"/>
        <v>220.50237129408399</v>
      </c>
      <c r="J22" s="110">
        <f t="shared" si="19"/>
        <v>249.40248503429413</v>
      </c>
      <c r="K22" s="110">
        <f t="shared" si="19"/>
        <v>233.9665361792124</v>
      </c>
      <c r="L22" s="110">
        <f t="shared" si="19"/>
        <v>280.70166231377317</v>
      </c>
      <c r="M22" s="110">
        <f t="shared" si="19"/>
        <v>271.04196588462526</v>
      </c>
      <c r="N22" s="110">
        <f t="shared" si="19"/>
        <v>301.0738876007174</v>
      </c>
      <c r="O22" s="110">
        <f t="shared" si="19"/>
        <v>285.55618296006753</v>
      </c>
      <c r="P22" s="110">
        <f t="shared" si="19"/>
        <v>297.30270437178854</v>
      </c>
      <c r="Q22" s="110">
        <f t="shared" si="19"/>
        <v>271.4629130032979</v>
      </c>
      <c r="R22" s="110">
        <f t="shared" si="19"/>
        <v>254.39581563035031</v>
      </c>
      <c r="S22" s="110">
        <f t="shared" si="19"/>
        <v>333.6404081039355</v>
      </c>
      <c r="T22" s="110">
        <f t="shared" si="19"/>
        <v>338.94482603628381</v>
      </c>
      <c r="U22" s="110">
        <f t="shared" si="19"/>
        <v>352.8676433776584</v>
      </c>
      <c r="V22" s="110">
        <f t="shared" si="19"/>
        <v>201.32644746124356</v>
      </c>
      <c r="W22" s="110">
        <f t="shared" ref="W22:Y22" si="20">W23+W24+W25</f>
        <v>277.33317416044395</v>
      </c>
      <c r="X22" s="110">
        <f t="shared" si="20"/>
        <v>391.49719527606328</v>
      </c>
      <c r="Y22" s="110">
        <f t="shared" si="20"/>
        <v>215.64449208459411</v>
      </c>
      <c r="DA22" s="176" t="s">
        <v>194</v>
      </c>
    </row>
    <row r="23" spans="1:105" ht="11.45" customHeight="1" x14ac:dyDescent="0.25">
      <c r="A23" s="128" t="s">
        <v>27</v>
      </c>
      <c r="B23" s="102">
        <f>TrAvia_act!B$9</f>
        <v>4.3726079797058528</v>
      </c>
      <c r="C23" s="102">
        <f>TrAvia_act!C$9</f>
        <v>3.9708972632205826</v>
      </c>
      <c r="D23" s="102">
        <f>TrAvia_act!D$9</f>
        <v>4.0225685468154406</v>
      </c>
      <c r="E23" s="102">
        <f>TrAvia_act!E$9</f>
        <v>4.1420050320664741</v>
      </c>
      <c r="F23" s="102">
        <f>TrAvia_act!F$9</f>
        <v>3.9960568157188123</v>
      </c>
      <c r="G23" s="102">
        <f>TrAvia_act!G$9</f>
        <v>4.629475900006109</v>
      </c>
      <c r="H23" s="102">
        <f>TrAvia_act!H$9</f>
        <v>6.3896173500678604</v>
      </c>
      <c r="I23" s="102">
        <f>TrAvia_act!I$9</f>
        <v>7.9667557066343209</v>
      </c>
      <c r="J23" s="102">
        <f>TrAvia_act!J$9</f>
        <v>9.7017246735797738</v>
      </c>
      <c r="K23" s="102">
        <f>TrAvia_act!K$9</f>
        <v>11.014060642837197</v>
      </c>
      <c r="L23" s="102">
        <f>TrAvia_act!L$9</f>
        <v>12.203640482155004</v>
      </c>
      <c r="M23" s="102">
        <f>TrAvia_act!M$9</f>
        <v>7.9713988308887513</v>
      </c>
      <c r="N23" s="102">
        <f>TrAvia_act!N$9</f>
        <v>6.4444698006386565</v>
      </c>
      <c r="O23" s="102">
        <f>TrAvia_act!O$9</f>
        <v>5.7580250406358191</v>
      </c>
      <c r="P23" s="102">
        <f>TrAvia_act!P$9</f>
        <v>5.284704194491014</v>
      </c>
      <c r="Q23" s="102">
        <f>TrAvia_act!Q$9</f>
        <v>5.0707763091567521</v>
      </c>
      <c r="R23" s="102">
        <f>TrAvia_act!R$9</f>
        <v>4.7636847674400187</v>
      </c>
      <c r="S23" s="102">
        <f>TrAvia_act!S$9</f>
        <v>5.1102018953036259</v>
      </c>
      <c r="T23" s="102">
        <f>TrAvia_act!T$9</f>
        <v>5.0364177271221227</v>
      </c>
      <c r="U23" s="102">
        <f>TrAvia_act!U$9</f>
        <v>6.2002567787244676</v>
      </c>
      <c r="V23" s="102">
        <f>TrAvia_act!V$9</f>
        <v>5.2351418434138246</v>
      </c>
      <c r="W23" s="102">
        <f>TrAvia_act!W$9</f>
        <v>6.4781879764164385</v>
      </c>
      <c r="X23" s="102">
        <f>TrAvia_act!X$9</f>
        <v>7.4331211883420787</v>
      </c>
      <c r="Y23" s="102">
        <f>TrAvia_act!Y$9</f>
        <v>8.2923192672431476</v>
      </c>
      <c r="DA23" s="175" t="s">
        <v>195</v>
      </c>
    </row>
    <row r="24" spans="1:105" ht="11.45" customHeight="1" x14ac:dyDescent="0.25">
      <c r="A24" s="128" t="s">
        <v>181</v>
      </c>
      <c r="B24" s="102">
        <f>TrAvia_act!B$10</f>
        <v>67.332630417121976</v>
      </c>
      <c r="C24" s="102">
        <f>TrAvia_act!C$10</f>
        <v>63.208078293243872</v>
      </c>
      <c r="D24" s="102">
        <f>TrAvia_act!D$10</f>
        <v>60.126139255522176</v>
      </c>
      <c r="E24" s="102">
        <f>TrAvia_act!E$10</f>
        <v>53.629323116238567</v>
      </c>
      <c r="F24" s="102">
        <f>TrAvia_act!F$10</f>
        <v>51.160191366580854</v>
      </c>
      <c r="G24" s="102">
        <f>TrAvia_act!G$10</f>
        <v>50.205615681476047</v>
      </c>
      <c r="H24" s="102">
        <f>TrAvia_act!H$10</f>
        <v>55.707626650130116</v>
      </c>
      <c r="I24" s="102">
        <f>TrAvia_act!I$10</f>
        <v>54.165026682434252</v>
      </c>
      <c r="J24" s="102">
        <f>TrAvia_act!J$10</f>
        <v>50.807756406970604</v>
      </c>
      <c r="K24" s="102">
        <f>TrAvia_act!K$10</f>
        <v>45.941814242137355</v>
      </c>
      <c r="L24" s="102">
        <f>TrAvia_act!L$10</f>
        <v>47.914113811482359</v>
      </c>
      <c r="M24" s="102">
        <f>TrAvia_act!M$10</f>
        <v>40.10913406240703</v>
      </c>
      <c r="N24" s="102">
        <f>TrAvia_act!N$10</f>
        <v>39.693868514690521</v>
      </c>
      <c r="O24" s="102">
        <f>TrAvia_act!O$10</f>
        <v>34.987115227614375</v>
      </c>
      <c r="P24" s="102">
        <f>TrAvia_act!P$10</f>
        <v>37.197807717777877</v>
      </c>
      <c r="Q24" s="102">
        <f>TrAvia_act!Q$10</f>
        <v>37.759792520046247</v>
      </c>
      <c r="R24" s="102">
        <f>TrAvia_act!R$10</f>
        <v>37.428828080528248</v>
      </c>
      <c r="S24" s="102">
        <f>TrAvia_act!S$10</f>
        <v>39.813316494899389</v>
      </c>
      <c r="T24" s="102">
        <f>TrAvia_act!T$10</f>
        <v>43.008573401462407</v>
      </c>
      <c r="U24" s="102">
        <f>TrAvia_act!U$10</f>
        <v>43.897682303019913</v>
      </c>
      <c r="V24" s="102">
        <f>TrAvia_act!V$10</f>
        <v>37.449311588772041</v>
      </c>
      <c r="W24" s="102">
        <f>TrAvia_act!W$10</f>
        <v>44.315795086204766</v>
      </c>
      <c r="X24" s="102">
        <f>TrAvia_act!X$10</f>
        <v>43.178060987636101</v>
      </c>
      <c r="Y24" s="102">
        <f>TrAvia_act!Y$10</f>
        <v>44.391235915089105</v>
      </c>
      <c r="DA24" s="175" t="s">
        <v>196</v>
      </c>
    </row>
    <row r="25" spans="1:105" ht="11.45" customHeight="1" x14ac:dyDescent="0.25">
      <c r="A25" s="128" t="s">
        <v>182</v>
      </c>
      <c r="B25" s="102">
        <f>TrAvia_act!B$11</f>
        <v>93.622588368211467</v>
      </c>
      <c r="C25" s="102">
        <f>TrAvia_act!C$11</f>
        <v>95.027077149317378</v>
      </c>
      <c r="D25" s="102">
        <f>TrAvia_act!D$11</f>
        <v>91.662495832176091</v>
      </c>
      <c r="E25" s="102">
        <f>TrAvia_act!E$11</f>
        <v>78.880303195050558</v>
      </c>
      <c r="F25" s="102">
        <f>TrAvia_act!F$11</f>
        <v>84.258178601786526</v>
      </c>
      <c r="G25" s="102">
        <f>TrAvia_act!G$11</f>
        <v>102.7355628574764</v>
      </c>
      <c r="H25" s="102">
        <f>TrAvia_act!H$11</f>
        <v>129.69197274201099</v>
      </c>
      <c r="I25" s="102">
        <f>TrAvia_act!I$11</f>
        <v>158.37058890501541</v>
      </c>
      <c r="J25" s="102">
        <f>TrAvia_act!J$11</f>
        <v>188.89300395374374</v>
      </c>
      <c r="K25" s="102">
        <f>TrAvia_act!K$11</f>
        <v>177.01066129423785</v>
      </c>
      <c r="L25" s="102">
        <f>TrAvia_act!L$11</f>
        <v>220.58390802013579</v>
      </c>
      <c r="M25" s="102">
        <f>TrAvia_act!M$11</f>
        <v>222.96143299132947</v>
      </c>
      <c r="N25" s="102">
        <f>TrAvia_act!N$11</f>
        <v>254.93554928538822</v>
      </c>
      <c r="O25" s="102">
        <f>TrAvia_act!O$11</f>
        <v>244.81104269181731</v>
      </c>
      <c r="P25" s="102">
        <f>TrAvia_act!P$11</f>
        <v>254.82019245951963</v>
      </c>
      <c r="Q25" s="102">
        <f>TrAvia_act!Q$11</f>
        <v>228.63234417409492</v>
      </c>
      <c r="R25" s="102">
        <f>TrAvia_act!R$11</f>
        <v>212.20330278238205</v>
      </c>
      <c r="S25" s="102">
        <f>TrAvia_act!S$11</f>
        <v>288.71688971373248</v>
      </c>
      <c r="T25" s="102">
        <f>TrAvia_act!T$11</f>
        <v>290.8998349076993</v>
      </c>
      <c r="U25" s="102">
        <f>TrAvia_act!U$11</f>
        <v>302.76970429591404</v>
      </c>
      <c r="V25" s="102">
        <f>TrAvia_act!V$11</f>
        <v>158.64199402905768</v>
      </c>
      <c r="W25" s="102">
        <f>TrAvia_act!W$11</f>
        <v>226.53919109782274</v>
      </c>
      <c r="X25" s="102">
        <f>TrAvia_act!X$11</f>
        <v>340.88601310008511</v>
      </c>
      <c r="Y25" s="102">
        <f>TrAvia_act!Y$11</f>
        <v>162.96093690226184</v>
      </c>
      <c r="DA25" s="175" t="s">
        <v>197</v>
      </c>
    </row>
    <row r="26" spans="1:105" ht="11.45" customHeight="1" x14ac:dyDescent="0.25">
      <c r="A26" s="109" t="s">
        <v>141</v>
      </c>
      <c r="B26" s="110">
        <f t="shared" ref="B26:Q26" si="21">B27+B28</f>
        <v>304.024</v>
      </c>
      <c r="C26" s="110">
        <f t="shared" si="21"/>
        <v>311.303</v>
      </c>
      <c r="D26" s="110">
        <f t="shared" si="21"/>
        <v>309.803</v>
      </c>
      <c r="E26" s="110">
        <f t="shared" si="21"/>
        <v>317.69200000000001</v>
      </c>
      <c r="F26" s="110">
        <f t="shared" si="21"/>
        <v>323.35899999999998</v>
      </c>
      <c r="G26" s="110">
        <f t="shared" si="21"/>
        <v>375.58600000000001</v>
      </c>
      <c r="H26" s="110">
        <f t="shared" si="21"/>
        <v>376.30799999999999</v>
      </c>
      <c r="I26" s="110">
        <f t="shared" si="21"/>
        <v>432.47899999999998</v>
      </c>
      <c r="J26" s="110">
        <f t="shared" si="21"/>
        <v>452.036</v>
      </c>
      <c r="K26" s="110">
        <f t="shared" si="21"/>
        <v>402.08800000000002</v>
      </c>
      <c r="L26" s="110">
        <f t="shared" si="21"/>
        <v>389.58699999999999</v>
      </c>
      <c r="M26" s="110">
        <f t="shared" si="21"/>
        <v>395.58699999999999</v>
      </c>
      <c r="N26" s="110">
        <f t="shared" si="21"/>
        <v>323.85899999999998</v>
      </c>
      <c r="O26" s="110">
        <f t="shared" si="21"/>
        <v>337.416</v>
      </c>
      <c r="P26" s="110">
        <f t="shared" si="21"/>
        <v>322.637</v>
      </c>
      <c r="Q26" s="110">
        <f t="shared" si="21"/>
        <v>303.19099999999997</v>
      </c>
      <c r="R26" s="110">
        <f t="shared" ref="R26:V26" si="22">R27+R28</f>
        <v>408.03300000000002</v>
      </c>
      <c r="S26" s="110">
        <f t="shared" si="22"/>
        <v>348.80599999999998</v>
      </c>
      <c r="T26" s="110">
        <f t="shared" si="22"/>
        <v>354.02800000000002</v>
      </c>
      <c r="U26" s="110">
        <f t="shared" si="22"/>
        <v>354.97300000000001</v>
      </c>
      <c r="V26" s="110">
        <f t="shared" si="22"/>
        <v>314.02499999999998</v>
      </c>
      <c r="W26" s="110">
        <f t="shared" ref="W26:Y26" si="23">W27+W28</f>
        <v>324.97000000000003</v>
      </c>
      <c r="X26" s="110">
        <f t="shared" si="23"/>
        <v>398.64299999999997</v>
      </c>
      <c r="Y26" s="110">
        <f t="shared" si="23"/>
        <v>368.25200000000001</v>
      </c>
      <c r="DA26" s="176" t="s">
        <v>385</v>
      </c>
    </row>
    <row r="27" spans="1:105" ht="11.45" customHeight="1" x14ac:dyDescent="0.25">
      <c r="A27" s="128" t="str">
        <f>TrNavi_act!$A$4</f>
        <v>Domestic coastal shipping</v>
      </c>
      <c r="B27" s="102">
        <f>TrNavi_act!B4</f>
        <v>304.024</v>
      </c>
      <c r="C27" s="102">
        <f>TrNavi_act!C4</f>
        <v>311.303</v>
      </c>
      <c r="D27" s="102">
        <f>TrNavi_act!D4</f>
        <v>309.803</v>
      </c>
      <c r="E27" s="102">
        <f>TrNavi_act!E4</f>
        <v>317.69200000000001</v>
      </c>
      <c r="F27" s="102">
        <f>TrNavi_act!F4</f>
        <v>323.35899999999998</v>
      </c>
      <c r="G27" s="102">
        <f>TrNavi_act!G4</f>
        <v>375.58600000000001</v>
      </c>
      <c r="H27" s="102">
        <f>TrNavi_act!H4</f>
        <v>376.30799999999999</v>
      </c>
      <c r="I27" s="102">
        <f>TrNavi_act!I4</f>
        <v>432.47899999999998</v>
      </c>
      <c r="J27" s="102">
        <f>TrNavi_act!J4</f>
        <v>452.036</v>
      </c>
      <c r="K27" s="102">
        <f>TrNavi_act!K4</f>
        <v>402.08800000000002</v>
      </c>
      <c r="L27" s="102">
        <f>TrNavi_act!L4</f>
        <v>389.58699999999999</v>
      </c>
      <c r="M27" s="102">
        <f>TrNavi_act!M4</f>
        <v>395.58699999999999</v>
      </c>
      <c r="N27" s="102">
        <f>TrNavi_act!N4</f>
        <v>323.85899999999998</v>
      </c>
      <c r="O27" s="102">
        <f>TrNavi_act!O4</f>
        <v>337.416</v>
      </c>
      <c r="P27" s="102">
        <f>TrNavi_act!P4</f>
        <v>322.637</v>
      </c>
      <c r="Q27" s="102">
        <f>TrNavi_act!Q4</f>
        <v>303.19099999999997</v>
      </c>
      <c r="R27" s="102">
        <f>TrNavi_act!R4</f>
        <v>408.03300000000002</v>
      </c>
      <c r="S27" s="102">
        <f>TrNavi_act!S4</f>
        <v>348.80599999999998</v>
      </c>
      <c r="T27" s="102">
        <f>TrNavi_act!T4</f>
        <v>354.02800000000002</v>
      </c>
      <c r="U27" s="102">
        <f>TrNavi_act!U4</f>
        <v>354.97300000000001</v>
      </c>
      <c r="V27" s="102">
        <f>TrNavi_act!V4</f>
        <v>314.02499999999998</v>
      </c>
      <c r="W27" s="102">
        <f>TrNavi_act!W4</f>
        <v>324.97000000000003</v>
      </c>
      <c r="X27" s="102">
        <f>TrNavi_act!X4</f>
        <v>398.64299999999997</v>
      </c>
      <c r="Y27" s="102">
        <f>TrNavi_act!Y4</f>
        <v>368.25200000000001</v>
      </c>
      <c r="DA27" s="175" t="s">
        <v>386</v>
      </c>
    </row>
    <row r="28" spans="1:105" ht="11.45" customHeight="1" x14ac:dyDescent="0.25">
      <c r="A28" s="166" t="str">
        <f>TrNavi_act!$A$5</f>
        <v>Inland waterways</v>
      </c>
      <c r="B28" s="169">
        <f>TrNavi_act!B5</f>
        <v>0</v>
      </c>
      <c r="C28" s="169">
        <f>TrNavi_act!C5</f>
        <v>0</v>
      </c>
      <c r="D28" s="169">
        <f>TrNavi_act!D5</f>
        <v>0</v>
      </c>
      <c r="E28" s="169">
        <f>TrNavi_act!E5</f>
        <v>0</v>
      </c>
      <c r="F28" s="169">
        <f>TrNavi_act!F5</f>
        <v>0</v>
      </c>
      <c r="G28" s="169">
        <f>TrNavi_act!G5</f>
        <v>0</v>
      </c>
      <c r="H28" s="169">
        <f>TrNavi_act!H5</f>
        <v>0</v>
      </c>
      <c r="I28" s="169">
        <f>TrNavi_act!I5</f>
        <v>0</v>
      </c>
      <c r="J28" s="169">
        <f>TrNavi_act!J5</f>
        <v>0</v>
      </c>
      <c r="K28" s="169">
        <f>TrNavi_act!K5</f>
        <v>0</v>
      </c>
      <c r="L28" s="169">
        <f>TrNavi_act!L5</f>
        <v>0</v>
      </c>
      <c r="M28" s="169">
        <f>TrNavi_act!M5</f>
        <v>0</v>
      </c>
      <c r="N28" s="169">
        <f>TrNavi_act!N5</f>
        <v>0</v>
      </c>
      <c r="O28" s="169">
        <f>TrNavi_act!O5</f>
        <v>0</v>
      </c>
      <c r="P28" s="169">
        <f>TrNavi_act!P5</f>
        <v>0</v>
      </c>
      <c r="Q28" s="169">
        <f>TrNavi_act!Q5</f>
        <v>0</v>
      </c>
      <c r="R28" s="169">
        <f>TrNavi_act!R5</f>
        <v>0</v>
      </c>
      <c r="S28" s="169">
        <f>TrNavi_act!S5</f>
        <v>0</v>
      </c>
      <c r="T28" s="169">
        <f>TrNavi_act!T5</f>
        <v>0</v>
      </c>
      <c r="U28" s="169">
        <f>TrNavi_act!U5</f>
        <v>0</v>
      </c>
      <c r="V28" s="169">
        <f>TrNavi_act!V5</f>
        <v>0</v>
      </c>
      <c r="W28" s="169">
        <f>TrNavi_act!W5</f>
        <v>0</v>
      </c>
      <c r="X28" s="169">
        <f>TrNavi_act!X5</f>
        <v>0</v>
      </c>
      <c r="Y28" s="169">
        <f>TrNavi_act!Y5</f>
        <v>0</v>
      </c>
      <c r="DA28" s="177" t="s">
        <v>387</v>
      </c>
    </row>
    <row r="29" spans="1:105" ht="11.45" customHeight="1" x14ac:dyDescent="0.25">
      <c r="A29" s="27" t="s">
        <v>170</v>
      </c>
      <c r="B29" s="28">
        <f t="shared" ref="B29:W29" si="24">B30+B31</f>
        <v>123879.61343699999</v>
      </c>
      <c r="C29" s="28">
        <f t="shared" si="24"/>
        <v>122719.23788</v>
      </c>
      <c r="D29" s="28">
        <f t="shared" si="24"/>
        <v>123424.57705600001</v>
      </c>
      <c r="E29" s="28">
        <f t="shared" si="24"/>
        <v>119241.910385</v>
      </c>
      <c r="F29" s="28">
        <f t="shared" si="24"/>
        <v>118082.84119600001</v>
      </c>
      <c r="G29" s="28">
        <f t="shared" si="24"/>
        <v>124464.95624</v>
      </c>
      <c r="H29" s="28">
        <f t="shared" si="24"/>
        <v>133496.04364399999</v>
      </c>
      <c r="I29" s="28">
        <f t="shared" si="24"/>
        <v>132891.77451000002</v>
      </c>
      <c r="J29" s="28">
        <f t="shared" si="24"/>
        <v>131840.454245</v>
      </c>
      <c r="K29" s="28">
        <f t="shared" si="24"/>
        <v>111302.224961</v>
      </c>
      <c r="L29" s="28">
        <f t="shared" si="24"/>
        <v>126125.22943599999</v>
      </c>
      <c r="M29" s="28">
        <f t="shared" si="24"/>
        <v>141613.73754300002</v>
      </c>
      <c r="N29" s="28">
        <f t="shared" si="24"/>
        <v>141215.69161899999</v>
      </c>
      <c r="O29" s="28">
        <f t="shared" si="24"/>
        <v>170574.26906699999</v>
      </c>
      <c r="P29" s="28">
        <f t="shared" si="24"/>
        <v>174334.98317299999</v>
      </c>
      <c r="Q29" s="28">
        <f t="shared" si="24"/>
        <v>188175.91097</v>
      </c>
      <c r="R29" s="28">
        <f t="shared" si="24"/>
        <v>193133.5386</v>
      </c>
      <c r="S29" s="28">
        <f t="shared" si="24"/>
        <v>205071.27781100001</v>
      </c>
      <c r="T29" s="28">
        <f t="shared" si="24"/>
        <v>195851.31426999997</v>
      </c>
      <c r="U29" s="28">
        <f t="shared" si="24"/>
        <v>180816.54208100002</v>
      </c>
      <c r="V29" s="28">
        <f t="shared" si="24"/>
        <v>167379.61567900001</v>
      </c>
      <c r="W29" s="28">
        <f t="shared" si="24"/>
        <v>179250.99906300002</v>
      </c>
      <c r="X29" s="28">
        <f t="shared" ref="X29:Y29" si="25">X30+X31</f>
        <v>183261.87580800001</v>
      </c>
      <c r="Y29" s="28">
        <f t="shared" si="25"/>
        <v>192468.737826</v>
      </c>
      <c r="DA29" s="173" t="s">
        <v>388</v>
      </c>
    </row>
    <row r="30" spans="1:105" ht="11.45" customHeight="1" x14ac:dyDescent="0.25">
      <c r="A30" s="128" t="s">
        <v>166</v>
      </c>
      <c r="B30" s="102">
        <f>MBunk_act!B$4</f>
        <v>20938.128197999999</v>
      </c>
      <c r="C30" s="102">
        <f>MBunk_act!C$4</f>
        <v>20180.537816</v>
      </c>
      <c r="D30" s="102">
        <f>MBunk_act!D$4</f>
        <v>19969.948437999999</v>
      </c>
      <c r="E30" s="102">
        <f>MBunk_act!E$4</f>
        <v>17596.194653999999</v>
      </c>
      <c r="F30" s="102">
        <f>MBunk_act!F$4</f>
        <v>19154.378618000002</v>
      </c>
      <c r="G30" s="102">
        <f>MBunk_act!G$4</f>
        <v>20644.359805</v>
      </c>
      <c r="H30" s="102">
        <f>MBunk_act!H$4</f>
        <v>20160.730477000001</v>
      </c>
      <c r="I30" s="102">
        <f>MBunk_act!I$4</f>
        <v>18775.961467000001</v>
      </c>
      <c r="J30" s="102">
        <f>MBunk_act!J$4</f>
        <v>17950.230006999998</v>
      </c>
      <c r="K30" s="102">
        <f>MBunk_act!K$4</f>
        <v>16792.273561000002</v>
      </c>
      <c r="L30" s="102">
        <f>MBunk_act!L$4</f>
        <v>18289.073833999999</v>
      </c>
      <c r="M30" s="102">
        <f>MBunk_act!M$4</f>
        <v>18628.171537000002</v>
      </c>
      <c r="N30" s="102">
        <f>MBunk_act!N$4</f>
        <v>18124.081183000002</v>
      </c>
      <c r="O30" s="102">
        <f>MBunk_act!O$4</f>
        <v>21462.559781</v>
      </c>
      <c r="P30" s="102">
        <f>MBunk_act!P$4</f>
        <v>22758.530397999999</v>
      </c>
      <c r="Q30" s="102">
        <f>MBunk_act!Q$4</f>
        <v>23311.252811999999</v>
      </c>
      <c r="R30" s="102">
        <f>MBunk_act!R$4</f>
        <v>23980.911306000002</v>
      </c>
      <c r="S30" s="102">
        <f>MBunk_act!S$4</f>
        <v>25630.607522999999</v>
      </c>
      <c r="T30" s="102">
        <f>MBunk_act!T$4</f>
        <v>26827.950980000001</v>
      </c>
      <c r="U30" s="102">
        <f>MBunk_act!U$4</f>
        <v>28815.284220999998</v>
      </c>
      <c r="V30" s="102">
        <f>MBunk_act!V$4</f>
        <v>26492.191094000002</v>
      </c>
      <c r="W30" s="102">
        <f>MBunk_act!W$4</f>
        <v>27611.908658999997</v>
      </c>
      <c r="X30" s="102">
        <f>MBunk_act!X$4</f>
        <v>28565.826847999997</v>
      </c>
      <c r="Y30" s="102">
        <f>MBunk_act!Y$4</f>
        <v>28779.969373</v>
      </c>
      <c r="DA30" s="175" t="s">
        <v>389</v>
      </c>
    </row>
    <row r="31" spans="1:105" ht="11.45" customHeight="1" x14ac:dyDescent="0.25">
      <c r="A31" s="138" t="s">
        <v>167</v>
      </c>
      <c r="B31" s="86">
        <f>MBunk_act!B$5</f>
        <v>102941.485239</v>
      </c>
      <c r="C31" s="86">
        <f>MBunk_act!C$5</f>
        <v>102538.700064</v>
      </c>
      <c r="D31" s="86">
        <f>MBunk_act!D$5</f>
        <v>103454.628618</v>
      </c>
      <c r="E31" s="86">
        <f>MBunk_act!E$5</f>
        <v>101645.715731</v>
      </c>
      <c r="F31" s="86">
        <f>MBunk_act!F$5</f>
        <v>98928.462578000006</v>
      </c>
      <c r="G31" s="86">
        <f>MBunk_act!G$5</f>
        <v>103820.596435</v>
      </c>
      <c r="H31" s="86">
        <f>MBunk_act!H$5</f>
        <v>113335.313167</v>
      </c>
      <c r="I31" s="86">
        <f>MBunk_act!I$5</f>
        <v>114115.813043</v>
      </c>
      <c r="J31" s="86">
        <f>MBunk_act!J$5</f>
        <v>113890.224238</v>
      </c>
      <c r="K31" s="86">
        <f>MBunk_act!K$5</f>
        <v>94509.951400000005</v>
      </c>
      <c r="L31" s="86">
        <f>MBunk_act!L$5</f>
        <v>107836.155602</v>
      </c>
      <c r="M31" s="86">
        <f>MBunk_act!M$5</f>
        <v>122985.56600600001</v>
      </c>
      <c r="N31" s="86">
        <f>MBunk_act!N$5</f>
        <v>123091.610436</v>
      </c>
      <c r="O31" s="86">
        <f>MBunk_act!O$5</f>
        <v>149111.709286</v>
      </c>
      <c r="P31" s="86">
        <f>MBunk_act!P$5</f>
        <v>151576.45277499998</v>
      </c>
      <c r="Q31" s="86">
        <f>MBunk_act!Q$5</f>
        <v>164864.65815800001</v>
      </c>
      <c r="R31" s="86">
        <f>MBunk_act!R$5</f>
        <v>169152.62729400001</v>
      </c>
      <c r="S31" s="86">
        <f>MBunk_act!S$5</f>
        <v>179440.67028800002</v>
      </c>
      <c r="T31" s="86">
        <f>MBunk_act!T$5</f>
        <v>169023.36328999998</v>
      </c>
      <c r="U31" s="86">
        <f>MBunk_act!U$5</f>
        <v>152001.25786000001</v>
      </c>
      <c r="V31" s="86">
        <f>MBunk_act!V$5</f>
        <v>140887.424585</v>
      </c>
      <c r="W31" s="86">
        <f>MBunk_act!W$5</f>
        <v>151639.09040400002</v>
      </c>
      <c r="X31" s="86">
        <f>MBunk_act!X$5</f>
        <v>154696.04896000001</v>
      </c>
      <c r="Y31" s="86">
        <f>MBunk_act!Y$5</f>
        <v>163688.768453</v>
      </c>
      <c r="DA31" s="178" t="s">
        <v>390</v>
      </c>
    </row>
    <row r="32" spans="1:105" ht="11.45" customHeight="1" x14ac:dyDescent="0.25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DA32" s="171"/>
    </row>
    <row r="33" spans="1:105" ht="11.45" customHeight="1" x14ac:dyDescent="0.25">
      <c r="A33" s="53" t="s">
        <v>32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DA33" s="172"/>
    </row>
    <row r="34" spans="1:105" ht="11.45" customHeight="1" x14ac:dyDescent="0.25">
      <c r="A34" s="27" t="s">
        <v>33</v>
      </c>
      <c r="B34" s="28">
        <f t="shared" ref="B34:Q34" si="26">B35+B39+B43</f>
        <v>4177.1988569034329</v>
      </c>
      <c r="C34" s="28">
        <f t="shared" si="26"/>
        <v>4159.994537931806</v>
      </c>
      <c r="D34" s="28">
        <f t="shared" si="26"/>
        <v>4349.2195894668785</v>
      </c>
      <c r="E34" s="28">
        <f t="shared" si="26"/>
        <v>4648.1377977476441</v>
      </c>
      <c r="F34" s="28">
        <f t="shared" si="26"/>
        <v>4826.4457290076325</v>
      </c>
      <c r="G34" s="28">
        <f t="shared" si="26"/>
        <v>4660.2308433159615</v>
      </c>
      <c r="H34" s="28">
        <f t="shared" si="26"/>
        <v>4716.543532680962</v>
      </c>
      <c r="I34" s="28">
        <f t="shared" si="26"/>
        <v>4759.8503153243346</v>
      </c>
      <c r="J34" s="28">
        <f t="shared" si="26"/>
        <v>4835.068208144301</v>
      </c>
      <c r="K34" s="28">
        <f t="shared" si="26"/>
        <v>4815.163419621289</v>
      </c>
      <c r="L34" s="28">
        <f t="shared" si="26"/>
        <v>4927.5151420943739</v>
      </c>
      <c r="M34" s="28">
        <f t="shared" si="26"/>
        <v>4720.9246228340653</v>
      </c>
      <c r="N34" s="28">
        <f t="shared" si="26"/>
        <v>4535.1370936052863</v>
      </c>
      <c r="O34" s="28">
        <f t="shared" si="26"/>
        <v>4537.4263844147717</v>
      </c>
      <c r="P34" s="28">
        <f t="shared" si="26"/>
        <v>4646.2648296857078</v>
      </c>
      <c r="Q34" s="28">
        <f t="shared" si="26"/>
        <v>4780.5180045976094</v>
      </c>
      <c r="R34" s="28">
        <f t="shared" ref="R34:V34" si="27">R35+R39+R43</f>
        <v>4996.4172253561119</v>
      </c>
      <c r="S34" s="28">
        <f t="shared" si="27"/>
        <v>5226.6383517825898</v>
      </c>
      <c r="T34" s="28">
        <f t="shared" si="27"/>
        <v>5367.0267719660378</v>
      </c>
      <c r="U34" s="28">
        <f t="shared" si="27"/>
        <v>5586.411096376577</v>
      </c>
      <c r="V34" s="28">
        <f t="shared" si="27"/>
        <v>3960.4037423375512</v>
      </c>
      <c r="W34" s="28">
        <f t="shared" ref="W34:Y34" si="28">W35+W39+W43</f>
        <v>4419.9590876242419</v>
      </c>
      <c r="X34" s="28">
        <f t="shared" si="28"/>
        <v>5338.4048847105187</v>
      </c>
      <c r="Y34" s="28">
        <f t="shared" si="28"/>
        <v>5856.0860737511548</v>
      </c>
      <c r="DA34" s="173"/>
    </row>
    <row r="35" spans="1:105" ht="11.45" customHeight="1" x14ac:dyDescent="0.25">
      <c r="A35" s="136" t="str">
        <f>$A$5</f>
        <v>Road transport</v>
      </c>
      <c r="B35" s="137">
        <f t="shared" ref="B35:Q35" si="29">B36+B37+B38</f>
        <v>3336.4783077875841</v>
      </c>
      <c r="C35" s="137">
        <f t="shared" si="29"/>
        <v>3352.9962423265215</v>
      </c>
      <c r="D35" s="137">
        <f t="shared" si="29"/>
        <v>3556.0827469224714</v>
      </c>
      <c r="E35" s="137">
        <f t="shared" si="29"/>
        <v>3815.706488174505</v>
      </c>
      <c r="F35" s="137">
        <f t="shared" si="29"/>
        <v>3930.3677171808317</v>
      </c>
      <c r="G35" s="137">
        <f t="shared" si="29"/>
        <v>3734.74184345806</v>
      </c>
      <c r="H35" s="137">
        <f t="shared" si="29"/>
        <v>3752.229181661166</v>
      </c>
      <c r="I35" s="137">
        <f t="shared" si="29"/>
        <v>3755.3417104070836</v>
      </c>
      <c r="J35" s="137">
        <f t="shared" si="29"/>
        <v>3814.219614938032</v>
      </c>
      <c r="K35" s="137">
        <f t="shared" si="29"/>
        <v>3857.8652273383723</v>
      </c>
      <c r="L35" s="137">
        <f t="shared" si="29"/>
        <v>3896.2418201156174</v>
      </c>
      <c r="M35" s="137">
        <f t="shared" si="29"/>
        <v>3670.8522584685693</v>
      </c>
      <c r="N35" s="137">
        <f t="shared" si="29"/>
        <v>3479.3915542630534</v>
      </c>
      <c r="O35" s="137">
        <f t="shared" si="29"/>
        <v>3475.0684424418546</v>
      </c>
      <c r="P35" s="137">
        <f t="shared" si="29"/>
        <v>3552.2026296556264</v>
      </c>
      <c r="Q35" s="137">
        <f t="shared" si="29"/>
        <v>3599.5932260672753</v>
      </c>
      <c r="R35" s="137">
        <f t="shared" ref="R35:V35" si="30">R36+R37+R38</f>
        <v>3685.4814798287134</v>
      </c>
      <c r="S35" s="137">
        <f t="shared" si="30"/>
        <v>3755.1789452782386</v>
      </c>
      <c r="T35" s="137">
        <f t="shared" si="30"/>
        <v>3800.9101231635</v>
      </c>
      <c r="U35" s="137">
        <f t="shared" si="30"/>
        <v>3935.3382842692299</v>
      </c>
      <c r="V35" s="137">
        <f t="shared" si="30"/>
        <v>3329.8752839447334</v>
      </c>
      <c r="W35" s="137">
        <f t="shared" ref="W35:Y35" si="31">W36+W37+W38</f>
        <v>3620.4423029572645</v>
      </c>
      <c r="X35" s="137">
        <f t="shared" si="31"/>
        <v>3791.749314452994</v>
      </c>
      <c r="Y35" s="137">
        <f t="shared" si="31"/>
        <v>4065.6478719626725</v>
      </c>
      <c r="DA35" s="174" t="s">
        <v>391</v>
      </c>
    </row>
    <row r="36" spans="1:105" ht="11.45" customHeight="1" x14ac:dyDescent="0.25">
      <c r="A36" s="128" t="str">
        <f>$A$6</f>
        <v>Powered two-wheelers</v>
      </c>
      <c r="B36" s="102">
        <f>TrRoad_ene!B$19</f>
        <v>55.557233670197313</v>
      </c>
      <c r="C36" s="102">
        <f>TrRoad_ene!C$19</f>
        <v>56.48474179580888</v>
      </c>
      <c r="D36" s="102">
        <f>TrRoad_ene!D$19</f>
        <v>60.278648894138826</v>
      </c>
      <c r="E36" s="102">
        <f>TrRoad_ene!E$19</f>
        <v>63.185450928234246</v>
      </c>
      <c r="F36" s="102">
        <f>TrRoad_ene!F$19</f>
        <v>67.184047450831699</v>
      </c>
      <c r="G36" s="102">
        <f>TrRoad_ene!G$19</f>
        <v>70.095999502019936</v>
      </c>
      <c r="H36" s="102">
        <f>TrRoad_ene!H$19</f>
        <v>73.071327557101071</v>
      </c>
      <c r="I36" s="102">
        <f>TrRoad_ene!I$19</f>
        <v>68.493781425069358</v>
      </c>
      <c r="J36" s="102">
        <f>TrRoad_ene!J$19</f>
        <v>68.882559378975714</v>
      </c>
      <c r="K36" s="102">
        <f>TrRoad_ene!K$19</f>
        <v>63.848720213818225</v>
      </c>
      <c r="L36" s="102">
        <f>TrRoad_ene!L$19</f>
        <v>60.503638795396562</v>
      </c>
      <c r="M36" s="102">
        <f>TrRoad_ene!M$19</f>
        <v>58.157443367407673</v>
      </c>
      <c r="N36" s="102">
        <f>TrRoad_ene!N$19</f>
        <v>57.857257177361753</v>
      </c>
      <c r="O36" s="102">
        <f>TrRoad_ene!O$19</f>
        <v>56.455748393657011</v>
      </c>
      <c r="P36" s="102">
        <f>TrRoad_ene!P$19</f>
        <v>54.83799200414758</v>
      </c>
      <c r="Q36" s="102">
        <f>TrRoad_ene!Q$19</f>
        <v>52.145434454336893</v>
      </c>
      <c r="R36" s="102">
        <f>TrRoad_ene!R$19</f>
        <v>54.815931926805028</v>
      </c>
      <c r="S36" s="102">
        <f>TrRoad_ene!S$19</f>
        <v>54.329275356390625</v>
      </c>
      <c r="T36" s="102">
        <f>TrRoad_ene!T$19</f>
        <v>51.56222277309886</v>
      </c>
      <c r="U36" s="102">
        <f>TrRoad_ene!U$19</f>
        <v>54.760892752326647</v>
      </c>
      <c r="V36" s="102">
        <f>TrRoad_ene!V$19</f>
        <v>48.352863946549533</v>
      </c>
      <c r="W36" s="102">
        <f>TrRoad_ene!W$19</f>
        <v>50.195317046810288</v>
      </c>
      <c r="X36" s="102">
        <f>TrRoad_ene!X$19</f>
        <v>51.134569358620936</v>
      </c>
      <c r="Y36" s="102">
        <f>TrRoad_ene!Y$19</f>
        <v>56.038302909373868</v>
      </c>
      <c r="DA36" s="175" t="s">
        <v>392</v>
      </c>
    </row>
    <row r="37" spans="1:105" ht="11.45" customHeight="1" x14ac:dyDescent="0.25">
      <c r="A37" s="128" t="str">
        <f>$A$7</f>
        <v>Passenger cars</v>
      </c>
      <c r="B37" s="102">
        <f>TrRoad_ene!B$21</f>
        <v>2958.1789792672553</v>
      </c>
      <c r="C37" s="102">
        <f>TrRoad_ene!C$21</f>
        <v>2973.7341925214137</v>
      </c>
      <c r="D37" s="102">
        <f>TrRoad_ene!D$21</f>
        <v>3172.383222539313</v>
      </c>
      <c r="E37" s="102">
        <f>TrRoad_ene!E$21</f>
        <v>3434.7951577136218</v>
      </c>
      <c r="F37" s="102">
        <f>TrRoad_ene!F$21</f>
        <v>3552.3785930630388</v>
      </c>
      <c r="G37" s="102">
        <f>TrRoad_ene!G$21</f>
        <v>3469.8352804070018</v>
      </c>
      <c r="H37" s="102">
        <f>TrRoad_ene!H$21</f>
        <v>3484.6403801074202</v>
      </c>
      <c r="I37" s="102">
        <f>TrRoad_ene!I$21</f>
        <v>3488.1407869183549</v>
      </c>
      <c r="J37" s="102">
        <f>TrRoad_ene!J$21</f>
        <v>3539.4665349602028</v>
      </c>
      <c r="K37" s="102">
        <f>TrRoad_ene!K$21</f>
        <v>3583.8911225053084</v>
      </c>
      <c r="L37" s="102">
        <f>TrRoad_ene!L$21</f>
        <v>3619.1658881033618</v>
      </c>
      <c r="M37" s="102">
        <f>TrRoad_ene!M$21</f>
        <v>3396.381736025236</v>
      </c>
      <c r="N37" s="102">
        <f>TrRoad_ene!N$21</f>
        <v>3246.7140535663257</v>
      </c>
      <c r="O37" s="102">
        <f>TrRoad_ene!O$21</f>
        <v>3250.4938771688003</v>
      </c>
      <c r="P37" s="102">
        <f>TrRoad_ene!P$21</f>
        <v>3291.7214111311687</v>
      </c>
      <c r="Q37" s="102">
        <f>TrRoad_ene!Q$21</f>
        <v>3338.5385556264009</v>
      </c>
      <c r="R37" s="102">
        <f>TrRoad_ene!R$21</f>
        <v>3409.8997521514689</v>
      </c>
      <c r="S37" s="102">
        <f>TrRoad_ene!S$21</f>
        <v>3471.4651096375896</v>
      </c>
      <c r="T37" s="102">
        <f>TrRoad_ene!T$21</f>
        <v>3508.9855476275516</v>
      </c>
      <c r="U37" s="102">
        <f>TrRoad_ene!U$21</f>
        <v>3656.9143978107559</v>
      </c>
      <c r="V37" s="102">
        <f>TrRoad_ene!V$21</f>
        <v>3109.619813894617</v>
      </c>
      <c r="W37" s="102">
        <f>TrRoad_ene!W$21</f>
        <v>3354.2160671367092</v>
      </c>
      <c r="X37" s="102">
        <f>TrRoad_ene!X$21</f>
        <v>3485.1925445905763</v>
      </c>
      <c r="Y37" s="102">
        <f>TrRoad_ene!Y$21</f>
        <v>3739.5501310053864</v>
      </c>
      <c r="DA37" s="175" t="s">
        <v>393</v>
      </c>
    </row>
    <row r="38" spans="1:105" ht="11.45" customHeight="1" x14ac:dyDescent="0.25">
      <c r="A38" s="128" t="str">
        <f>$A$8</f>
        <v>Motor coaches, buses and trolley buses</v>
      </c>
      <c r="B38" s="102">
        <f>TrRoad_ene!B$33</f>
        <v>322.74209485013165</v>
      </c>
      <c r="C38" s="102">
        <f>TrRoad_ene!C$33</f>
        <v>322.77730800929868</v>
      </c>
      <c r="D38" s="102">
        <f>TrRoad_ene!D$33</f>
        <v>323.42087548901952</v>
      </c>
      <c r="E38" s="102">
        <f>TrRoad_ene!E$33</f>
        <v>317.725879532649</v>
      </c>
      <c r="F38" s="102">
        <f>TrRoad_ene!F$33</f>
        <v>310.80507666696133</v>
      </c>
      <c r="G38" s="102">
        <f>TrRoad_ene!G$33</f>
        <v>194.81056354903822</v>
      </c>
      <c r="H38" s="102">
        <f>TrRoad_ene!H$33</f>
        <v>194.51747399664487</v>
      </c>
      <c r="I38" s="102">
        <f>TrRoad_ene!I$33</f>
        <v>198.70714206365918</v>
      </c>
      <c r="J38" s="102">
        <f>TrRoad_ene!J$33</f>
        <v>205.8705205988536</v>
      </c>
      <c r="K38" s="102">
        <f>TrRoad_ene!K$33</f>
        <v>210.12538461924572</v>
      </c>
      <c r="L38" s="102">
        <f>TrRoad_ene!L$33</f>
        <v>216.57229321685915</v>
      </c>
      <c r="M38" s="102">
        <f>TrRoad_ene!M$33</f>
        <v>216.31307907592571</v>
      </c>
      <c r="N38" s="102">
        <f>TrRoad_ene!N$33</f>
        <v>174.82024351936616</v>
      </c>
      <c r="O38" s="102">
        <f>TrRoad_ene!O$33</f>
        <v>168.1188168793972</v>
      </c>
      <c r="P38" s="102">
        <f>TrRoad_ene!P$33</f>
        <v>205.64322652031035</v>
      </c>
      <c r="Q38" s="102">
        <f>TrRoad_ene!Q$33</f>
        <v>208.90923598653757</v>
      </c>
      <c r="R38" s="102">
        <f>TrRoad_ene!R$33</f>
        <v>220.76579575043925</v>
      </c>
      <c r="S38" s="102">
        <f>TrRoad_ene!S$33</f>
        <v>229.38456028425853</v>
      </c>
      <c r="T38" s="102">
        <f>TrRoad_ene!T$33</f>
        <v>240.36235276284964</v>
      </c>
      <c r="U38" s="102">
        <f>TrRoad_ene!U$33</f>
        <v>223.66299370614746</v>
      </c>
      <c r="V38" s="102">
        <f>TrRoad_ene!V$33</f>
        <v>171.90260610356697</v>
      </c>
      <c r="W38" s="102">
        <f>TrRoad_ene!W$33</f>
        <v>216.03091877374473</v>
      </c>
      <c r="X38" s="102">
        <f>TrRoad_ene!X$33</f>
        <v>255.42220050379694</v>
      </c>
      <c r="Y38" s="102">
        <f>TrRoad_ene!Y$33</f>
        <v>270.05943804791224</v>
      </c>
      <c r="DA38" s="175" t="s">
        <v>394</v>
      </c>
    </row>
    <row r="39" spans="1:105" ht="11.45" customHeight="1" x14ac:dyDescent="0.25">
      <c r="A39" s="109" t="str">
        <f>$A$9</f>
        <v>Rail, metro and tram</v>
      </c>
      <c r="B39" s="110">
        <f t="shared" ref="B39:Q39" si="32">B40+B41+B42</f>
        <v>73.969615702222285</v>
      </c>
      <c r="C39" s="110">
        <f t="shared" si="32"/>
        <v>61.079667660283839</v>
      </c>
      <c r="D39" s="110">
        <f t="shared" si="32"/>
        <v>59.04095442789972</v>
      </c>
      <c r="E39" s="110">
        <f t="shared" si="32"/>
        <v>57.475851738445783</v>
      </c>
      <c r="F39" s="110">
        <f t="shared" si="32"/>
        <v>56.173322739184307</v>
      </c>
      <c r="G39" s="110">
        <f t="shared" si="32"/>
        <v>54.606429915708731</v>
      </c>
      <c r="H39" s="110">
        <f t="shared" si="32"/>
        <v>56.764897933719531</v>
      </c>
      <c r="I39" s="110">
        <f t="shared" si="32"/>
        <v>55.550917079095719</v>
      </c>
      <c r="J39" s="110">
        <f t="shared" si="32"/>
        <v>55.599048828597113</v>
      </c>
      <c r="K39" s="110">
        <f t="shared" si="32"/>
        <v>50.880138166968699</v>
      </c>
      <c r="L39" s="110">
        <f t="shared" si="32"/>
        <v>48.150264152844578</v>
      </c>
      <c r="M39" s="110">
        <f t="shared" si="32"/>
        <v>39.884526821197554</v>
      </c>
      <c r="N39" s="110">
        <f t="shared" si="32"/>
        <v>36.779973983518381</v>
      </c>
      <c r="O39" s="110">
        <f t="shared" si="32"/>
        <v>28.874258234439051</v>
      </c>
      <c r="P39" s="110">
        <f t="shared" si="32"/>
        <v>28.848259346441786</v>
      </c>
      <c r="Q39" s="110">
        <f t="shared" si="32"/>
        <v>28.847323910784649</v>
      </c>
      <c r="R39" s="110">
        <f t="shared" ref="R39:V39" si="33">R40+R41+R42</f>
        <v>38.705551536933022</v>
      </c>
      <c r="S39" s="110">
        <f t="shared" si="33"/>
        <v>43.359119576257122</v>
      </c>
      <c r="T39" s="110">
        <f t="shared" si="33"/>
        <v>43.546232372895219</v>
      </c>
      <c r="U39" s="110">
        <f t="shared" si="33"/>
        <v>43.829928257782761</v>
      </c>
      <c r="V39" s="110">
        <f t="shared" si="33"/>
        <v>36.58887504376353</v>
      </c>
      <c r="W39" s="110">
        <f t="shared" ref="W39:Y39" si="34">W40+W41+W42</f>
        <v>38.52652708118957</v>
      </c>
      <c r="X39" s="110">
        <f t="shared" si="34"/>
        <v>39.366548446695091</v>
      </c>
      <c r="Y39" s="110">
        <f t="shared" si="34"/>
        <v>42.177357847096239</v>
      </c>
      <c r="DA39" s="176" t="s">
        <v>395</v>
      </c>
    </row>
    <row r="40" spans="1:105" ht="11.45" customHeight="1" x14ac:dyDescent="0.25">
      <c r="A40" s="128" t="str">
        <f>$A$10</f>
        <v>Metro and tram, urban light rail</v>
      </c>
      <c r="B40" s="102">
        <f>TrRail_ene!B$12</f>
        <v>2.672965645635824</v>
      </c>
      <c r="C40" s="102">
        <f>TrRail_ene!C$12</f>
        <v>2.7169924796445253</v>
      </c>
      <c r="D40" s="102">
        <f>TrRail_ene!D$12</f>
        <v>2.7260122793438901</v>
      </c>
      <c r="E40" s="102">
        <f>TrRail_ene!E$12</f>
        <v>3.7820635733366323</v>
      </c>
      <c r="F40" s="102">
        <f>TrRail_ene!F$12</f>
        <v>4.0020139831417367</v>
      </c>
      <c r="G40" s="102">
        <f>TrRail_ene!G$12</f>
        <v>4.096738985119349</v>
      </c>
      <c r="H40" s="102">
        <f>TrRail_ene!H$12</f>
        <v>4.8937157974613257</v>
      </c>
      <c r="I40" s="102">
        <f>TrRail_ene!I$12</f>
        <v>5.0151762709158838</v>
      </c>
      <c r="J40" s="102">
        <f>TrRail_ene!J$12</f>
        <v>5.1860909232480479</v>
      </c>
      <c r="K40" s="102">
        <f>TrRail_ene!K$12</f>
        <v>5.0544575808178509</v>
      </c>
      <c r="L40" s="102">
        <f>TrRail_ene!L$12</f>
        <v>5.2106863586056225</v>
      </c>
      <c r="M40" s="102">
        <f>TrRail_ene!M$12</f>
        <v>5.128190219995294</v>
      </c>
      <c r="N40" s="102">
        <f>TrRail_ene!N$12</f>
        <v>4.6227479158631706</v>
      </c>
      <c r="O40" s="102">
        <f>TrRail_ene!O$12</f>
        <v>4.2772042659931913</v>
      </c>
      <c r="P40" s="102">
        <f>TrRail_ene!P$12</f>
        <v>4.2964510349929181</v>
      </c>
      <c r="Q40" s="102">
        <f>TrRail_ene!Q$12</f>
        <v>4.4592059792544632</v>
      </c>
      <c r="R40" s="102">
        <f>TrRail_ene!R$12</f>
        <v>4.6011799831621598</v>
      </c>
      <c r="S40" s="102">
        <f>TrRail_ene!S$12</f>
        <v>4.7805232732640386</v>
      </c>
      <c r="T40" s="102">
        <f>TrRail_ene!T$12</f>
        <v>4.9669218668442072</v>
      </c>
      <c r="U40" s="102">
        <f>TrRail_ene!U$12</f>
        <v>5.3372223331197066</v>
      </c>
      <c r="V40" s="102">
        <f>TrRail_ene!V$12</f>
        <v>4.8216364017391227</v>
      </c>
      <c r="W40" s="102">
        <f>TrRail_ene!W$12</f>
        <v>4.4168073451688068</v>
      </c>
      <c r="X40" s="102">
        <f>TrRail_ene!X$12</f>
        <v>5.0196183961578873</v>
      </c>
      <c r="Y40" s="102">
        <f>TrRail_ene!Y$12</f>
        <v>5.2588037028969543</v>
      </c>
      <c r="DA40" s="175" t="s">
        <v>396</v>
      </c>
    </row>
    <row r="41" spans="1:105" ht="11.45" customHeight="1" x14ac:dyDescent="0.25">
      <c r="A41" s="128" t="str">
        <f>$A$11</f>
        <v>Conventional passenger trains</v>
      </c>
      <c r="B41" s="102">
        <f>TrRail_ene!B$13</f>
        <v>71.296650056586458</v>
      </c>
      <c r="C41" s="102">
        <f>TrRail_ene!C$13</f>
        <v>58.362675180639314</v>
      </c>
      <c r="D41" s="102">
        <f>TrRail_ene!D$13</f>
        <v>56.314942148555829</v>
      </c>
      <c r="E41" s="102">
        <f>TrRail_ene!E$13</f>
        <v>53.693788165109154</v>
      </c>
      <c r="F41" s="102">
        <f>TrRail_ene!F$13</f>
        <v>46.72135435576773</v>
      </c>
      <c r="G41" s="102">
        <f>TrRail_ene!G$13</f>
        <v>44.465031921253214</v>
      </c>
      <c r="H41" s="102">
        <f>TrRail_ene!H$13</f>
        <v>45.550278116834093</v>
      </c>
      <c r="I41" s="102">
        <f>TrRail_ene!I$13</f>
        <v>43.986190617936828</v>
      </c>
      <c r="J41" s="102">
        <f>TrRail_ene!J$13</f>
        <v>43.832413507051839</v>
      </c>
      <c r="K41" s="102">
        <f>TrRail_ene!K$13</f>
        <v>39.308635830545356</v>
      </c>
      <c r="L41" s="102">
        <f>TrRail_ene!L$13</f>
        <v>36.436027776963208</v>
      </c>
      <c r="M41" s="102">
        <f>TrRail_ene!M$13</f>
        <v>28.33295907664975</v>
      </c>
      <c r="N41" s="102">
        <f>TrRail_ene!N$13</f>
        <v>25.83769103680708</v>
      </c>
      <c r="O41" s="102">
        <f>TrRail_ene!O$13</f>
        <v>18.369613545635815</v>
      </c>
      <c r="P41" s="102">
        <f>TrRail_ene!P$13</f>
        <v>18.3964321441292</v>
      </c>
      <c r="Q41" s="102">
        <f>TrRail_ene!Q$13</f>
        <v>18.330350838322293</v>
      </c>
      <c r="R41" s="102">
        <f>TrRail_ene!R$13</f>
        <v>27.901842738308808</v>
      </c>
      <c r="S41" s="102">
        <f>TrRail_ene!S$13</f>
        <v>32.415505820399794</v>
      </c>
      <c r="T41" s="102">
        <f>TrRail_ene!T$13</f>
        <v>32.630083535759738</v>
      </c>
      <c r="U41" s="102">
        <f>TrRail_ene!U$13</f>
        <v>32.469067873682285</v>
      </c>
      <c r="V41" s="102">
        <f>TrRail_ene!V$13</f>
        <v>28.278221390485839</v>
      </c>
      <c r="W41" s="102">
        <f>TrRail_ene!W$13</f>
        <v>29.850908148633799</v>
      </c>
      <c r="X41" s="102">
        <f>TrRail_ene!X$13</f>
        <v>28.976508740562998</v>
      </c>
      <c r="Y41" s="102">
        <f>TrRail_ene!Y$13</f>
        <v>31.723246797249573</v>
      </c>
      <c r="DA41" s="175" t="s">
        <v>397</v>
      </c>
    </row>
    <row r="42" spans="1:105" ht="11.45" customHeight="1" x14ac:dyDescent="0.25">
      <c r="A42" s="128" t="str">
        <f>$A$12</f>
        <v>High speed passenger trains</v>
      </c>
      <c r="B42" s="102">
        <f>TrRail_ene!B$16</f>
        <v>0</v>
      </c>
      <c r="C42" s="102">
        <f>TrRail_ene!C$16</f>
        <v>0</v>
      </c>
      <c r="D42" s="102">
        <f>TrRail_ene!D$16</f>
        <v>0</v>
      </c>
      <c r="E42" s="102">
        <f>TrRail_ene!E$16</f>
        <v>0</v>
      </c>
      <c r="F42" s="102">
        <f>TrRail_ene!F$16</f>
        <v>5.4499544002748408</v>
      </c>
      <c r="G42" s="102">
        <f>TrRail_ene!G$16</f>
        <v>6.0446590093361632</v>
      </c>
      <c r="H42" s="102">
        <f>TrRail_ene!H$16</f>
        <v>6.3209040194241135</v>
      </c>
      <c r="I42" s="102">
        <f>TrRail_ene!I$16</f>
        <v>6.5495501902430053</v>
      </c>
      <c r="J42" s="102">
        <f>TrRail_ene!J$16</f>
        <v>6.5805443982972305</v>
      </c>
      <c r="K42" s="102">
        <f>TrRail_ene!K$16</f>
        <v>6.5170447556054905</v>
      </c>
      <c r="L42" s="102">
        <f>TrRail_ene!L$16</f>
        <v>6.5035500172757486</v>
      </c>
      <c r="M42" s="102">
        <f>TrRail_ene!M$16</f>
        <v>6.4233775245525031</v>
      </c>
      <c r="N42" s="102">
        <f>TrRail_ene!N$16</f>
        <v>6.3195350308481322</v>
      </c>
      <c r="O42" s="102">
        <f>TrRail_ene!O$16</f>
        <v>6.2274404228100453</v>
      </c>
      <c r="P42" s="102">
        <f>TrRail_ene!P$16</f>
        <v>6.1553761673196679</v>
      </c>
      <c r="Q42" s="102">
        <f>TrRail_ene!Q$16</f>
        <v>6.0577670932078922</v>
      </c>
      <c r="R42" s="102">
        <f>TrRail_ene!R$16</f>
        <v>6.2025288154620526</v>
      </c>
      <c r="S42" s="102">
        <f>TrRail_ene!S$16</f>
        <v>6.1630904825932884</v>
      </c>
      <c r="T42" s="102">
        <f>TrRail_ene!T$16</f>
        <v>5.9492269702912717</v>
      </c>
      <c r="U42" s="102">
        <f>TrRail_ene!U$16</f>
        <v>6.0236380509807708</v>
      </c>
      <c r="V42" s="102">
        <f>TrRail_ene!V$16</f>
        <v>3.4890172515385678</v>
      </c>
      <c r="W42" s="102">
        <f>TrRail_ene!W$16</f>
        <v>4.2588115873869645</v>
      </c>
      <c r="X42" s="102">
        <f>TrRail_ene!X$16</f>
        <v>5.3704213099742031</v>
      </c>
      <c r="Y42" s="102">
        <f>TrRail_ene!Y$16</f>
        <v>5.1953073469497095</v>
      </c>
      <c r="DA42" s="175" t="s">
        <v>398</v>
      </c>
    </row>
    <row r="43" spans="1:105" ht="11.45" customHeight="1" x14ac:dyDescent="0.25">
      <c r="A43" s="109" t="str">
        <f>$A$13</f>
        <v>Aviation</v>
      </c>
      <c r="B43" s="110">
        <f t="shared" ref="B43:Q43" si="35">B44+B45+B46</f>
        <v>766.7509334136264</v>
      </c>
      <c r="C43" s="110">
        <f t="shared" si="35"/>
        <v>745.91862794500082</v>
      </c>
      <c r="D43" s="110">
        <f t="shared" si="35"/>
        <v>734.09588811650701</v>
      </c>
      <c r="E43" s="110">
        <f t="shared" si="35"/>
        <v>774.95545783469322</v>
      </c>
      <c r="F43" s="110">
        <f t="shared" si="35"/>
        <v>839.90468908761648</v>
      </c>
      <c r="G43" s="110">
        <f t="shared" si="35"/>
        <v>870.88256994219319</v>
      </c>
      <c r="H43" s="110">
        <f t="shared" si="35"/>
        <v>907.54945308607694</v>
      </c>
      <c r="I43" s="110">
        <f t="shared" si="35"/>
        <v>948.95768783815538</v>
      </c>
      <c r="J43" s="110">
        <f t="shared" si="35"/>
        <v>965.24954437767167</v>
      </c>
      <c r="K43" s="110">
        <f t="shared" si="35"/>
        <v>906.4180541159476</v>
      </c>
      <c r="L43" s="110">
        <f t="shared" si="35"/>
        <v>983.12305782591216</v>
      </c>
      <c r="M43" s="110">
        <f t="shared" si="35"/>
        <v>1010.1878375442982</v>
      </c>
      <c r="N43" s="110">
        <f t="shared" si="35"/>
        <v>1018.9655653587149</v>
      </c>
      <c r="O43" s="110">
        <f t="shared" si="35"/>
        <v>1033.4836837384778</v>
      </c>
      <c r="P43" s="110">
        <f t="shared" si="35"/>
        <v>1065.2139406836397</v>
      </c>
      <c r="Q43" s="110">
        <f t="shared" si="35"/>
        <v>1152.0774546195494</v>
      </c>
      <c r="R43" s="110">
        <f t="shared" ref="R43:V43" si="36">R44+R45+R46</f>
        <v>1272.2301939904653</v>
      </c>
      <c r="S43" s="110">
        <f t="shared" si="36"/>
        <v>1428.1002869280944</v>
      </c>
      <c r="T43" s="110">
        <f t="shared" si="36"/>
        <v>1522.5704164296424</v>
      </c>
      <c r="U43" s="110">
        <f t="shared" si="36"/>
        <v>1607.2428838495644</v>
      </c>
      <c r="V43" s="110">
        <f t="shared" si="36"/>
        <v>593.9395833490546</v>
      </c>
      <c r="W43" s="110">
        <f t="shared" ref="W43:Y43" si="37">W44+W45+W46</f>
        <v>760.99025758578773</v>
      </c>
      <c r="X43" s="110">
        <f t="shared" si="37"/>
        <v>1507.2890218108294</v>
      </c>
      <c r="Y43" s="110">
        <f t="shared" si="37"/>
        <v>1748.2608439413859</v>
      </c>
      <c r="DA43" s="176" t="s">
        <v>280</v>
      </c>
    </row>
    <row r="44" spans="1:105" ht="11.45" customHeight="1" x14ac:dyDescent="0.25">
      <c r="A44" s="128" t="str">
        <f>$A$14</f>
        <v>Domestic</v>
      </c>
      <c r="B44" s="102">
        <f>TrAvia_ene!B$7</f>
        <v>109.37195198873628</v>
      </c>
      <c r="C44" s="102">
        <f>TrAvia_ene!C$7</f>
        <v>113.02199114090575</v>
      </c>
      <c r="D44" s="102">
        <f>TrAvia_ene!D$7</f>
        <v>120.54953398744678</v>
      </c>
      <c r="E44" s="102">
        <f>TrAvia_ene!E$7</f>
        <v>112.40548157634504</v>
      </c>
      <c r="F44" s="102">
        <f>TrAvia_ene!F$7</f>
        <v>127.21188071157218</v>
      </c>
      <c r="G44" s="102">
        <f>TrAvia_ene!G$7</f>
        <v>132.14221081100487</v>
      </c>
      <c r="H44" s="102">
        <f>TrAvia_ene!H$7</f>
        <v>128.5804153602547</v>
      </c>
      <c r="I44" s="102">
        <f>TrAvia_ene!I$7</f>
        <v>127.70390336443678</v>
      </c>
      <c r="J44" s="102">
        <f>TrAvia_ene!J$7</f>
        <v>117.74917548520159</v>
      </c>
      <c r="K44" s="102">
        <f>TrAvia_ene!K$7</f>
        <v>109.54436494081719</v>
      </c>
      <c r="L44" s="102">
        <f>TrAvia_ene!L$7</f>
        <v>130.62412169067119</v>
      </c>
      <c r="M44" s="102">
        <f>TrAvia_ene!M$7</f>
        <v>117.52356764848616</v>
      </c>
      <c r="N44" s="102">
        <f>TrAvia_ene!N$7</f>
        <v>117.74620131736022</v>
      </c>
      <c r="O44" s="102">
        <f>TrAvia_ene!O$7</f>
        <v>120.14724834086864</v>
      </c>
      <c r="P44" s="102">
        <f>TrAvia_ene!P$7</f>
        <v>116.69848227570832</v>
      </c>
      <c r="Q44" s="102">
        <f>TrAvia_ene!Q$7</f>
        <v>123.11846170528901</v>
      </c>
      <c r="R44" s="102">
        <f>TrAvia_ene!R$7</f>
        <v>138.29499218637366</v>
      </c>
      <c r="S44" s="102">
        <f>TrAvia_ene!S$7</f>
        <v>166.52832509599247</v>
      </c>
      <c r="T44" s="102">
        <f>TrAvia_ene!T$7</f>
        <v>176.94371437815846</v>
      </c>
      <c r="U44" s="102">
        <f>TrAvia_ene!U$7</f>
        <v>164.47275369265452</v>
      </c>
      <c r="V44" s="102">
        <f>TrAvia_ene!V$7</f>
        <v>85.165500291590263</v>
      </c>
      <c r="W44" s="102">
        <f>TrAvia_ene!W$7</f>
        <v>112.42750429042381</v>
      </c>
      <c r="X44" s="102">
        <f>TrAvia_ene!X$7</f>
        <v>138.01195893698741</v>
      </c>
      <c r="Y44" s="102">
        <f>TrAvia_ene!Y$7</f>
        <v>158.87724253577551</v>
      </c>
      <c r="DA44" s="175" t="s">
        <v>281</v>
      </c>
    </row>
    <row r="45" spans="1:105" ht="11.45" customHeight="1" x14ac:dyDescent="0.25">
      <c r="A45" s="128" t="str">
        <f>$A$15</f>
        <v>International - Intra-EEAwCHUK</v>
      </c>
      <c r="B45" s="102">
        <f>TrAvia_ene!B$8</f>
        <v>418.56730858807288</v>
      </c>
      <c r="C45" s="102">
        <f>TrAvia_ene!C$8</f>
        <v>402.99044685170981</v>
      </c>
      <c r="D45" s="102">
        <f>TrAvia_ene!D$8</f>
        <v>390.67000742435766</v>
      </c>
      <c r="E45" s="102">
        <f>TrAvia_ene!E$8</f>
        <v>406.93518352124192</v>
      </c>
      <c r="F45" s="102">
        <f>TrAvia_ene!F$8</f>
        <v>446.89948242654646</v>
      </c>
      <c r="G45" s="102">
        <f>TrAvia_ene!G$8</f>
        <v>465.66196345093255</v>
      </c>
      <c r="H45" s="102">
        <f>TrAvia_ene!H$8</f>
        <v>497.42278990467167</v>
      </c>
      <c r="I45" s="102">
        <f>TrAvia_ene!I$8</f>
        <v>536.5713700452477</v>
      </c>
      <c r="J45" s="102">
        <f>TrAvia_ene!J$8</f>
        <v>551.07188792416173</v>
      </c>
      <c r="K45" s="102">
        <f>TrAvia_ene!K$8</f>
        <v>504.82500875603444</v>
      </c>
      <c r="L45" s="102">
        <f>TrAvia_ene!L$8</f>
        <v>539.18358096642669</v>
      </c>
      <c r="M45" s="102">
        <f>TrAvia_ene!M$8</f>
        <v>568.61625689832624</v>
      </c>
      <c r="N45" s="102">
        <f>TrAvia_ene!N$8</f>
        <v>566.64464862714442</v>
      </c>
      <c r="O45" s="102">
        <f>TrAvia_ene!O$8</f>
        <v>578.60715601554602</v>
      </c>
      <c r="P45" s="102">
        <f>TrAvia_ene!P$8</f>
        <v>608.82272545615058</v>
      </c>
      <c r="Q45" s="102">
        <f>TrAvia_ene!Q$8</f>
        <v>665.61760274475375</v>
      </c>
      <c r="R45" s="102">
        <f>TrAvia_ene!R$8</f>
        <v>755.90135730483394</v>
      </c>
      <c r="S45" s="102">
        <f>TrAvia_ene!S$8</f>
        <v>858.61779596917313</v>
      </c>
      <c r="T45" s="102">
        <f>TrAvia_ene!T$8</f>
        <v>908.30368278508308</v>
      </c>
      <c r="U45" s="102">
        <f>TrAvia_ene!U$8</f>
        <v>969.76366264118678</v>
      </c>
      <c r="V45" s="102">
        <f>TrAvia_ene!V$8</f>
        <v>290.0246265500179</v>
      </c>
      <c r="W45" s="102">
        <f>TrAvia_ene!W$8</f>
        <v>399.16958641927505</v>
      </c>
      <c r="X45" s="102">
        <f>TrAvia_ene!X$8</f>
        <v>942.36734329900776</v>
      </c>
      <c r="Y45" s="102">
        <f>TrAvia_ene!Y$8</f>
        <v>1097.122279318241</v>
      </c>
      <c r="DA45" s="175" t="s">
        <v>282</v>
      </c>
    </row>
    <row r="46" spans="1:105" ht="11.45" customHeight="1" x14ac:dyDescent="0.25">
      <c r="A46" s="128" t="str">
        <f>$A$16</f>
        <v>International - Extra-EEAwCHUK</v>
      </c>
      <c r="B46" s="102">
        <f>TrAvia_ene!B$9</f>
        <v>238.81167283681728</v>
      </c>
      <c r="C46" s="102">
        <f>TrAvia_ene!C$9</f>
        <v>229.90618995238526</v>
      </c>
      <c r="D46" s="102">
        <f>TrAvia_ene!D$9</f>
        <v>222.8763467047026</v>
      </c>
      <c r="E46" s="102">
        <f>TrAvia_ene!E$9</f>
        <v>255.61479273710631</v>
      </c>
      <c r="F46" s="102">
        <f>TrAvia_ene!F$9</f>
        <v>265.7933259494979</v>
      </c>
      <c r="G46" s="102">
        <f>TrAvia_ene!G$9</f>
        <v>273.07839568025582</v>
      </c>
      <c r="H46" s="102">
        <f>TrAvia_ene!H$9</f>
        <v>281.54624782115053</v>
      </c>
      <c r="I46" s="102">
        <f>TrAvia_ene!I$9</f>
        <v>284.68241442847091</v>
      </c>
      <c r="J46" s="102">
        <f>TrAvia_ene!J$9</f>
        <v>296.42848096830835</v>
      </c>
      <c r="K46" s="102">
        <f>TrAvia_ene!K$9</f>
        <v>292.048680419096</v>
      </c>
      <c r="L46" s="102">
        <f>TrAvia_ene!L$9</f>
        <v>313.31535516881428</v>
      </c>
      <c r="M46" s="102">
        <f>TrAvia_ene!M$9</f>
        <v>324.04801299748578</v>
      </c>
      <c r="N46" s="102">
        <f>TrAvia_ene!N$9</f>
        <v>334.57471541421023</v>
      </c>
      <c r="O46" s="102">
        <f>TrAvia_ene!O$9</f>
        <v>334.72927938206311</v>
      </c>
      <c r="P46" s="102">
        <f>TrAvia_ene!P$9</f>
        <v>339.6927329517809</v>
      </c>
      <c r="Q46" s="102">
        <f>TrAvia_ene!Q$9</f>
        <v>363.34139016950661</v>
      </c>
      <c r="R46" s="102">
        <f>TrAvia_ene!R$9</f>
        <v>378.03384449925778</v>
      </c>
      <c r="S46" s="102">
        <f>TrAvia_ene!S$9</f>
        <v>402.9541658629289</v>
      </c>
      <c r="T46" s="102">
        <f>TrAvia_ene!T$9</f>
        <v>437.32301926640065</v>
      </c>
      <c r="U46" s="102">
        <f>TrAvia_ene!U$9</f>
        <v>473.00646751572287</v>
      </c>
      <c r="V46" s="102">
        <f>TrAvia_ene!V$9</f>
        <v>218.7494565074465</v>
      </c>
      <c r="W46" s="102">
        <f>TrAvia_ene!W$9</f>
        <v>249.39316687608883</v>
      </c>
      <c r="X46" s="102">
        <f>TrAvia_ene!X$9</f>
        <v>426.9097195748343</v>
      </c>
      <c r="Y46" s="102">
        <f>TrAvia_ene!Y$9</f>
        <v>492.26132208736936</v>
      </c>
      <c r="DA46" s="175" t="s">
        <v>283</v>
      </c>
    </row>
    <row r="47" spans="1:105" ht="11.45" customHeight="1" x14ac:dyDescent="0.25">
      <c r="A47" s="27" t="s">
        <v>34</v>
      </c>
      <c r="B47" s="28">
        <f t="shared" ref="B47:Q47" si="38">B48+B51+B52+B56</f>
        <v>2459.0308077569284</v>
      </c>
      <c r="C47" s="28">
        <f t="shared" si="38"/>
        <v>2521.9396839082619</v>
      </c>
      <c r="D47" s="28">
        <f t="shared" si="38"/>
        <v>2532.238364101479</v>
      </c>
      <c r="E47" s="28">
        <f t="shared" si="38"/>
        <v>2589.3129331207992</v>
      </c>
      <c r="F47" s="28">
        <f t="shared" si="38"/>
        <v>2611.8460164781786</v>
      </c>
      <c r="G47" s="28">
        <f t="shared" si="38"/>
        <v>2527.9728540185179</v>
      </c>
      <c r="H47" s="28">
        <f t="shared" si="38"/>
        <v>2529.1021251006364</v>
      </c>
      <c r="I47" s="28">
        <f t="shared" si="38"/>
        <v>2586.2591429731719</v>
      </c>
      <c r="J47" s="28">
        <f t="shared" si="38"/>
        <v>2559.0673659650338</v>
      </c>
      <c r="K47" s="28">
        <f t="shared" si="38"/>
        <v>2510.9790210723868</v>
      </c>
      <c r="L47" s="28">
        <f t="shared" si="38"/>
        <v>2416.5623687476823</v>
      </c>
      <c r="M47" s="28">
        <f t="shared" si="38"/>
        <v>2195.4774082472513</v>
      </c>
      <c r="N47" s="28">
        <f t="shared" si="38"/>
        <v>1918.5733992595128</v>
      </c>
      <c r="O47" s="28">
        <f t="shared" si="38"/>
        <v>1831.1696552379781</v>
      </c>
      <c r="P47" s="28">
        <f t="shared" si="38"/>
        <v>1784.1499748605399</v>
      </c>
      <c r="Q47" s="28">
        <f t="shared" si="38"/>
        <v>1821.0225351993295</v>
      </c>
      <c r="R47" s="28">
        <f t="shared" ref="R47:V47" si="39">R48+R51+R52+R56</f>
        <v>1844.0372103804725</v>
      </c>
      <c r="S47" s="28">
        <f t="shared" si="39"/>
        <v>1844.1958477143778</v>
      </c>
      <c r="T47" s="28">
        <f t="shared" si="39"/>
        <v>1848.8780707045603</v>
      </c>
      <c r="U47" s="28">
        <f t="shared" si="39"/>
        <v>1862.1430126452838</v>
      </c>
      <c r="V47" s="28">
        <f t="shared" si="39"/>
        <v>1574.9465552073686</v>
      </c>
      <c r="W47" s="28">
        <f t="shared" ref="W47:Y47" si="40">W48+W51+W52+W56</f>
        <v>1729.1947962054687</v>
      </c>
      <c r="X47" s="28">
        <f t="shared" si="40"/>
        <v>1866.3345434737194</v>
      </c>
      <c r="Y47" s="28">
        <f t="shared" si="40"/>
        <v>1954.174547288975</v>
      </c>
      <c r="DA47" s="173"/>
    </row>
    <row r="48" spans="1:105" ht="11.45" customHeight="1" x14ac:dyDescent="0.25">
      <c r="A48" s="136" t="str">
        <f>$A$18</f>
        <v>Road transport</v>
      </c>
      <c r="B48" s="137">
        <f t="shared" ref="B48:Q48" si="41">B49+B50</f>
        <v>2379.3154153422529</v>
      </c>
      <c r="C48" s="137">
        <f t="shared" si="41"/>
        <v>2439.3187189804426</v>
      </c>
      <c r="D48" s="137">
        <f t="shared" si="41"/>
        <v>2409.7647165341059</v>
      </c>
      <c r="E48" s="137">
        <f t="shared" si="41"/>
        <v>2494.7721876638439</v>
      </c>
      <c r="F48" s="137">
        <f t="shared" si="41"/>
        <v>2554.735120308419</v>
      </c>
      <c r="G48" s="137">
        <f t="shared" si="41"/>
        <v>2477.9788788119313</v>
      </c>
      <c r="H48" s="137">
        <f t="shared" si="41"/>
        <v>2471.5844898779565</v>
      </c>
      <c r="I48" s="137">
        <f t="shared" si="41"/>
        <v>2420.5709293177661</v>
      </c>
      <c r="J48" s="137">
        <f t="shared" si="41"/>
        <v>2378.0387450698408</v>
      </c>
      <c r="K48" s="137">
        <f t="shared" si="41"/>
        <v>2275.9154764679429</v>
      </c>
      <c r="L48" s="137">
        <f t="shared" si="41"/>
        <v>2253.2000931340058</v>
      </c>
      <c r="M48" s="137">
        <f t="shared" si="41"/>
        <v>2044.2839084682926</v>
      </c>
      <c r="N48" s="137">
        <f t="shared" si="41"/>
        <v>1767.3302885587541</v>
      </c>
      <c r="O48" s="137">
        <f t="shared" si="41"/>
        <v>1679.4930314327348</v>
      </c>
      <c r="P48" s="137">
        <f t="shared" si="41"/>
        <v>1670.6789848648259</v>
      </c>
      <c r="Q48" s="137">
        <f t="shared" si="41"/>
        <v>1695.3886722851234</v>
      </c>
      <c r="R48" s="137">
        <f t="shared" ref="R48:V48" si="42">R49+R50</f>
        <v>1708.9381321761421</v>
      </c>
      <c r="S48" s="137">
        <f t="shared" si="42"/>
        <v>1717.1246437286186</v>
      </c>
      <c r="T48" s="137">
        <f t="shared" si="42"/>
        <v>1718.4565423789807</v>
      </c>
      <c r="U48" s="137">
        <f t="shared" si="42"/>
        <v>1749.8071403158301</v>
      </c>
      <c r="V48" s="137">
        <f t="shared" si="42"/>
        <v>1488.1827522072376</v>
      </c>
      <c r="W48" s="137">
        <f t="shared" ref="W48:Y48" si="43">W49+W50</f>
        <v>1627.5298955757996</v>
      </c>
      <c r="X48" s="137">
        <f t="shared" si="43"/>
        <v>1754.6542581852423</v>
      </c>
      <c r="Y48" s="137">
        <f t="shared" si="43"/>
        <v>1855.4296880284462</v>
      </c>
      <c r="DA48" s="174" t="s">
        <v>399</v>
      </c>
    </row>
    <row r="49" spans="1:105" ht="11.45" customHeight="1" x14ac:dyDescent="0.25">
      <c r="A49" s="128" t="str">
        <f>$A$19</f>
        <v>Light commercial vehicles</v>
      </c>
      <c r="B49" s="102">
        <f>TrRoad_ene!B$43</f>
        <v>1776.8881114194107</v>
      </c>
      <c r="C49" s="102">
        <f>TrRoad_ene!C$43</f>
        <v>1716.8418589063488</v>
      </c>
      <c r="D49" s="102">
        <f>TrRoad_ene!D$43</f>
        <v>1713.2581883572932</v>
      </c>
      <c r="E49" s="102">
        <f>TrRoad_ene!E$43</f>
        <v>1677.9092843472972</v>
      </c>
      <c r="F49" s="102">
        <f>TrRoad_ene!F$43</f>
        <v>1565.1777247411112</v>
      </c>
      <c r="G49" s="102">
        <f>TrRoad_ene!G$43</f>
        <v>1459.2028068519774</v>
      </c>
      <c r="H49" s="102">
        <f>TrRoad_ene!H$43</f>
        <v>1435.759927544663</v>
      </c>
      <c r="I49" s="102">
        <f>TrRoad_ene!I$43</f>
        <v>1344.0461636464117</v>
      </c>
      <c r="J49" s="102">
        <f>TrRoad_ene!J$43</f>
        <v>1324.8055147323314</v>
      </c>
      <c r="K49" s="102">
        <f>TrRoad_ene!K$43</f>
        <v>1317.9591122942006</v>
      </c>
      <c r="L49" s="102">
        <f>TrRoad_ene!L$43</f>
        <v>1273.3640823452938</v>
      </c>
      <c r="M49" s="102">
        <f>TrRoad_ene!M$43</f>
        <v>1109.0952522522339</v>
      </c>
      <c r="N49" s="102">
        <f>TrRoad_ene!N$43</f>
        <v>935.96161675446706</v>
      </c>
      <c r="O49" s="102">
        <f>TrRoad_ene!O$43</f>
        <v>889.54987196105492</v>
      </c>
      <c r="P49" s="102">
        <f>TrRoad_ene!P$43</f>
        <v>937.33348507281607</v>
      </c>
      <c r="Q49" s="102">
        <f>TrRoad_ene!Q$43</f>
        <v>925.706781127824</v>
      </c>
      <c r="R49" s="102">
        <f>TrRoad_ene!R$43</f>
        <v>951.31874548699341</v>
      </c>
      <c r="S49" s="102">
        <f>TrRoad_ene!S$43</f>
        <v>975.73420499580391</v>
      </c>
      <c r="T49" s="102">
        <f>TrRoad_ene!T$43</f>
        <v>988.21183806518388</v>
      </c>
      <c r="U49" s="102">
        <f>TrRoad_ene!U$43</f>
        <v>1001.3833762701329</v>
      </c>
      <c r="V49" s="102">
        <f>TrRoad_ene!V$43</f>
        <v>845.81940950456817</v>
      </c>
      <c r="W49" s="102">
        <f>TrRoad_ene!W$43</f>
        <v>938.99465152460016</v>
      </c>
      <c r="X49" s="102">
        <f>TrRoad_ene!X$43</f>
        <v>1058.9777367947752</v>
      </c>
      <c r="Y49" s="102">
        <f>TrRoad_ene!Y$43</f>
        <v>1168.3249680688011</v>
      </c>
      <c r="DA49" s="175" t="s">
        <v>400</v>
      </c>
    </row>
    <row r="50" spans="1:105" ht="11.45" customHeight="1" x14ac:dyDescent="0.25">
      <c r="A50" s="128" t="str">
        <f>$A$20</f>
        <v>Heavy goods vehicles</v>
      </c>
      <c r="B50" s="102">
        <f>TrRoad_ene!B$52</f>
        <v>602.42730392284204</v>
      </c>
      <c r="C50" s="102">
        <f>TrRoad_ene!C$52</f>
        <v>722.47686007409379</v>
      </c>
      <c r="D50" s="102">
        <f>TrRoad_ene!D$52</f>
        <v>696.50652817681271</v>
      </c>
      <c r="E50" s="102">
        <f>TrRoad_ene!E$52</f>
        <v>816.86290331654664</v>
      </c>
      <c r="F50" s="102">
        <f>TrRoad_ene!F$52</f>
        <v>989.55739556730805</v>
      </c>
      <c r="G50" s="102">
        <f>TrRoad_ene!G$52</f>
        <v>1018.7760719599537</v>
      </c>
      <c r="H50" s="102">
        <f>TrRoad_ene!H$52</f>
        <v>1035.8245623332934</v>
      </c>
      <c r="I50" s="102">
        <f>TrRoad_ene!I$52</f>
        <v>1076.5247656713543</v>
      </c>
      <c r="J50" s="102">
        <f>TrRoad_ene!J$52</f>
        <v>1053.2332303375097</v>
      </c>
      <c r="K50" s="102">
        <f>TrRoad_ene!K$52</f>
        <v>957.95636417374226</v>
      </c>
      <c r="L50" s="102">
        <f>TrRoad_ene!L$52</f>
        <v>979.83601078871197</v>
      </c>
      <c r="M50" s="102">
        <f>TrRoad_ene!M$52</f>
        <v>935.18865621605869</v>
      </c>
      <c r="N50" s="102">
        <f>TrRoad_ene!N$52</f>
        <v>831.36867180428692</v>
      </c>
      <c r="O50" s="102">
        <f>TrRoad_ene!O$52</f>
        <v>789.94315947167991</v>
      </c>
      <c r="P50" s="102">
        <f>TrRoad_ene!P$52</f>
        <v>733.34549979200983</v>
      </c>
      <c r="Q50" s="102">
        <f>TrRoad_ene!Q$52</f>
        <v>769.68189115729956</v>
      </c>
      <c r="R50" s="102">
        <f>TrRoad_ene!R$52</f>
        <v>757.61938668914877</v>
      </c>
      <c r="S50" s="102">
        <f>TrRoad_ene!S$52</f>
        <v>741.39043873281457</v>
      </c>
      <c r="T50" s="102">
        <f>TrRoad_ene!T$52</f>
        <v>730.24470431379677</v>
      </c>
      <c r="U50" s="102">
        <f>TrRoad_ene!U$52</f>
        <v>748.42376404569723</v>
      </c>
      <c r="V50" s="102">
        <f>TrRoad_ene!V$52</f>
        <v>642.36334270266934</v>
      </c>
      <c r="W50" s="102">
        <f>TrRoad_ene!W$52</f>
        <v>688.53524405119947</v>
      </c>
      <c r="X50" s="102">
        <f>TrRoad_ene!X$52</f>
        <v>695.6765213904672</v>
      </c>
      <c r="Y50" s="102">
        <f>TrRoad_ene!Y$52</f>
        <v>687.10471995964508</v>
      </c>
      <c r="DA50" s="175" t="s">
        <v>401</v>
      </c>
    </row>
    <row r="51" spans="1:105" ht="11.45" customHeight="1" x14ac:dyDescent="0.25">
      <c r="A51" s="109" t="str">
        <f>$A$21</f>
        <v>Rail transport</v>
      </c>
      <c r="B51" s="110">
        <f>TrRail_ene!B$17</f>
        <v>14.940272517898105</v>
      </c>
      <c r="C51" s="110">
        <f>TrRail_ene!C$17</f>
        <v>13.169429502226906</v>
      </c>
      <c r="D51" s="110">
        <f>TrRail_ene!D$17</f>
        <v>12.520868443983334</v>
      </c>
      <c r="E51" s="110">
        <f>TrRail_ene!E$17</f>
        <v>10.974965114520675</v>
      </c>
      <c r="F51" s="110">
        <f>TrRail_ene!F$17</f>
        <v>11.666316125819993</v>
      </c>
      <c r="G51" s="110">
        <f>TrRail_ene!G$17</f>
        <v>11.851265699080614</v>
      </c>
      <c r="H51" s="110">
        <f>TrRail_ene!H$17</f>
        <v>11.564164834982105</v>
      </c>
      <c r="I51" s="110">
        <f>TrRail_ene!I$17</f>
        <v>11.918300461746922</v>
      </c>
      <c r="J51" s="110">
        <f>TrRail_ene!J$17</f>
        <v>11.187021678711581</v>
      </c>
      <c r="K51" s="110">
        <f>TrRail_ene!K$17</f>
        <v>9.1370587375884824</v>
      </c>
      <c r="L51" s="110">
        <f>TrRail_ene!L$17</f>
        <v>9.1249723045930811</v>
      </c>
      <c r="M51" s="110">
        <f>TrRail_ene!M$17</f>
        <v>8.113925457392309</v>
      </c>
      <c r="N51" s="110">
        <f>TrRail_ene!N$17</f>
        <v>7.7934567989407677</v>
      </c>
      <c r="O51" s="110">
        <f>TrRail_ene!O$17</f>
        <v>6.5035577586821827</v>
      </c>
      <c r="P51" s="110">
        <f>TrRail_ene!P$17</f>
        <v>6.7875102150371438</v>
      </c>
      <c r="Q51" s="110">
        <f>TrRail_ene!Q$17</f>
        <v>7.2183682646237752</v>
      </c>
      <c r="R51" s="110">
        <f>TrRail_ene!R$17</f>
        <v>7.0236832008141841</v>
      </c>
      <c r="S51" s="110">
        <f>TrRail_ene!S$17</f>
        <v>7.7815511030206022</v>
      </c>
      <c r="T51" s="110">
        <f>TrRail_ene!T$17</f>
        <v>7.4913428635622061</v>
      </c>
      <c r="U51" s="110">
        <f>TrRail_ene!U$17</f>
        <v>7.157603986413279</v>
      </c>
      <c r="V51" s="110">
        <f>TrRail_ene!V$17</f>
        <v>7.8646933139320803</v>
      </c>
      <c r="W51" s="110">
        <f>TrRail_ene!W$17</f>
        <v>8.8591135035051902</v>
      </c>
      <c r="X51" s="110">
        <f>TrRail_ene!X$17</f>
        <v>7.0528840554545287</v>
      </c>
      <c r="Y51" s="110">
        <f>TrRail_ene!Y$17</f>
        <v>8.296072935362913</v>
      </c>
      <c r="DA51" s="176" t="s">
        <v>402</v>
      </c>
    </row>
    <row r="52" spans="1:105" ht="11.45" customHeight="1" x14ac:dyDescent="0.25">
      <c r="A52" s="109" t="str">
        <f>$A$22</f>
        <v>Aviation</v>
      </c>
      <c r="B52" s="110">
        <f t="shared" ref="B52:V52" si="44">B53+B54+B55</f>
        <v>20.273572175367427</v>
      </c>
      <c r="C52" s="110">
        <f t="shared" si="44"/>
        <v>18.740529406675794</v>
      </c>
      <c r="D52" s="110">
        <f t="shared" si="44"/>
        <v>18.855014720982023</v>
      </c>
      <c r="E52" s="110">
        <f t="shared" si="44"/>
        <v>17.400948012254194</v>
      </c>
      <c r="F52" s="110">
        <f t="shared" si="44"/>
        <v>19.571579184094507</v>
      </c>
      <c r="G52" s="110">
        <f t="shared" si="44"/>
        <v>20.549072362192057</v>
      </c>
      <c r="H52" s="110">
        <f t="shared" si="44"/>
        <v>25.412713723897447</v>
      </c>
      <c r="I52" s="110">
        <f t="shared" si="44"/>
        <v>27.802587312317204</v>
      </c>
      <c r="J52" s="110">
        <f t="shared" si="44"/>
        <v>32.051401452079162</v>
      </c>
      <c r="K52" s="110">
        <f t="shared" si="44"/>
        <v>28.233708566769302</v>
      </c>
      <c r="L52" s="110">
        <f t="shared" si="44"/>
        <v>31.661550944509198</v>
      </c>
      <c r="M52" s="110">
        <f t="shared" si="44"/>
        <v>26.140623332744113</v>
      </c>
      <c r="N52" s="110">
        <f t="shared" si="44"/>
        <v>25.555328880322008</v>
      </c>
      <c r="O52" s="110">
        <f t="shared" si="44"/>
        <v>23.385447817841985</v>
      </c>
      <c r="P52" s="110">
        <f t="shared" si="44"/>
        <v>20.388380898475479</v>
      </c>
      <c r="Q52" s="110">
        <f t="shared" si="44"/>
        <v>19.796062147432899</v>
      </c>
      <c r="R52" s="110">
        <f t="shared" si="44"/>
        <v>16.725523980300224</v>
      </c>
      <c r="S52" s="110">
        <f t="shared" si="44"/>
        <v>20.886299486350048</v>
      </c>
      <c r="T52" s="110">
        <f t="shared" si="44"/>
        <v>20.249961902258171</v>
      </c>
      <c r="U52" s="110">
        <f t="shared" si="44"/>
        <v>17.361931283711186</v>
      </c>
      <c r="V52" s="110">
        <f t="shared" si="44"/>
        <v>16.148292833232464</v>
      </c>
      <c r="W52" s="110">
        <f t="shared" ref="W52:Y52" si="45">W53+W54+W55</f>
        <v>19.338977151959483</v>
      </c>
      <c r="X52" s="110">
        <f t="shared" si="45"/>
        <v>23.349499255378582</v>
      </c>
      <c r="Y52" s="110">
        <f t="shared" si="45"/>
        <v>17.089800942534794</v>
      </c>
      <c r="DA52" s="176" t="s">
        <v>284</v>
      </c>
    </row>
    <row r="53" spans="1:105" ht="11.45" customHeight="1" x14ac:dyDescent="0.25">
      <c r="A53" s="128" t="s">
        <v>27</v>
      </c>
      <c r="B53" s="102">
        <f>TrAvia_ene!B$11</f>
        <v>5.628821871968726</v>
      </c>
      <c r="C53" s="102">
        <f>TrAvia_ene!C$11</f>
        <v>5.173795617477766</v>
      </c>
      <c r="D53" s="102">
        <f>TrAvia_ene!D$11</f>
        <v>5.1082476118653659</v>
      </c>
      <c r="E53" s="102">
        <f>TrAvia_ene!E$11</f>
        <v>4.7321796446352167</v>
      </c>
      <c r="F53" s="102">
        <f>TrAvia_ene!F$11</f>
        <v>4.859916364954052</v>
      </c>
      <c r="G53" s="102">
        <f>TrAvia_ene!G$11</f>
        <v>5.2595948639736516</v>
      </c>
      <c r="H53" s="102">
        <f>TrAvia_ene!H$11</f>
        <v>5.6213903147238087</v>
      </c>
      <c r="I53" s="102">
        <f>TrAvia_ene!I$11</f>
        <v>5.8586933681513242</v>
      </c>
      <c r="J53" s="102">
        <f>TrAvia_ene!J$11</f>
        <v>5.5429999232249054</v>
      </c>
      <c r="K53" s="102">
        <f>TrAvia_ene!K$11</f>
        <v>5.5315593928027162</v>
      </c>
      <c r="L53" s="102">
        <f>TrAvia_ene!L$11</f>
        <v>6.0435481287613504</v>
      </c>
      <c r="M53" s="102">
        <f>TrAvia_ene!M$11</f>
        <v>3.7146094796307421</v>
      </c>
      <c r="N53" s="102">
        <f>TrAvia_ene!N$11</f>
        <v>3.4680721134222203</v>
      </c>
      <c r="O53" s="102">
        <f>TrAvia_ene!O$11</f>
        <v>3.144927067557862</v>
      </c>
      <c r="P53" s="102">
        <f>TrAvia_ene!P$11</f>
        <v>2.4617068902418331</v>
      </c>
      <c r="Q53" s="102">
        <f>TrAvia_ene!Q$11</f>
        <v>2.2039802551581449</v>
      </c>
      <c r="R53" s="102">
        <f>TrAvia_ene!R$11</f>
        <v>1.4059536433770001</v>
      </c>
      <c r="S53" s="102">
        <f>TrAvia_ene!S$11</f>
        <v>1.9552518601554265</v>
      </c>
      <c r="T53" s="102">
        <f>TrAvia_ene!T$11</f>
        <v>1.9997937903711613</v>
      </c>
      <c r="U53" s="102">
        <f>TrAvia_ene!U$11</f>
        <v>1.9752256710600073</v>
      </c>
      <c r="V53" s="102">
        <f>TrAvia_ene!V$11</f>
        <v>1.8286527608602741</v>
      </c>
      <c r="W53" s="102">
        <f>TrAvia_ene!W$11</f>
        <v>2.0631233965925508</v>
      </c>
      <c r="X53" s="102">
        <f>TrAvia_ene!X$11</f>
        <v>2.0847736511467283</v>
      </c>
      <c r="Y53" s="102">
        <f>TrAvia_ene!Y$11</f>
        <v>2.3119234143534593</v>
      </c>
      <c r="DA53" s="175" t="s">
        <v>285</v>
      </c>
    </row>
    <row r="54" spans="1:105" ht="11.45" customHeight="1" x14ac:dyDescent="0.25">
      <c r="A54" s="128" t="str">
        <f>$A$24</f>
        <v>International - Intra-EEAwCHUK</v>
      </c>
      <c r="B54" s="102">
        <f>TrAvia_ene!B$12</f>
        <v>9.4071616696131048</v>
      </c>
      <c r="C54" s="102">
        <f>TrAvia_ene!C$12</f>
        <v>8.4944621135677991</v>
      </c>
      <c r="D54" s="102">
        <f>TrAvia_ene!D$12</f>
        <v>8.5748531372076524</v>
      </c>
      <c r="E54" s="102">
        <f>TrAvia_ene!E$12</f>
        <v>7.6613497349066773</v>
      </c>
      <c r="F54" s="102">
        <f>TrAvia_ene!F$12</f>
        <v>8.793508216297699</v>
      </c>
      <c r="G54" s="102">
        <f>TrAvia_ene!G$12</f>
        <v>8.5701344724936632</v>
      </c>
      <c r="H54" s="102">
        <f>TrAvia_ene!H$12</f>
        <v>10.585260966141446</v>
      </c>
      <c r="I54" s="102">
        <f>TrAvia_ene!I$12</f>
        <v>10.329163905723039</v>
      </c>
      <c r="J54" s="102">
        <f>TrAvia_ene!J$12</f>
        <v>10.138566186842972</v>
      </c>
      <c r="K54" s="102">
        <f>TrAvia_ene!K$12</f>
        <v>8.8999500681774126</v>
      </c>
      <c r="L54" s="102">
        <f>TrAvia_ene!L$12</f>
        <v>9.3608040964711972</v>
      </c>
      <c r="M54" s="102">
        <f>TrAvia_ene!M$12</f>
        <v>7.5854391799751228</v>
      </c>
      <c r="N54" s="102">
        <f>TrAvia_ene!N$12</f>
        <v>6.8197139534271951</v>
      </c>
      <c r="O54" s="102">
        <f>TrAvia_ene!O$12</f>
        <v>5.7736278594944119</v>
      </c>
      <c r="P54" s="102">
        <f>TrAvia_ene!P$12</f>
        <v>5.315964379739059</v>
      </c>
      <c r="Q54" s="102">
        <f>TrAvia_ene!Q$12</f>
        <v>5.6289894922743526</v>
      </c>
      <c r="R54" s="102">
        <f>TrAvia_ene!R$12</f>
        <v>5.3404696282389548</v>
      </c>
      <c r="S54" s="102">
        <f>TrAvia_ene!S$12</f>
        <v>6.1770437410853649</v>
      </c>
      <c r="T54" s="102">
        <f>TrAvia_ene!T$12</f>
        <v>6.4597110399093127</v>
      </c>
      <c r="U54" s="102">
        <f>TrAvia_ene!U$12</f>
        <v>6.5824863188299068</v>
      </c>
      <c r="V54" s="102">
        <f>TrAvia_ene!V$12</f>
        <v>5.1174841947833203</v>
      </c>
      <c r="W54" s="102">
        <f>TrAvia_ene!W$12</f>
        <v>6.3131843220553563</v>
      </c>
      <c r="X54" s="102">
        <f>TrAvia_ene!X$12</f>
        <v>7.846372927998849</v>
      </c>
      <c r="Y54" s="102">
        <f>TrAvia_ene!Y$12</f>
        <v>8.3015927595924435</v>
      </c>
      <c r="DA54" s="175" t="s">
        <v>286</v>
      </c>
    </row>
    <row r="55" spans="1:105" ht="11.45" customHeight="1" x14ac:dyDescent="0.25">
      <c r="A55" s="128" t="str">
        <f>$A$25</f>
        <v>International - Extra-EEAwCHUK</v>
      </c>
      <c r="B55" s="102">
        <f>TrAvia_ene!B$13</f>
        <v>5.2375886337855935</v>
      </c>
      <c r="C55" s="102">
        <f>TrAvia_ene!C$13</f>
        <v>5.0722716756302288</v>
      </c>
      <c r="D55" s="102">
        <f>TrAvia_ene!D$13</f>
        <v>5.1719139719090039</v>
      </c>
      <c r="E55" s="102">
        <f>TrAvia_ene!E$13</f>
        <v>5.0074186327123007</v>
      </c>
      <c r="F55" s="102">
        <f>TrAvia_ene!F$13</f>
        <v>5.9181546028427539</v>
      </c>
      <c r="G55" s="102">
        <f>TrAvia_ene!G$13</f>
        <v>6.7193430257247435</v>
      </c>
      <c r="H55" s="102">
        <f>TrAvia_ene!H$13</f>
        <v>9.2060624430321898</v>
      </c>
      <c r="I55" s="102">
        <f>TrAvia_ene!I$13</f>
        <v>11.61473003844284</v>
      </c>
      <c r="J55" s="102">
        <f>TrAvia_ene!J$13</f>
        <v>16.369835342011285</v>
      </c>
      <c r="K55" s="102">
        <f>TrAvia_ene!K$13</f>
        <v>13.802199105789175</v>
      </c>
      <c r="L55" s="102">
        <f>TrAvia_ene!L$13</f>
        <v>16.257198719276651</v>
      </c>
      <c r="M55" s="102">
        <f>TrAvia_ene!M$13</f>
        <v>14.840574673138248</v>
      </c>
      <c r="N55" s="102">
        <f>TrAvia_ene!N$13</f>
        <v>15.267542813472591</v>
      </c>
      <c r="O55" s="102">
        <f>TrAvia_ene!O$13</f>
        <v>14.466892890789712</v>
      </c>
      <c r="P55" s="102">
        <f>TrAvia_ene!P$13</f>
        <v>12.610709628494586</v>
      </c>
      <c r="Q55" s="102">
        <f>TrAvia_ene!Q$13</f>
        <v>11.963092400000402</v>
      </c>
      <c r="R55" s="102">
        <f>TrAvia_ene!R$13</f>
        <v>9.9791007086842676</v>
      </c>
      <c r="S55" s="102">
        <f>TrAvia_ene!S$13</f>
        <v>12.754003885109258</v>
      </c>
      <c r="T55" s="102">
        <f>TrAvia_ene!T$13</f>
        <v>11.790457071977695</v>
      </c>
      <c r="U55" s="102">
        <f>TrAvia_ene!U$13</f>
        <v>8.8042192938212729</v>
      </c>
      <c r="V55" s="102">
        <f>TrAvia_ene!V$13</f>
        <v>9.2021558775888703</v>
      </c>
      <c r="W55" s="102">
        <f>TrAvia_ene!W$13</f>
        <v>10.962669433311575</v>
      </c>
      <c r="X55" s="102">
        <f>TrAvia_ene!X$13</f>
        <v>13.418352676233006</v>
      </c>
      <c r="Y55" s="102">
        <f>TrAvia_ene!Y$13</f>
        <v>6.4762847685888909</v>
      </c>
      <c r="DA55" s="175" t="s">
        <v>287</v>
      </c>
    </row>
    <row r="56" spans="1:105" ht="11.45" customHeight="1" x14ac:dyDescent="0.25">
      <c r="A56" s="109" t="s">
        <v>141</v>
      </c>
      <c r="B56" s="110">
        <f t="shared" ref="B56:Q56" si="46">B57+B58</f>
        <v>44.501547721410141</v>
      </c>
      <c r="C56" s="110">
        <f t="shared" si="46"/>
        <v>50.711006018916592</v>
      </c>
      <c r="D56" s="110">
        <f t="shared" si="46"/>
        <v>91.097764402407563</v>
      </c>
      <c r="E56" s="110">
        <f t="shared" si="46"/>
        <v>66.164832330180559</v>
      </c>
      <c r="F56" s="110">
        <f t="shared" si="46"/>
        <v>25.873000859845231</v>
      </c>
      <c r="G56" s="110">
        <f t="shared" si="46"/>
        <v>17.593637145313838</v>
      </c>
      <c r="H56" s="110">
        <f t="shared" si="46"/>
        <v>20.540756663800519</v>
      </c>
      <c r="I56" s="110">
        <f t="shared" si="46"/>
        <v>125.96732588134134</v>
      </c>
      <c r="J56" s="110">
        <f t="shared" si="46"/>
        <v>137.79019776440239</v>
      </c>
      <c r="K56" s="110">
        <f t="shared" si="46"/>
        <v>197.69277730008602</v>
      </c>
      <c r="L56" s="110">
        <f t="shared" si="46"/>
        <v>122.57575236457436</v>
      </c>
      <c r="M56" s="110">
        <f t="shared" si="46"/>
        <v>116.938950988822</v>
      </c>
      <c r="N56" s="110">
        <f t="shared" si="46"/>
        <v>117.89432502149612</v>
      </c>
      <c r="O56" s="110">
        <f t="shared" si="46"/>
        <v>121.78761822871884</v>
      </c>
      <c r="P56" s="110">
        <f t="shared" si="46"/>
        <v>86.295098882201202</v>
      </c>
      <c r="Q56" s="110">
        <f t="shared" si="46"/>
        <v>98.619432502149607</v>
      </c>
      <c r="R56" s="110">
        <f t="shared" ref="R56:V56" si="47">R57+R58</f>
        <v>111.3498710232158</v>
      </c>
      <c r="S56" s="110">
        <f t="shared" si="47"/>
        <v>98.403353396388638</v>
      </c>
      <c r="T56" s="110">
        <f t="shared" si="47"/>
        <v>102.68022355975924</v>
      </c>
      <c r="U56" s="110">
        <f t="shared" si="47"/>
        <v>87.816337059329328</v>
      </c>
      <c r="V56" s="110">
        <f t="shared" si="47"/>
        <v>62.750816852966452</v>
      </c>
      <c r="W56" s="110">
        <f t="shared" ref="W56:Y56" si="48">W57+W58</f>
        <v>73.466809974204651</v>
      </c>
      <c r="X56" s="110">
        <f t="shared" si="48"/>
        <v>81.277901977644021</v>
      </c>
      <c r="Y56" s="110">
        <f t="shared" si="48"/>
        <v>73.358985382631118</v>
      </c>
      <c r="DA56" s="176" t="s">
        <v>993</v>
      </c>
    </row>
    <row r="57" spans="1:105" ht="11.45" customHeight="1" x14ac:dyDescent="0.25">
      <c r="A57" s="128" t="str">
        <f>$A$27</f>
        <v>Domestic coastal shipping</v>
      </c>
      <c r="B57" s="102">
        <f>TrNavi_ene!B4</f>
        <v>44.501547721410141</v>
      </c>
      <c r="C57" s="102">
        <f>TrNavi_ene!C4</f>
        <v>50.711006018916592</v>
      </c>
      <c r="D57" s="102">
        <f>TrNavi_ene!D4</f>
        <v>91.097764402407563</v>
      </c>
      <c r="E57" s="102">
        <f>TrNavi_ene!E4</f>
        <v>66.164832330180559</v>
      </c>
      <c r="F57" s="102">
        <f>TrNavi_ene!F4</f>
        <v>25.873000859845231</v>
      </c>
      <c r="G57" s="102">
        <f>TrNavi_ene!G4</f>
        <v>17.593637145313838</v>
      </c>
      <c r="H57" s="102">
        <f>TrNavi_ene!H4</f>
        <v>20.540756663800519</v>
      </c>
      <c r="I57" s="102">
        <f>TrNavi_ene!I4</f>
        <v>125.96732588134134</v>
      </c>
      <c r="J57" s="102">
        <f>TrNavi_ene!J4</f>
        <v>137.79019776440239</v>
      </c>
      <c r="K57" s="102">
        <f>TrNavi_ene!K4</f>
        <v>197.69277730008602</v>
      </c>
      <c r="L57" s="102">
        <f>TrNavi_ene!L4</f>
        <v>122.57575236457436</v>
      </c>
      <c r="M57" s="102">
        <f>TrNavi_ene!M4</f>
        <v>116.938950988822</v>
      </c>
      <c r="N57" s="102">
        <f>TrNavi_ene!N4</f>
        <v>117.89432502149612</v>
      </c>
      <c r="O57" s="102">
        <f>TrNavi_ene!O4</f>
        <v>121.78761822871884</v>
      </c>
      <c r="P57" s="102">
        <f>TrNavi_ene!P4</f>
        <v>86.295098882201202</v>
      </c>
      <c r="Q57" s="102">
        <f>TrNavi_ene!Q4</f>
        <v>98.619432502149607</v>
      </c>
      <c r="R57" s="102">
        <f>TrNavi_ene!R4</f>
        <v>111.3498710232158</v>
      </c>
      <c r="S57" s="102">
        <f>TrNavi_ene!S4</f>
        <v>98.403353396388638</v>
      </c>
      <c r="T57" s="102">
        <f>TrNavi_ene!T4</f>
        <v>102.68022355975924</v>
      </c>
      <c r="U57" s="102">
        <f>TrNavi_ene!U4</f>
        <v>87.816337059329328</v>
      </c>
      <c r="V57" s="102">
        <f>TrNavi_ene!V4</f>
        <v>62.750816852966452</v>
      </c>
      <c r="W57" s="102">
        <f>TrNavi_ene!W4</f>
        <v>73.466809974204651</v>
      </c>
      <c r="X57" s="102">
        <f>TrNavi_ene!X4</f>
        <v>81.277901977644021</v>
      </c>
      <c r="Y57" s="102">
        <f>TrNavi_ene!Y4</f>
        <v>73.358985382631118</v>
      </c>
      <c r="DA57" s="175" t="s">
        <v>994</v>
      </c>
    </row>
    <row r="58" spans="1:105" ht="11.45" customHeight="1" x14ac:dyDescent="0.25">
      <c r="A58" s="166" t="str">
        <f>$A$28</f>
        <v>Inland waterways</v>
      </c>
      <c r="B58" s="169">
        <f>TrNavi_ene!B10</f>
        <v>0</v>
      </c>
      <c r="C58" s="169">
        <f>TrNavi_ene!C10</f>
        <v>0</v>
      </c>
      <c r="D58" s="169">
        <f>TrNavi_ene!D10</f>
        <v>0</v>
      </c>
      <c r="E58" s="169">
        <f>TrNavi_ene!E10</f>
        <v>0</v>
      </c>
      <c r="F58" s="169">
        <f>TrNavi_ene!F10</f>
        <v>0</v>
      </c>
      <c r="G58" s="169">
        <f>TrNavi_ene!G10</f>
        <v>0</v>
      </c>
      <c r="H58" s="169">
        <f>TrNavi_ene!H10</f>
        <v>0</v>
      </c>
      <c r="I58" s="169">
        <f>TrNavi_ene!I10</f>
        <v>0</v>
      </c>
      <c r="J58" s="169">
        <f>TrNavi_ene!J10</f>
        <v>0</v>
      </c>
      <c r="K58" s="169">
        <f>TrNavi_ene!K10</f>
        <v>0</v>
      </c>
      <c r="L58" s="169">
        <f>TrNavi_ene!L10</f>
        <v>0</v>
      </c>
      <c r="M58" s="169">
        <f>TrNavi_ene!M10</f>
        <v>0</v>
      </c>
      <c r="N58" s="169">
        <f>TrNavi_ene!N10</f>
        <v>0</v>
      </c>
      <c r="O58" s="169">
        <f>TrNavi_ene!O10</f>
        <v>0</v>
      </c>
      <c r="P58" s="169">
        <f>TrNavi_ene!P10</f>
        <v>0</v>
      </c>
      <c r="Q58" s="169">
        <f>TrNavi_ene!Q10</f>
        <v>0</v>
      </c>
      <c r="R58" s="169">
        <f>TrNavi_ene!R10</f>
        <v>0</v>
      </c>
      <c r="S58" s="169">
        <f>TrNavi_ene!S10</f>
        <v>0</v>
      </c>
      <c r="T58" s="169">
        <f>TrNavi_ene!T10</f>
        <v>0</v>
      </c>
      <c r="U58" s="169">
        <f>TrNavi_ene!U10</f>
        <v>0</v>
      </c>
      <c r="V58" s="169">
        <f>TrNavi_ene!V10</f>
        <v>0</v>
      </c>
      <c r="W58" s="169">
        <f>TrNavi_ene!W10</f>
        <v>0</v>
      </c>
      <c r="X58" s="169">
        <f>TrNavi_ene!X10</f>
        <v>0</v>
      </c>
      <c r="Y58" s="169">
        <f>TrNavi_ene!Y10</f>
        <v>0</v>
      </c>
      <c r="DA58" s="177" t="s">
        <v>995</v>
      </c>
    </row>
    <row r="59" spans="1:105" ht="11.45" customHeight="1" x14ac:dyDescent="0.25">
      <c r="A59" s="27" t="s">
        <v>169</v>
      </c>
      <c r="B59" s="28">
        <f>B60+B61</f>
        <v>666.64402407566638</v>
      </c>
      <c r="C59" s="28">
        <f t="shared" ref="C59:W59" si="49">C60+C61</f>
        <v>476.77196904557172</v>
      </c>
      <c r="D59" s="28">
        <f t="shared" si="49"/>
        <v>483.63688736027507</v>
      </c>
      <c r="E59" s="28">
        <f t="shared" si="49"/>
        <v>580.7053310404126</v>
      </c>
      <c r="F59" s="28">
        <f t="shared" si="49"/>
        <v>655.94196044711941</v>
      </c>
      <c r="G59" s="28">
        <f t="shared" si="49"/>
        <v>577.51332760103196</v>
      </c>
      <c r="H59" s="28">
        <f t="shared" si="49"/>
        <v>632.04978503869302</v>
      </c>
      <c r="I59" s="28">
        <f t="shared" si="49"/>
        <v>493.69441100601887</v>
      </c>
      <c r="J59" s="28">
        <f t="shared" si="49"/>
        <v>526.5357695614789</v>
      </c>
      <c r="K59" s="28">
        <f t="shared" si="49"/>
        <v>474.06139294926913</v>
      </c>
      <c r="L59" s="28">
        <f t="shared" si="49"/>
        <v>458.39303525365426</v>
      </c>
      <c r="M59" s="28">
        <f t="shared" si="49"/>
        <v>558.92338779019769</v>
      </c>
      <c r="N59" s="28">
        <f t="shared" si="49"/>
        <v>603.49191745485814</v>
      </c>
      <c r="O59" s="28">
        <f t="shared" si="49"/>
        <v>643.42699914015475</v>
      </c>
      <c r="P59" s="28">
        <f t="shared" si="49"/>
        <v>605.09217540842656</v>
      </c>
      <c r="Q59" s="28">
        <f t="shared" si="49"/>
        <v>641.27730008598451</v>
      </c>
      <c r="R59" s="28">
        <f t="shared" si="49"/>
        <v>762.94539982803099</v>
      </c>
      <c r="S59" s="28">
        <f t="shared" si="49"/>
        <v>776.82424763542554</v>
      </c>
      <c r="T59" s="28">
        <f t="shared" si="49"/>
        <v>808.40825451418755</v>
      </c>
      <c r="U59" s="28">
        <f t="shared" si="49"/>
        <v>952.30128976784192</v>
      </c>
      <c r="V59" s="28">
        <f t="shared" si="49"/>
        <v>686.58968185726565</v>
      </c>
      <c r="W59" s="28">
        <f t="shared" si="49"/>
        <v>659.35984522785907</v>
      </c>
      <c r="X59" s="28">
        <f t="shared" ref="X59:Y59" si="50">X60+X61</f>
        <v>701.60214961306951</v>
      </c>
      <c r="Y59" s="28">
        <f t="shared" si="50"/>
        <v>586.74686156491828</v>
      </c>
      <c r="DA59" s="173" t="s">
        <v>956</v>
      </c>
    </row>
    <row r="60" spans="1:105" ht="11.45" customHeight="1" x14ac:dyDescent="0.25">
      <c r="A60" s="128" t="str">
        <f>$A$30</f>
        <v>Intra-EEA</v>
      </c>
      <c r="B60" s="102">
        <f>MBunk_ene!B$4</f>
        <v>272.91122343780069</v>
      </c>
      <c r="C60" s="102">
        <f>MBunk_ene!C$4</f>
        <v>194.99107124908704</v>
      </c>
      <c r="D60" s="102">
        <f>MBunk_ene!D$4</f>
        <v>193.19514453191124</v>
      </c>
      <c r="E60" s="102">
        <f>MBunk_ene!E$4</f>
        <v>220.35538036760857</v>
      </c>
      <c r="F60" s="102">
        <f>MBunk_ene!F$4</f>
        <v>263.54617361488818</v>
      </c>
      <c r="G60" s="102">
        <f>MBunk_ene!G$4</f>
        <v>234.9447799964322</v>
      </c>
      <c r="H60" s="102">
        <f>MBunk_ene!H$4</f>
        <v>245.55874790745901</v>
      </c>
      <c r="I60" s="102">
        <f>MBunk_ene!I$4</f>
        <v>186.21111952749848</v>
      </c>
      <c r="J60" s="102">
        <f>MBunk_ene!J$4</f>
        <v>196.23174733376902</v>
      </c>
      <c r="K60" s="102">
        <f>MBunk_ene!K$4</f>
        <v>187.41884775099683</v>
      </c>
      <c r="L60" s="102">
        <f>MBunk_ene!L$4</f>
        <v>178.11962023273088</v>
      </c>
      <c r="M60" s="102">
        <f>MBunk_ene!M$4</f>
        <v>209.42550264579071</v>
      </c>
      <c r="N60" s="102">
        <f>MBunk_ene!N$4</f>
        <v>224.24849865255231</v>
      </c>
      <c r="O60" s="102">
        <f>MBunk_ene!O$4</f>
        <v>237.39850196826049</v>
      </c>
      <c r="P60" s="102">
        <f>MBunk_ene!P$4</f>
        <v>226.8140635846506</v>
      </c>
      <c r="Q60" s="102">
        <f>MBunk_ene!Q$4</f>
        <v>233.57014902846223</v>
      </c>
      <c r="R60" s="102">
        <f>MBunk_ene!R$4</f>
        <v>276.11875430206129</v>
      </c>
      <c r="S60" s="102">
        <f>MBunk_ene!S$4</f>
        <v>283.43978998790419</v>
      </c>
      <c r="T60" s="102">
        <f>MBunk_ene!T$4</f>
        <v>310.70818071947269</v>
      </c>
      <c r="U60" s="102">
        <f>MBunk_ene!U$4</f>
        <v>397.10141799778387</v>
      </c>
      <c r="V60" s="102">
        <f>MBunk_ene!V$4</f>
        <v>254.67526644566266</v>
      </c>
      <c r="W60" s="102">
        <f>MBunk_ene!W$4</f>
        <v>245.49375116623753</v>
      </c>
      <c r="X60" s="102">
        <f>MBunk_ene!X$4</f>
        <v>281.81857746005909</v>
      </c>
      <c r="Y60" s="102">
        <f>MBunk_ene!Y$4</f>
        <v>232.64931768414954</v>
      </c>
      <c r="DA60" s="175" t="s">
        <v>957</v>
      </c>
    </row>
    <row r="61" spans="1:105" ht="11.45" customHeight="1" x14ac:dyDescent="0.25">
      <c r="A61" s="138" t="str">
        <f>$A$31</f>
        <v>Extra-EEA</v>
      </c>
      <c r="B61" s="86">
        <f>MBunk_ene!B$10</f>
        <v>393.73280063786569</v>
      </c>
      <c r="C61" s="86">
        <f>MBunk_ene!C$10</f>
        <v>281.78089779648468</v>
      </c>
      <c r="D61" s="86">
        <f>MBunk_ene!D$10</f>
        <v>290.44174282836383</v>
      </c>
      <c r="E61" s="86">
        <f>MBunk_ene!E$10</f>
        <v>360.34995067280397</v>
      </c>
      <c r="F61" s="86">
        <f>MBunk_ene!F$10</f>
        <v>392.39578683223124</v>
      </c>
      <c r="G61" s="86">
        <f>MBunk_ene!G$10</f>
        <v>342.56854760459976</v>
      </c>
      <c r="H61" s="86">
        <f>MBunk_ene!H$10</f>
        <v>386.49103713123395</v>
      </c>
      <c r="I61" s="86">
        <f>MBunk_ene!I$10</f>
        <v>307.48329147852041</v>
      </c>
      <c r="J61" s="86">
        <f>MBunk_ene!J$10</f>
        <v>330.30402222770988</v>
      </c>
      <c r="K61" s="86">
        <f>MBunk_ene!K$10</f>
        <v>286.64254519827227</v>
      </c>
      <c r="L61" s="86">
        <f>MBunk_ene!L$10</f>
        <v>280.27341502092338</v>
      </c>
      <c r="M61" s="86">
        <f>MBunk_ene!M$10</f>
        <v>349.49788514440695</v>
      </c>
      <c r="N61" s="86">
        <f>MBunk_ene!N$10</f>
        <v>379.24341880230577</v>
      </c>
      <c r="O61" s="86">
        <f>MBunk_ene!O$10</f>
        <v>406.02849717189423</v>
      </c>
      <c r="P61" s="86">
        <f>MBunk_ene!P$10</f>
        <v>378.27811182377593</v>
      </c>
      <c r="Q61" s="86">
        <f>MBunk_ene!Q$10</f>
        <v>407.70715105752225</v>
      </c>
      <c r="R61" s="86">
        <f>MBunk_ene!R$10</f>
        <v>486.8266455259697</v>
      </c>
      <c r="S61" s="86">
        <f>MBunk_ene!S$10</f>
        <v>493.38445764752134</v>
      </c>
      <c r="T61" s="86">
        <f>MBunk_ene!T$10</f>
        <v>497.7000737947148</v>
      </c>
      <c r="U61" s="86">
        <f>MBunk_ene!U$10</f>
        <v>555.19987177005805</v>
      </c>
      <c r="V61" s="86">
        <f>MBunk_ene!V$10</f>
        <v>431.91441541160299</v>
      </c>
      <c r="W61" s="86">
        <f>MBunk_ene!W$10</f>
        <v>413.8660940616216</v>
      </c>
      <c r="X61" s="86">
        <f>MBunk_ene!X$10</f>
        <v>419.78357215301048</v>
      </c>
      <c r="Y61" s="86">
        <f>MBunk_ene!Y$10</f>
        <v>354.09754388076874</v>
      </c>
      <c r="DA61" s="178" t="s">
        <v>958</v>
      </c>
    </row>
    <row r="62" spans="1:105" ht="11.45" customHeight="1" x14ac:dyDescent="0.25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DA62" s="171"/>
    </row>
    <row r="63" spans="1:105" ht="11.45" customHeight="1" x14ac:dyDescent="0.25">
      <c r="A63" s="53" t="s">
        <v>35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DA63" s="172"/>
    </row>
    <row r="64" spans="1:105" ht="11.45" customHeight="1" x14ac:dyDescent="0.25">
      <c r="A64" s="27" t="s">
        <v>33</v>
      </c>
      <c r="B64" s="28">
        <f t="shared" ref="B64:Q64" si="51">B65+B69+B73</f>
        <v>12342.427007892027</v>
      </c>
      <c r="C64" s="28">
        <f t="shared" si="51"/>
        <v>12318.896729265536</v>
      </c>
      <c r="D64" s="28">
        <f t="shared" si="51"/>
        <v>12877.620630251931</v>
      </c>
      <c r="E64" s="28">
        <f t="shared" si="51"/>
        <v>13805.7386009685</v>
      </c>
      <c r="F64" s="28">
        <f t="shared" si="51"/>
        <v>14363.53010028566</v>
      </c>
      <c r="G64" s="28">
        <f t="shared" si="51"/>
        <v>13865.798369098937</v>
      </c>
      <c r="H64" s="28">
        <f t="shared" si="51"/>
        <v>13959.915360491008</v>
      </c>
      <c r="I64" s="28">
        <f t="shared" si="51"/>
        <v>14038.644650646722</v>
      </c>
      <c r="J64" s="28">
        <f t="shared" si="51"/>
        <v>14275.240136687908</v>
      </c>
      <c r="K64" s="28">
        <f t="shared" si="51"/>
        <v>14091.319441805197</v>
      </c>
      <c r="L64" s="28">
        <f t="shared" si="51"/>
        <v>14276.224493281661</v>
      </c>
      <c r="M64" s="28">
        <f t="shared" si="51"/>
        <v>13697.604731103493</v>
      </c>
      <c r="N64" s="28">
        <f t="shared" si="51"/>
        <v>13151.488614800492</v>
      </c>
      <c r="O64" s="28">
        <f t="shared" si="51"/>
        <v>13190.938622152691</v>
      </c>
      <c r="P64" s="28">
        <f t="shared" si="51"/>
        <v>13518.920444091576</v>
      </c>
      <c r="Q64" s="28">
        <f t="shared" si="51"/>
        <v>13787.398364089431</v>
      </c>
      <c r="R64" s="28">
        <f t="shared" ref="R64:V64" si="52">R65+R69+R73</f>
        <v>14519.617110266303</v>
      </c>
      <c r="S64" s="28">
        <f t="shared" si="52"/>
        <v>15261.51879128576</v>
      </c>
      <c r="T64" s="28">
        <f t="shared" si="52"/>
        <v>15637.708594451897</v>
      </c>
      <c r="U64" s="28">
        <f t="shared" si="52"/>
        <v>16262.467043232185</v>
      </c>
      <c r="V64" s="28">
        <f t="shared" si="52"/>
        <v>11421.04898248702</v>
      </c>
      <c r="W64" s="28">
        <f t="shared" ref="W64:Y64" si="53">W65+W69+W73</f>
        <v>12590.37145510849</v>
      </c>
      <c r="X64" s="28">
        <f t="shared" si="53"/>
        <v>15320.771374507898</v>
      </c>
      <c r="Y64" s="28">
        <f t="shared" si="53"/>
        <v>16797.411544786584</v>
      </c>
      <c r="DA64" s="173"/>
    </row>
    <row r="65" spans="1:105" ht="11.45" customHeight="1" x14ac:dyDescent="0.25">
      <c r="A65" s="136" t="str">
        <f>$A$5</f>
        <v>Road transport</v>
      </c>
      <c r="B65" s="137">
        <f t="shared" ref="B65:Q65" si="54">B66+B67+B68</f>
        <v>9888.8149371402233</v>
      </c>
      <c r="C65" s="137">
        <f t="shared" si="54"/>
        <v>9964.4147049984349</v>
      </c>
      <c r="D65" s="137">
        <f t="shared" si="54"/>
        <v>10577.62563537821</v>
      </c>
      <c r="E65" s="137">
        <f t="shared" si="54"/>
        <v>11394.659598862016</v>
      </c>
      <c r="F65" s="137">
        <f t="shared" si="54"/>
        <v>11766.215908231687</v>
      </c>
      <c r="G65" s="137">
        <f t="shared" si="54"/>
        <v>11182.149167744547</v>
      </c>
      <c r="H65" s="137">
        <f t="shared" si="54"/>
        <v>11168.247441285514</v>
      </c>
      <c r="I65" s="137">
        <f t="shared" si="54"/>
        <v>11124.348575139355</v>
      </c>
      <c r="J65" s="137">
        <f t="shared" si="54"/>
        <v>11312.182762433113</v>
      </c>
      <c r="K65" s="137">
        <f t="shared" si="54"/>
        <v>11316.55719556383</v>
      </c>
      <c r="L65" s="137">
        <f t="shared" si="54"/>
        <v>11276.821954427158</v>
      </c>
      <c r="M65" s="137">
        <f t="shared" si="54"/>
        <v>10622.654048906992</v>
      </c>
      <c r="N65" s="137">
        <f t="shared" si="54"/>
        <v>10058.007789102821</v>
      </c>
      <c r="O65" s="137">
        <f t="shared" si="54"/>
        <v>10057.281930522346</v>
      </c>
      <c r="P65" s="137">
        <f t="shared" si="54"/>
        <v>10289.931303428277</v>
      </c>
      <c r="Q65" s="137">
        <f t="shared" si="54"/>
        <v>10297.703184188123</v>
      </c>
      <c r="R65" s="137">
        <f t="shared" ref="R65:V65" si="55">R66+R67+R68</f>
        <v>10668.58791388341</v>
      </c>
      <c r="S65" s="137">
        <f t="shared" si="55"/>
        <v>10942.744672287268</v>
      </c>
      <c r="T65" s="137">
        <f t="shared" si="55"/>
        <v>11033.486396208982</v>
      </c>
      <c r="U65" s="137">
        <f t="shared" si="55"/>
        <v>11404.096429666386</v>
      </c>
      <c r="V65" s="137">
        <f t="shared" si="55"/>
        <v>9617.8195485023862</v>
      </c>
      <c r="W65" s="137">
        <f t="shared" ref="W65:Y65" si="56">W66+W67+W68</f>
        <v>10287.569628939886</v>
      </c>
      <c r="X65" s="137">
        <f t="shared" si="56"/>
        <v>10771.213682105939</v>
      </c>
      <c r="Y65" s="137">
        <f t="shared" si="56"/>
        <v>11518.556677296972</v>
      </c>
      <c r="DA65" s="174" t="s">
        <v>403</v>
      </c>
    </row>
    <row r="66" spans="1:105" ht="11.45" customHeight="1" x14ac:dyDescent="0.25">
      <c r="A66" s="128" t="str">
        <f>$A$6</f>
        <v>Powered two-wheelers</v>
      </c>
      <c r="B66" s="102">
        <f>TrRoad_emi!B$19</f>
        <v>161.1966689697548</v>
      </c>
      <c r="C66" s="102">
        <f>TrRoad_emi!C$19</f>
        <v>163.88778964682999</v>
      </c>
      <c r="D66" s="102">
        <f>TrRoad_emi!D$19</f>
        <v>174.89563050265645</v>
      </c>
      <c r="E66" s="102">
        <f>TrRoad_emi!E$19</f>
        <v>183.32957824080748</v>
      </c>
      <c r="F66" s="102">
        <f>TrRoad_emi!F$19</f>
        <v>194.93131571792952</v>
      </c>
      <c r="G66" s="102">
        <f>TrRoad_emi!G$19</f>
        <v>203.38020598553456</v>
      </c>
      <c r="H66" s="102">
        <f>TrRoad_emi!H$19</f>
        <v>212.01297871173705</v>
      </c>
      <c r="I66" s="102">
        <f>TrRoad_emi!I$19</f>
        <v>198.73144650084291</v>
      </c>
      <c r="J66" s="102">
        <f>TrRoad_emi!J$19</f>
        <v>199.8594672282716</v>
      </c>
      <c r="K66" s="102">
        <f>TrRoad_emi!K$19</f>
        <v>185.25402250131145</v>
      </c>
      <c r="L66" s="102">
        <f>TrRoad_emi!L$19</f>
        <v>175.54842799163646</v>
      </c>
      <c r="M66" s="102">
        <f>TrRoad_emi!M$19</f>
        <v>168.74105363622908</v>
      </c>
      <c r="N66" s="102">
        <f>TrRoad_emi!N$19</f>
        <v>167.68714626238724</v>
      </c>
      <c r="O66" s="102">
        <f>TrRoad_emi!O$19</f>
        <v>163.52899331251746</v>
      </c>
      <c r="P66" s="102">
        <f>TrRoad_emi!P$19</f>
        <v>158.84130890227587</v>
      </c>
      <c r="Q66" s="102">
        <f>TrRoad_emi!Q$19</f>
        <v>148.42408502286838</v>
      </c>
      <c r="R66" s="102">
        <f>TrRoad_emi!R$19</f>
        <v>155.43433547733909</v>
      </c>
      <c r="S66" s="102">
        <f>TrRoad_emi!S$19</f>
        <v>157.20483019923626</v>
      </c>
      <c r="T66" s="102">
        <f>TrRoad_emi!T$19</f>
        <v>148.82503010272828</v>
      </c>
      <c r="U66" s="102">
        <f>TrRoad_emi!U$19</f>
        <v>157.71985415332912</v>
      </c>
      <c r="V66" s="102">
        <f>TrRoad_emi!V$19</f>
        <v>139.31763646147584</v>
      </c>
      <c r="W66" s="102">
        <f>TrRoad_emi!W$19</f>
        <v>143.1787537112246</v>
      </c>
      <c r="X66" s="102">
        <f>TrRoad_emi!X$19</f>
        <v>144.92556503013046</v>
      </c>
      <c r="Y66" s="102">
        <f>TrRoad_emi!Y$19</f>
        <v>159.25201396547956</v>
      </c>
      <c r="DA66" s="175" t="s">
        <v>404</v>
      </c>
    </row>
    <row r="67" spans="1:105" ht="11.45" customHeight="1" x14ac:dyDescent="0.25">
      <c r="A67" s="128" t="str">
        <f>$A$7</f>
        <v>Passenger cars</v>
      </c>
      <c r="B67" s="102">
        <f>TrRoad_emi!B$20</f>
        <v>8727.1795255560373</v>
      </c>
      <c r="C67" s="102">
        <f>TrRoad_emi!C$20</f>
        <v>8802.5385267701658</v>
      </c>
      <c r="D67" s="102">
        <f>TrRoad_emi!D$20</f>
        <v>9404.5594004459599</v>
      </c>
      <c r="E67" s="102">
        <f>TrRoad_emi!E$20</f>
        <v>10232.399078712582</v>
      </c>
      <c r="F67" s="102">
        <f>TrRoad_emi!F$20</f>
        <v>10614.116479526736</v>
      </c>
      <c r="G67" s="102">
        <f>TrRoad_emi!G$20</f>
        <v>10382.760406965881</v>
      </c>
      <c r="H67" s="102">
        <f>TrRoad_emi!H$20</f>
        <v>10369.897913828197</v>
      </c>
      <c r="I67" s="102">
        <f>TrRoad_emi!I$20</f>
        <v>10333.652756851869</v>
      </c>
      <c r="J67" s="102">
        <f>TrRoad_emi!J$20</f>
        <v>10499.134749973391</v>
      </c>
      <c r="K67" s="102">
        <f>TrRoad_emi!K$20</f>
        <v>10516.346399825576</v>
      </c>
      <c r="L67" s="102">
        <f>TrRoad_emi!L$20</f>
        <v>10481.261081502133</v>
      </c>
      <c r="M67" s="102">
        <f>TrRoad_emi!M$20</f>
        <v>9834.8017703562527</v>
      </c>
      <c r="N67" s="102">
        <f>TrRoad_emi!N$20</f>
        <v>9391.6448998239921</v>
      </c>
      <c r="O67" s="102">
        <f>TrRoad_emi!O$20</f>
        <v>9413.6822993564983</v>
      </c>
      <c r="P67" s="102">
        <f>TrRoad_emi!P$20</f>
        <v>9541.2909345318767</v>
      </c>
      <c r="Q67" s="102">
        <f>TrRoad_emi!Q$20</f>
        <v>9556.8565843312335</v>
      </c>
      <c r="R67" s="102">
        <f>TrRoad_emi!R$20</f>
        <v>9875.3708323398459</v>
      </c>
      <c r="S67" s="102">
        <f>TrRoad_emi!S$20</f>
        <v>10122.634677332164</v>
      </c>
      <c r="T67" s="102">
        <f>TrRoad_emi!T$20</f>
        <v>10194.382292996224</v>
      </c>
      <c r="U67" s="102">
        <f>TrRoad_emi!U$20</f>
        <v>10606.253006409226</v>
      </c>
      <c r="V67" s="102">
        <f>TrRoad_emi!V$20</f>
        <v>8992.5755787635226</v>
      </c>
      <c r="W67" s="102">
        <f>TrRoad_emi!W$20</f>
        <v>9541.7627062634838</v>
      </c>
      <c r="X67" s="102">
        <f>TrRoad_emi!X$20</f>
        <v>9913.6626046347974</v>
      </c>
      <c r="Y67" s="102">
        <f>TrRoad_emi!Y$20</f>
        <v>10615.95779159857</v>
      </c>
      <c r="DA67" s="175" t="s">
        <v>405</v>
      </c>
    </row>
    <row r="68" spans="1:105" ht="11.45" customHeight="1" x14ac:dyDescent="0.25">
      <c r="A68" s="128" t="str">
        <f>$A$8</f>
        <v>Motor coaches, buses and trolley buses</v>
      </c>
      <c r="B68" s="102">
        <f>TrRoad_emi!B$27</f>
        <v>1000.4387426144317</v>
      </c>
      <c r="C68" s="102">
        <f>TrRoad_emi!C$27</f>
        <v>997.98838858143893</v>
      </c>
      <c r="D68" s="102">
        <f>TrRoad_emi!D$27</f>
        <v>998.17060442959337</v>
      </c>
      <c r="E68" s="102">
        <f>TrRoad_emi!E$27</f>
        <v>978.93094190862553</v>
      </c>
      <c r="F68" s="102">
        <f>TrRoad_emi!F$27</f>
        <v>957.16811298702214</v>
      </c>
      <c r="G68" s="102">
        <f>TrRoad_emi!G$27</f>
        <v>596.008554793131</v>
      </c>
      <c r="H68" s="102">
        <f>TrRoad_emi!H$27</f>
        <v>586.33654874557931</v>
      </c>
      <c r="I68" s="102">
        <f>TrRoad_emi!I$27</f>
        <v>591.96437178664394</v>
      </c>
      <c r="J68" s="102">
        <f>TrRoad_emi!J$27</f>
        <v>613.1885452314491</v>
      </c>
      <c r="K68" s="102">
        <f>TrRoad_emi!K$27</f>
        <v>614.95677323694372</v>
      </c>
      <c r="L68" s="102">
        <f>TrRoad_emi!L$27</f>
        <v>620.01244493338913</v>
      </c>
      <c r="M68" s="102">
        <f>TrRoad_emi!M$27</f>
        <v>619.11122491450988</v>
      </c>
      <c r="N68" s="102">
        <f>TrRoad_emi!N$27</f>
        <v>498.67574301644129</v>
      </c>
      <c r="O68" s="102">
        <f>TrRoad_emi!O$27</f>
        <v>480.0706378533302</v>
      </c>
      <c r="P68" s="102">
        <f>TrRoad_emi!P$27</f>
        <v>589.79905999412472</v>
      </c>
      <c r="Q68" s="102">
        <f>TrRoad_emi!Q$27</f>
        <v>592.42251483402151</v>
      </c>
      <c r="R68" s="102">
        <f>TrRoad_emi!R$27</f>
        <v>637.78274606622449</v>
      </c>
      <c r="S68" s="102">
        <f>TrRoad_emi!S$27</f>
        <v>662.90516475586867</v>
      </c>
      <c r="T68" s="102">
        <f>TrRoad_emi!T$27</f>
        <v>690.27907311003071</v>
      </c>
      <c r="U68" s="102">
        <f>TrRoad_emi!U$27</f>
        <v>640.12356910383141</v>
      </c>
      <c r="V68" s="102">
        <f>TrRoad_emi!V$27</f>
        <v>485.92633327738889</v>
      </c>
      <c r="W68" s="102">
        <f>TrRoad_emi!W$27</f>
        <v>602.62816896517745</v>
      </c>
      <c r="X68" s="102">
        <f>TrRoad_emi!X$27</f>
        <v>712.62551244101098</v>
      </c>
      <c r="Y68" s="102">
        <f>TrRoad_emi!Y$27</f>
        <v>743.34687173292332</v>
      </c>
      <c r="DA68" s="175" t="s">
        <v>406</v>
      </c>
    </row>
    <row r="69" spans="1:105" ht="11.45" customHeight="1" x14ac:dyDescent="0.25">
      <c r="A69" s="109" t="str">
        <f>$A$9</f>
        <v>Rail, metro and tram</v>
      </c>
      <c r="B69" s="110">
        <f t="shared" ref="B69:Q69" si="57">B70+B71+B72</f>
        <v>145.69483461530496</v>
      </c>
      <c r="C69" s="110">
        <f t="shared" si="57"/>
        <v>109.27777514840645</v>
      </c>
      <c r="D69" s="110">
        <f t="shared" si="57"/>
        <v>90.300885097630484</v>
      </c>
      <c r="E69" s="110">
        <f t="shared" si="57"/>
        <v>78.384996392561661</v>
      </c>
      <c r="F69" s="110">
        <f t="shared" si="57"/>
        <v>69.105355690328906</v>
      </c>
      <c r="G69" s="110">
        <f t="shared" si="57"/>
        <v>62.268971836055613</v>
      </c>
      <c r="H69" s="110">
        <f t="shared" si="57"/>
        <v>59.826560910223336</v>
      </c>
      <c r="I69" s="110">
        <f t="shared" si="57"/>
        <v>57.799880300263972</v>
      </c>
      <c r="J69" s="110">
        <f t="shared" si="57"/>
        <v>57.5174705968616</v>
      </c>
      <c r="K69" s="110">
        <f t="shared" si="57"/>
        <v>46.322798895996321</v>
      </c>
      <c r="L69" s="110">
        <f t="shared" si="57"/>
        <v>40.137864761776548</v>
      </c>
      <c r="M69" s="110">
        <f t="shared" si="57"/>
        <v>34.135015330830406</v>
      </c>
      <c r="N69" s="110">
        <f t="shared" si="57"/>
        <v>26.160616451752585</v>
      </c>
      <c r="O69" s="110">
        <f t="shared" si="57"/>
        <v>22.714182535672624</v>
      </c>
      <c r="P69" s="110">
        <f t="shared" si="57"/>
        <v>22.447686490541891</v>
      </c>
      <c r="Q69" s="110">
        <f t="shared" si="57"/>
        <v>21.667947424741598</v>
      </c>
      <c r="R69" s="110">
        <f t="shared" ref="R69:V69" si="58">R70+R71+R72</f>
        <v>21.305696038516071</v>
      </c>
      <c r="S69" s="110">
        <f t="shared" si="58"/>
        <v>19.850750699499926</v>
      </c>
      <c r="T69" s="110">
        <f t="shared" si="58"/>
        <v>20.880931512935266</v>
      </c>
      <c r="U69" s="110">
        <f t="shared" si="58"/>
        <v>20.16558870059843</v>
      </c>
      <c r="V69" s="110">
        <f t="shared" si="58"/>
        <v>15.375784333879224</v>
      </c>
      <c r="W69" s="110">
        <f t="shared" ref="W69:Y69" si="59">W70+W71+W72</f>
        <v>12.083379757018717</v>
      </c>
      <c r="X69" s="110">
        <f t="shared" si="59"/>
        <v>12.28460773821574</v>
      </c>
      <c r="Y69" s="110">
        <f t="shared" si="59"/>
        <v>16.168894276145355</v>
      </c>
      <c r="DA69" s="176" t="s">
        <v>407</v>
      </c>
    </row>
    <row r="70" spans="1:105" ht="11.45" customHeight="1" x14ac:dyDescent="0.25">
      <c r="A70" s="128" t="str">
        <f>$A$10</f>
        <v>Metro and tram, urban light rail</v>
      </c>
      <c r="B70" s="102">
        <f>TrRail_emi!B$10</f>
        <v>0</v>
      </c>
      <c r="C70" s="102">
        <f>TrRail_emi!C$10</f>
        <v>0</v>
      </c>
      <c r="D70" s="102">
        <f>TrRail_emi!D$10</f>
        <v>0</v>
      </c>
      <c r="E70" s="102">
        <f>TrRail_emi!E$10</f>
        <v>0</v>
      </c>
      <c r="F70" s="102">
        <f>TrRail_emi!F$10</f>
        <v>0</v>
      </c>
      <c r="G70" s="102">
        <f>TrRail_emi!G$10</f>
        <v>0</v>
      </c>
      <c r="H70" s="102">
        <f>TrRail_emi!H$10</f>
        <v>0</v>
      </c>
      <c r="I70" s="102">
        <f>TrRail_emi!I$10</f>
        <v>0</v>
      </c>
      <c r="J70" s="102">
        <f>TrRail_emi!J$10</f>
        <v>0</v>
      </c>
      <c r="K70" s="102">
        <f>TrRail_emi!K$10</f>
        <v>0</v>
      </c>
      <c r="L70" s="102">
        <f>TrRail_emi!L$10</f>
        <v>0</v>
      </c>
      <c r="M70" s="102">
        <f>TrRail_emi!M$10</f>
        <v>0</v>
      </c>
      <c r="N70" s="102">
        <f>TrRail_emi!N$10</f>
        <v>0</v>
      </c>
      <c r="O70" s="102">
        <f>TrRail_emi!O$10</f>
        <v>0</v>
      </c>
      <c r="P70" s="102">
        <f>TrRail_emi!P$10</f>
        <v>0</v>
      </c>
      <c r="Q70" s="102">
        <f>TrRail_emi!Q$10</f>
        <v>0</v>
      </c>
      <c r="R70" s="102">
        <f>TrRail_emi!R$10</f>
        <v>0</v>
      </c>
      <c r="S70" s="102">
        <f>TrRail_emi!S$10</f>
        <v>0</v>
      </c>
      <c r="T70" s="102">
        <f>TrRail_emi!T$10</f>
        <v>0</v>
      </c>
      <c r="U70" s="102">
        <f>TrRail_emi!U$10</f>
        <v>0</v>
      </c>
      <c r="V70" s="102">
        <f>TrRail_emi!V$10</f>
        <v>0</v>
      </c>
      <c r="W70" s="102">
        <f>TrRail_emi!W$10</f>
        <v>0</v>
      </c>
      <c r="X70" s="102">
        <f>TrRail_emi!X$10</f>
        <v>0</v>
      </c>
      <c r="Y70" s="102">
        <f>TrRail_emi!Y$10</f>
        <v>0</v>
      </c>
      <c r="DA70" s="175" t="s">
        <v>408</v>
      </c>
    </row>
    <row r="71" spans="1:105" ht="11.45" customHeight="1" x14ac:dyDescent="0.25">
      <c r="A71" s="128" t="str">
        <f>$A$11</f>
        <v>Conventional passenger trains</v>
      </c>
      <c r="B71" s="102">
        <f>TrRail_emi!B$11</f>
        <v>145.69483461530496</v>
      </c>
      <c r="C71" s="102">
        <f>TrRail_emi!C$11</f>
        <v>109.27777514840645</v>
      </c>
      <c r="D71" s="102">
        <f>TrRail_emi!D$11</f>
        <v>90.300885097630484</v>
      </c>
      <c r="E71" s="102">
        <f>TrRail_emi!E$11</f>
        <v>78.384996392561661</v>
      </c>
      <c r="F71" s="102">
        <f>TrRail_emi!F$11</f>
        <v>69.105355690328906</v>
      </c>
      <c r="G71" s="102">
        <f>TrRail_emi!G$11</f>
        <v>62.268971836055613</v>
      </c>
      <c r="H71" s="102">
        <f>TrRail_emi!H$11</f>
        <v>59.826560910223336</v>
      </c>
      <c r="I71" s="102">
        <f>TrRail_emi!I$11</f>
        <v>57.799880300263972</v>
      </c>
      <c r="J71" s="102">
        <f>TrRail_emi!J$11</f>
        <v>57.5174705968616</v>
      </c>
      <c r="K71" s="102">
        <f>TrRail_emi!K$11</f>
        <v>46.322798895996321</v>
      </c>
      <c r="L71" s="102">
        <f>TrRail_emi!L$11</f>
        <v>40.137864761776548</v>
      </c>
      <c r="M71" s="102">
        <f>TrRail_emi!M$11</f>
        <v>34.135015330830406</v>
      </c>
      <c r="N71" s="102">
        <f>TrRail_emi!N$11</f>
        <v>26.160616451752585</v>
      </c>
      <c r="O71" s="102">
        <f>TrRail_emi!O$11</f>
        <v>22.714182535672624</v>
      </c>
      <c r="P71" s="102">
        <f>TrRail_emi!P$11</f>
        <v>22.447686490541891</v>
      </c>
      <c r="Q71" s="102">
        <f>TrRail_emi!Q$11</f>
        <v>21.667947424741598</v>
      </c>
      <c r="R71" s="102">
        <f>TrRail_emi!R$11</f>
        <v>21.305696038516071</v>
      </c>
      <c r="S71" s="102">
        <f>TrRail_emi!S$11</f>
        <v>19.850750699499926</v>
      </c>
      <c r="T71" s="102">
        <f>TrRail_emi!T$11</f>
        <v>20.880931512935266</v>
      </c>
      <c r="U71" s="102">
        <f>TrRail_emi!U$11</f>
        <v>20.16558870059843</v>
      </c>
      <c r="V71" s="102">
        <f>TrRail_emi!V$11</f>
        <v>15.375784333879224</v>
      </c>
      <c r="W71" s="102">
        <f>TrRail_emi!W$11</f>
        <v>12.083379757018717</v>
      </c>
      <c r="X71" s="102">
        <f>TrRail_emi!X$11</f>
        <v>12.28460773821574</v>
      </c>
      <c r="Y71" s="102">
        <f>TrRail_emi!Y$11</f>
        <v>16.168894276145355</v>
      </c>
      <c r="DA71" s="175" t="s">
        <v>409</v>
      </c>
    </row>
    <row r="72" spans="1:105" ht="11.45" customHeight="1" x14ac:dyDescent="0.25">
      <c r="A72" s="128" t="str">
        <f>$A$12</f>
        <v>High speed passenger trains</v>
      </c>
      <c r="B72" s="102">
        <f>TrRail_emi!B$14</f>
        <v>0</v>
      </c>
      <c r="C72" s="102">
        <f>TrRail_emi!C$14</f>
        <v>0</v>
      </c>
      <c r="D72" s="102">
        <f>TrRail_emi!D$14</f>
        <v>0</v>
      </c>
      <c r="E72" s="102">
        <f>TrRail_emi!E$14</f>
        <v>0</v>
      </c>
      <c r="F72" s="102">
        <f>TrRail_emi!F$14</f>
        <v>0</v>
      </c>
      <c r="G72" s="102">
        <f>TrRail_emi!G$14</f>
        <v>0</v>
      </c>
      <c r="H72" s="102">
        <f>TrRail_emi!H$14</f>
        <v>0</v>
      </c>
      <c r="I72" s="102">
        <f>TrRail_emi!I$14</f>
        <v>0</v>
      </c>
      <c r="J72" s="102">
        <f>TrRail_emi!J$14</f>
        <v>0</v>
      </c>
      <c r="K72" s="102">
        <f>TrRail_emi!K$14</f>
        <v>0</v>
      </c>
      <c r="L72" s="102">
        <f>TrRail_emi!L$14</f>
        <v>0</v>
      </c>
      <c r="M72" s="102">
        <f>TrRail_emi!M$14</f>
        <v>0</v>
      </c>
      <c r="N72" s="102">
        <f>TrRail_emi!N$14</f>
        <v>0</v>
      </c>
      <c r="O72" s="102">
        <f>TrRail_emi!O$14</f>
        <v>0</v>
      </c>
      <c r="P72" s="102">
        <f>TrRail_emi!P$14</f>
        <v>0</v>
      </c>
      <c r="Q72" s="102">
        <f>TrRail_emi!Q$14</f>
        <v>0</v>
      </c>
      <c r="R72" s="102">
        <f>TrRail_emi!R$14</f>
        <v>0</v>
      </c>
      <c r="S72" s="102">
        <f>TrRail_emi!S$14</f>
        <v>0</v>
      </c>
      <c r="T72" s="102">
        <f>TrRail_emi!T$14</f>
        <v>0</v>
      </c>
      <c r="U72" s="102">
        <f>TrRail_emi!U$14</f>
        <v>0</v>
      </c>
      <c r="V72" s="102">
        <f>TrRail_emi!V$14</f>
        <v>0</v>
      </c>
      <c r="W72" s="102">
        <f>TrRail_emi!W$14</f>
        <v>0</v>
      </c>
      <c r="X72" s="102">
        <f>TrRail_emi!X$14</f>
        <v>0</v>
      </c>
      <c r="Y72" s="102">
        <f>TrRail_emi!Y$14</f>
        <v>0</v>
      </c>
      <c r="DA72" s="175" t="s">
        <v>410</v>
      </c>
    </row>
    <row r="73" spans="1:105" ht="11.45" customHeight="1" x14ac:dyDescent="0.25">
      <c r="A73" s="109" t="str">
        <f>$A$13</f>
        <v>Aviation</v>
      </c>
      <c r="B73" s="110">
        <f t="shared" ref="B73:Q73" si="60">B74+B75+B76</f>
        <v>2307.9172361364986</v>
      </c>
      <c r="C73" s="110">
        <f t="shared" si="60"/>
        <v>2245.204249118694</v>
      </c>
      <c r="D73" s="110">
        <f t="shared" si="60"/>
        <v>2209.69410977609</v>
      </c>
      <c r="E73" s="110">
        <f t="shared" si="60"/>
        <v>2332.6940057139213</v>
      </c>
      <c r="F73" s="110">
        <f t="shared" si="60"/>
        <v>2528.2088363636453</v>
      </c>
      <c r="G73" s="110">
        <f t="shared" si="60"/>
        <v>2621.3802295183336</v>
      </c>
      <c r="H73" s="110">
        <f t="shared" si="60"/>
        <v>2731.8413582952703</v>
      </c>
      <c r="I73" s="110">
        <f t="shared" si="60"/>
        <v>2856.4961952071026</v>
      </c>
      <c r="J73" s="110">
        <f t="shared" si="60"/>
        <v>2905.5399036579324</v>
      </c>
      <c r="K73" s="110">
        <f t="shared" si="60"/>
        <v>2728.4394473453708</v>
      </c>
      <c r="L73" s="110">
        <f t="shared" si="60"/>
        <v>2959.2646740927271</v>
      </c>
      <c r="M73" s="110">
        <f t="shared" si="60"/>
        <v>3040.8156668656693</v>
      </c>
      <c r="N73" s="110">
        <f t="shared" si="60"/>
        <v>3067.3202092459187</v>
      </c>
      <c r="O73" s="110">
        <f t="shared" si="60"/>
        <v>3110.9425090946738</v>
      </c>
      <c r="P73" s="110">
        <f t="shared" si="60"/>
        <v>3206.5414541727569</v>
      </c>
      <c r="Q73" s="110">
        <f t="shared" si="60"/>
        <v>3468.027232476566</v>
      </c>
      <c r="R73" s="110">
        <f t="shared" ref="R73:V73" si="61">R74+R75+R76</f>
        <v>3829.7235003443757</v>
      </c>
      <c r="S73" s="110">
        <f t="shared" si="61"/>
        <v>4298.9233682989925</v>
      </c>
      <c r="T73" s="110">
        <f t="shared" si="61"/>
        <v>4583.3412667299799</v>
      </c>
      <c r="U73" s="110">
        <f t="shared" si="61"/>
        <v>4838.2050248652013</v>
      </c>
      <c r="V73" s="110">
        <f t="shared" si="61"/>
        <v>1787.8536496507545</v>
      </c>
      <c r="W73" s="110">
        <f t="shared" ref="W73:Y73" si="62">W74+W75+W76</f>
        <v>2290.7184464115853</v>
      </c>
      <c r="X73" s="110">
        <f t="shared" si="62"/>
        <v>4537.2730846637414</v>
      </c>
      <c r="Y73" s="110">
        <f t="shared" si="62"/>
        <v>5262.6859732134662</v>
      </c>
      <c r="DA73" s="176" t="s">
        <v>327</v>
      </c>
    </row>
    <row r="74" spans="1:105" ht="11.45" customHeight="1" x14ac:dyDescent="0.25">
      <c r="A74" s="128" t="str">
        <f>$A$14</f>
        <v>Domestic</v>
      </c>
      <c r="B74" s="102">
        <f>TrAvia_emi!B$7</f>
        <v>329.00324046652173</v>
      </c>
      <c r="C74" s="102">
        <f>TrAvia_emi!C$7</f>
        <v>339.98968069826776</v>
      </c>
      <c r="D74" s="102">
        <f>TrAvia_emi!D$7</f>
        <v>362.72987531492129</v>
      </c>
      <c r="E74" s="102">
        <f>TrAvia_emi!E$7</f>
        <v>338.21371672363341</v>
      </c>
      <c r="F74" s="102">
        <f>TrAvia_emi!F$7</f>
        <v>382.78311853540157</v>
      </c>
      <c r="G74" s="102">
        <f>TrAvia_emi!G$7</f>
        <v>397.54333001441375</v>
      </c>
      <c r="H74" s="102">
        <f>TrAvia_emi!H$7</f>
        <v>386.90369751408082</v>
      </c>
      <c r="I74" s="102">
        <f>TrAvia_emi!I$7</f>
        <v>384.26837227104897</v>
      </c>
      <c r="J74" s="102">
        <f>TrAvia_emi!J$7</f>
        <v>354.30174617753613</v>
      </c>
      <c r="K74" s="102">
        <f>TrAvia_emi!K$7</f>
        <v>329.60324958353561</v>
      </c>
      <c r="L74" s="102">
        <f>TrAvia_emi!L$7</f>
        <v>392.97928365459848</v>
      </c>
      <c r="M74" s="102">
        <f>TrAvia_emi!M$7</f>
        <v>353.62020268702366</v>
      </c>
      <c r="N74" s="102">
        <f>TrAvia_emi!N$7</f>
        <v>354.37126645407955</v>
      </c>
      <c r="O74" s="102">
        <f>TrAvia_emi!O$7</f>
        <v>361.51743492204514</v>
      </c>
      <c r="P74" s="102">
        <f>TrAvia_emi!P$7</f>
        <v>351.21664338514296</v>
      </c>
      <c r="Q74" s="102">
        <f>TrAvia_emi!Q$7</f>
        <v>370.54250968403306</v>
      </c>
      <c r="R74" s="102">
        <f>TrAvia_emi!R$7</f>
        <v>416.22793014966101</v>
      </c>
      <c r="S74" s="102">
        <f>TrAvia_emi!S$7</f>
        <v>501.20168513376501</v>
      </c>
      <c r="T74" s="102">
        <f>TrAvia_emi!T$7</f>
        <v>532.58882577873737</v>
      </c>
      <c r="U74" s="102">
        <f>TrAvia_emi!U$7</f>
        <v>495.02082856865616</v>
      </c>
      <c r="V74" s="102">
        <f>TrAvia_emi!V$7</f>
        <v>256.28634670130555</v>
      </c>
      <c r="W74" s="102">
        <f>TrAvia_emi!W$7</f>
        <v>338.34402338922109</v>
      </c>
      <c r="X74" s="102">
        <f>TrAvia_emi!X$7</f>
        <v>415.32574494563482</v>
      </c>
      <c r="Y74" s="102">
        <f>TrAvia_emi!Y$7</f>
        <v>478.14989557302084</v>
      </c>
      <c r="DA74" s="175" t="s">
        <v>328</v>
      </c>
    </row>
    <row r="75" spans="1:105" ht="11.45" customHeight="1" x14ac:dyDescent="0.25">
      <c r="A75" s="128" t="str">
        <f>$A$15</f>
        <v>International - Intra-EEAwCHUK</v>
      </c>
      <c r="B75" s="102">
        <f>TrAvia_emi!B$8</f>
        <v>1260.0170198619153</v>
      </c>
      <c r="C75" s="102">
        <f>TrAvia_emi!C$8</f>
        <v>1213.1258496698131</v>
      </c>
      <c r="D75" s="102">
        <f>TrAvia_emi!D$8</f>
        <v>1176.0375175136126</v>
      </c>
      <c r="E75" s="102">
        <f>TrAvia_emi!E$8</f>
        <v>1225.0007267576834</v>
      </c>
      <c r="F75" s="102">
        <f>TrAvia_emi!F$8</f>
        <v>1345.3056234238713</v>
      </c>
      <c r="G75" s="102">
        <f>TrAvia_emi!G$8</f>
        <v>1401.7864926664056</v>
      </c>
      <c r="H75" s="102">
        <f>TrAvia_emi!H$8</f>
        <v>1497.3964007397001</v>
      </c>
      <c r="I75" s="102">
        <f>TrAvia_emi!I$8</f>
        <v>1615.2457317038143</v>
      </c>
      <c r="J75" s="102">
        <f>TrAvia_emi!J$8</f>
        <v>1658.8967740794728</v>
      </c>
      <c r="K75" s="102">
        <f>TrAvia_emi!K$8</f>
        <v>1519.6793682483708</v>
      </c>
      <c r="L75" s="102">
        <f>TrAvia_emi!L$8</f>
        <v>1623.1092942721793</v>
      </c>
      <c r="M75" s="102">
        <f>TrAvia_emi!M$8</f>
        <v>1711.7107494105951</v>
      </c>
      <c r="N75" s="102">
        <f>TrAvia_emi!N$8</f>
        <v>1705.7755988930601</v>
      </c>
      <c r="O75" s="102">
        <f>TrAvia_emi!O$8</f>
        <v>1741.786444939434</v>
      </c>
      <c r="P75" s="102">
        <f>TrAvia_emi!P$8</f>
        <v>1832.7446516097243</v>
      </c>
      <c r="Q75" s="102">
        <f>TrAvia_emi!Q$8</f>
        <v>2003.7147932244777</v>
      </c>
      <c r="R75" s="102">
        <f>TrAvia_emi!R$8</f>
        <v>2275.4968101872291</v>
      </c>
      <c r="S75" s="102">
        <f>TrAvia_emi!S$8</f>
        <v>2584.7050504897265</v>
      </c>
      <c r="T75" s="102">
        <f>TrAvia_emi!T$8</f>
        <v>2734.2749326818184</v>
      </c>
      <c r="U75" s="102">
        <f>TrAvia_emi!U$8</f>
        <v>2919.2884754744623</v>
      </c>
      <c r="V75" s="102">
        <f>TrAvia_emi!V$8</f>
        <v>873.06380153008308</v>
      </c>
      <c r="W75" s="102">
        <f>TrAvia_emi!W$8</f>
        <v>1201.6238783581387</v>
      </c>
      <c r="X75" s="102">
        <f>TrAvia_emi!X$8</f>
        <v>2836.8170833125623</v>
      </c>
      <c r="Y75" s="102">
        <f>TrAvia_emi!Y$8</f>
        <v>3302.677290956673</v>
      </c>
      <c r="DA75" s="175" t="s">
        <v>329</v>
      </c>
    </row>
    <row r="76" spans="1:105" ht="11.45" customHeight="1" x14ac:dyDescent="0.25">
      <c r="A76" s="128" t="str">
        <f>$A$16</f>
        <v>International - Extra-EEAwCHUK</v>
      </c>
      <c r="B76" s="102">
        <f>TrAvia_emi!B$9</f>
        <v>718.89697580806148</v>
      </c>
      <c r="C76" s="102">
        <f>TrAvia_emi!C$9</f>
        <v>692.088718750613</v>
      </c>
      <c r="D76" s="102">
        <f>TrAvia_emi!D$9</f>
        <v>670.92671694755597</v>
      </c>
      <c r="E76" s="102">
        <f>TrAvia_emi!E$9</f>
        <v>769.47956223260451</v>
      </c>
      <c r="F76" s="102">
        <f>TrAvia_emi!F$9</f>
        <v>800.12009440437248</v>
      </c>
      <c r="G76" s="102">
        <f>TrAvia_emi!G$9</f>
        <v>822.05040683751429</v>
      </c>
      <c r="H76" s="102">
        <f>TrAvia_emi!H$9</f>
        <v>847.54126004148918</v>
      </c>
      <c r="I76" s="102">
        <f>TrAvia_emi!I$9</f>
        <v>856.9820912322391</v>
      </c>
      <c r="J76" s="102">
        <f>TrAvia_emi!J$9</f>
        <v>892.34138340092352</v>
      </c>
      <c r="K76" s="102">
        <f>TrAvia_emi!K$9</f>
        <v>879.15682951346446</v>
      </c>
      <c r="L76" s="102">
        <f>TrAvia_emi!L$9</f>
        <v>943.17609616594928</v>
      </c>
      <c r="M76" s="102">
        <f>TrAvia_emi!M$9</f>
        <v>975.48471476805094</v>
      </c>
      <c r="N76" s="102">
        <f>TrAvia_emi!N$9</f>
        <v>1007.1733438987789</v>
      </c>
      <c r="O76" s="102">
        <f>TrAvia_emi!O$9</f>
        <v>1007.6386292331949</v>
      </c>
      <c r="P76" s="102">
        <f>TrAvia_emi!P$9</f>
        <v>1022.5801591778893</v>
      </c>
      <c r="Q76" s="102">
        <f>TrAvia_emi!Q$9</f>
        <v>1093.7699295680554</v>
      </c>
      <c r="R76" s="102">
        <f>TrAvia_emi!R$9</f>
        <v>1137.9987600074853</v>
      </c>
      <c r="S76" s="102">
        <f>TrAvia_emi!S$9</f>
        <v>1213.0166326755013</v>
      </c>
      <c r="T76" s="102">
        <f>TrAvia_emi!T$9</f>
        <v>1316.4775082694237</v>
      </c>
      <c r="U76" s="102">
        <f>TrAvia_emi!U$9</f>
        <v>1423.8957208220822</v>
      </c>
      <c r="V76" s="102">
        <f>TrAvia_emi!V$9</f>
        <v>658.50350141936599</v>
      </c>
      <c r="W76" s="102">
        <f>TrAvia_emi!W$9</f>
        <v>750.75054466422569</v>
      </c>
      <c r="X76" s="102">
        <f>TrAvia_emi!X$9</f>
        <v>1285.1302564055441</v>
      </c>
      <c r="Y76" s="102">
        <f>TrAvia_emi!Y$9</f>
        <v>1481.8587866837722</v>
      </c>
      <c r="DA76" s="175" t="s">
        <v>330</v>
      </c>
    </row>
    <row r="77" spans="1:105" ht="11.45" customHeight="1" x14ac:dyDescent="0.25">
      <c r="A77" s="27" t="s">
        <v>34</v>
      </c>
      <c r="B77" s="28">
        <f t="shared" ref="B77:Y77" si="63">B78+B81+B82+B86+B92</f>
        <v>7609.3797037079739</v>
      </c>
      <c r="C77" s="28">
        <f t="shared" si="63"/>
        <v>7802.2637649744647</v>
      </c>
      <c r="D77" s="28">
        <f t="shared" si="63"/>
        <v>7832.4064133880684</v>
      </c>
      <c r="E77" s="28">
        <f t="shared" si="63"/>
        <v>8010.4563501915018</v>
      </c>
      <c r="F77" s="28">
        <f t="shared" si="63"/>
        <v>8078.1834956343346</v>
      </c>
      <c r="G77" s="28">
        <f t="shared" si="63"/>
        <v>7818.1276691410631</v>
      </c>
      <c r="H77" s="28">
        <f t="shared" si="63"/>
        <v>7696.9564156689912</v>
      </c>
      <c r="I77" s="28">
        <f t="shared" si="63"/>
        <v>7807.9924693132816</v>
      </c>
      <c r="J77" s="28">
        <f t="shared" si="63"/>
        <v>7726.4227896720959</v>
      </c>
      <c r="K77" s="28">
        <f t="shared" si="63"/>
        <v>7461.2944234748011</v>
      </c>
      <c r="L77" s="28">
        <f t="shared" si="63"/>
        <v>7023.0366727183364</v>
      </c>
      <c r="M77" s="28">
        <f t="shared" si="63"/>
        <v>6376.7208751765102</v>
      </c>
      <c r="N77" s="28">
        <f t="shared" si="63"/>
        <v>5571.3778362395087</v>
      </c>
      <c r="O77" s="28">
        <f t="shared" si="63"/>
        <v>5334.1412282473066</v>
      </c>
      <c r="P77" s="28">
        <f t="shared" si="63"/>
        <v>5191.5074543484225</v>
      </c>
      <c r="Q77" s="28">
        <f t="shared" si="63"/>
        <v>5247.0530610705719</v>
      </c>
      <c r="R77" s="28">
        <f t="shared" si="63"/>
        <v>5408.2870766136994</v>
      </c>
      <c r="S77" s="28">
        <f t="shared" si="63"/>
        <v>5415.4410200742359</v>
      </c>
      <c r="T77" s="28">
        <f t="shared" si="63"/>
        <v>5411.6167856281036</v>
      </c>
      <c r="U77" s="28">
        <f t="shared" si="63"/>
        <v>5450.0880374878134</v>
      </c>
      <c r="V77" s="28">
        <f t="shared" si="63"/>
        <v>4590.3183975129787</v>
      </c>
      <c r="W77" s="28">
        <f t="shared" si="63"/>
        <v>4958.8340914915098</v>
      </c>
      <c r="X77" s="28">
        <f t="shared" si="63"/>
        <v>5382.2886424121098</v>
      </c>
      <c r="Y77" s="28">
        <f t="shared" si="63"/>
        <v>5628.0499058534197</v>
      </c>
      <c r="DA77" s="173"/>
    </row>
    <row r="78" spans="1:105" ht="11.45" customHeight="1" x14ac:dyDescent="0.25">
      <c r="A78" s="136" t="str">
        <f>$A$18</f>
        <v>Road transport</v>
      </c>
      <c r="B78" s="137">
        <f t="shared" ref="B78:Q78" si="64">B79+B80</f>
        <v>7376.1926299397765</v>
      </c>
      <c r="C78" s="137">
        <f t="shared" si="64"/>
        <v>7562.9593119215651</v>
      </c>
      <c r="D78" s="137">
        <f t="shared" si="64"/>
        <v>7471.3419030217883</v>
      </c>
      <c r="E78" s="137">
        <f t="shared" si="64"/>
        <v>7734.739075177984</v>
      </c>
      <c r="F78" s="137">
        <f t="shared" si="64"/>
        <v>7921.4193956083091</v>
      </c>
      <c r="G78" s="137">
        <f t="shared" si="64"/>
        <v>7683.6956392954526</v>
      </c>
      <c r="H78" s="137">
        <f t="shared" si="64"/>
        <v>7540.0926630744852</v>
      </c>
      <c r="I78" s="137">
        <f t="shared" si="64"/>
        <v>7302.818611700648</v>
      </c>
      <c r="J78" s="137">
        <f t="shared" si="64"/>
        <v>7173.7594064468885</v>
      </c>
      <c r="K78" s="137">
        <f t="shared" si="64"/>
        <v>6738.8556409961684</v>
      </c>
      <c r="L78" s="137">
        <f t="shared" si="64"/>
        <v>6525.92048113284</v>
      </c>
      <c r="M78" s="137">
        <f t="shared" si="64"/>
        <v>5919.1634361330098</v>
      </c>
      <c r="N78" s="137">
        <f t="shared" si="64"/>
        <v>5114.0680267371799</v>
      </c>
      <c r="O78" s="137">
        <f t="shared" si="64"/>
        <v>4870.6306849976536</v>
      </c>
      <c r="P78" s="137">
        <f t="shared" si="64"/>
        <v>4851.4826359717208</v>
      </c>
      <c r="Q78" s="137">
        <f t="shared" si="64"/>
        <v>4872.801554931877</v>
      </c>
      <c r="R78" s="137">
        <f t="shared" ref="R78:V78" si="65">R79+R80</f>
        <v>5003.5709957565887</v>
      </c>
      <c r="S78" s="137">
        <f t="shared" si="65"/>
        <v>5034.0725763927294</v>
      </c>
      <c r="T78" s="137">
        <f t="shared" si="65"/>
        <v>5021.0377557110169</v>
      </c>
      <c r="U78" s="137">
        <f t="shared" si="65"/>
        <v>5111.2564423336116</v>
      </c>
      <c r="V78" s="137">
        <f t="shared" si="65"/>
        <v>4332.0651496176124</v>
      </c>
      <c r="W78" s="137">
        <f t="shared" ref="W78:Y78" si="66">W79+W80</f>
        <v>4658.850475340113</v>
      </c>
      <c r="X78" s="137">
        <f t="shared" si="66"/>
        <v>5049.3193211340658</v>
      </c>
      <c r="Y78" s="137">
        <f t="shared" si="66"/>
        <v>5340.7198010630291</v>
      </c>
      <c r="DA78" s="174" t="s">
        <v>411</v>
      </c>
    </row>
    <row r="79" spans="1:105" ht="11.45" customHeight="1" x14ac:dyDescent="0.25">
      <c r="A79" s="128" t="str">
        <f>$A$19</f>
        <v>Light commercial vehicles</v>
      </c>
      <c r="B79" s="102">
        <f>TrRoad_emi!B$34</f>
        <v>5507.2108366162374</v>
      </c>
      <c r="C79" s="102">
        <f>TrRoad_emi!C$34</f>
        <v>5321.5335186627271</v>
      </c>
      <c r="D79" s="102">
        <f>TrRoad_emi!D$34</f>
        <v>5310.4869556833155</v>
      </c>
      <c r="E79" s="102">
        <f>TrRoad_emi!E$34</f>
        <v>5200.4882469061477</v>
      </c>
      <c r="F79" s="102">
        <f>TrRoad_emi!F$34</f>
        <v>4851.3979279212563</v>
      </c>
      <c r="G79" s="102">
        <f>TrRoad_emi!G$34</f>
        <v>4523.0256006567397</v>
      </c>
      <c r="H79" s="102">
        <f>TrRoad_emi!H$34</f>
        <v>4378.8379320631584</v>
      </c>
      <c r="I79" s="102">
        <f>TrRoad_emi!I$34</f>
        <v>4054.0005832227052</v>
      </c>
      <c r="J79" s="102">
        <f>TrRoad_emi!J$34</f>
        <v>3995.5757781714287</v>
      </c>
      <c r="K79" s="102">
        <f>TrRoad_emi!K$34</f>
        <v>3901.899740919022</v>
      </c>
      <c r="L79" s="102">
        <f>TrRoad_emi!L$34</f>
        <v>3687.9513178832863</v>
      </c>
      <c r="M79" s="102">
        <f>TrRoad_emi!M$34</f>
        <v>3211.283015663475</v>
      </c>
      <c r="N79" s="102">
        <f>TrRoad_emi!N$34</f>
        <v>2708.3012987607958</v>
      </c>
      <c r="O79" s="102">
        <f>TrRoad_emi!O$34</f>
        <v>2579.6464350863457</v>
      </c>
      <c r="P79" s="102">
        <f>TrRoad_emi!P$34</f>
        <v>2721.807669524148</v>
      </c>
      <c r="Q79" s="102">
        <f>TrRoad_emi!Q$34</f>
        <v>2660.4164255343931</v>
      </c>
      <c r="R79" s="102">
        <f>TrRoad_emi!R$34</f>
        <v>2784.9315124823966</v>
      </c>
      <c r="S79" s="102">
        <f>TrRoad_emi!S$34</f>
        <v>2860.2456719719694</v>
      </c>
      <c r="T79" s="102">
        <f>TrRoad_emi!T$34</f>
        <v>2887.0223085977254</v>
      </c>
      <c r="U79" s="102">
        <f>TrRoad_emi!U$34</f>
        <v>2924.5936155334343</v>
      </c>
      <c r="V79" s="102">
        <f>TrRoad_emi!V$34</f>
        <v>2461.711381484095</v>
      </c>
      <c r="W79" s="102">
        <f>TrRoad_emi!W$34</f>
        <v>2687.4093170475012</v>
      </c>
      <c r="X79" s="102">
        <f>TrRoad_emi!X$34</f>
        <v>3046.6324582669713</v>
      </c>
      <c r="Y79" s="102">
        <f>TrRoad_emi!Y$34</f>
        <v>3361.8346436282081</v>
      </c>
      <c r="DA79" s="175" t="s">
        <v>412</v>
      </c>
    </row>
    <row r="80" spans="1:105" ht="11.45" customHeight="1" x14ac:dyDescent="0.25">
      <c r="A80" s="128" t="str">
        <f>$A$20</f>
        <v>Heavy goods vehicles</v>
      </c>
      <c r="B80" s="102">
        <f>TrRoad_emi!B$40</f>
        <v>1868.981793323539</v>
      </c>
      <c r="C80" s="102">
        <f>TrRoad_emi!C$40</f>
        <v>2241.425793258838</v>
      </c>
      <c r="D80" s="102">
        <f>TrRoad_emi!D$40</f>
        <v>2160.8549473384733</v>
      </c>
      <c r="E80" s="102">
        <f>TrRoad_emi!E$40</f>
        <v>2534.2508282718368</v>
      </c>
      <c r="F80" s="102">
        <f>TrRoad_emi!F$40</f>
        <v>3070.0214676870532</v>
      </c>
      <c r="G80" s="102">
        <f>TrRoad_emi!G$40</f>
        <v>3160.6700386387133</v>
      </c>
      <c r="H80" s="102">
        <f>TrRoad_emi!H$40</f>
        <v>3161.2547310113268</v>
      </c>
      <c r="I80" s="102">
        <f>TrRoad_emi!I$40</f>
        <v>3248.8180284779428</v>
      </c>
      <c r="J80" s="102">
        <f>TrRoad_emi!J$40</f>
        <v>3178.1836282754593</v>
      </c>
      <c r="K80" s="102">
        <f>TrRoad_emi!K$40</f>
        <v>2836.9559000771465</v>
      </c>
      <c r="L80" s="102">
        <f>TrRoad_emi!L$40</f>
        <v>2837.9691632495542</v>
      </c>
      <c r="M80" s="102">
        <f>TrRoad_emi!M$40</f>
        <v>2707.8804204695348</v>
      </c>
      <c r="N80" s="102">
        <f>TrRoad_emi!N$40</f>
        <v>2405.7667279763841</v>
      </c>
      <c r="O80" s="102">
        <f>TrRoad_emi!O$40</f>
        <v>2290.9842499113079</v>
      </c>
      <c r="P80" s="102">
        <f>TrRoad_emi!P$40</f>
        <v>2129.6749664475728</v>
      </c>
      <c r="Q80" s="102">
        <f>TrRoad_emi!Q$40</f>
        <v>2212.3851293974844</v>
      </c>
      <c r="R80" s="102">
        <f>TrRoad_emi!R$40</f>
        <v>2218.6394832741926</v>
      </c>
      <c r="S80" s="102">
        <f>TrRoad_emi!S$40</f>
        <v>2173.82690442076</v>
      </c>
      <c r="T80" s="102">
        <f>TrRoad_emi!T$40</f>
        <v>2134.0154471132919</v>
      </c>
      <c r="U80" s="102">
        <f>TrRoad_emi!U$40</f>
        <v>2186.6628268001773</v>
      </c>
      <c r="V80" s="102">
        <f>TrRoad_emi!V$40</f>
        <v>1870.3537681335174</v>
      </c>
      <c r="W80" s="102">
        <f>TrRoad_emi!W$40</f>
        <v>1971.4411582926118</v>
      </c>
      <c r="X80" s="102">
        <f>TrRoad_emi!X$40</f>
        <v>2002.6868628670941</v>
      </c>
      <c r="Y80" s="102">
        <f>TrRoad_emi!Y$40</f>
        <v>1978.8851574348214</v>
      </c>
      <c r="DA80" s="175" t="s">
        <v>413</v>
      </c>
    </row>
    <row r="81" spans="1:105" ht="11.45" customHeight="1" x14ac:dyDescent="0.25">
      <c r="A81" s="109" t="str">
        <f>$A$21</f>
        <v>Rail transport</v>
      </c>
      <c r="B81" s="110">
        <f>TrRail_emi!B$15</f>
        <v>34.107274104695094</v>
      </c>
      <c r="C81" s="110">
        <f>TrRail_emi!C$15</f>
        <v>25.573939771593555</v>
      </c>
      <c r="D81" s="110">
        <f>TrRail_emi!D$15</f>
        <v>22.075499542369528</v>
      </c>
      <c r="E81" s="110">
        <f>TrRail_emi!E$15</f>
        <v>17.937504687438331</v>
      </c>
      <c r="F81" s="110">
        <f>TrRail_emi!F$15</f>
        <v>17.584975309671119</v>
      </c>
      <c r="G81" s="110">
        <f>TrRail_emi!G$15</f>
        <v>17.999912443944403</v>
      </c>
      <c r="H81" s="110">
        <f>TrRail_emi!H$15</f>
        <v>16.644728009776649</v>
      </c>
      <c r="I81" s="110">
        <f>TrRail_emi!I$15</f>
        <v>18.671408619736017</v>
      </c>
      <c r="J81" s="110">
        <f>TrRail_emi!J$15</f>
        <v>15.767370123138406</v>
      </c>
      <c r="K81" s="110">
        <f>TrRail_emi!K$15</f>
        <v>11.030601104003681</v>
      </c>
      <c r="L81" s="110">
        <f>TrRail_emi!L$15</f>
        <v>10.842905598223462</v>
      </c>
      <c r="M81" s="110">
        <f>TrRail_emi!M$15</f>
        <v>10.473125389169619</v>
      </c>
      <c r="N81" s="110">
        <f>TrRail_emi!N$15</f>
        <v>8.8887131882474097</v>
      </c>
      <c r="O81" s="110">
        <f>TrRail_emi!O$15</f>
        <v>9.1486989043273663</v>
      </c>
      <c r="P81" s="110">
        <f>TrRail_emi!P$15</f>
        <v>9.4151949494580975</v>
      </c>
      <c r="Q81" s="110">
        <f>TrRail_emi!Q$15</f>
        <v>10.19493401525839</v>
      </c>
      <c r="R81" s="110">
        <f>TrRail_emi!R$15</f>
        <v>7.3710039614839307</v>
      </c>
      <c r="S81" s="110">
        <f>TrRail_emi!S$15</f>
        <v>11.416455660500066</v>
      </c>
      <c r="T81" s="110">
        <f>TrRail_emi!T$15</f>
        <v>9.5833272470647319</v>
      </c>
      <c r="U81" s="110">
        <f>TrRail_emi!U$15</f>
        <v>10.897546259401569</v>
      </c>
      <c r="V81" s="110">
        <f>TrRail_emi!V$15</f>
        <v>12.144244306120777</v>
      </c>
      <c r="W81" s="110">
        <f>TrRail_emi!W$15</f>
        <v>15.175490842981288</v>
      </c>
      <c r="X81" s="110">
        <f>TrRail_emi!X$15</f>
        <v>11.15372614178426</v>
      </c>
      <c r="Y81" s="110">
        <f>TrRail_emi!Y$15</f>
        <v>10.911513883854647</v>
      </c>
      <c r="DA81" s="176" t="s">
        <v>414</v>
      </c>
    </row>
    <row r="82" spans="1:105" ht="11.45" customHeight="1" x14ac:dyDescent="0.25">
      <c r="A82" s="109" t="str">
        <f>$A$22</f>
        <v>Aviation</v>
      </c>
      <c r="B82" s="110">
        <f t="shared" ref="B82:V82" si="67">B83+B84+B85</f>
        <v>61.01736138350207</v>
      </c>
      <c r="C82" s="110">
        <f t="shared" si="67"/>
        <v>56.403734841306047</v>
      </c>
      <c r="D82" s="110">
        <f t="shared" si="67"/>
        <v>56.752580943910111</v>
      </c>
      <c r="E82" s="110">
        <f t="shared" si="67"/>
        <v>52.375433246079126</v>
      </c>
      <c r="F82" s="110">
        <f t="shared" si="67"/>
        <v>58.910240436354982</v>
      </c>
      <c r="G82" s="110">
        <f t="shared" si="67"/>
        <v>61.849286761666242</v>
      </c>
      <c r="H82" s="110">
        <f t="shared" si="67"/>
        <v>76.492994944729986</v>
      </c>
      <c r="I82" s="110">
        <f t="shared" si="67"/>
        <v>83.687050312897924</v>
      </c>
      <c r="J82" s="110">
        <f t="shared" si="67"/>
        <v>96.477111782067993</v>
      </c>
      <c r="K82" s="110">
        <f t="shared" si="67"/>
        <v>84.984155694628299</v>
      </c>
      <c r="L82" s="110">
        <f t="shared" si="67"/>
        <v>95.299967427273401</v>
      </c>
      <c r="M82" s="110">
        <f t="shared" si="67"/>
        <v>78.686236174330901</v>
      </c>
      <c r="N82" s="110">
        <f t="shared" si="67"/>
        <v>76.927049794081142</v>
      </c>
      <c r="O82" s="110">
        <f t="shared" si="67"/>
        <v>70.393163865326173</v>
      </c>
      <c r="P82" s="110">
        <f t="shared" si="67"/>
        <v>61.373603547243789</v>
      </c>
      <c r="Q82" s="110">
        <f t="shared" si="67"/>
        <v>59.590797803435237</v>
      </c>
      <c r="R82" s="110">
        <f t="shared" si="67"/>
        <v>50.348157375626229</v>
      </c>
      <c r="S82" s="110">
        <f t="shared" si="67"/>
        <v>62.873044621006954</v>
      </c>
      <c r="T82" s="110">
        <f t="shared" si="67"/>
        <v>60.957895430022688</v>
      </c>
      <c r="U82" s="110">
        <f t="shared" si="67"/>
        <v>52.263664414799464</v>
      </c>
      <c r="V82" s="110">
        <f t="shared" si="67"/>
        <v>48.609461909245084</v>
      </c>
      <c r="W82" s="110">
        <f t="shared" ref="W82:Y82" si="68">W83+W84+W85</f>
        <v>58.214511148414694</v>
      </c>
      <c r="X82" s="110">
        <f t="shared" si="68"/>
        <v>70.28720449625996</v>
      </c>
      <c r="Y82" s="110">
        <f t="shared" si="68"/>
        <v>51.443842746536767</v>
      </c>
      <c r="DA82" s="176" t="s">
        <v>331</v>
      </c>
    </row>
    <row r="83" spans="1:105" ht="11.45" customHeight="1" x14ac:dyDescent="0.25">
      <c r="A83" s="128" t="s">
        <v>27</v>
      </c>
      <c r="B83" s="102">
        <f>TrAvia_emi!B$11</f>
        <v>16.932134813478164</v>
      </c>
      <c r="C83" s="102">
        <f>TrAvia_emi!C$11</f>
        <v>15.56367130173235</v>
      </c>
      <c r="D83" s="102">
        <f>TrAvia_emi!D$11</f>
        <v>15.370561445078826</v>
      </c>
      <c r="E83" s="102">
        <f>TrAvia_emi!E$11</f>
        <v>14.23852327636672</v>
      </c>
      <c r="F83" s="102">
        <f>TrAvia_emi!F$11</f>
        <v>14.623586504598528</v>
      </c>
      <c r="G83" s="102">
        <f>TrAvia_emi!G$11</f>
        <v>15.823231985586398</v>
      </c>
      <c r="H83" s="102">
        <f>TrAvia_emi!H$11</f>
        <v>16.914992005919242</v>
      </c>
      <c r="I83" s="102">
        <f>TrAvia_emi!I$11</f>
        <v>17.629144488951056</v>
      </c>
      <c r="J83" s="102">
        <f>TrAvia_emi!J$11</f>
        <v>16.678626782463965</v>
      </c>
      <c r="K83" s="102">
        <f>TrAvia_emi!K$11</f>
        <v>16.643667176464287</v>
      </c>
      <c r="L83" s="102">
        <f>TrAvia_emi!L$11</f>
        <v>18.181857865401746</v>
      </c>
      <c r="M83" s="102">
        <f>TrAvia_emi!M$11</f>
        <v>11.177000352976288</v>
      </c>
      <c r="N83" s="102">
        <f>TrAvia_emi!N$11</f>
        <v>10.437577545920455</v>
      </c>
      <c r="O83" s="102">
        <f>TrAvia_emi!O$11</f>
        <v>9.4629380379549666</v>
      </c>
      <c r="P83" s="102">
        <f>TrAvia_emi!P$11</f>
        <v>7.4087718548571617</v>
      </c>
      <c r="Q83" s="102">
        <f>TrAvia_emi!Q$11</f>
        <v>6.6331918359671285</v>
      </c>
      <c r="R83" s="102">
        <f>TrAvia_emi!R$11</f>
        <v>4.231513850339141</v>
      </c>
      <c r="S83" s="102">
        <f>TrAvia_emi!S$11</f>
        <v>5.8847377862350916</v>
      </c>
      <c r="T83" s="102">
        <f>TrAvia_emi!T$11</f>
        <v>6.0192464612625809</v>
      </c>
      <c r="U83" s="102">
        <f>TrAvia_emi!U$11</f>
        <v>5.9449229513439645</v>
      </c>
      <c r="V83" s="102">
        <f>TrAvia_emi!V$11</f>
        <v>5.5029176586944084</v>
      </c>
      <c r="W83" s="102">
        <f>TrAvia_emi!W$11</f>
        <v>6.2088496507790607</v>
      </c>
      <c r="X83" s="102">
        <f>TrAvia_emi!X$11</f>
        <v>6.2738053743652369</v>
      </c>
      <c r="Y83" s="102">
        <f>TrAvia_emi!Y$11</f>
        <v>6.9578620669792102</v>
      </c>
      <c r="DA83" s="175" t="s">
        <v>332</v>
      </c>
    </row>
    <row r="84" spans="1:105" ht="11.45" customHeight="1" x14ac:dyDescent="0.25">
      <c r="A84" s="128" t="str">
        <f>$A$24</f>
        <v>International - Intra-EEAwCHUK</v>
      </c>
      <c r="B84" s="102">
        <f>TrAvia_emi!B$12</f>
        <v>28.3184653199237</v>
      </c>
      <c r="C84" s="102">
        <f>TrAvia_emi!C$12</f>
        <v>25.570957449524595</v>
      </c>
      <c r="D84" s="102">
        <f>TrAvia_emi!D$12</f>
        <v>25.812959287585066</v>
      </c>
      <c r="E84" s="102">
        <f>TrAvia_emi!E$12</f>
        <v>23.063031591407139</v>
      </c>
      <c r="F84" s="102">
        <f>TrAvia_emi!F$12</f>
        <v>26.471178683796559</v>
      </c>
      <c r="G84" s="102">
        <f>TrAvia_emi!G$12</f>
        <v>25.798754647784815</v>
      </c>
      <c r="H84" s="102">
        <f>TrAvia_emi!H$12</f>
        <v>31.864908470776477</v>
      </c>
      <c r="I84" s="102">
        <f>TrAvia_emi!I$12</f>
        <v>31.093977133706009</v>
      </c>
      <c r="J84" s="102">
        <f>TrAvia_emi!J$12</f>
        <v>30.520219067062314</v>
      </c>
      <c r="K84" s="102">
        <f>TrAvia_emi!K$12</f>
        <v>26.791601569775093</v>
      </c>
      <c r="L84" s="102">
        <f>TrAvia_emi!L$12</f>
        <v>28.178914691004934</v>
      </c>
      <c r="M84" s="102">
        <f>TrAvia_emi!M$12</f>
        <v>22.834517349519562</v>
      </c>
      <c r="N84" s="102">
        <f>TrAvia_emi!N$12</f>
        <v>20.529447655370259</v>
      </c>
      <c r="O84" s="102">
        <f>TrAvia_emi!O$12</f>
        <v>17.380405062812336</v>
      </c>
      <c r="P84" s="102">
        <f>TrAvia_emi!P$12</f>
        <v>16.002696479200786</v>
      </c>
      <c r="Q84" s="102">
        <f>TrAvia_emi!Q$12</f>
        <v>16.944998855296816</v>
      </c>
      <c r="R84" s="102">
        <f>TrAvia_emi!R$12</f>
        <v>16.076464854208311</v>
      </c>
      <c r="S84" s="102">
        <f>TrAvia_emi!S$12</f>
        <v>18.594811602591701</v>
      </c>
      <c r="T84" s="102">
        <f>TrAvia_emi!T$12</f>
        <v>19.445727572780577</v>
      </c>
      <c r="U84" s="102">
        <f>TrAvia_emi!U$12</f>
        <v>19.815319124447811</v>
      </c>
      <c r="V84" s="102">
        <f>TrAvia_emi!V$12</f>
        <v>15.405209752410823</v>
      </c>
      <c r="W84" s="102">
        <f>TrAvia_emi!W$12</f>
        <v>19.004636845979011</v>
      </c>
      <c r="X84" s="102">
        <f>TrAvia_emi!X$12</f>
        <v>23.620008611785877</v>
      </c>
      <c r="Y84" s="102">
        <f>TrAvia_emi!Y$12</f>
        <v>24.990361058854536</v>
      </c>
      <c r="DA84" s="175" t="s">
        <v>333</v>
      </c>
    </row>
    <row r="85" spans="1:105" ht="11.45" customHeight="1" x14ac:dyDescent="0.25">
      <c r="A85" s="128" t="str">
        <f>$A$25</f>
        <v>International - Extra-EEAwCHUK</v>
      </c>
      <c r="B85" s="102">
        <f>TrAvia_emi!B$13</f>
        <v>15.766761250100208</v>
      </c>
      <c r="C85" s="102">
        <f>TrAvia_emi!C$13</f>
        <v>15.269106090049098</v>
      </c>
      <c r="D85" s="102">
        <f>TrAvia_emi!D$13</f>
        <v>15.569060211246217</v>
      </c>
      <c r="E85" s="102">
        <f>TrAvia_emi!E$13</f>
        <v>15.073878378305265</v>
      </c>
      <c r="F85" s="102">
        <f>TrAvia_emi!F$13</f>
        <v>17.815475247959892</v>
      </c>
      <c r="G85" s="102">
        <f>TrAvia_emi!G$13</f>
        <v>20.227300128295028</v>
      </c>
      <c r="H85" s="102">
        <f>TrAvia_emi!H$13</f>
        <v>27.713094468034274</v>
      </c>
      <c r="I85" s="102">
        <f>TrAvia_emi!I$13</f>
        <v>34.963928690240856</v>
      </c>
      <c r="J85" s="102">
        <f>TrAvia_emi!J$13</f>
        <v>49.278265932541721</v>
      </c>
      <c r="K85" s="102">
        <f>TrAvia_emi!K$13</f>
        <v>41.548886948388919</v>
      </c>
      <c r="L85" s="102">
        <f>TrAvia_emi!L$13</f>
        <v>48.939194870866729</v>
      </c>
      <c r="M85" s="102">
        <f>TrAvia_emi!M$13</f>
        <v>44.674718471835057</v>
      </c>
      <c r="N85" s="102">
        <f>TrAvia_emi!N$13</f>
        <v>45.960024592790433</v>
      </c>
      <c r="O85" s="102">
        <f>TrAvia_emi!O$13</f>
        <v>43.549820764558866</v>
      </c>
      <c r="P85" s="102">
        <f>TrAvia_emi!P$13</f>
        <v>37.962135213185839</v>
      </c>
      <c r="Q85" s="102">
        <f>TrAvia_emi!Q$13</f>
        <v>36.012607112171295</v>
      </c>
      <c r="R85" s="102">
        <f>TrAvia_emi!R$13</f>
        <v>30.040178671078777</v>
      </c>
      <c r="S85" s="102">
        <f>TrAvia_emi!S$13</f>
        <v>38.393495232180165</v>
      </c>
      <c r="T85" s="102">
        <f>TrAvia_emi!T$13</f>
        <v>35.492921395979529</v>
      </c>
      <c r="U85" s="102">
        <f>TrAvia_emi!U$13</f>
        <v>26.503422339007688</v>
      </c>
      <c r="V85" s="102">
        <f>TrAvia_emi!V$13</f>
        <v>27.70133449813985</v>
      </c>
      <c r="W85" s="102">
        <f>TrAvia_emi!W$13</f>
        <v>33.001024651656621</v>
      </c>
      <c r="X85" s="102">
        <f>TrAvia_emi!X$13</f>
        <v>40.393390510108844</v>
      </c>
      <c r="Y85" s="102">
        <f>TrAvia_emi!Y$13</f>
        <v>19.495619620703021</v>
      </c>
      <c r="DA85" s="175" t="s">
        <v>334</v>
      </c>
    </row>
    <row r="86" spans="1:105" ht="11.45" customHeight="1" x14ac:dyDescent="0.25">
      <c r="A86" s="109" t="s">
        <v>141</v>
      </c>
      <c r="B86" s="110">
        <f t="shared" ref="B86:Q86" si="69">B87+B88</f>
        <v>138.06243827999998</v>
      </c>
      <c r="C86" s="110">
        <f t="shared" si="69"/>
        <v>157.32677844</v>
      </c>
      <c r="D86" s="110">
        <f t="shared" si="69"/>
        <v>282.23642987999995</v>
      </c>
      <c r="E86" s="110">
        <f t="shared" si="69"/>
        <v>205.40433707999998</v>
      </c>
      <c r="F86" s="110">
        <f t="shared" si="69"/>
        <v>80.268884280000009</v>
      </c>
      <c r="G86" s="110">
        <f t="shared" si="69"/>
        <v>54.58283063999999</v>
      </c>
      <c r="H86" s="110">
        <f t="shared" si="69"/>
        <v>63.726029640000014</v>
      </c>
      <c r="I86" s="110">
        <f t="shared" si="69"/>
        <v>402.81539868000004</v>
      </c>
      <c r="J86" s="110">
        <f t="shared" si="69"/>
        <v>440.41890132000003</v>
      </c>
      <c r="K86" s="110">
        <f t="shared" si="69"/>
        <v>626.42402568000023</v>
      </c>
      <c r="L86" s="110">
        <f t="shared" si="69"/>
        <v>390.97331856</v>
      </c>
      <c r="M86" s="110">
        <f t="shared" si="69"/>
        <v>368.39807747999998</v>
      </c>
      <c r="N86" s="110">
        <f t="shared" si="69"/>
        <v>371.49404651999998</v>
      </c>
      <c r="O86" s="110">
        <f t="shared" si="69"/>
        <v>383.96868048000005</v>
      </c>
      <c r="P86" s="110">
        <f t="shared" si="69"/>
        <v>269.23601988000001</v>
      </c>
      <c r="Q86" s="110">
        <f t="shared" si="69"/>
        <v>304.46577432000004</v>
      </c>
      <c r="R86" s="110">
        <f t="shared" ref="R86:V86" si="70">R87+R88</f>
        <v>346.99691952000001</v>
      </c>
      <c r="S86" s="110">
        <f t="shared" si="70"/>
        <v>307.07894340000001</v>
      </c>
      <c r="T86" s="110">
        <f t="shared" si="70"/>
        <v>320.03780724000001</v>
      </c>
      <c r="U86" s="110">
        <f t="shared" si="70"/>
        <v>275.67038448000005</v>
      </c>
      <c r="V86" s="110">
        <f t="shared" si="70"/>
        <v>197.49954167999999</v>
      </c>
      <c r="W86" s="110">
        <f t="shared" ref="W86:Y86" si="71">W87+W88</f>
        <v>226.59361416000002</v>
      </c>
      <c r="X86" s="110">
        <f t="shared" si="71"/>
        <v>251.52839063999997</v>
      </c>
      <c r="Y86" s="110">
        <f t="shared" si="71"/>
        <v>224.97474815999999</v>
      </c>
      <c r="DA86" s="176" t="s">
        <v>996</v>
      </c>
    </row>
    <row r="87" spans="1:105" ht="11.45" customHeight="1" x14ac:dyDescent="0.25">
      <c r="A87" s="128" t="str">
        <f>$A$27</f>
        <v>Domestic coastal shipping</v>
      </c>
      <c r="B87" s="102">
        <f>TrNavi_emi!B$4</f>
        <v>138.06243827999998</v>
      </c>
      <c r="C87" s="102">
        <f>TrNavi_emi!C$4</f>
        <v>157.32677844</v>
      </c>
      <c r="D87" s="102">
        <f>TrNavi_emi!D$4</f>
        <v>282.23642987999995</v>
      </c>
      <c r="E87" s="102">
        <f>TrNavi_emi!E$4</f>
        <v>205.40433707999998</v>
      </c>
      <c r="F87" s="102">
        <f>TrNavi_emi!F$4</f>
        <v>80.268884280000009</v>
      </c>
      <c r="G87" s="102">
        <f>TrNavi_emi!G$4</f>
        <v>54.58283063999999</v>
      </c>
      <c r="H87" s="102">
        <f>TrNavi_emi!H$4</f>
        <v>63.726029640000014</v>
      </c>
      <c r="I87" s="102">
        <f>TrNavi_emi!I$4</f>
        <v>402.81539868000004</v>
      </c>
      <c r="J87" s="102">
        <f>TrNavi_emi!J$4</f>
        <v>440.41890132000003</v>
      </c>
      <c r="K87" s="102">
        <f>TrNavi_emi!K$4</f>
        <v>626.42402568000023</v>
      </c>
      <c r="L87" s="102">
        <f>TrNavi_emi!L$4</f>
        <v>390.97331856</v>
      </c>
      <c r="M87" s="102">
        <f>TrNavi_emi!M$4</f>
        <v>368.39807747999998</v>
      </c>
      <c r="N87" s="102">
        <f>TrNavi_emi!N$4</f>
        <v>371.49404651999998</v>
      </c>
      <c r="O87" s="102">
        <f>TrNavi_emi!O$4</f>
        <v>383.96868048000005</v>
      </c>
      <c r="P87" s="102">
        <f>TrNavi_emi!P$4</f>
        <v>269.23601988000001</v>
      </c>
      <c r="Q87" s="102">
        <f>TrNavi_emi!Q$4</f>
        <v>304.46577432000004</v>
      </c>
      <c r="R87" s="102">
        <f>TrNavi_emi!R$4</f>
        <v>346.99691952000001</v>
      </c>
      <c r="S87" s="102">
        <f>TrNavi_emi!S$4</f>
        <v>307.07894340000001</v>
      </c>
      <c r="T87" s="102">
        <f>TrNavi_emi!T$4</f>
        <v>320.03780724000001</v>
      </c>
      <c r="U87" s="102">
        <f>TrNavi_emi!U$4</f>
        <v>275.67038448000005</v>
      </c>
      <c r="V87" s="102">
        <f>TrNavi_emi!V$4</f>
        <v>197.49954167999999</v>
      </c>
      <c r="W87" s="102">
        <f>TrNavi_emi!W$4</f>
        <v>226.59361416000002</v>
      </c>
      <c r="X87" s="102">
        <f>TrNavi_emi!X$4</f>
        <v>251.52839063999997</v>
      </c>
      <c r="Y87" s="102">
        <f>TrNavi_emi!Y$4</f>
        <v>224.97474815999999</v>
      </c>
      <c r="DA87" s="175" t="s">
        <v>997</v>
      </c>
    </row>
    <row r="88" spans="1:105" ht="11.45" customHeight="1" x14ac:dyDescent="0.25">
      <c r="A88" s="166" t="str">
        <f>$A$28</f>
        <v>Inland waterways</v>
      </c>
      <c r="B88" s="169">
        <f>TrNavi_emi!B$5</f>
        <v>0</v>
      </c>
      <c r="C88" s="169">
        <f>TrNavi_emi!C$5</f>
        <v>0</v>
      </c>
      <c r="D88" s="169">
        <f>TrNavi_emi!D$5</f>
        <v>0</v>
      </c>
      <c r="E88" s="169">
        <f>TrNavi_emi!E$5</f>
        <v>0</v>
      </c>
      <c r="F88" s="169">
        <f>TrNavi_emi!F$5</f>
        <v>0</v>
      </c>
      <c r="G88" s="169">
        <f>TrNavi_emi!G$5</f>
        <v>0</v>
      </c>
      <c r="H88" s="169">
        <f>TrNavi_emi!H$5</f>
        <v>0</v>
      </c>
      <c r="I88" s="169">
        <f>TrNavi_emi!I$5</f>
        <v>0</v>
      </c>
      <c r="J88" s="169">
        <f>TrNavi_emi!J$5</f>
        <v>0</v>
      </c>
      <c r="K88" s="169">
        <f>TrNavi_emi!K$5</f>
        <v>0</v>
      </c>
      <c r="L88" s="169">
        <f>TrNavi_emi!L$5</f>
        <v>0</v>
      </c>
      <c r="M88" s="169">
        <f>TrNavi_emi!M$5</f>
        <v>0</v>
      </c>
      <c r="N88" s="169">
        <f>TrNavi_emi!N$5</f>
        <v>0</v>
      </c>
      <c r="O88" s="169">
        <f>TrNavi_emi!O$5</f>
        <v>0</v>
      </c>
      <c r="P88" s="169">
        <f>TrNavi_emi!P$5</f>
        <v>0</v>
      </c>
      <c r="Q88" s="169">
        <f>TrNavi_emi!Q$5</f>
        <v>0</v>
      </c>
      <c r="R88" s="169">
        <f>TrNavi_emi!R$5</f>
        <v>0</v>
      </c>
      <c r="S88" s="169">
        <f>TrNavi_emi!S$5</f>
        <v>0</v>
      </c>
      <c r="T88" s="169">
        <f>TrNavi_emi!T$5</f>
        <v>0</v>
      </c>
      <c r="U88" s="169">
        <f>TrNavi_emi!U$5</f>
        <v>0</v>
      </c>
      <c r="V88" s="169">
        <f>TrNavi_emi!V$5</f>
        <v>0</v>
      </c>
      <c r="W88" s="169">
        <f>TrNavi_emi!W$5</f>
        <v>0</v>
      </c>
      <c r="X88" s="169">
        <f>TrNavi_emi!X$5</f>
        <v>0</v>
      </c>
      <c r="Y88" s="169">
        <f>TrNavi_emi!Y$5</f>
        <v>0</v>
      </c>
      <c r="DA88" s="177" t="s">
        <v>998</v>
      </c>
    </row>
    <row r="89" spans="1:105" ht="11.45" customHeight="1" x14ac:dyDescent="0.25">
      <c r="A89" s="27" t="s">
        <v>169</v>
      </c>
      <c r="B89" s="28">
        <f t="shared" ref="B89:W89" si="72">B90+B91</f>
        <v>2131.0026771600005</v>
      </c>
      <c r="C89" s="28">
        <f t="shared" si="72"/>
        <v>1523.1419161199997</v>
      </c>
      <c r="D89" s="28">
        <f t="shared" si="72"/>
        <v>1549.1059704000002</v>
      </c>
      <c r="E89" s="28">
        <f t="shared" si="72"/>
        <v>1860.5185736399999</v>
      </c>
      <c r="F89" s="28">
        <f t="shared" si="72"/>
        <v>2104.9010935199999</v>
      </c>
      <c r="G89" s="28">
        <f t="shared" si="72"/>
        <v>1852.0334845200007</v>
      </c>
      <c r="H89" s="28">
        <f t="shared" si="72"/>
        <v>2029.0534149600001</v>
      </c>
      <c r="I89" s="28">
        <f t="shared" si="72"/>
        <v>1592.7628168800002</v>
      </c>
      <c r="J89" s="28">
        <f t="shared" si="72"/>
        <v>1698.4784743200005</v>
      </c>
      <c r="K89" s="28">
        <f t="shared" si="72"/>
        <v>1530.1033768800003</v>
      </c>
      <c r="L89" s="28">
        <f t="shared" si="72"/>
        <v>1478.1935667600003</v>
      </c>
      <c r="M89" s="28">
        <f t="shared" si="72"/>
        <v>1803.5448303600001</v>
      </c>
      <c r="N89" s="28">
        <f t="shared" si="72"/>
        <v>1948.7126664000002</v>
      </c>
      <c r="O89" s="28">
        <f t="shared" si="72"/>
        <v>2076.5344215600003</v>
      </c>
      <c r="P89" s="28">
        <f t="shared" si="72"/>
        <v>1952.6213354400002</v>
      </c>
      <c r="Q89" s="28">
        <f t="shared" si="72"/>
        <v>2062.4731455600004</v>
      </c>
      <c r="R89" s="28">
        <f t="shared" si="72"/>
        <v>2454.1945455600007</v>
      </c>
      <c r="S89" s="28">
        <f t="shared" si="72"/>
        <v>2498.7341782799999</v>
      </c>
      <c r="T89" s="28">
        <f t="shared" si="72"/>
        <v>2600.2311102000008</v>
      </c>
      <c r="U89" s="28">
        <f t="shared" si="72"/>
        <v>3064.1766001200003</v>
      </c>
      <c r="V89" s="28">
        <f t="shared" si="72"/>
        <v>2205.01993356</v>
      </c>
      <c r="W89" s="28">
        <f t="shared" si="72"/>
        <v>2116.6001164800005</v>
      </c>
      <c r="X89" s="28">
        <f t="shared" ref="X89:Y89" si="73">X90+X91</f>
        <v>2250.1291949999995</v>
      </c>
      <c r="Y89" s="28">
        <f t="shared" si="73"/>
        <v>1879.0330788000003</v>
      </c>
      <c r="DA89" s="173" t="s">
        <v>959</v>
      </c>
    </row>
    <row r="90" spans="1:105" ht="11.45" customHeight="1" x14ac:dyDescent="0.25">
      <c r="A90" s="128" t="str">
        <f>$A$30</f>
        <v>Intra-EEA</v>
      </c>
      <c r="B90" s="102">
        <f>MBunk_emi!B$4</f>
        <v>861.38056195560875</v>
      </c>
      <c r="C90" s="102">
        <f>MBunk_emi!C$4</f>
        <v>614.65658056170969</v>
      </c>
      <c r="D90" s="102">
        <f>MBunk_emi!D$4</f>
        <v>611.95266796908709</v>
      </c>
      <c r="E90" s="102">
        <f>MBunk_emi!E$4</f>
        <v>697.81097960623981</v>
      </c>
      <c r="F90" s="102">
        <f>MBunk_emi!F$4</f>
        <v>837.82127152564738</v>
      </c>
      <c r="G90" s="102">
        <f>MBunk_emi!G$4</f>
        <v>746.13918121518918</v>
      </c>
      <c r="H90" s="102">
        <f>MBunk_emi!H$4</f>
        <v>781.02376652858925</v>
      </c>
      <c r="I90" s="102">
        <f>MBunk_emi!I$4</f>
        <v>598.0218614093294</v>
      </c>
      <c r="J90" s="102">
        <f>MBunk_emi!J$4</f>
        <v>629.94667051199349</v>
      </c>
      <c r="K90" s="102">
        <f>MBunk_emi!K$4</f>
        <v>602.61377205986457</v>
      </c>
      <c r="L90" s="102">
        <f>MBunk_emi!L$4</f>
        <v>571.66236119868154</v>
      </c>
      <c r="M90" s="102">
        <f>MBunk_emi!M$4</f>
        <v>672.88838601900841</v>
      </c>
      <c r="N90" s="102">
        <f>MBunk_emi!N$4</f>
        <v>721.4672449964911</v>
      </c>
      <c r="O90" s="102">
        <f>MBunk_emi!O$4</f>
        <v>762.96476103017187</v>
      </c>
      <c r="P90" s="102">
        <f>MBunk_emi!P$4</f>
        <v>728.8019012902156</v>
      </c>
      <c r="Q90" s="102">
        <f>MBunk_emi!Q$4</f>
        <v>745.30252008227194</v>
      </c>
      <c r="R90" s="102">
        <f>MBunk_emi!R$4</f>
        <v>881.29500241113669</v>
      </c>
      <c r="S90" s="102">
        <f>MBunk_emi!S$4</f>
        <v>904.67239014783388</v>
      </c>
      <c r="T90" s="102">
        <f>MBunk_emi!T$4</f>
        <v>992.0623892714583</v>
      </c>
      <c r="U90" s="102">
        <f>MBunk_emi!U$4</f>
        <v>1269.6870699213973</v>
      </c>
      <c r="V90" s="102">
        <f>MBunk_emi!V$4</f>
        <v>810.34888671060207</v>
      </c>
      <c r="W90" s="102">
        <f>MBunk_emi!W$4</f>
        <v>780.48572163299173</v>
      </c>
      <c r="X90" s="102">
        <f>MBunk_emi!X$4</f>
        <v>895.10493362730745</v>
      </c>
      <c r="Y90" s="102">
        <f>MBunk_emi!Y$4</f>
        <v>736.67199913749755</v>
      </c>
      <c r="DA90" s="175" t="s">
        <v>960</v>
      </c>
    </row>
    <row r="91" spans="1:105" ht="11.45" customHeight="1" x14ac:dyDescent="0.25">
      <c r="A91" s="138" t="str">
        <f>$A$31</f>
        <v>Extra-EEA</v>
      </c>
      <c r="B91" s="86">
        <f>MBunk_emi!B$5</f>
        <v>1269.6221152043915</v>
      </c>
      <c r="C91" s="86">
        <f>MBunk_emi!C$5</f>
        <v>908.48533555828999</v>
      </c>
      <c r="D91" s="86">
        <f>MBunk_emi!D$5</f>
        <v>937.15330243091307</v>
      </c>
      <c r="E91" s="86">
        <f>MBunk_emi!E$5</f>
        <v>1162.70759403376</v>
      </c>
      <c r="F91" s="86">
        <f>MBunk_emi!F$5</f>
        <v>1267.0798219943526</v>
      </c>
      <c r="G91" s="86">
        <f>MBunk_emi!G$5</f>
        <v>1105.8943033048115</v>
      </c>
      <c r="H91" s="86">
        <f>MBunk_emi!H$5</f>
        <v>1248.0296484314108</v>
      </c>
      <c r="I91" s="86">
        <f>MBunk_emi!I$5</f>
        <v>994.74095547067077</v>
      </c>
      <c r="J91" s="86">
        <f>MBunk_emi!J$5</f>
        <v>1068.531803808007</v>
      </c>
      <c r="K91" s="86">
        <f>MBunk_emi!K$5</f>
        <v>927.4896048201357</v>
      </c>
      <c r="L91" s="86">
        <f>MBunk_emi!L$5</f>
        <v>906.53120556131876</v>
      </c>
      <c r="M91" s="86">
        <f>MBunk_emi!M$5</f>
        <v>1130.6564443409916</v>
      </c>
      <c r="N91" s="86">
        <f>MBunk_emi!N$5</f>
        <v>1227.245421403509</v>
      </c>
      <c r="O91" s="86">
        <f>MBunk_emi!O$5</f>
        <v>1313.5696605298283</v>
      </c>
      <c r="P91" s="86">
        <f>MBunk_emi!P$5</f>
        <v>1223.8194341497847</v>
      </c>
      <c r="Q91" s="86">
        <f>MBunk_emi!Q$5</f>
        <v>1317.1706254777284</v>
      </c>
      <c r="R91" s="86">
        <f>MBunk_emi!R$5</f>
        <v>1572.8995431488643</v>
      </c>
      <c r="S91" s="86">
        <f>MBunk_emi!S$5</f>
        <v>1594.0617881321662</v>
      </c>
      <c r="T91" s="86">
        <f>MBunk_emi!T$5</f>
        <v>1608.1687209285424</v>
      </c>
      <c r="U91" s="86">
        <f>MBunk_emi!U$5</f>
        <v>1794.489530198603</v>
      </c>
      <c r="V91" s="86">
        <f>MBunk_emi!V$5</f>
        <v>1394.6710468493977</v>
      </c>
      <c r="W91" s="86">
        <f>MBunk_emi!W$5</f>
        <v>1336.1143948470087</v>
      </c>
      <c r="X91" s="86">
        <f>MBunk_emi!X$5</f>
        <v>1355.0242613726923</v>
      </c>
      <c r="Y91" s="86">
        <f>MBunk_emi!Y$5</f>
        <v>1142.3610796625028</v>
      </c>
      <c r="DA91" s="178" t="s">
        <v>961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DA92" s="171"/>
    </row>
    <row r="93" spans="1:105" ht="11.45" customHeight="1" x14ac:dyDescent="0.25">
      <c r="A93" s="68" t="s">
        <v>36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DA93" s="179"/>
    </row>
    <row r="94" spans="1:105" x14ac:dyDescent="0.25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DA94" s="171"/>
    </row>
    <row r="95" spans="1:105" ht="11.45" customHeight="1" x14ac:dyDescent="0.25">
      <c r="A95" s="53" t="s">
        <v>37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DA95" s="172"/>
    </row>
    <row r="96" spans="1:105" ht="11.45" customHeight="1" x14ac:dyDescent="0.25">
      <c r="A96" s="27" t="s">
        <v>38</v>
      </c>
      <c r="B96" s="31">
        <f t="shared" ref="B96:Y96" si="74">IF(B4=0,0,B4/B$4)</f>
        <v>1</v>
      </c>
      <c r="C96" s="31">
        <f t="shared" si="74"/>
        <v>1</v>
      </c>
      <c r="D96" s="31">
        <f t="shared" si="74"/>
        <v>1</v>
      </c>
      <c r="E96" s="31">
        <f t="shared" si="74"/>
        <v>1</v>
      </c>
      <c r="F96" s="31">
        <f t="shared" si="74"/>
        <v>1</v>
      </c>
      <c r="G96" s="31">
        <f t="shared" si="74"/>
        <v>1</v>
      </c>
      <c r="H96" s="31">
        <f t="shared" si="74"/>
        <v>1</v>
      </c>
      <c r="I96" s="31">
        <f t="shared" si="74"/>
        <v>1</v>
      </c>
      <c r="J96" s="31">
        <f t="shared" si="74"/>
        <v>1</v>
      </c>
      <c r="K96" s="31">
        <f t="shared" si="74"/>
        <v>1</v>
      </c>
      <c r="L96" s="31">
        <f t="shared" si="74"/>
        <v>1</v>
      </c>
      <c r="M96" s="31">
        <f t="shared" si="74"/>
        <v>1</v>
      </c>
      <c r="N96" s="31">
        <f t="shared" si="74"/>
        <v>1</v>
      </c>
      <c r="O96" s="31">
        <f t="shared" si="74"/>
        <v>1</v>
      </c>
      <c r="P96" s="31">
        <f t="shared" si="74"/>
        <v>1</v>
      </c>
      <c r="Q96" s="31">
        <f t="shared" si="74"/>
        <v>1</v>
      </c>
      <c r="R96" s="31">
        <f t="shared" si="74"/>
        <v>1</v>
      </c>
      <c r="S96" s="31">
        <f t="shared" si="74"/>
        <v>1</v>
      </c>
      <c r="T96" s="31">
        <f t="shared" si="74"/>
        <v>1</v>
      </c>
      <c r="U96" s="31">
        <f t="shared" si="74"/>
        <v>1</v>
      </c>
      <c r="V96" s="31">
        <f t="shared" si="74"/>
        <v>1</v>
      </c>
      <c r="W96" s="31">
        <f t="shared" si="74"/>
        <v>1</v>
      </c>
      <c r="X96" s="31">
        <f t="shared" si="74"/>
        <v>1</v>
      </c>
      <c r="Y96" s="31">
        <f t="shared" si="74"/>
        <v>1</v>
      </c>
      <c r="DA96" s="173"/>
    </row>
    <row r="97" spans="1:105" ht="11.45" customHeight="1" x14ac:dyDescent="0.25">
      <c r="A97" s="136" t="str">
        <f>$A$5</f>
        <v>Road transport</v>
      </c>
      <c r="B97" s="139">
        <f t="shared" ref="B97:Y97" si="75">IF(B5=0,0,B5/B$4)</f>
        <v>0.77290764570507253</v>
      </c>
      <c r="C97" s="139">
        <f t="shared" si="75"/>
        <v>0.77970534016964799</v>
      </c>
      <c r="D97" s="139">
        <f t="shared" si="75"/>
        <v>0.78333094137867743</v>
      </c>
      <c r="E97" s="139">
        <f t="shared" si="75"/>
        <v>0.78879136670154482</v>
      </c>
      <c r="F97" s="139">
        <f t="shared" si="75"/>
        <v>0.78647247497352624</v>
      </c>
      <c r="G97" s="139">
        <f t="shared" si="75"/>
        <v>0.77137542208189969</v>
      </c>
      <c r="H97" s="139">
        <f t="shared" si="75"/>
        <v>0.7639933693126898</v>
      </c>
      <c r="I97" s="139">
        <f t="shared" si="75"/>
        <v>0.74867607876223907</v>
      </c>
      <c r="J97" s="139">
        <f t="shared" si="75"/>
        <v>0.74378886885756423</v>
      </c>
      <c r="K97" s="139">
        <f t="shared" si="75"/>
        <v>0.74697724114659847</v>
      </c>
      <c r="L97" s="139">
        <f t="shared" si="75"/>
        <v>0.7314658464117354</v>
      </c>
      <c r="M97" s="139">
        <f t="shared" si="75"/>
        <v>0.71680593157866956</v>
      </c>
      <c r="N97" s="139">
        <f t="shared" si="75"/>
        <v>0.71174897272013782</v>
      </c>
      <c r="O97" s="139">
        <f t="shared" si="75"/>
        <v>0.70240621994098107</v>
      </c>
      <c r="P97" s="139">
        <f t="shared" si="75"/>
        <v>0.6905664373613527</v>
      </c>
      <c r="Q97" s="139">
        <f t="shared" si="75"/>
        <v>0.67948940210329656</v>
      </c>
      <c r="R97" s="139">
        <f t="shared" si="75"/>
        <v>0.66843940953824066</v>
      </c>
      <c r="S97" s="139">
        <f t="shared" si="75"/>
        <v>0.64054767430903792</v>
      </c>
      <c r="T97" s="139">
        <f t="shared" si="75"/>
        <v>0.63058752414546693</v>
      </c>
      <c r="U97" s="139">
        <f t="shared" si="75"/>
        <v>0.61380635526909377</v>
      </c>
      <c r="V97" s="139">
        <f t="shared" si="75"/>
        <v>0.8083867941407521</v>
      </c>
      <c r="W97" s="139">
        <f t="shared" si="75"/>
        <v>0.78113272688390745</v>
      </c>
      <c r="X97" s="139">
        <f t="shared" si="75"/>
        <v>0.63264588415985668</v>
      </c>
      <c r="Y97" s="139">
        <f t="shared" si="75"/>
        <v>0.5991303295881597</v>
      </c>
      <c r="DA97" s="174"/>
    </row>
    <row r="98" spans="1:105" ht="11.45" customHeight="1" x14ac:dyDescent="0.25">
      <c r="A98" s="128" t="str">
        <f>$A$6</f>
        <v>Powered two-wheelers</v>
      </c>
      <c r="B98" s="140">
        <f t="shared" ref="B98:Y98" si="76">IF(B6=0,0,B6/B$4)</f>
        <v>1.4418891920026475E-2</v>
      </c>
      <c r="C98" s="140">
        <f t="shared" si="76"/>
        <v>1.5401091217745759E-2</v>
      </c>
      <c r="D98" s="140">
        <f t="shared" si="76"/>
        <v>1.6025607305998162E-2</v>
      </c>
      <c r="E98" s="140">
        <f t="shared" si="76"/>
        <v>1.6229490772822788E-2</v>
      </c>
      <c r="F98" s="140">
        <f t="shared" si="76"/>
        <v>1.6994812068043569E-2</v>
      </c>
      <c r="G98" s="140">
        <f t="shared" si="76"/>
        <v>1.794482826859933E-2</v>
      </c>
      <c r="H98" s="140">
        <f t="shared" si="76"/>
        <v>1.8536607428466741E-2</v>
      </c>
      <c r="I98" s="140">
        <f t="shared" si="76"/>
        <v>1.7096734556328038E-2</v>
      </c>
      <c r="J98" s="140">
        <f t="shared" si="76"/>
        <v>1.7101209945647119E-2</v>
      </c>
      <c r="K98" s="140">
        <f t="shared" si="76"/>
        <v>1.6317264195285789E-2</v>
      </c>
      <c r="L98" s="140">
        <f t="shared" si="76"/>
        <v>1.5842661880027645E-2</v>
      </c>
      <c r="M98" s="140">
        <f t="shared" si="76"/>
        <v>1.5315070492931054E-2</v>
      </c>
      <c r="N98" s="140">
        <f t="shared" si="76"/>
        <v>1.5466636892667404E-2</v>
      </c>
      <c r="O98" s="140">
        <f t="shared" si="76"/>
        <v>1.5030006412772575E-2</v>
      </c>
      <c r="P98" s="140">
        <f t="shared" si="76"/>
        <v>1.4395745716051204E-2</v>
      </c>
      <c r="Q98" s="140">
        <f t="shared" si="76"/>
        <v>1.3606077486324388E-2</v>
      </c>
      <c r="R98" s="140">
        <f t="shared" si="76"/>
        <v>1.3405361230907966E-2</v>
      </c>
      <c r="S98" s="140">
        <f t="shared" si="76"/>
        <v>1.1944847052820671E-2</v>
      </c>
      <c r="T98" s="140">
        <f t="shared" si="76"/>
        <v>1.0878986637456265E-2</v>
      </c>
      <c r="U98" s="140">
        <f t="shared" si="76"/>
        <v>1.1060137480480934E-2</v>
      </c>
      <c r="V98" s="140">
        <f t="shared" si="76"/>
        <v>1.5430825307386254E-2</v>
      </c>
      <c r="W98" s="140">
        <f t="shared" si="76"/>
        <v>1.4452763762026881E-2</v>
      </c>
      <c r="X98" s="140">
        <f t="shared" si="76"/>
        <v>1.0983002176148051E-2</v>
      </c>
      <c r="Y98" s="140">
        <f t="shared" si="76"/>
        <v>1.0977676121156462E-2</v>
      </c>
      <c r="DA98" s="175"/>
    </row>
    <row r="99" spans="1:105" ht="11.45" customHeight="1" x14ac:dyDescent="0.25">
      <c r="A99" s="128" t="str">
        <f>$A$7</f>
        <v>Passenger cars</v>
      </c>
      <c r="B99" s="140">
        <f t="shared" ref="B99:Y99" si="77">IF(B7=0,0,B7/B$4)</f>
        <v>0.65023003246445077</v>
      </c>
      <c r="C99" s="140">
        <f t="shared" si="77"/>
        <v>0.66320216009292721</v>
      </c>
      <c r="D99" s="140">
        <f t="shared" si="77"/>
        <v>0.68030974094489916</v>
      </c>
      <c r="E99" s="140">
        <f t="shared" si="77"/>
        <v>0.68411392036019036</v>
      </c>
      <c r="F99" s="140">
        <f t="shared" si="77"/>
        <v>0.6808157641714021</v>
      </c>
      <c r="G99" s="140">
        <f t="shared" si="77"/>
        <v>0.70085598004085337</v>
      </c>
      <c r="H99" s="140">
        <f t="shared" si="77"/>
        <v>0.69635299886904956</v>
      </c>
      <c r="I99" s="140">
        <f t="shared" si="77"/>
        <v>0.6823439137557874</v>
      </c>
      <c r="J99" s="140">
        <f t="shared" si="77"/>
        <v>0.67774489734076304</v>
      </c>
      <c r="K99" s="140">
        <f t="shared" si="77"/>
        <v>0.68300556681079749</v>
      </c>
      <c r="L99" s="140">
        <f t="shared" si="77"/>
        <v>0.66717856502901352</v>
      </c>
      <c r="M99" s="140">
        <f t="shared" si="77"/>
        <v>0.65540238802259032</v>
      </c>
      <c r="N99" s="140">
        <f t="shared" si="77"/>
        <v>0.64998526993312722</v>
      </c>
      <c r="O99" s="140">
        <f t="shared" si="77"/>
        <v>0.64027054741577072</v>
      </c>
      <c r="P99" s="140">
        <f t="shared" si="77"/>
        <v>0.6331886344606118</v>
      </c>
      <c r="Q99" s="140">
        <f t="shared" si="77"/>
        <v>0.62543313095801834</v>
      </c>
      <c r="R99" s="140">
        <f t="shared" si="77"/>
        <v>0.61876144583497916</v>
      </c>
      <c r="S99" s="140">
        <f t="shared" si="77"/>
        <v>0.58886184935606833</v>
      </c>
      <c r="T99" s="140">
        <f t="shared" si="77"/>
        <v>0.57917436164423397</v>
      </c>
      <c r="U99" s="140">
        <f t="shared" si="77"/>
        <v>0.5644372967193193</v>
      </c>
      <c r="V99" s="140">
        <f t="shared" si="77"/>
        <v>0.75909468343265729</v>
      </c>
      <c r="W99" s="140">
        <f t="shared" si="77"/>
        <v>0.72150275508953066</v>
      </c>
      <c r="X99" s="140">
        <f t="shared" si="77"/>
        <v>0.57263284658526459</v>
      </c>
      <c r="Y99" s="140">
        <f t="shared" si="77"/>
        <v>0.54198373686117507</v>
      </c>
      <c r="DA99" s="175"/>
    </row>
    <row r="100" spans="1:105" ht="11.45" customHeight="1" x14ac:dyDescent="0.25">
      <c r="A100" s="128" t="str">
        <f>$A$8</f>
        <v>Motor coaches, buses and trolley buses</v>
      </c>
      <c r="B100" s="140">
        <f t="shared" ref="B100:Y100" si="78">IF(B8=0,0,B8/B$4)</f>
        <v>0.10825872132059537</v>
      </c>
      <c r="C100" s="140">
        <f t="shared" si="78"/>
        <v>0.10110208885897506</v>
      </c>
      <c r="D100" s="140">
        <f t="shared" si="78"/>
        <v>8.6995593127780158E-2</v>
      </c>
      <c r="E100" s="140">
        <f t="shared" si="78"/>
        <v>8.8447955568531619E-2</v>
      </c>
      <c r="F100" s="140">
        <f t="shared" si="78"/>
        <v>8.8661898734080549E-2</v>
      </c>
      <c r="G100" s="140">
        <f t="shared" si="78"/>
        <v>5.2574613772447008E-2</v>
      </c>
      <c r="H100" s="140">
        <f t="shared" si="78"/>
        <v>4.9103763015173482E-2</v>
      </c>
      <c r="I100" s="140">
        <f t="shared" si="78"/>
        <v>4.9235430450123581E-2</v>
      </c>
      <c r="J100" s="140">
        <f t="shared" si="78"/>
        <v>4.8942761571154049E-2</v>
      </c>
      <c r="K100" s="140">
        <f t="shared" si="78"/>
        <v>4.7654410140515226E-2</v>
      </c>
      <c r="L100" s="140">
        <f t="shared" si="78"/>
        <v>4.8444619502694332E-2</v>
      </c>
      <c r="M100" s="140">
        <f t="shared" si="78"/>
        <v>4.6088473063148207E-2</v>
      </c>
      <c r="N100" s="140">
        <f t="shared" si="78"/>
        <v>4.6297065894343167E-2</v>
      </c>
      <c r="O100" s="140">
        <f t="shared" si="78"/>
        <v>4.7105666112437793E-2</v>
      </c>
      <c r="P100" s="140">
        <f t="shared" si="78"/>
        <v>4.2982057184689663E-2</v>
      </c>
      <c r="Q100" s="140">
        <f t="shared" si="78"/>
        <v>4.0450193658953824E-2</v>
      </c>
      <c r="R100" s="140">
        <f t="shared" si="78"/>
        <v>3.6272602472353449E-2</v>
      </c>
      <c r="S100" s="140">
        <f t="shared" si="78"/>
        <v>3.9740977900148917E-2</v>
      </c>
      <c r="T100" s="140">
        <f t="shared" si="78"/>
        <v>4.0534175863776646E-2</v>
      </c>
      <c r="U100" s="140">
        <f t="shared" si="78"/>
        <v>3.8308921069293546E-2</v>
      </c>
      <c r="V100" s="140">
        <f t="shared" si="78"/>
        <v>3.3861285400708652E-2</v>
      </c>
      <c r="W100" s="140">
        <f t="shared" si="78"/>
        <v>4.5177208032349932E-2</v>
      </c>
      <c r="X100" s="140">
        <f t="shared" si="78"/>
        <v>4.9030035398443993E-2</v>
      </c>
      <c r="Y100" s="140">
        <f t="shared" si="78"/>
        <v>4.6168916605828142E-2</v>
      </c>
      <c r="DA100" s="175"/>
    </row>
    <row r="101" spans="1:105" ht="11.45" customHeight="1" x14ac:dyDescent="0.25">
      <c r="A101" s="109" t="str">
        <f>$A$9</f>
        <v>Rail, metro and tram</v>
      </c>
      <c r="B101" s="124">
        <f t="shared" ref="B101:Y101" si="79">IF(B9=0,0,B9/B$4)</f>
        <v>4.1779569128208793E-2</v>
      </c>
      <c r="C101" s="124">
        <f t="shared" si="79"/>
        <v>4.1105849731442767E-2</v>
      </c>
      <c r="D101" s="124">
        <f t="shared" si="79"/>
        <v>3.9181288168962984E-2</v>
      </c>
      <c r="E101" s="124">
        <f t="shared" si="79"/>
        <v>3.7966224071032416E-2</v>
      </c>
      <c r="F101" s="124">
        <f t="shared" si="79"/>
        <v>3.7723755414750343E-2</v>
      </c>
      <c r="G101" s="124">
        <f t="shared" si="79"/>
        <v>3.8396320658257918E-2</v>
      </c>
      <c r="H101" s="124">
        <f t="shared" si="79"/>
        <v>3.9382810649991669E-2</v>
      </c>
      <c r="I101" s="124">
        <f t="shared" si="79"/>
        <v>3.9686965770870525E-2</v>
      </c>
      <c r="J101" s="124">
        <f t="shared" si="79"/>
        <v>4.1348367058095463E-2</v>
      </c>
      <c r="K101" s="124">
        <f t="shared" si="79"/>
        <v>4.2117490625836654E-2</v>
      </c>
      <c r="L101" s="124">
        <f t="shared" si="79"/>
        <v>4.1802148717058528E-2</v>
      </c>
      <c r="M101" s="124">
        <f t="shared" si="79"/>
        <v>4.2425030332487713E-2</v>
      </c>
      <c r="N101" s="124">
        <f t="shared" si="79"/>
        <v>3.8233217065490349E-2</v>
      </c>
      <c r="O101" s="124">
        <f t="shared" si="79"/>
        <v>3.5900539719949984E-2</v>
      </c>
      <c r="P101" s="124">
        <f t="shared" si="79"/>
        <v>3.6611572290951994E-2</v>
      </c>
      <c r="Q101" s="124">
        <f t="shared" si="79"/>
        <v>3.6767634091702618E-2</v>
      </c>
      <c r="R101" s="124">
        <f t="shared" si="79"/>
        <v>3.6438808010251941E-2</v>
      </c>
      <c r="S101" s="124">
        <f t="shared" si="79"/>
        <v>3.6006132064424726E-2</v>
      </c>
      <c r="T101" s="124">
        <f t="shared" si="79"/>
        <v>3.4861923677053062E-2</v>
      </c>
      <c r="U101" s="124">
        <f t="shared" si="79"/>
        <v>3.6539832073827966E-2</v>
      </c>
      <c r="V101" s="124">
        <f t="shared" si="79"/>
        <v>2.8769710520672516E-2</v>
      </c>
      <c r="W101" s="124">
        <f t="shared" si="79"/>
        <v>2.8361902895537212E-2</v>
      </c>
      <c r="X101" s="124">
        <f t="shared" si="79"/>
        <v>3.2736213337397534E-2</v>
      </c>
      <c r="Y101" s="124">
        <f t="shared" si="79"/>
        <v>3.3299870458455949E-2</v>
      </c>
      <c r="DA101" s="176"/>
    </row>
    <row r="102" spans="1:105" ht="11.45" customHeight="1" x14ac:dyDescent="0.25">
      <c r="A102" s="128" t="str">
        <f>$A$10</f>
        <v>Metro and tram, urban light rail</v>
      </c>
      <c r="B102" s="140">
        <f t="shared" ref="B102:Y102" si="80">IF(B10=0,0,B10/B$4)</f>
        <v>4.853829819805055E-3</v>
      </c>
      <c r="C102" s="140">
        <f t="shared" si="80"/>
        <v>4.9377756455006193E-3</v>
      </c>
      <c r="D102" s="140">
        <f t="shared" si="80"/>
        <v>4.8155773168557852E-3</v>
      </c>
      <c r="E102" s="140">
        <f t="shared" si="80"/>
        <v>6.4634075911330887E-3</v>
      </c>
      <c r="F102" s="140">
        <f t="shared" si="80"/>
        <v>6.947601834375634E-3</v>
      </c>
      <c r="G102" s="140">
        <f t="shared" si="80"/>
        <v>6.9897273879566124E-3</v>
      </c>
      <c r="H102" s="140">
        <f t="shared" si="80"/>
        <v>7.9983429335214792E-3</v>
      </c>
      <c r="I102" s="140">
        <f t="shared" si="80"/>
        <v>8.2723562541924204E-3</v>
      </c>
      <c r="J102" s="140">
        <f t="shared" si="80"/>
        <v>8.5283756500881738E-3</v>
      </c>
      <c r="K102" s="140">
        <f t="shared" si="80"/>
        <v>8.6581597773030521E-3</v>
      </c>
      <c r="L102" s="140">
        <f t="shared" si="80"/>
        <v>9.0330796509381604E-3</v>
      </c>
      <c r="M102" s="140">
        <f t="shared" si="80"/>
        <v>9.0443704404263494E-3</v>
      </c>
      <c r="N102" s="140">
        <f t="shared" si="80"/>
        <v>8.1361672199882877E-3</v>
      </c>
      <c r="O102" s="140">
        <f t="shared" si="80"/>
        <v>7.3618421200354039E-3</v>
      </c>
      <c r="P102" s="140">
        <f t="shared" si="80"/>
        <v>7.3439597267970355E-3</v>
      </c>
      <c r="Q102" s="140">
        <f t="shared" si="80"/>
        <v>7.4684548296707134E-3</v>
      </c>
      <c r="R102" s="140">
        <f t="shared" si="80"/>
        <v>7.2593016653415511E-3</v>
      </c>
      <c r="S102" s="140">
        <f t="shared" si="80"/>
        <v>7.1607406669075262E-3</v>
      </c>
      <c r="T102" s="140">
        <f t="shared" si="80"/>
        <v>7.1349847274998967E-3</v>
      </c>
      <c r="U102" s="140">
        <f t="shared" si="80"/>
        <v>7.4365344779255566E-3</v>
      </c>
      <c r="V102" s="140">
        <f t="shared" si="80"/>
        <v>5.9303832589461241E-3</v>
      </c>
      <c r="W102" s="140">
        <f t="shared" si="80"/>
        <v>5.1732772649160565E-3</v>
      </c>
      <c r="X102" s="140">
        <f t="shared" si="80"/>
        <v>6.5285824072489982E-3</v>
      </c>
      <c r="Y102" s="140">
        <f t="shared" si="80"/>
        <v>7.2543449573409871E-3</v>
      </c>
      <c r="DA102" s="175"/>
    </row>
    <row r="103" spans="1:105" ht="11.45" customHeight="1" x14ac:dyDescent="0.25">
      <c r="A103" s="128" t="str">
        <f>$A$11</f>
        <v>Conventional passenger trains</v>
      </c>
      <c r="B103" s="140">
        <f t="shared" ref="B103:Y103" si="81">IF(B11=0,0,B11/B$4)</f>
        <v>3.6925739308403739E-2</v>
      </c>
      <c r="C103" s="140">
        <f t="shared" si="81"/>
        <v>3.6168074085942151E-2</v>
      </c>
      <c r="D103" s="140">
        <f t="shared" si="81"/>
        <v>3.4365710852107198E-2</v>
      </c>
      <c r="E103" s="140">
        <f t="shared" si="81"/>
        <v>3.1502816479899325E-2</v>
      </c>
      <c r="F103" s="140">
        <f t="shared" si="81"/>
        <v>2.7199820168582765E-2</v>
      </c>
      <c r="G103" s="140">
        <f t="shared" si="81"/>
        <v>2.7366364679477558E-2</v>
      </c>
      <c r="H103" s="140">
        <f t="shared" si="81"/>
        <v>2.7271126746406502E-2</v>
      </c>
      <c r="I103" s="140">
        <f t="shared" si="81"/>
        <v>2.742770396979094E-2</v>
      </c>
      <c r="J103" s="140">
        <f t="shared" si="81"/>
        <v>2.8730151510261308E-2</v>
      </c>
      <c r="K103" s="140">
        <f t="shared" si="81"/>
        <v>2.9258052420127651E-2</v>
      </c>
      <c r="L103" s="140">
        <f t="shared" si="81"/>
        <v>2.863001601910161E-2</v>
      </c>
      <c r="M103" s="140">
        <f t="shared" si="81"/>
        <v>2.9709338789937079E-2</v>
      </c>
      <c r="N103" s="140">
        <f t="shared" si="81"/>
        <v>2.6440768744102654E-2</v>
      </c>
      <c r="O103" s="140">
        <f t="shared" si="81"/>
        <v>2.4901949344513018E-2</v>
      </c>
      <c r="P103" s="140">
        <f t="shared" si="81"/>
        <v>2.5179872283906939E-2</v>
      </c>
      <c r="Q103" s="140">
        <f t="shared" si="81"/>
        <v>2.5086080197059414E-2</v>
      </c>
      <c r="R103" s="140">
        <f t="shared" si="81"/>
        <v>2.4978984394260387E-2</v>
      </c>
      <c r="S103" s="140">
        <f t="shared" si="81"/>
        <v>2.467443466975397E-2</v>
      </c>
      <c r="T103" s="140">
        <f t="shared" si="81"/>
        <v>2.3716543622276442E-2</v>
      </c>
      <c r="U103" s="140">
        <f t="shared" si="81"/>
        <v>2.5096196680620891E-2</v>
      </c>
      <c r="V103" s="140">
        <f t="shared" si="81"/>
        <v>2.0852136477736934E-2</v>
      </c>
      <c r="W103" s="140">
        <f t="shared" si="81"/>
        <v>2.10385813585512E-2</v>
      </c>
      <c r="X103" s="140">
        <f t="shared" si="81"/>
        <v>2.2939831735192248E-2</v>
      </c>
      <c r="Y103" s="140">
        <f t="shared" si="81"/>
        <v>2.2809386486687757E-2</v>
      </c>
      <c r="DA103" s="175"/>
    </row>
    <row r="104" spans="1:105" ht="11.45" customHeight="1" x14ac:dyDescent="0.25">
      <c r="A104" s="128" t="str">
        <f>$A$12</f>
        <v>High speed passenger trains</v>
      </c>
      <c r="B104" s="140">
        <f t="shared" ref="B104:Y104" si="82">IF(B12=0,0,B12/B$4)</f>
        <v>0</v>
      </c>
      <c r="C104" s="140">
        <f t="shared" si="82"/>
        <v>0</v>
      </c>
      <c r="D104" s="140">
        <f t="shared" si="82"/>
        <v>0</v>
      </c>
      <c r="E104" s="140">
        <f t="shared" si="82"/>
        <v>0</v>
      </c>
      <c r="F104" s="140">
        <f t="shared" si="82"/>
        <v>3.5763334117919435E-3</v>
      </c>
      <c r="G104" s="140">
        <f t="shared" si="82"/>
        <v>4.0402285908237431E-3</v>
      </c>
      <c r="H104" s="140">
        <f t="shared" si="82"/>
        <v>4.1133409700636883E-3</v>
      </c>
      <c r="I104" s="140">
        <f t="shared" si="82"/>
        <v>3.9869055468871638E-3</v>
      </c>
      <c r="J104" s="140">
        <f t="shared" si="82"/>
        <v>4.0898398977459831E-3</v>
      </c>
      <c r="K104" s="140">
        <f t="shared" si="82"/>
        <v>4.2012784284059523E-3</v>
      </c>
      <c r="L104" s="140">
        <f t="shared" si="82"/>
        <v>4.1390530470187502E-3</v>
      </c>
      <c r="M104" s="140">
        <f t="shared" si="82"/>
        <v>3.6713211021242851E-3</v>
      </c>
      <c r="N104" s="140">
        <f t="shared" si="82"/>
        <v>3.6562811013994092E-3</v>
      </c>
      <c r="O104" s="140">
        <f t="shared" si="82"/>
        <v>3.6367482554015558E-3</v>
      </c>
      <c r="P104" s="140">
        <f t="shared" si="82"/>
        <v>4.0877402802480187E-3</v>
      </c>
      <c r="Q104" s="140">
        <f t="shared" si="82"/>
        <v>4.2130990649724932E-3</v>
      </c>
      <c r="R104" s="140">
        <f t="shared" si="82"/>
        <v>4.2005219506500054E-3</v>
      </c>
      <c r="S104" s="140">
        <f t="shared" si="82"/>
        <v>4.1709567277632264E-3</v>
      </c>
      <c r="T104" s="140">
        <f t="shared" si="82"/>
        <v>4.0103953272767274E-3</v>
      </c>
      <c r="U104" s="140">
        <f t="shared" si="82"/>
        <v>4.0071009152815185E-3</v>
      </c>
      <c r="V104" s="140">
        <f t="shared" si="82"/>
        <v>1.9871907839894599E-3</v>
      </c>
      <c r="W104" s="140">
        <f t="shared" si="82"/>
        <v>2.1500442720699562E-3</v>
      </c>
      <c r="X104" s="140">
        <f t="shared" si="82"/>
        <v>3.2677991949562899E-3</v>
      </c>
      <c r="Y104" s="140">
        <f t="shared" si="82"/>
        <v>3.2361390144272062E-3</v>
      </c>
      <c r="DA104" s="175"/>
    </row>
    <row r="105" spans="1:105" ht="11.45" customHeight="1" x14ac:dyDescent="0.25">
      <c r="A105" s="109" t="str">
        <f>$A$13</f>
        <v>Aviation</v>
      </c>
      <c r="B105" s="124">
        <f t="shared" ref="B105:Y105" si="83">IF(B13=0,0,B13/B$4)</f>
        <v>0.1853127851667187</v>
      </c>
      <c r="C105" s="124">
        <f t="shared" si="83"/>
        <v>0.17918881009890916</v>
      </c>
      <c r="D105" s="124">
        <f t="shared" si="83"/>
        <v>0.17748777045235956</v>
      </c>
      <c r="E105" s="124">
        <f t="shared" si="83"/>
        <v>0.17324240922742282</v>
      </c>
      <c r="F105" s="124">
        <f t="shared" si="83"/>
        <v>0.17580376961172345</v>
      </c>
      <c r="G105" s="124">
        <f t="shared" si="83"/>
        <v>0.19022825725984244</v>
      </c>
      <c r="H105" s="124">
        <f t="shared" si="83"/>
        <v>0.19662382003731843</v>
      </c>
      <c r="I105" s="124">
        <f t="shared" si="83"/>
        <v>0.21163695546689043</v>
      </c>
      <c r="J105" s="124">
        <f t="shared" si="83"/>
        <v>0.2148627640843403</v>
      </c>
      <c r="K105" s="124">
        <f t="shared" si="83"/>
        <v>0.21090526822756492</v>
      </c>
      <c r="L105" s="124">
        <f t="shared" si="83"/>
        <v>0.22673200487120604</v>
      </c>
      <c r="M105" s="124">
        <f t="shared" si="83"/>
        <v>0.24076903808884273</v>
      </c>
      <c r="N105" s="124">
        <f t="shared" si="83"/>
        <v>0.25001781021437181</v>
      </c>
      <c r="O105" s="124">
        <f t="shared" si="83"/>
        <v>0.26169324033906888</v>
      </c>
      <c r="P105" s="124">
        <f t="shared" si="83"/>
        <v>0.27282199034769539</v>
      </c>
      <c r="Q105" s="124">
        <f t="shared" si="83"/>
        <v>0.28374296380500075</v>
      </c>
      <c r="R105" s="124">
        <f t="shared" si="83"/>
        <v>0.29512178245150739</v>
      </c>
      <c r="S105" s="124">
        <f t="shared" si="83"/>
        <v>0.32344619362653726</v>
      </c>
      <c r="T105" s="124">
        <f t="shared" si="83"/>
        <v>0.33455055217748009</v>
      </c>
      <c r="U105" s="124">
        <f t="shared" si="83"/>
        <v>0.34965381265707829</v>
      </c>
      <c r="V105" s="124">
        <f t="shared" si="83"/>
        <v>0.16284349533857537</v>
      </c>
      <c r="W105" s="124">
        <f t="shared" si="83"/>
        <v>0.19050537022055533</v>
      </c>
      <c r="X105" s="124">
        <f t="shared" si="83"/>
        <v>0.33461790250274576</v>
      </c>
      <c r="Y105" s="124">
        <f t="shared" si="83"/>
        <v>0.36756979995338446</v>
      </c>
      <c r="DA105" s="176"/>
    </row>
    <row r="106" spans="1:105" ht="11.45" customHeight="1" x14ac:dyDescent="0.25">
      <c r="A106" s="128" t="str">
        <f>$A$14</f>
        <v>Domestic</v>
      </c>
      <c r="B106" s="140">
        <f t="shared" ref="B106:Y106" si="84">IF(B14=0,0,B14/B$4)</f>
        <v>2.1011524699089342E-2</v>
      </c>
      <c r="C106" s="140">
        <f t="shared" si="84"/>
        <v>2.1396745502480746E-2</v>
      </c>
      <c r="D106" s="140">
        <f t="shared" si="84"/>
        <v>2.1018876879991887E-2</v>
      </c>
      <c r="E106" s="140">
        <f t="shared" si="84"/>
        <v>1.9667933501171728E-2</v>
      </c>
      <c r="F106" s="140">
        <f t="shared" si="84"/>
        <v>2.0187457780032142E-2</v>
      </c>
      <c r="G106" s="140">
        <f t="shared" si="84"/>
        <v>2.0794312723540705E-2</v>
      </c>
      <c r="H106" s="140">
        <f t="shared" si="84"/>
        <v>1.6810930762507777E-2</v>
      </c>
      <c r="I106" s="140">
        <f t="shared" si="84"/>
        <v>1.6410971152027939E-2</v>
      </c>
      <c r="J106" s="140">
        <f t="shared" si="84"/>
        <v>1.7035477310148799E-2</v>
      </c>
      <c r="K106" s="140">
        <f t="shared" si="84"/>
        <v>1.8976873753839441E-2</v>
      </c>
      <c r="L106" s="140">
        <f t="shared" si="84"/>
        <v>1.9304401167885971E-2</v>
      </c>
      <c r="M106" s="140">
        <f t="shared" si="84"/>
        <v>1.7510741894287505E-2</v>
      </c>
      <c r="N106" s="140">
        <f t="shared" si="84"/>
        <v>1.7665799327810264E-2</v>
      </c>
      <c r="O106" s="140">
        <f t="shared" si="84"/>
        <v>1.8161601456437131E-2</v>
      </c>
      <c r="P106" s="140">
        <f t="shared" si="84"/>
        <v>1.7620047147013228E-2</v>
      </c>
      <c r="Q106" s="140">
        <f t="shared" si="84"/>
        <v>2.1542128671144765E-2</v>
      </c>
      <c r="R106" s="140">
        <f t="shared" si="84"/>
        <v>2.4665676639959701E-2</v>
      </c>
      <c r="S106" s="140">
        <f t="shared" si="84"/>
        <v>2.6710781553445157E-2</v>
      </c>
      <c r="T106" s="140">
        <f t="shared" si="84"/>
        <v>2.6411924227464592E-2</v>
      </c>
      <c r="U106" s="140">
        <f t="shared" si="84"/>
        <v>2.5376005098262579E-2</v>
      </c>
      <c r="V106" s="140">
        <f t="shared" si="84"/>
        <v>1.3661071050520319E-2</v>
      </c>
      <c r="W106" s="140">
        <f t="shared" si="84"/>
        <v>2.2609802779310569E-2</v>
      </c>
      <c r="X106" s="140">
        <f t="shared" si="84"/>
        <v>3.0877066812586389E-2</v>
      </c>
      <c r="Y106" s="140">
        <f t="shared" si="84"/>
        <v>3.06233895346593E-2</v>
      </c>
      <c r="DA106" s="175"/>
    </row>
    <row r="107" spans="1:105" ht="11.45" customHeight="1" x14ac:dyDescent="0.25">
      <c r="A107" s="128" t="str">
        <f>$A$15</f>
        <v>International - Intra-EEAwCHUK</v>
      </c>
      <c r="B107" s="140">
        <f t="shared" ref="B107:Y107" si="85">IF(B15=0,0,B15/B$4)</f>
        <v>0.12021781514406321</v>
      </c>
      <c r="C107" s="140">
        <f t="shared" si="85"/>
        <v>0.11515775899237012</v>
      </c>
      <c r="D107" s="140">
        <f t="shared" si="85"/>
        <v>0.11111333625119388</v>
      </c>
      <c r="E107" s="140">
        <f t="shared" si="85"/>
        <v>0.10586020362055244</v>
      </c>
      <c r="F107" s="140">
        <f t="shared" si="85"/>
        <v>0.10603840940647132</v>
      </c>
      <c r="G107" s="140">
        <f t="shared" si="85"/>
        <v>0.11198131154865913</v>
      </c>
      <c r="H107" s="140">
        <f t="shared" si="85"/>
        <v>0.11984409014827827</v>
      </c>
      <c r="I107" s="140">
        <f t="shared" si="85"/>
        <v>0.12717764623308517</v>
      </c>
      <c r="J107" s="140">
        <f t="shared" si="85"/>
        <v>0.125692169299228</v>
      </c>
      <c r="K107" s="140">
        <f t="shared" si="85"/>
        <v>0.12177825832800315</v>
      </c>
      <c r="L107" s="140">
        <f t="shared" si="85"/>
        <v>0.12883620557513345</v>
      </c>
      <c r="M107" s="140">
        <f t="shared" si="85"/>
        <v>0.13852754106139897</v>
      </c>
      <c r="N107" s="140">
        <f t="shared" si="85"/>
        <v>0.14302358221153086</v>
      </c>
      <c r="O107" s="140">
        <f t="shared" si="85"/>
        <v>0.15173312562020194</v>
      </c>
      <c r="P107" s="140">
        <f t="shared" si="85"/>
        <v>0.16090835141856921</v>
      </c>
      <c r="Q107" s="140">
        <f t="shared" si="85"/>
        <v>0.17015308941699403</v>
      </c>
      <c r="R107" s="140">
        <f t="shared" si="85"/>
        <v>0.18077983526795258</v>
      </c>
      <c r="S107" s="140">
        <f t="shared" si="85"/>
        <v>0.19589725093523241</v>
      </c>
      <c r="T107" s="140">
        <f t="shared" si="85"/>
        <v>0.19632535015046448</v>
      </c>
      <c r="U107" s="140">
        <f t="shared" si="85"/>
        <v>0.197305759762057</v>
      </c>
      <c r="V107" s="140">
        <f t="shared" si="85"/>
        <v>9.6579214411044209E-2</v>
      </c>
      <c r="W107" s="140">
        <f t="shared" si="85"/>
        <v>0.11119551798631443</v>
      </c>
      <c r="X107" s="140">
        <f t="shared" si="85"/>
        <v>0.18724962484053148</v>
      </c>
      <c r="Y107" s="140">
        <f t="shared" si="85"/>
        <v>0.20201243400218291</v>
      </c>
      <c r="DA107" s="175"/>
    </row>
    <row r="108" spans="1:105" ht="11.45" customHeight="1" x14ac:dyDescent="0.25">
      <c r="A108" s="128" t="str">
        <f>$A$16</f>
        <v>International - Extra-EEAwCHUK</v>
      </c>
      <c r="B108" s="140">
        <f t="shared" ref="B108:Y108" si="86">IF(B16=0,0,B16/B$4)</f>
        <v>4.4083445323566166E-2</v>
      </c>
      <c r="C108" s="140">
        <f t="shared" si="86"/>
        <v>4.2634305604058301E-2</v>
      </c>
      <c r="D108" s="140">
        <f t="shared" si="86"/>
        <v>4.5355557321173814E-2</v>
      </c>
      <c r="E108" s="140">
        <f t="shared" si="86"/>
        <v>4.7714272105698625E-2</v>
      </c>
      <c r="F108" s="140">
        <f t="shared" si="86"/>
        <v>4.957790242521997E-2</v>
      </c>
      <c r="G108" s="140">
        <f t="shared" si="86"/>
        <v>5.7452632987642617E-2</v>
      </c>
      <c r="H108" s="140">
        <f t="shared" si="86"/>
        <v>5.9968799126532392E-2</v>
      </c>
      <c r="I108" s="140">
        <f t="shared" si="86"/>
        <v>6.8048338081777307E-2</v>
      </c>
      <c r="J108" s="140">
        <f t="shared" si="86"/>
        <v>7.2135117474963498E-2</v>
      </c>
      <c r="K108" s="140">
        <f t="shared" si="86"/>
        <v>7.0150136145722367E-2</v>
      </c>
      <c r="L108" s="140">
        <f t="shared" si="86"/>
        <v>7.8591398128186649E-2</v>
      </c>
      <c r="M108" s="140">
        <f t="shared" si="86"/>
        <v>8.4730755133156241E-2</v>
      </c>
      <c r="N108" s="140">
        <f t="shared" si="86"/>
        <v>8.9328428675030658E-2</v>
      </c>
      <c r="O108" s="140">
        <f t="shared" si="86"/>
        <v>9.1798513262429812E-2</v>
      </c>
      <c r="P108" s="140">
        <f t="shared" si="86"/>
        <v>9.429359178211294E-2</v>
      </c>
      <c r="Q108" s="140">
        <f t="shared" si="86"/>
        <v>9.2047745716861973E-2</v>
      </c>
      <c r="R108" s="140">
        <f t="shared" si="86"/>
        <v>8.9676270543595102E-2</v>
      </c>
      <c r="S108" s="140">
        <f t="shared" si="86"/>
        <v>0.10083816113785972</v>
      </c>
      <c r="T108" s="140">
        <f t="shared" si="86"/>
        <v>0.11181327779955101</v>
      </c>
      <c r="U108" s="140">
        <f t="shared" si="86"/>
        <v>0.12697204779675875</v>
      </c>
      <c r="V108" s="140">
        <f t="shared" si="86"/>
        <v>5.2603209877010837E-2</v>
      </c>
      <c r="W108" s="140">
        <f t="shared" si="86"/>
        <v>5.6700049454930346E-2</v>
      </c>
      <c r="X108" s="140">
        <f t="shared" si="86"/>
        <v>0.11649121084962789</v>
      </c>
      <c r="Y108" s="140">
        <f t="shared" si="86"/>
        <v>0.1349339764165422</v>
      </c>
      <c r="DA108" s="175"/>
    </row>
    <row r="109" spans="1:105" ht="11.45" customHeight="1" x14ac:dyDescent="0.25">
      <c r="A109" s="27" t="s">
        <v>39</v>
      </c>
      <c r="B109" s="31">
        <f t="shared" ref="B109:Y109" si="87">IF(B17=0,0,B17/B$17)</f>
        <v>1</v>
      </c>
      <c r="C109" s="31">
        <f t="shared" si="87"/>
        <v>1</v>
      </c>
      <c r="D109" s="31">
        <f t="shared" si="87"/>
        <v>1</v>
      </c>
      <c r="E109" s="31">
        <f t="shared" si="87"/>
        <v>1</v>
      </c>
      <c r="F109" s="31">
        <f t="shared" si="87"/>
        <v>1</v>
      </c>
      <c r="G109" s="31">
        <f t="shared" si="87"/>
        <v>1</v>
      </c>
      <c r="H109" s="31">
        <f t="shared" si="87"/>
        <v>1</v>
      </c>
      <c r="I109" s="31">
        <f t="shared" si="87"/>
        <v>1</v>
      </c>
      <c r="J109" s="31">
        <f t="shared" si="87"/>
        <v>1</v>
      </c>
      <c r="K109" s="31">
        <f t="shared" si="87"/>
        <v>1</v>
      </c>
      <c r="L109" s="31">
        <f t="shared" si="87"/>
        <v>1</v>
      </c>
      <c r="M109" s="31">
        <f t="shared" si="87"/>
        <v>1</v>
      </c>
      <c r="N109" s="31">
        <f t="shared" si="87"/>
        <v>1</v>
      </c>
      <c r="O109" s="31">
        <f t="shared" si="87"/>
        <v>1</v>
      </c>
      <c r="P109" s="31">
        <f t="shared" si="87"/>
        <v>1</v>
      </c>
      <c r="Q109" s="31">
        <f t="shared" si="87"/>
        <v>1</v>
      </c>
      <c r="R109" s="31">
        <f t="shared" si="87"/>
        <v>1</v>
      </c>
      <c r="S109" s="31">
        <f t="shared" si="87"/>
        <v>1</v>
      </c>
      <c r="T109" s="31">
        <f t="shared" si="87"/>
        <v>1</v>
      </c>
      <c r="U109" s="31">
        <f t="shared" si="87"/>
        <v>1</v>
      </c>
      <c r="V109" s="31">
        <f t="shared" si="87"/>
        <v>1</v>
      </c>
      <c r="W109" s="31">
        <f t="shared" si="87"/>
        <v>1</v>
      </c>
      <c r="X109" s="31">
        <f t="shared" si="87"/>
        <v>1</v>
      </c>
      <c r="Y109" s="31">
        <f t="shared" si="87"/>
        <v>1</v>
      </c>
      <c r="DA109" s="173"/>
    </row>
    <row r="110" spans="1:105" ht="11.45" customHeight="1" x14ac:dyDescent="0.25">
      <c r="A110" s="136" t="str">
        <f>$A$18</f>
        <v>Road transport</v>
      </c>
      <c r="B110" s="139">
        <f t="shared" ref="B110:Y110" si="88">IF(B18=0,0,B18/B$17)</f>
        <v>0.88907903417441769</v>
      </c>
      <c r="C110" s="139">
        <f t="shared" si="88"/>
        <v>0.90115113640087585</v>
      </c>
      <c r="D110" s="139">
        <f t="shared" si="88"/>
        <v>0.89503489690715099</v>
      </c>
      <c r="E110" s="139">
        <f t="shared" si="88"/>
        <v>0.896809210970272</v>
      </c>
      <c r="F110" s="139">
        <f t="shared" si="88"/>
        <v>0.90436460881054737</v>
      </c>
      <c r="G110" s="139">
        <f t="shared" si="88"/>
        <v>0.89835291076495594</v>
      </c>
      <c r="H110" s="139">
        <f t="shared" si="88"/>
        <v>0.89912572819408065</v>
      </c>
      <c r="I110" s="139">
        <f t="shared" si="88"/>
        <v>0.89667054146363623</v>
      </c>
      <c r="J110" s="139">
        <f t="shared" si="88"/>
        <v>0.88861800408760505</v>
      </c>
      <c r="K110" s="139">
        <f t="shared" si="88"/>
        <v>0.89205023396407668</v>
      </c>
      <c r="L110" s="139">
        <f t="shared" si="88"/>
        <v>0.8767928169964716</v>
      </c>
      <c r="M110" s="139">
        <f t="shared" si="88"/>
        <v>0.87605542154098592</v>
      </c>
      <c r="N110" s="139">
        <f t="shared" si="88"/>
        <v>0.85703974602737842</v>
      </c>
      <c r="O110" s="139">
        <f t="shared" si="88"/>
        <v>0.85724597104034395</v>
      </c>
      <c r="P110" s="139">
        <f t="shared" si="88"/>
        <v>0.85855211606425297</v>
      </c>
      <c r="Q110" s="139">
        <f t="shared" si="88"/>
        <v>0.84806759350272642</v>
      </c>
      <c r="R110" s="139">
        <f t="shared" si="88"/>
        <v>0.84209448278288623</v>
      </c>
      <c r="S110" s="139">
        <f t="shared" si="88"/>
        <v>0.8453615215469884</v>
      </c>
      <c r="T110" s="139">
        <f t="shared" si="88"/>
        <v>0.8442413273358792</v>
      </c>
      <c r="U110" s="139">
        <f t="shared" si="88"/>
        <v>0.85502230977457472</v>
      </c>
      <c r="V110" s="139">
        <f t="shared" si="88"/>
        <v>0.84875054865065303</v>
      </c>
      <c r="W110" s="139">
        <f t="shared" si="88"/>
        <v>0.87673158997754086</v>
      </c>
      <c r="X110" s="139">
        <f t="shared" si="88"/>
        <v>0.8575194310037596</v>
      </c>
      <c r="Y110" s="139">
        <f t="shared" si="88"/>
        <v>0.85091147299114245</v>
      </c>
      <c r="DA110" s="174"/>
    </row>
    <row r="111" spans="1:105" ht="11.45" customHeight="1" x14ac:dyDescent="0.25">
      <c r="A111" s="128" t="str">
        <f>$A$19</f>
        <v>Light commercial vehicles</v>
      </c>
      <c r="B111" s="140">
        <f t="shared" ref="B111:Y111" si="89">IF(B19=0,0,B19/B$17)</f>
        <v>0.10070096532050629</v>
      </c>
      <c r="C111" s="140">
        <f t="shared" si="89"/>
        <v>9.4438689500142683E-2</v>
      </c>
      <c r="D111" s="140">
        <f t="shared" si="89"/>
        <v>9.8705814310496812E-2</v>
      </c>
      <c r="E111" s="140">
        <f t="shared" si="89"/>
        <v>9.910605601278985E-2</v>
      </c>
      <c r="F111" s="140">
        <f t="shared" si="89"/>
        <v>8.0984917853641633E-2</v>
      </c>
      <c r="G111" s="140">
        <f t="shared" si="89"/>
        <v>7.7614012615793426E-2</v>
      </c>
      <c r="H111" s="140">
        <f t="shared" si="89"/>
        <v>7.6993222718823001E-2</v>
      </c>
      <c r="I111" s="140">
        <f t="shared" si="89"/>
        <v>7.1136263102621167E-2</v>
      </c>
      <c r="J111" s="140">
        <f t="shared" si="89"/>
        <v>7.7325076556486183E-2</v>
      </c>
      <c r="K111" s="140">
        <f t="shared" si="89"/>
        <v>8.8341979376394736E-2</v>
      </c>
      <c r="L111" s="140">
        <f t="shared" si="89"/>
        <v>9.419955072968246E-2</v>
      </c>
      <c r="M111" s="140">
        <f t="shared" si="89"/>
        <v>8.5743642362797801E-2</v>
      </c>
      <c r="N111" s="140">
        <f t="shared" si="89"/>
        <v>8.4515477202534925E-2</v>
      </c>
      <c r="O111" s="140">
        <f t="shared" si="89"/>
        <v>8.4922982674129843E-2</v>
      </c>
      <c r="P111" s="140">
        <f t="shared" si="89"/>
        <v>8.7397636667881765E-2</v>
      </c>
      <c r="Q111" s="140">
        <f t="shared" si="89"/>
        <v>8.7937259238846863E-2</v>
      </c>
      <c r="R111" s="140">
        <f t="shared" si="89"/>
        <v>8.9336166372581446E-2</v>
      </c>
      <c r="S111" s="140">
        <f t="shared" si="89"/>
        <v>9.1205848972780085E-2</v>
      </c>
      <c r="T111" s="140">
        <f t="shared" si="89"/>
        <v>9.3909239789364829E-2</v>
      </c>
      <c r="U111" s="140">
        <f t="shared" si="89"/>
        <v>9.9061902580012115E-2</v>
      </c>
      <c r="V111" s="140">
        <f t="shared" si="89"/>
        <v>0.10097248576698985</v>
      </c>
      <c r="W111" s="140">
        <f t="shared" si="89"/>
        <v>0.10152106419404466</v>
      </c>
      <c r="X111" s="140">
        <f t="shared" si="89"/>
        <v>0.10857543270996467</v>
      </c>
      <c r="Y111" s="140">
        <f t="shared" si="89"/>
        <v>0.12879821575086078</v>
      </c>
      <c r="DA111" s="175"/>
    </row>
    <row r="112" spans="1:105" ht="11.45" customHeight="1" x14ac:dyDescent="0.25">
      <c r="A112" s="128" t="str">
        <f>$A$20</f>
        <v>Heavy goods vehicles</v>
      </c>
      <c r="B112" s="140">
        <f t="shared" ref="B112:Y112" si="90">IF(B20=0,0,B20/B$17)</f>
        <v>0.78837806885391148</v>
      </c>
      <c r="C112" s="140">
        <f t="shared" si="90"/>
        <v>0.80671244690073318</v>
      </c>
      <c r="D112" s="140">
        <f t="shared" si="90"/>
        <v>0.79632908259665425</v>
      </c>
      <c r="E112" s="140">
        <f t="shared" si="90"/>
        <v>0.79770315495748212</v>
      </c>
      <c r="F112" s="140">
        <f t="shared" si="90"/>
        <v>0.82337969095690566</v>
      </c>
      <c r="G112" s="140">
        <f t="shared" si="90"/>
        <v>0.82073889814916245</v>
      </c>
      <c r="H112" s="140">
        <f t="shared" si="90"/>
        <v>0.82213250547525774</v>
      </c>
      <c r="I112" s="140">
        <f t="shared" si="90"/>
        <v>0.82553427836101512</v>
      </c>
      <c r="J112" s="140">
        <f t="shared" si="90"/>
        <v>0.81129292753111892</v>
      </c>
      <c r="K112" s="140">
        <f t="shared" si="90"/>
        <v>0.80370825458768191</v>
      </c>
      <c r="L112" s="140">
        <f t="shared" si="90"/>
        <v>0.78259326626678916</v>
      </c>
      <c r="M112" s="140">
        <f t="shared" si="90"/>
        <v>0.79031177917818818</v>
      </c>
      <c r="N112" s="140">
        <f t="shared" si="90"/>
        <v>0.77252426882484349</v>
      </c>
      <c r="O112" s="140">
        <f t="shared" si="90"/>
        <v>0.77232298836621405</v>
      </c>
      <c r="P112" s="140">
        <f t="shared" si="90"/>
        <v>0.77115447939637127</v>
      </c>
      <c r="Q112" s="140">
        <f t="shared" si="90"/>
        <v>0.76013033426387966</v>
      </c>
      <c r="R112" s="140">
        <f t="shared" si="90"/>
        <v>0.75275831641030477</v>
      </c>
      <c r="S112" s="140">
        <f t="shared" si="90"/>
        <v>0.75415567257420824</v>
      </c>
      <c r="T112" s="140">
        <f t="shared" si="90"/>
        <v>0.75033208754651437</v>
      </c>
      <c r="U112" s="140">
        <f t="shared" si="90"/>
        <v>0.75596040719456259</v>
      </c>
      <c r="V112" s="140">
        <f t="shared" si="90"/>
        <v>0.74777806288366311</v>
      </c>
      <c r="W112" s="140">
        <f t="shared" si="90"/>
        <v>0.77521052578349625</v>
      </c>
      <c r="X112" s="140">
        <f t="shared" si="90"/>
        <v>0.74894399829379488</v>
      </c>
      <c r="Y112" s="140">
        <f t="shared" si="90"/>
        <v>0.72211325724028164</v>
      </c>
      <c r="DA112" s="175"/>
    </row>
    <row r="113" spans="1:105" ht="11.45" customHeight="1" x14ac:dyDescent="0.25">
      <c r="A113" s="109" t="str">
        <f>$A$21</f>
        <v>Rail transport</v>
      </c>
      <c r="B113" s="124">
        <f t="shared" ref="B113:Y113" si="91">IF(B21=0,0,B21/B$17)</f>
        <v>9.1292741013387524E-2</v>
      </c>
      <c r="C113" s="124">
        <f t="shared" si="91"/>
        <v>8.0925957409934884E-2</v>
      </c>
      <c r="D113" s="124">
        <f t="shared" si="91"/>
        <v>8.6582126420574307E-2</v>
      </c>
      <c r="E113" s="124">
        <f t="shared" si="91"/>
        <v>8.4640055671782302E-2</v>
      </c>
      <c r="F113" s="124">
        <f t="shared" si="91"/>
        <v>7.9511103016627449E-2</v>
      </c>
      <c r="G113" s="124">
        <f t="shared" si="91"/>
        <v>8.3308358545891137E-2</v>
      </c>
      <c r="H113" s="124">
        <f t="shared" si="91"/>
        <v>8.1760017360191131E-2</v>
      </c>
      <c r="I113" s="124">
        <f t="shared" si="91"/>
        <v>8.2498152704187103E-2</v>
      </c>
      <c r="J113" s="124">
        <f t="shared" si="91"/>
        <v>8.73459715936446E-2</v>
      </c>
      <c r="K113" s="124">
        <f t="shared" si="91"/>
        <v>8.3515386744483541E-2</v>
      </c>
      <c r="L113" s="124">
        <f t="shared" si="91"/>
        <v>9.5524854127303438E-2</v>
      </c>
      <c r="M113" s="124">
        <f t="shared" si="91"/>
        <v>9.6298106746296241E-2</v>
      </c>
      <c r="N113" s="124">
        <f t="shared" si="91"/>
        <v>0.11362915324780688</v>
      </c>
      <c r="O113" s="124">
        <f t="shared" si="91"/>
        <v>0.1122244586576932</v>
      </c>
      <c r="P113" s="124">
        <f t="shared" si="91"/>
        <v>0.11273442923799619</v>
      </c>
      <c r="Q113" s="124">
        <f t="shared" si="91"/>
        <v>0.12517242697333508</v>
      </c>
      <c r="R113" s="124">
        <f t="shared" si="91"/>
        <v>0.12746660217954356</v>
      </c>
      <c r="S113" s="124">
        <f t="shared" si="91"/>
        <v>0.12390187690716303</v>
      </c>
      <c r="T113" s="124">
        <f t="shared" si="91"/>
        <v>0.12454485664942444</v>
      </c>
      <c r="U113" s="124">
        <f t="shared" si="91"/>
        <v>0.11276606603829317</v>
      </c>
      <c r="V113" s="124">
        <f t="shared" si="91"/>
        <v>0.12358282007022704</v>
      </c>
      <c r="W113" s="124">
        <f t="shared" si="91"/>
        <v>9.3370749759797422E-2</v>
      </c>
      <c r="X113" s="124">
        <f t="shared" si="91"/>
        <v>0.10470394869220624</v>
      </c>
      <c r="Y113" s="124">
        <f t="shared" si="91"/>
        <v>0.11851057372795398</v>
      </c>
      <c r="DA113" s="176"/>
    </row>
    <row r="114" spans="1:105" ht="11.45" customHeight="1" x14ac:dyDescent="0.25">
      <c r="A114" s="109" t="str">
        <f>$A$22</f>
        <v>Aviation</v>
      </c>
      <c r="B114" s="124">
        <f t="shared" ref="B114:Y114" si="92">IF(B22=0,0,B22/B$17)</f>
        <v>6.9139855571080759E-3</v>
      </c>
      <c r="C114" s="124">
        <f t="shared" si="92"/>
        <v>6.1397007076247675E-3</v>
      </c>
      <c r="D114" s="124">
        <f t="shared" si="92"/>
        <v>6.1516029780325178E-3</v>
      </c>
      <c r="E114" s="124">
        <f t="shared" si="92"/>
        <v>5.5794508849693631E-3</v>
      </c>
      <c r="F114" s="124">
        <f t="shared" si="92"/>
        <v>4.8575788124599218E-3</v>
      </c>
      <c r="G114" s="124">
        <f t="shared" si="92"/>
        <v>5.4198813279568419E-3</v>
      </c>
      <c r="H114" s="124">
        <f t="shared" si="92"/>
        <v>6.4529587203047177E-3</v>
      </c>
      <c r="I114" s="124">
        <f t="shared" si="92"/>
        <v>7.0344308966182149E-3</v>
      </c>
      <c r="J114" s="124">
        <f t="shared" si="92"/>
        <v>8.5462151326754915E-3</v>
      </c>
      <c r="K114" s="124">
        <f t="shared" si="92"/>
        <v>8.9879511289209409E-3</v>
      </c>
      <c r="L114" s="124">
        <f t="shared" si="92"/>
        <v>1.1592730370002063E-2</v>
      </c>
      <c r="M114" s="124">
        <f t="shared" si="92"/>
        <v>1.1240666737073052E-2</v>
      </c>
      <c r="N114" s="124">
        <f t="shared" si="92"/>
        <v>1.4130843004169724E-2</v>
      </c>
      <c r="O114" s="124">
        <f t="shared" si="92"/>
        <v>1.3994055916616059E-2</v>
      </c>
      <c r="P114" s="124">
        <f t="shared" si="92"/>
        <v>1.3770029042015734E-2</v>
      </c>
      <c r="Q114" s="124">
        <f t="shared" si="92"/>
        <v>1.2641246895042457E-2</v>
      </c>
      <c r="R114" s="124">
        <f t="shared" si="92"/>
        <v>1.1689607147474539E-2</v>
      </c>
      <c r="S114" s="124">
        <f t="shared" si="92"/>
        <v>1.502678036210449E-2</v>
      </c>
      <c r="T114" s="124">
        <f t="shared" si="92"/>
        <v>1.5267209682008344E-2</v>
      </c>
      <c r="U114" s="124">
        <f t="shared" si="92"/>
        <v>1.6057907980589956E-2</v>
      </c>
      <c r="V114" s="124">
        <f t="shared" si="92"/>
        <v>1.0808205965239305E-2</v>
      </c>
      <c r="W114" s="124">
        <f t="shared" si="92"/>
        <v>1.3766510581937867E-2</v>
      </c>
      <c r="X114" s="124">
        <f t="shared" si="92"/>
        <v>1.8717489610651863E-2</v>
      </c>
      <c r="Y114" s="124">
        <f t="shared" si="92"/>
        <v>1.1293041307210993E-2</v>
      </c>
      <c r="DA114" s="176"/>
    </row>
    <row r="115" spans="1:105" ht="11.45" customHeight="1" x14ac:dyDescent="0.25">
      <c r="A115" s="128" t="s">
        <v>27</v>
      </c>
      <c r="B115" s="140">
        <f t="shared" ref="B115:Q115" si="93">IF(B23=0,0,B23/B$17)</f>
        <v>1.8286182677249569E-4</v>
      </c>
      <c r="C115" s="140">
        <f t="shared" si="93"/>
        <v>1.5030339700777167E-4</v>
      </c>
      <c r="D115" s="140">
        <f t="shared" si="93"/>
        <v>1.5881556701130887E-4</v>
      </c>
      <c r="E115" s="140">
        <f t="shared" si="93"/>
        <v>1.6911699783256576E-4</v>
      </c>
      <c r="F115" s="140">
        <f t="shared" si="93"/>
        <v>1.3923351671118087E-4</v>
      </c>
      <c r="G115" s="140">
        <f t="shared" si="93"/>
        <v>1.5923783573793188E-4</v>
      </c>
      <c r="H115" s="140">
        <f t="shared" si="93"/>
        <v>2.1498568949239783E-4</v>
      </c>
      <c r="I115" s="140">
        <f t="shared" si="93"/>
        <v>2.5415414881781601E-4</v>
      </c>
      <c r="J115" s="140">
        <f t="shared" si="93"/>
        <v>3.3244667232163979E-4</v>
      </c>
      <c r="K115" s="140">
        <f t="shared" si="93"/>
        <v>4.2311110129427028E-4</v>
      </c>
      <c r="L115" s="140">
        <f t="shared" si="93"/>
        <v>5.0399955766533154E-4</v>
      </c>
      <c r="M115" s="140">
        <f t="shared" si="93"/>
        <v>3.3059027370121709E-4</v>
      </c>
      <c r="N115" s="140">
        <f t="shared" si="93"/>
        <v>3.0246990771484234E-4</v>
      </c>
      <c r="O115" s="140">
        <f t="shared" si="93"/>
        <v>2.821795821496929E-4</v>
      </c>
      <c r="P115" s="140">
        <f t="shared" si="93"/>
        <v>2.4476914998257555E-4</v>
      </c>
      <c r="Q115" s="140">
        <f t="shared" si="93"/>
        <v>2.3613146475299154E-4</v>
      </c>
      <c r="R115" s="140">
        <f t="shared" ref="R115:V116" si="94">IF(R23=0,0,R23/R$17)</f>
        <v>2.1889355124730652E-4</v>
      </c>
      <c r="S115" s="140">
        <f t="shared" si="94"/>
        <v>2.3015761766727048E-4</v>
      </c>
      <c r="T115" s="140">
        <f t="shared" si="94"/>
        <v>2.2685711531683357E-4</v>
      </c>
      <c r="U115" s="140">
        <f t="shared" si="94"/>
        <v>2.8215438473124221E-4</v>
      </c>
      <c r="V115" s="140">
        <f t="shared" si="94"/>
        <v>2.8104847631482509E-4</v>
      </c>
      <c r="W115" s="140">
        <f t="shared" ref="W115:Y120" si="95">IF(W23=0,0,W23/W$17)</f>
        <v>3.2157005233541083E-4</v>
      </c>
      <c r="X115" s="140">
        <f t="shared" si="95"/>
        <v>3.5537768928178999E-4</v>
      </c>
      <c r="Y115" s="140">
        <f t="shared" si="95"/>
        <v>4.342587334937483E-4</v>
      </c>
      <c r="DA115" s="175"/>
    </row>
    <row r="116" spans="1:105" ht="11.45" customHeight="1" x14ac:dyDescent="0.25">
      <c r="A116" s="128" t="str">
        <f>$A$24</f>
        <v>International - Intra-EEAwCHUK</v>
      </c>
      <c r="B116" s="140">
        <f t="shared" ref="B116:Q116" si="96">IF(B24=0,0,B24/B$17)</f>
        <v>2.8158407651948953E-3</v>
      </c>
      <c r="C116" s="140">
        <f t="shared" si="96"/>
        <v>2.3925043273727237E-3</v>
      </c>
      <c r="D116" s="140">
        <f t="shared" si="96"/>
        <v>2.3738481487472303E-3</v>
      </c>
      <c r="E116" s="140">
        <f t="shared" si="96"/>
        <v>2.1896714395554431E-3</v>
      </c>
      <c r="F116" s="140">
        <f t="shared" si="96"/>
        <v>1.7825605811124386E-3</v>
      </c>
      <c r="G116" s="140">
        <f t="shared" si="96"/>
        <v>1.7268981966183407E-3</v>
      </c>
      <c r="H116" s="140">
        <f t="shared" si="96"/>
        <v>1.8743442477406108E-3</v>
      </c>
      <c r="I116" s="140">
        <f t="shared" si="96"/>
        <v>1.727963898868457E-3</v>
      </c>
      <c r="J116" s="140">
        <f t="shared" si="96"/>
        <v>1.7410172019851193E-3</v>
      </c>
      <c r="K116" s="140">
        <f t="shared" si="96"/>
        <v>1.7648796615341873E-3</v>
      </c>
      <c r="L116" s="140">
        <f t="shared" si="96"/>
        <v>1.9788105198793203E-3</v>
      </c>
      <c r="M116" s="140">
        <f t="shared" si="96"/>
        <v>1.6634081280978376E-3</v>
      </c>
      <c r="N116" s="140">
        <f t="shared" si="96"/>
        <v>1.8630238200966814E-3</v>
      </c>
      <c r="O116" s="140">
        <f t="shared" si="96"/>
        <v>1.7145895486521214E-3</v>
      </c>
      <c r="P116" s="140">
        <f t="shared" si="96"/>
        <v>1.7228733040133191E-3</v>
      </c>
      <c r="Q116" s="140">
        <f t="shared" si="96"/>
        <v>1.7583649076427729E-3</v>
      </c>
      <c r="R116" s="140">
        <f t="shared" si="94"/>
        <v>1.719872220254947E-3</v>
      </c>
      <c r="S116" s="140">
        <f t="shared" si="94"/>
        <v>1.7931459976797336E-3</v>
      </c>
      <c r="T116" s="140">
        <f t="shared" si="94"/>
        <v>1.9372501298305187E-3</v>
      </c>
      <c r="U116" s="140">
        <f t="shared" si="94"/>
        <v>1.9976468690517985E-3</v>
      </c>
      <c r="V116" s="140">
        <f t="shared" si="94"/>
        <v>2.0104654803775341E-3</v>
      </c>
      <c r="W116" s="140">
        <f t="shared" si="95"/>
        <v>2.1997868226477858E-3</v>
      </c>
      <c r="X116" s="140">
        <f t="shared" si="95"/>
        <v>2.0643440558348871E-3</v>
      </c>
      <c r="Y116" s="140">
        <f t="shared" si="95"/>
        <v>2.3247153498851818E-3</v>
      </c>
      <c r="DA116" s="175"/>
    </row>
    <row r="117" spans="1:105" ht="11.45" customHeight="1" x14ac:dyDescent="0.25">
      <c r="A117" s="128" t="str">
        <f>$A$25</f>
        <v>International - Extra-EEAwCHUK</v>
      </c>
      <c r="B117" s="140">
        <f t="shared" ref="B117:Q117" si="97">IF(B25=0,0,B25/B$17)</f>
        <v>3.9152829651406861E-3</v>
      </c>
      <c r="C117" s="140">
        <f t="shared" si="97"/>
        <v>3.5968929832442724E-3</v>
      </c>
      <c r="D117" s="140">
        <f t="shared" si="97"/>
        <v>3.6189392622739788E-3</v>
      </c>
      <c r="E117" s="140">
        <f t="shared" si="97"/>
        <v>3.2206624475813539E-3</v>
      </c>
      <c r="F117" s="140">
        <f t="shared" si="97"/>
        <v>2.9357847146363031E-3</v>
      </c>
      <c r="G117" s="140">
        <f t="shared" si="97"/>
        <v>3.5337452956005697E-3</v>
      </c>
      <c r="H117" s="140">
        <f t="shared" si="97"/>
        <v>4.3636287830717095E-3</v>
      </c>
      <c r="I117" s="140">
        <f t="shared" si="97"/>
        <v>5.0523128489319419E-3</v>
      </c>
      <c r="J117" s="140">
        <f t="shared" si="97"/>
        <v>6.4727512583687323E-3</v>
      </c>
      <c r="K117" s="140">
        <f t="shared" si="97"/>
        <v>6.7999603660924826E-3</v>
      </c>
      <c r="L117" s="140">
        <f t="shared" si="97"/>
        <v>9.1099202924574112E-3</v>
      </c>
      <c r="M117" s="140">
        <f t="shared" si="97"/>
        <v>9.2466683352739974E-3</v>
      </c>
      <c r="N117" s="140">
        <f t="shared" si="97"/>
        <v>1.19653492763582E-2</v>
      </c>
      <c r="O117" s="140">
        <f t="shared" si="97"/>
        <v>1.1997286785814245E-2</v>
      </c>
      <c r="P117" s="140">
        <f t="shared" si="97"/>
        <v>1.1802386588019839E-2</v>
      </c>
      <c r="Q117" s="140">
        <f t="shared" si="97"/>
        <v>1.0646750522646693E-2</v>
      </c>
      <c r="R117" s="140">
        <f t="shared" ref="R117:V120" si="98">IF(R25=0,0,R25/R$17)</f>
        <v>9.750841375972286E-3</v>
      </c>
      <c r="S117" s="140">
        <f t="shared" si="98"/>
        <v>1.3003476746757487E-2</v>
      </c>
      <c r="T117" s="140">
        <f t="shared" si="98"/>
        <v>1.3103102436860992E-2</v>
      </c>
      <c r="U117" s="140">
        <f t="shared" si="98"/>
        <v>1.3778106726806917E-2</v>
      </c>
      <c r="V117" s="140">
        <f t="shared" si="98"/>
        <v>8.5166920085469455E-3</v>
      </c>
      <c r="W117" s="140">
        <f t="shared" si="95"/>
        <v>1.1245153706954671E-2</v>
      </c>
      <c r="X117" s="140">
        <f t="shared" si="95"/>
        <v>1.6297767865535186E-2</v>
      </c>
      <c r="Y117" s="140">
        <f t="shared" si="95"/>
        <v>8.5340672238320633E-3</v>
      </c>
      <c r="DA117" s="175"/>
    </row>
    <row r="118" spans="1:105" ht="11.45" customHeight="1" x14ac:dyDescent="0.25">
      <c r="A118" s="109" t="s">
        <v>141</v>
      </c>
      <c r="B118" s="124">
        <f t="shared" ref="B118:Q118" si="99">IF(B26=0,0,B26/B$17)</f>
        <v>1.2714239255086638E-2</v>
      </c>
      <c r="C118" s="124">
        <f t="shared" si="99"/>
        <v>1.1783205481564528E-2</v>
      </c>
      <c r="D118" s="124">
        <f t="shared" si="99"/>
        <v>1.2231373694242216E-2</v>
      </c>
      <c r="E118" s="124">
        <f t="shared" si="99"/>
        <v>1.2971282472976298E-2</v>
      </c>
      <c r="F118" s="124">
        <f t="shared" si="99"/>
        <v>1.1266709360365309E-2</v>
      </c>
      <c r="G118" s="124">
        <f t="shared" si="99"/>
        <v>1.2918849361196147E-2</v>
      </c>
      <c r="H118" s="124">
        <f t="shared" si="99"/>
        <v>1.2661295725423375E-2</v>
      </c>
      <c r="I118" s="124">
        <f t="shared" si="99"/>
        <v>1.3796874935558442E-2</v>
      </c>
      <c r="J118" s="124">
        <f t="shared" si="99"/>
        <v>1.5489809186074826E-2</v>
      </c>
      <c r="K118" s="124">
        <f t="shared" si="99"/>
        <v>1.5446428162518813E-2</v>
      </c>
      <c r="L118" s="124">
        <f t="shared" si="99"/>
        <v>1.6089598506222987E-2</v>
      </c>
      <c r="M118" s="124">
        <f t="shared" si="99"/>
        <v>1.6405804975644742E-2</v>
      </c>
      <c r="N118" s="124">
        <f t="shared" si="99"/>
        <v>1.5200257720644976E-2</v>
      </c>
      <c r="O118" s="124">
        <f t="shared" si="99"/>
        <v>1.6535514385346818E-2</v>
      </c>
      <c r="P118" s="124">
        <f t="shared" si="99"/>
        <v>1.4943425655735159E-2</v>
      </c>
      <c r="Q118" s="124">
        <f t="shared" si="99"/>
        <v>1.4118732628895996E-2</v>
      </c>
      <c r="R118" s="124">
        <f t="shared" si="98"/>
        <v>1.8749307890095782E-2</v>
      </c>
      <c r="S118" s="124">
        <f t="shared" si="98"/>
        <v>1.5709821183744057E-2</v>
      </c>
      <c r="T118" s="124">
        <f t="shared" si="98"/>
        <v>1.5946606332688042E-2</v>
      </c>
      <c r="U118" s="124">
        <f t="shared" si="98"/>
        <v>1.6153716206541987E-2</v>
      </c>
      <c r="V118" s="124">
        <f t="shared" si="98"/>
        <v>1.6858425313880557E-2</v>
      </c>
      <c r="W118" s="124">
        <f t="shared" si="95"/>
        <v>1.6131149680723749E-2</v>
      </c>
      <c r="X118" s="124">
        <f t="shared" si="95"/>
        <v>1.9059130693382269E-2</v>
      </c>
      <c r="Y118" s="124">
        <f t="shared" si="95"/>
        <v>1.928491197369267E-2</v>
      </c>
      <c r="DA118" s="176"/>
    </row>
    <row r="119" spans="1:105" ht="11.45" customHeight="1" x14ac:dyDescent="0.25">
      <c r="A119" s="128" t="str">
        <f>$A$27</f>
        <v>Domestic coastal shipping</v>
      </c>
      <c r="B119" s="140">
        <f t="shared" ref="B119:Q119" si="100">IF(B27=0,0,B27/B$17)</f>
        <v>1.2714239255086638E-2</v>
      </c>
      <c r="C119" s="140">
        <f t="shared" si="100"/>
        <v>1.1783205481564528E-2</v>
      </c>
      <c r="D119" s="140">
        <f t="shared" si="100"/>
        <v>1.2231373694242216E-2</v>
      </c>
      <c r="E119" s="140">
        <f t="shared" si="100"/>
        <v>1.2971282472976298E-2</v>
      </c>
      <c r="F119" s="140">
        <f t="shared" si="100"/>
        <v>1.1266709360365309E-2</v>
      </c>
      <c r="G119" s="140">
        <f t="shared" si="100"/>
        <v>1.2918849361196147E-2</v>
      </c>
      <c r="H119" s="140">
        <f t="shared" si="100"/>
        <v>1.2661295725423375E-2</v>
      </c>
      <c r="I119" s="140">
        <f t="shared" si="100"/>
        <v>1.3796874935558442E-2</v>
      </c>
      <c r="J119" s="140">
        <f t="shared" si="100"/>
        <v>1.5489809186074826E-2</v>
      </c>
      <c r="K119" s="140">
        <f t="shared" si="100"/>
        <v>1.5446428162518813E-2</v>
      </c>
      <c r="L119" s="140">
        <f t="shared" si="100"/>
        <v>1.6089598506222987E-2</v>
      </c>
      <c r="M119" s="140">
        <f t="shared" si="100"/>
        <v>1.6405804975644742E-2</v>
      </c>
      <c r="N119" s="140">
        <f t="shared" si="100"/>
        <v>1.5200257720644976E-2</v>
      </c>
      <c r="O119" s="140">
        <f t="shared" si="100"/>
        <v>1.6535514385346818E-2</v>
      </c>
      <c r="P119" s="140">
        <f t="shared" si="100"/>
        <v>1.4943425655735159E-2</v>
      </c>
      <c r="Q119" s="140">
        <f t="shared" si="100"/>
        <v>1.4118732628895996E-2</v>
      </c>
      <c r="R119" s="140">
        <f t="shared" si="98"/>
        <v>1.8749307890095782E-2</v>
      </c>
      <c r="S119" s="140">
        <f t="shared" si="98"/>
        <v>1.5709821183744057E-2</v>
      </c>
      <c r="T119" s="140">
        <f t="shared" si="98"/>
        <v>1.5946606332688042E-2</v>
      </c>
      <c r="U119" s="140">
        <f t="shared" si="98"/>
        <v>1.6153716206541987E-2</v>
      </c>
      <c r="V119" s="140">
        <f t="shared" si="98"/>
        <v>1.6858425313880557E-2</v>
      </c>
      <c r="W119" s="140">
        <f t="shared" si="95"/>
        <v>1.6131149680723749E-2</v>
      </c>
      <c r="X119" s="140">
        <f t="shared" si="95"/>
        <v>1.9059130693382269E-2</v>
      </c>
      <c r="Y119" s="140">
        <f t="shared" si="95"/>
        <v>1.928491197369267E-2</v>
      </c>
      <c r="DA119" s="175"/>
    </row>
    <row r="120" spans="1:105" ht="11.45" customHeight="1" x14ac:dyDescent="0.25">
      <c r="A120" s="138" t="str">
        <f>$A$28</f>
        <v>Inland waterways</v>
      </c>
      <c r="B120" s="127">
        <f t="shared" ref="B120:Q120" si="101">IF(B28=0,0,B28/B$17)</f>
        <v>0</v>
      </c>
      <c r="C120" s="127">
        <f t="shared" si="101"/>
        <v>0</v>
      </c>
      <c r="D120" s="127">
        <f t="shared" si="101"/>
        <v>0</v>
      </c>
      <c r="E120" s="127">
        <f t="shared" si="101"/>
        <v>0</v>
      </c>
      <c r="F120" s="127">
        <f t="shared" si="101"/>
        <v>0</v>
      </c>
      <c r="G120" s="127">
        <f t="shared" si="101"/>
        <v>0</v>
      </c>
      <c r="H120" s="127">
        <f t="shared" si="101"/>
        <v>0</v>
      </c>
      <c r="I120" s="127">
        <f t="shared" si="101"/>
        <v>0</v>
      </c>
      <c r="J120" s="127">
        <f t="shared" si="101"/>
        <v>0</v>
      </c>
      <c r="K120" s="127">
        <f t="shared" si="101"/>
        <v>0</v>
      </c>
      <c r="L120" s="127">
        <f t="shared" si="101"/>
        <v>0</v>
      </c>
      <c r="M120" s="127">
        <f t="shared" si="101"/>
        <v>0</v>
      </c>
      <c r="N120" s="127">
        <f t="shared" si="101"/>
        <v>0</v>
      </c>
      <c r="O120" s="127">
        <f t="shared" si="101"/>
        <v>0</v>
      </c>
      <c r="P120" s="127">
        <f t="shared" si="101"/>
        <v>0</v>
      </c>
      <c r="Q120" s="127">
        <f t="shared" si="101"/>
        <v>0</v>
      </c>
      <c r="R120" s="127">
        <f t="shared" si="98"/>
        <v>0</v>
      </c>
      <c r="S120" s="127">
        <f t="shared" si="98"/>
        <v>0</v>
      </c>
      <c r="T120" s="127">
        <f t="shared" si="98"/>
        <v>0</v>
      </c>
      <c r="U120" s="127">
        <f t="shared" si="98"/>
        <v>0</v>
      </c>
      <c r="V120" s="127">
        <f t="shared" si="98"/>
        <v>0</v>
      </c>
      <c r="W120" s="127">
        <f t="shared" si="95"/>
        <v>0</v>
      </c>
      <c r="X120" s="127">
        <f t="shared" si="95"/>
        <v>0</v>
      </c>
      <c r="Y120" s="127">
        <f t="shared" si="95"/>
        <v>0</v>
      </c>
      <c r="DA120" s="178"/>
    </row>
    <row r="121" spans="1:105" ht="11.45" customHeight="1" x14ac:dyDescent="0.25">
      <c r="A121" s="27" t="s">
        <v>171</v>
      </c>
      <c r="B121" s="31">
        <f t="shared" ref="B121:Y121" si="102">IF(B29=0,0,B29/B$29)</f>
        <v>1</v>
      </c>
      <c r="C121" s="31">
        <f t="shared" si="102"/>
        <v>1</v>
      </c>
      <c r="D121" s="31">
        <f t="shared" si="102"/>
        <v>1</v>
      </c>
      <c r="E121" s="31">
        <f t="shared" si="102"/>
        <v>1</v>
      </c>
      <c r="F121" s="31">
        <f t="shared" si="102"/>
        <v>1</v>
      </c>
      <c r="G121" s="31">
        <f t="shared" si="102"/>
        <v>1</v>
      </c>
      <c r="H121" s="31">
        <f t="shared" si="102"/>
        <v>1</v>
      </c>
      <c r="I121" s="31">
        <f t="shared" si="102"/>
        <v>1</v>
      </c>
      <c r="J121" s="31">
        <f t="shared" si="102"/>
        <v>1</v>
      </c>
      <c r="K121" s="31">
        <f t="shared" si="102"/>
        <v>1</v>
      </c>
      <c r="L121" s="31">
        <f t="shared" si="102"/>
        <v>1</v>
      </c>
      <c r="M121" s="31">
        <f t="shared" si="102"/>
        <v>1</v>
      </c>
      <c r="N121" s="31">
        <f t="shared" si="102"/>
        <v>1</v>
      </c>
      <c r="O121" s="31">
        <f t="shared" si="102"/>
        <v>1</v>
      </c>
      <c r="P121" s="31">
        <f t="shared" si="102"/>
        <v>1</v>
      </c>
      <c r="Q121" s="31">
        <f t="shared" si="102"/>
        <v>1</v>
      </c>
      <c r="R121" s="31">
        <f t="shared" si="102"/>
        <v>1</v>
      </c>
      <c r="S121" s="31">
        <f t="shared" si="102"/>
        <v>1</v>
      </c>
      <c r="T121" s="31">
        <f t="shared" si="102"/>
        <v>1</v>
      </c>
      <c r="U121" s="31">
        <f t="shared" si="102"/>
        <v>1</v>
      </c>
      <c r="V121" s="31">
        <f t="shared" si="102"/>
        <v>1</v>
      </c>
      <c r="W121" s="31">
        <f t="shared" si="102"/>
        <v>1</v>
      </c>
      <c r="X121" s="31">
        <f t="shared" si="102"/>
        <v>1</v>
      </c>
      <c r="Y121" s="31">
        <f t="shared" si="102"/>
        <v>1</v>
      </c>
      <c r="DA121" s="173"/>
    </row>
    <row r="122" spans="1:105" ht="11.45" customHeight="1" x14ac:dyDescent="0.25">
      <c r="A122" s="128" t="str">
        <f>$A$30</f>
        <v>Intra-EEA</v>
      </c>
      <c r="B122" s="140">
        <f t="shared" ref="B122:Y122" si="103">IF(B30=0,0,B30/B$29)</f>
        <v>0.16901996718490131</v>
      </c>
      <c r="C122" s="140">
        <f t="shared" si="103"/>
        <v>0.1644447778899456</v>
      </c>
      <c r="D122" s="140">
        <f t="shared" si="103"/>
        <v>0.16179879983659384</v>
      </c>
      <c r="E122" s="140">
        <f t="shared" si="103"/>
        <v>0.14756719845553151</v>
      </c>
      <c r="F122" s="140">
        <f t="shared" si="103"/>
        <v>0.162211363005795</v>
      </c>
      <c r="G122" s="140">
        <f t="shared" si="103"/>
        <v>0.16586483801265667</v>
      </c>
      <c r="H122" s="140">
        <f t="shared" si="103"/>
        <v>0.15102118330010997</v>
      </c>
      <c r="I122" s="140">
        <f t="shared" si="103"/>
        <v>0.14128761194009884</v>
      </c>
      <c r="J122" s="140">
        <f t="shared" si="103"/>
        <v>0.13615115413394258</v>
      </c>
      <c r="K122" s="140">
        <f t="shared" si="103"/>
        <v>0.15087096027850269</v>
      </c>
      <c r="L122" s="140">
        <f t="shared" si="103"/>
        <v>0.14500725918029322</v>
      </c>
      <c r="M122" s="140">
        <f t="shared" si="103"/>
        <v>0.13154212197346807</v>
      </c>
      <c r="N122" s="140">
        <f t="shared" si="103"/>
        <v>0.12834325261741297</v>
      </c>
      <c r="O122" s="140">
        <f t="shared" si="103"/>
        <v>0.12582530705478037</v>
      </c>
      <c r="P122" s="140">
        <f t="shared" si="103"/>
        <v>0.13054482803038875</v>
      </c>
      <c r="Q122" s="140">
        <f t="shared" si="103"/>
        <v>0.12388011139064661</v>
      </c>
      <c r="R122" s="140">
        <f t="shared" si="103"/>
        <v>0.12416751373083371</v>
      </c>
      <c r="S122" s="140">
        <f t="shared" si="103"/>
        <v>0.12498389728971189</v>
      </c>
      <c r="T122" s="140">
        <f t="shared" si="103"/>
        <v>0.13698121495889007</v>
      </c>
      <c r="U122" s="140">
        <f t="shared" si="103"/>
        <v>0.15936199138291049</v>
      </c>
      <c r="V122" s="140">
        <f t="shared" si="103"/>
        <v>0.15827608987229738</v>
      </c>
      <c r="W122" s="140">
        <f t="shared" si="103"/>
        <v>0.15404047287510761</v>
      </c>
      <c r="X122" s="140">
        <f t="shared" si="103"/>
        <v>0.15587435587491133</v>
      </c>
      <c r="Y122" s="140">
        <f t="shared" si="103"/>
        <v>0.14953061831276895</v>
      </c>
      <c r="DA122" s="175"/>
    </row>
    <row r="123" spans="1:105" ht="11.45" customHeight="1" x14ac:dyDescent="0.25">
      <c r="A123" s="138" t="str">
        <f>$A$31</f>
        <v>Extra-EEA</v>
      </c>
      <c r="B123" s="127">
        <f t="shared" ref="B123:Y123" si="104">IF(B31=0,0,B31/B$29)</f>
        <v>0.83098003281509869</v>
      </c>
      <c r="C123" s="127">
        <f t="shared" si="104"/>
        <v>0.8355552221100544</v>
      </c>
      <c r="D123" s="127">
        <f t="shared" si="104"/>
        <v>0.83820120016340605</v>
      </c>
      <c r="E123" s="127">
        <f t="shared" si="104"/>
        <v>0.85243280154446854</v>
      </c>
      <c r="F123" s="127">
        <f t="shared" si="104"/>
        <v>0.83778863699420503</v>
      </c>
      <c r="G123" s="127">
        <f t="shared" si="104"/>
        <v>0.83413516198734339</v>
      </c>
      <c r="H123" s="127">
        <f t="shared" si="104"/>
        <v>0.84897881669989017</v>
      </c>
      <c r="I123" s="127">
        <f t="shared" si="104"/>
        <v>0.85871238805990102</v>
      </c>
      <c r="J123" s="127">
        <f t="shared" si="104"/>
        <v>0.86384884586605737</v>
      </c>
      <c r="K123" s="127">
        <f t="shared" si="104"/>
        <v>0.84912903972149734</v>
      </c>
      <c r="L123" s="127">
        <f t="shared" si="104"/>
        <v>0.85499274081970678</v>
      </c>
      <c r="M123" s="127">
        <f t="shared" si="104"/>
        <v>0.86845787802653185</v>
      </c>
      <c r="N123" s="127">
        <f t="shared" si="104"/>
        <v>0.87165674738258714</v>
      </c>
      <c r="O123" s="127">
        <f t="shared" si="104"/>
        <v>0.87417469294521966</v>
      </c>
      <c r="P123" s="127">
        <f t="shared" si="104"/>
        <v>0.8694551719696112</v>
      </c>
      <c r="Q123" s="127">
        <f t="shared" si="104"/>
        <v>0.87611988860935341</v>
      </c>
      <c r="R123" s="127">
        <f t="shared" si="104"/>
        <v>0.87583248626916632</v>
      </c>
      <c r="S123" s="127">
        <f t="shared" si="104"/>
        <v>0.87501610271028818</v>
      </c>
      <c r="T123" s="127">
        <f t="shared" si="104"/>
        <v>0.86301878504110996</v>
      </c>
      <c r="U123" s="127">
        <f t="shared" si="104"/>
        <v>0.84063800861708948</v>
      </c>
      <c r="V123" s="127">
        <f t="shared" si="104"/>
        <v>0.84172391012770253</v>
      </c>
      <c r="W123" s="127">
        <f t="shared" si="104"/>
        <v>0.84595952712489231</v>
      </c>
      <c r="X123" s="127">
        <f t="shared" si="104"/>
        <v>0.84412564412508873</v>
      </c>
      <c r="Y123" s="127">
        <f t="shared" si="104"/>
        <v>0.85046938168723107</v>
      </c>
      <c r="DA123" s="178"/>
    </row>
    <row r="124" spans="1:105" x14ac:dyDescent="0.25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DA124" s="171"/>
    </row>
    <row r="125" spans="1:105" ht="11.45" customHeight="1" x14ac:dyDescent="0.25">
      <c r="A125" s="53" t="s">
        <v>40</v>
      </c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DA125" s="172"/>
    </row>
    <row r="126" spans="1:105" ht="11.45" customHeight="1" x14ac:dyDescent="0.25">
      <c r="A126" s="27" t="s">
        <v>33</v>
      </c>
      <c r="B126" s="31">
        <f t="shared" ref="B126:B138" si="105">IF(B34=0,0,B34/B$34)</f>
        <v>1</v>
      </c>
      <c r="C126" s="31">
        <f t="shared" ref="C126:Y126" si="106">IF(C34=0,0,C34/C$34)</f>
        <v>1</v>
      </c>
      <c r="D126" s="31">
        <f t="shared" si="106"/>
        <v>1</v>
      </c>
      <c r="E126" s="31">
        <f t="shared" si="106"/>
        <v>1</v>
      </c>
      <c r="F126" s="31">
        <f t="shared" si="106"/>
        <v>1</v>
      </c>
      <c r="G126" s="31">
        <f t="shared" si="106"/>
        <v>1</v>
      </c>
      <c r="H126" s="31">
        <f t="shared" si="106"/>
        <v>1</v>
      </c>
      <c r="I126" s="31">
        <f t="shared" si="106"/>
        <v>1</v>
      </c>
      <c r="J126" s="31">
        <f t="shared" si="106"/>
        <v>1</v>
      </c>
      <c r="K126" s="31">
        <f t="shared" si="106"/>
        <v>1</v>
      </c>
      <c r="L126" s="31">
        <f t="shared" si="106"/>
        <v>1</v>
      </c>
      <c r="M126" s="31">
        <f t="shared" si="106"/>
        <v>1</v>
      </c>
      <c r="N126" s="31">
        <f t="shared" si="106"/>
        <v>1</v>
      </c>
      <c r="O126" s="31">
        <f t="shared" si="106"/>
        <v>1</v>
      </c>
      <c r="P126" s="31">
        <f t="shared" si="106"/>
        <v>1</v>
      </c>
      <c r="Q126" s="31">
        <f t="shared" si="106"/>
        <v>1</v>
      </c>
      <c r="R126" s="31">
        <f t="shared" si="106"/>
        <v>1</v>
      </c>
      <c r="S126" s="31">
        <f t="shared" si="106"/>
        <v>1</v>
      </c>
      <c r="T126" s="31">
        <f t="shared" si="106"/>
        <v>1</v>
      </c>
      <c r="U126" s="31">
        <f t="shared" si="106"/>
        <v>1</v>
      </c>
      <c r="V126" s="31">
        <f t="shared" si="106"/>
        <v>1</v>
      </c>
      <c r="W126" s="31">
        <f t="shared" si="106"/>
        <v>1</v>
      </c>
      <c r="X126" s="31">
        <f t="shared" si="106"/>
        <v>1</v>
      </c>
      <c r="Y126" s="31">
        <f t="shared" si="106"/>
        <v>1</v>
      </c>
      <c r="DA126" s="173"/>
    </row>
    <row r="127" spans="1:105" ht="11.45" customHeight="1" x14ac:dyDescent="0.25">
      <c r="A127" s="136" t="str">
        <f>$A$5</f>
        <v>Road transport</v>
      </c>
      <c r="B127" s="139">
        <f t="shared" si="105"/>
        <v>0.79873580887191065</v>
      </c>
      <c r="C127" s="139">
        <f t="shared" ref="C127:Y127" si="107">IF(C35=0,0,C35/C$34)</f>
        <v>0.80600977038626254</v>
      </c>
      <c r="D127" s="139">
        <f t="shared" si="107"/>
        <v>0.81763697458154128</v>
      </c>
      <c r="E127" s="139">
        <f t="shared" si="107"/>
        <v>0.82091079357059693</v>
      </c>
      <c r="F127" s="139">
        <f t="shared" si="107"/>
        <v>0.81433997974094208</v>
      </c>
      <c r="G127" s="139">
        <f t="shared" si="107"/>
        <v>0.80140704806816498</v>
      </c>
      <c r="H127" s="139">
        <f t="shared" si="107"/>
        <v>0.79554639020332252</v>
      </c>
      <c r="I127" s="139">
        <f t="shared" si="107"/>
        <v>0.78896214410708754</v>
      </c>
      <c r="J127" s="139">
        <f t="shared" si="107"/>
        <v>0.78886573068675059</v>
      </c>
      <c r="K127" s="139">
        <f t="shared" si="107"/>
        <v>0.80119092357654442</v>
      </c>
      <c r="L127" s="139">
        <f t="shared" si="107"/>
        <v>0.79071128302196803</v>
      </c>
      <c r="M127" s="139">
        <f t="shared" si="107"/>
        <v>0.77757061417872908</v>
      </c>
      <c r="N127" s="139">
        <f t="shared" si="107"/>
        <v>0.76720757993603461</v>
      </c>
      <c r="O127" s="139">
        <f t="shared" si="107"/>
        <v>0.76586772941993686</v>
      </c>
      <c r="P127" s="139">
        <f t="shared" si="107"/>
        <v>0.76452866116456641</v>
      </c>
      <c r="Q127" s="139">
        <f t="shared" si="107"/>
        <v>0.75297137728702346</v>
      </c>
      <c r="R127" s="139">
        <f t="shared" si="107"/>
        <v>0.73762484468378964</v>
      </c>
      <c r="S127" s="139">
        <f t="shared" si="107"/>
        <v>0.71846925165532116</v>
      </c>
      <c r="T127" s="139">
        <f t="shared" si="107"/>
        <v>0.70819660207716062</v>
      </c>
      <c r="U127" s="139">
        <f t="shared" si="107"/>
        <v>0.70444838669709509</v>
      </c>
      <c r="V127" s="139">
        <f t="shared" si="107"/>
        <v>0.8407918739061031</v>
      </c>
      <c r="W127" s="139">
        <f t="shared" si="107"/>
        <v>0.81911217529012847</v>
      </c>
      <c r="X127" s="139">
        <f t="shared" si="107"/>
        <v>0.71027758222550141</v>
      </c>
      <c r="Y127" s="139">
        <f t="shared" si="107"/>
        <v>0.69426026543329045</v>
      </c>
      <c r="DA127" s="174"/>
    </row>
    <row r="128" spans="1:105" ht="11.45" customHeight="1" x14ac:dyDescent="0.25">
      <c r="A128" s="128" t="str">
        <f>$A$6</f>
        <v>Powered two-wheelers</v>
      </c>
      <c r="B128" s="140">
        <f t="shared" si="105"/>
        <v>1.3300117033782304E-2</v>
      </c>
      <c r="C128" s="140">
        <f t="shared" ref="C128:Y128" si="108">IF(C36=0,0,C36/C$34)</f>
        <v>1.3578080759666329E-2</v>
      </c>
      <c r="D128" s="140">
        <f t="shared" si="108"/>
        <v>1.3859647151439346E-2</v>
      </c>
      <c r="E128" s="140">
        <f t="shared" si="108"/>
        <v>1.3593712940019147E-2</v>
      </c>
      <c r="F128" s="140">
        <f t="shared" si="108"/>
        <v>1.3919984026142865E-2</v>
      </c>
      <c r="G128" s="140">
        <f t="shared" si="108"/>
        <v>1.504131487446736E-2</v>
      </c>
      <c r="H128" s="140">
        <f t="shared" si="108"/>
        <v>1.5492558703378723E-2</v>
      </c>
      <c r="I128" s="140">
        <f t="shared" si="108"/>
        <v>1.4389902389273394E-2</v>
      </c>
      <c r="J128" s="140">
        <f t="shared" si="108"/>
        <v>1.4246450394008575E-2</v>
      </c>
      <c r="K128" s="140">
        <f t="shared" si="108"/>
        <v>1.3259927991984933E-2</v>
      </c>
      <c r="L128" s="140">
        <f t="shared" si="108"/>
        <v>1.227873219070014E-2</v>
      </c>
      <c r="M128" s="140">
        <f t="shared" si="108"/>
        <v>1.2319078996964498E-2</v>
      </c>
      <c r="N128" s="140">
        <f t="shared" si="108"/>
        <v>1.2757554178228186E-2</v>
      </c>
      <c r="O128" s="140">
        <f t="shared" si="108"/>
        <v>1.2442240074146913E-2</v>
      </c>
      <c r="P128" s="140">
        <f t="shared" si="108"/>
        <v>1.1802597142930625E-2</v>
      </c>
      <c r="Q128" s="140">
        <f t="shared" si="108"/>
        <v>1.090790462543737E-2</v>
      </c>
      <c r="R128" s="140">
        <f t="shared" si="108"/>
        <v>1.0971047743695604E-2</v>
      </c>
      <c r="S128" s="140">
        <f t="shared" si="108"/>
        <v>1.0394688076679566E-2</v>
      </c>
      <c r="T128" s="140">
        <f t="shared" si="108"/>
        <v>9.6072229492924054E-3</v>
      </c>
      <c r="U128" s="140">
        <f t="shared" si="108"/>
        <v>9.8025175390055556E-3</v>
      </c>
      <c r="V128" s="140">
        <f t="shared" si="108"/>
        <v>1.2209074400583764E-2</v>
      </c>
      <c r="W128" s="140">
        <f t="shared" si="108"/>
        <v>1.1356511689747476E-2</v>
      </c>
      <c r="X128" s="140">
        <f t="shared" si="108"/>
        <v>9.5786232897158326E-3</v>
      </c>
      <c r="Y128" s="140">
        <f t="shared" si="108"/>
        <v>9.569241675008059E-3</v>
      </c>
      <c r="DA128" s="175"/>
    </row>
    <row r="129" spans="1:105" ht="11.45" customHeight="1" x14ac:dyDescent="0.25">
      <c r="A129" s="128" t="str">
        <f>$A$7</f>
        <v>Passenger cars</v>
      </c>
      <c r="B129" s="140">
        <f t="shared" si="105"/>
        <v>0.7081728882450572</v>
      </c>
      <c r="C129" s="140">
        <f t="shared" ref="C129:Y129" si="109">IF(C37=0,0,C37/C$34)</f>
        <v>0.71484088870939799</v>
      </c>
      <c r="D129" s="140">
        <f t="shared" si="109"/>
        <v>0.72941435981349922</v>
      </c>
      <c r="E129" s="140">
        <f t="shared" si="109"/>
        <v>0.73896155991288093</v>
      </c>
      <c r="F129" s="140">
        <f t="shared" si="109"/>
        <v>0.73602373102689889</v>
      </c>
      <c r="G129" s="140">
        <f t="shared" si="109"/>
        <v>0.74456296202229755</v>
      </c>
      <c r="H129" s="140">
        <f t="shared" si="109"/>
        <v>0.73881230099167394</v>
      </c>
      <c r="I129" s="140">
        <f t="shared" si="109"/>
        <v>0.73282573102945869</v>
      </c>
      <c r="J129" s="140">
        <f t="shared" si="109"/>
        <v>0.73204066263186185</v>
      </c>
      <c r="K129" s="140">
        <f t="shared" si="109"/>
        <v>0.74429272906944877</v>
      </c>
      <c r="L129" s="140">
        <f t="shared" si="109"/>
        <v>0.7344809267425374</v>
      </c>
      <c r="M129" s="140">
        <f t="shared" si="109"/>
        <v>0.71943146891134224</v>
      </c>
      <c r="N129" s="140">
        <f t="shared" si="109"/>
        <v>0.71590207452478438</v>
      </c>
      <c r="O129" s="140">
        <f t="shared" si="109"/>
        <v>0.71637390930101941</v>
      </c>
      <c r="P129" s="140">
        <f t="shared" si="109"/>
        <v>0.70846616191566381</v>
      </c>
      <c r="Q129" s="140">
        <f t="shared" si="109"/>
        <v>0.69836334732252847</v>
      </c>
      <c r="R129" s="140">
        <f t="shared" si="109"/>
        <v>0.68246897693945752</v>
      </c>
      <c r="S129" s="140">
        <f t="shared" si="109"/>
        <v>0.66418697372731306</v>
      </c>
      <c r="T129" s="140">
        <f t="shared" si="109"/>
        <v>0.65380436817574272</v>
      </c>
      <c r="U129" s="140">
        <f t="shared" si="109"/>
        <v>0.65460889553629176</v>
      </c>
      <c r="V129" s="140">
        <f t="shared" si="109"/>
        <v>0.78517747588512898</v>
      </c>
      <c r="W129" s="140">
        <f t="shared" si="109"/>
        <v>0.7588794377143484</v>
      </c>
      <c r="X129" s="140">
        <f t="shared" si="109"/>
        <v>0.65285279401949392</v>
      </c>
      <c r="Y129" s="140">
        <f t="shared" si="109"/>
        <v>0.63857499427258124</v>
      </c>
      <c r="DA129" s="175"/>
    </row>
    <row r="130" spans="1:105" ht="11.45" customHeight="1" x14ac:dyDescent="0.25">
      <c r="A130" s="128" t="str">
        <f>$A$8</f>
        <v>Motor coaches, buses and trolley buses</v>
      </c>
      <c r="B130" s="140">
        <f t="shared" si="105"/>
        <v>7.726280359307125E-2</v>
      </c>
      <c r="C130" s="140">
        <f t="shared" ref="C130:Y130" si="110">IF(C38=0,0,C38/C$34)</f>
        <v>7.7590800917198194E-2</v>
      </c>
      <c r="D130" s="140">
        <f t="shared" si="110"/>
        <v>7.4362967616602688E-2</v>
      </c>
      <c r="E130" s="140">
        <f t="shared" si="110"/>
        <v>6.8355520717696877E-2</v>
      </c>
      <c r="F130" s="140">
        <f t="shared" si="110"/>
        <v>6.4396264687900273E-2</v>
      </c>
      <c r="G130" s="140">
        <f t="shared" si="110"/>
        <v>4.180277117140014E-2</v>
      </c>
      <c r="H130" s="140">
        <f t="shared" si="110"/>
        <v>4.1241530508269876E-2</v>
      </c>
      <c r="I130" s="140">
        <f t="shared" si="110"/>
        <v>4.1746510688355408E-2</v>
      </c>
      <c r="J130" s="140">
        <f t="shared" si="110"/>
        <v>4.2578617660880259E-2</v>
      </c>
      <c r="K130" s="140">
        <f t="shared" si="110"/>
        <v>4.363826651511072E-2</v>
      </c>
      <c r="L130" s="140">
        <f t="shared" si="110"/>
        <v>4.3951624088730455E-2</v>
      </c>
      <c r="M130" s="140">
        <f t="shared" si="110"/>
        <v>4.5820066270422392E-2</v>
      </c>
      <c r="N130" s="140">
        <f t="shared" si="110"/>
        <v>3.8547951233022099E-2</v>
      </c>
      <c r="O130" s="140">
        <f t="shared" si="110"/>
        <v>3.7051580044770431E-2</v>
      </c>
      <c r="P130" s="140">
        <f t="shared" si="110"/>
        <v>4.4259902105972054E-2</v>
      </c>
      <c r="Q130" s="140">
        <f t="shared" si="110"/>
        <v>4.3700125339057705E-2</v>
      </c>
      <c r="R130" s="140">
        <f t="shared" si="110"/>
        <v>4.4184820000636456E-2</v>
      </c>
      <c r="S130" s="140">
        <f t="shared" si="110"/>
        <v>4.3887589851328616E-2</v>
      </c>
      <c r="T130" s="140">
        <f t="shared" si="110"/>
        <v>4.4785010952125476E-2</v>
      </c>
      <c r="U130" s="140">
        <f t="shared" si="110"/>
        <v>4.0036973621797783E-2</v>
      </c>
      <c r="V130" s="140">
        <f t="shared" si="110"/>
        <v>4.3405323620390478E-2</v>
      </c>
      <c r="W130" s="140">
        <f t="shared" si="110"/>
        <v>4.8876225886032541E-2</v>
      </c>
      <c r="X130" s="140">
        <f t="shared" si="110"/>
        <v>4.7846164916291754E-2</v>
      </c>
      <c r="Y130" s="140">
        <f t="shared" si="110"/>
        <v>4.611602948570117E-2</v>
      </c>
      <c r="DA130" s="175"/>
    </row>
    <row r="131" spans="1:105" ht="11.45" customHeight="1" x14ac:dyDescent="0.25">
      <c r="A131" s="109" t="str">
        <f>$A$9</f>
        <v>Rail, metro and tram</v>
      </c>
      <c r="B131" s="124">
        <f t="shared" si="105"/>
        <v>1.7707946936731694E-2</v>
      </c>
      <c r="C131" s="124">
        <f t="shared" ref="C131:Y131" si="111">IF(C39=0,0,C39/C$34)</f>
        <v>1.468263169659121E-2</v>
      </c>
      <c r="D131" s="124">
        <f t="shared" si="111"/>
        <v>1.3575068633206649E-2</v>
      </c>
      <c r="E131" s="124">
        <f t="shared" si="111"/>
        <v>1.2365350219672264E-2</v>
      </c>
      <c r="F131" s="124">
        <f t="shared" si="111"/>
        <v>1.163865210408864E-2</v>
      </c>
      <c r="G131" s="124">
        <f t="shared" si="111"/>
        <v>1.1717537553752129E-2</v>
      </c>
      <c r="H131" s="124">
        <f t="shared" si="111"/>
        <v>1.2035274887297269E-2</v>
      </c>
      <c r="I131" s="124">
        <f t="shared" si="111"/>
        <v>1.1670727732813274E-2</v>
      </c>
      <c r="J131" s="124">
        <f t="shared" si="111"/>
        <v>1.1499123990628465E-2</v>
      </c>
      <c r="K131" s="124">
        <f t="shared" si="111"/>
        <v>1.0566648259462481E-2</v>
      </c>
      <c r="L131" s="124">
        <f t="shared" si="111"/>
        <v>9.771713077350171E-3</v>
      </c>
      <c r="M131" s="124">
        <f t="shared" si="111"/>
        <v>8.4484566070563687E-3</v>
      </c>
      <c r="N131" s="124">
        <f t="shared" si="111"/>
        <v>8.1100026800467687E-3</v>
      </c>
      <c r="O131" s="124">
        <f t="shared" si="111"/>
        <v>6.3635761306490473E-3</v>
      </c>
      <c r="P131" s="124">
        <f t="shared" si="111"/>
        <v>6.2089141286406609E-3</v>
      </c>
      <c r="Q131" s="124">
        <f t="shared" si="111"/>
        <v>6.0343510646840067E-3</v>
      </c>
      <c r="R131" s="124">
        <f t="shared" si="111"/>
        <v>7.7466612156622573E-3</v>
      </c>
      <c r="S131" s="124">
        <f t="shared" si="111"/>
        <v>8.2957948604707125E-3</v>
      </c>
      <c r="T131" s="124">
        <f t="shared" si="111"/>
        <v>8.1136603603979146E-3</v>
      </c>
      <c r="U131" s="124">
        <f t="shared" si="111"/>
        <v>7.8458114703036184E-3</v>
      </c>
      <c r="V131" s="124">
        <f t="shared" si="111"/>
        <v>9.2386729798835249E-3</v>
      </c>
      <c r="W131" s="124">
        <f t="shared" si="111"/>
        <v>8.7164895234127255E-3</v>
      </c>
      <c r="X131" s="124">
        <f t="shared" si="111"/>
        <v>7.3742155750387206E-3</v>
      </c>
      <c r="Y131" s="124">
        <f t="shared" si="111"/>
        <v>7.2023118027838779E-3</v>
      </c>
      <c r="DA131" s="176"/>
    </row>
    <row r="132" spans="1:105" ht="11.45" customHeight="1" x14ac:dyDescent="0.25">
      <c r="A132" s="128" t="str">
        <f>$A$10</f>
        <v>Metro and tram, urban light rail</v>
      </c>
      <c r="B132" s="140">
        <f t="shared" si="105"/>
        <v>6.3989427776902621E-4</v>
      </c>
      <c r="C132" s="140">
        <f t="shared" ref="C132:Y132" si="112">IF(C40=0,0,C40/C$34)</f>
        <v>6.5312404977226545E-4</v>
      </c>
      <c r="D132" s="140">
        <f t="shared" si="112"/>
        <v>6.2678193714243828E-4</v>
      </c>
      <c r="E132" s="140">
        <f t="shared" si="112"/>
        <v>8.1367285952006698E-4</v>
      </c>
      <c r="F132" s="140">
        <f t="shared" si="112"/>
        <v>8.2918449887233944E-4</v>
      </c>
      <c r="G132" s="140">
        <f t="shared" si="112"/>
        <v>8.790849901770825E-4</v>
      </c>
      <c r="H132" s="140">
        <f t="shared" si="112"/>
        <v>1.0375640049864346E-3</v>
      </c>
      <c r="I132" s="140">
        <f t="shared" si="112"/>
        <v>1.0536415934697626E-3</v>
      </c>
      <c r="J132" s="140">
        <f t="shared" si="112"/>
        <v>1.0725993305559735E-3</v>
      </c>
      <c r="K132" s="140">
        <f t="shared" si="112"/>
        <v>1.0496959584427525E-3</v>
      </c>
      <c r="L132" s="140">
        <f t="shared" si="112"/>
        <v>1.0574673457808778E-3</v>
      </c>
      <c r="M132" s="140">
        <f t="shared" si="112"/>
        <v>1.0862681846669135E-3</v>
      </c>
      <c r="N132" s="140">
        <f t="shared" si="112"/>
        <v>1.0193182301768604E-3</v>
      </c>
      <c r="O132" s="140">
        <f t="shared" si="112"/>
        <v>9.426498423609922E-4</v>
      </c>
      <c r="P132" s="140">
        <f t="shared" si="112"/>
        <v>9.247107499215768E-4</v>
      </c>
      <c r="Q132" s="140">
        <f t="shared" si="112"/>
        <v>9.327871948114978E-4</v>
      </c>
      <c r="R132" s="140">
        <f t="shared" si="112"/>
        <v>9.2089586910633109E-4</v>
      </c>
      <c r="S132" s="140">
        <f t="shared" si="112"/>
        <v>9.1464588737684524E-4</v>
      </c>
      <c r="T132" s="140">
        <f t="shared" si="112"/>
        <v>9.2545129321662295E-4</v>
      </c>
      <c r="U132" s="140">
        <f t="shared" si="112"/>
        <v>9.5539376552175018E-4</v>
      </c>
      <c r="V132" s="140">
        <f t="shared" si="112"/>
        <v>1.2174608235505922E-3</v>
      </c>
      <c r="W132" s="140">
        <f t="shared" si="112"/>
        <v>9.9928692949573673E-4</v>
      </c>
      <c r="X132" s="140">
        <f t="shared" si="112"/>
        <v>9.402843179868853E-4</v>
      </c>
      <c r="Y132" s="140">
        <f t="shared" si="112"/>
        <v>8.9800655876090855E-4</v>
      </c>
      <c r="DA132" s="175"/>
    </row>
    <row r="133" spans="1:105" ht="11.45" customHeight="1" x14ac:dyDescent="0.25">
      <c r="A133" s="128" t="str">
        <f>$A$11</f>
        <v>Conventional passenger trains</v>
      </c>
      <c r="B133" s="140">
        <f t="shared" si="105"/>
        <v>1.7068052658962669E-2</v>
      </c>
      <c r="C133" s="140">
        <f t="shared" ref="C133:Y133" si="113">IF(C41=0,0,C41/C$34)</f>
        <v>1.4029507646818944E-2</v>
      </c>
      <c r="D133" s="140">
        <f t="shared" si="113"/>
        <v>1.294828669606421E-2</v>
      </c>
      <c r="E133" s="140">
        <f t="shared" si="113"/>
        <v>1.1551677360152198E-2</v>
      </c>
      <c r="F133" s="140">
        <f t="shared" si="113"/>
        <v>9.6802817184839917E-3</v>
      </c>
      <c r="G133" s="140">
        <f t="shared" si="113"/>
        <v>9.5413796904563562E-3</v>
      </c>
      <c r="H133" s="140">
        <f t="shared" si="113"/>
        <v>9.6575549024865148E-3</v>
      </c>
      <c r="I133" s="140">
        <f t="shared" si="113"/>
        <v>9.2410869468569877E-3</v>
      </c>
      <c r="J133" s="140">
        <f t="shared" si="113"/>
        <v>9.0655212336445447E-3</v>
      </c>
      <c r="K133" s="140">
        <f t="shared" si="113"/>
        <v>8.1635102290332998E-3</v>
      </c>
      <c r="L133" s="140">
        <f t="shared" si="113"/>
        <v>7.3944019909143429E-3</v>
      </c>
      <c r="M133" s="140">
        <f t="shared" si="113"/>
        <v>6.0015698915440235E-3</v>
      </c>
      <c r="N133" s="140">
        <f t="shared" si="113"/>
        <v>5.6972238112138205E-3</v>
      </c>
      <c r="O133" s="140">
        <f t="shared" si="113"/>
        <v>4.0484653610540263E-3</v>
      </c>
      <c r="P133" s="140">
        <f t="shared" si="113"/>
        <v>3.9594024056897352E-3</v>
      </c>
      <c r="Q133" s="140">
        <f t="shared" si="113"/>
        <v>3.83438590142183E-3</v>
      </c>
      <c r="R133" s="140">
        <f t="shared" si="113"/>
        <v>5.5843700555491833E-3</v>
      </c>
      <c r="S133" s="140">
        <f t="shared" si="113"/>
        <v>6.2019798651927402E-3</v>
      </c>
      <c r="T133" s="140">
        <f t="shared" si="113"/>
        <v>6.0797318370384721E-3</v>
      </c>
      <c r="U133" s="140">
        <f t="shared" si="113"/>
        <v>5.8121515430080272E-3</v>
      </c>
      <c r="V133" s="140">
        <f t="shared" si="113"/>
        <v>7.1402370137634424E-3</v>
      </c>
      <c r="W133" s="140">
        <f t="shared" si="113"/>
        <v>6.7536616418499172E-3</v>
      </c>
      <c r="X133" s="140">
        <f t="shared" si="113"/>
        <v>5.4279338803156895E-3</v>
      </c>
      <c r="Y133" s="140">
        <f t="shared" si="113"/>
        <v>5.4171414828486355E-3</v>
      </c>
      <c r="DA133" s="175"/>
    </row>
    <row r="134" spans="1:105" ht="11.45" customHeight="1" x14ac:dyDescent="0.25">
      <c r="A134" s="128" t="str">
        <f>$A$12</f>
        <v>High speed passenger trains</v>
      </c>
      <c r="B134" s="140">
        <f t="shared" si="105"/>
        <v>0</v>
      </c>
      <c r="C134" s="140">
        <f t="shared" ref="C134:Y134" si="114">IF(C42=0,0,C42/C$34)</f>
        <v>0</v>
      </c>
      <c r="D134" s="140">
        <f t="shared" si="114"/>
        <v>0</v>
      </c>
      <c r="E134" s="140">
        <f t="shared" si="114"/>
        <v>0</v>
      </c>
      <c r="F134" s="140">
        <f t="shared" si="114"/>
        <v>1.1291858867323074E-3</v>
      </c>
      <c r="G134" s="140">
        <f t="shared" si="114"/>
        <v>1.2970728731186885E-3</v>
      </c>
      <c r="H134" s="140">
        <f t="shared" si="114"/>
        <v>1.3401559798243198E-3</v>
      </c>
      <c r="I134" s="140">
        <f t="shared" si="114"/>
        <v>1.3759991924865227E-3</v>
      </c>
      <c r="J134" s="140">
        <f t="shared" si="114"/>
        <v>1.3610034264279476E-3</v>
      </c>
      <c r="K134" s="140">
        <f t="shared" si="114"/>
        <v>1.3534420719864277E-3</v>
      </c>
      <c r="L134" s="140">
        <f t="shared" si="114"/>
        <v>1.3198437406549506E-3</v>
      </c>
      <c r="M134" s="140">
        <f t="shared" si="114"/>
        <v>1.3606185308454304E-3</v>
      </c>
      <c r="N134" s="140">
        <f t="shared" si="114"/>
        <v>1.393460638656087E-3</v>
      </c>
      <c r="O134" s="140">
        <f t="shared" si="114"/>
        <v>1.372460927234029E-3</v>
      </c>
      <c r="P134" s="140">
        <f t="shared" si="114"/>
        <v>1.3248009730293488E-3</v>
      </c>
      <c r="Q134" s="140">
        <f t="shared" si="114"/>
        <v>1.267177968450679E-3</v>
      </c>
      <c r="R134" s="140">
        <f t="shared" si="114"/>
        <v>1.2413952910067427E-3</v>
      </c>
      <c r="S134" s="140">
        <f t="shared" si="114"/>
        <v>1.1791691079011261E-3</v>
      </c>
      <c r="T134" s="140">
        <f t="shared" si="114"/>
        <v>1.1084772301428196E-3</v>
      </c>
      <c r="U134" s="140">
        <f t="shared" si="114"/>
        <v>1.0782661617738418E-3</v>
      </c>
      <c r="V134" s="140">
        <f t="shared" si="114"/>
        <v>8.8097514256949049E-4</v>
      </c>
      <c r="W134" s="140">
        <f t="shared" si="114"/>
        <v>9.6354095206707105E-4</v>
      </c>
      <c r="X134" s="140">
        <f t="shared" si="114"/>
        <v>1.0059973767361447E-3</v>
      </c>
      <c r="Y134" s="140">
        <f t="shared" si="114"/>
        <v>8.8716376117433347E-4</v>
      </c>
      <c r="DA134" s="175"/>
    </row>
    <row r="135" spans="1:105" ht="11.45" customHeight="1" x14ac:dyDescent="0.25">
      <c r="A135" s="109" t="str">
        <f>$A$13</f>
        <v>Aviation</v>
      </c>
      <c r="B135" s="124">
        <f t="shared" si="105"/>
        <v>0.1835562441913576</v>
      </c>
      <c r="C135" s="124">
        <f t="shared" ref="C135:Y135" si="115">IF(C43=0,0,C43/C$34)</f>
        <v>0.17930759791714623</v>
      </c>
      <c r="D135" s="124">
        <f t="shared" si="115"/>
        <v>0.16878795678525202</v>
      </c>
      <c r="E135" s="124">
        <f t="shared" si="115"/>
        <v>0.16672385620973085</v>
      </c>
      <c r="F135" s="124">
        <f t="shared" si="115"/>
        <v>0.17402136815496932</v>
      </c>
      <c r="G135" s="124">
        <f t="shared" si="115"/>
        <v>0.18687541437808294</v>
      </c>
      <c r="H135" s="124">
        <f t="shared" si="115"/>
        <v>0.19241833490938029</v>
      </c>
      <c r="I135" s="124">
        <f t="shared" si="115"/>
        <v>0.19936712816009924</v>
      </c>
      <c r="J135" s="124">
        <f t="shared" si="115"/>
        <v>0.19963514532262089</v>
      </c>
      <c r="K135" s="124">
        <f t="shared" si="115"/>
        <v>0.18824242816399306</v>
      </c>
      <c r="L135" s="124">
        <f t="shared" si="115"/>
        <v>0.19951700390068186</v>
      </c>
      <c r="M135" s="124">
        <f t="shared" si="115"/>
        <v>0.21398092921421447</v>
      </c>
      <c r="N135" s="124">
        <f t="shared" si="115"/>
        <v>0.2246824173839187</v>
      </c>
      <c r="O135" s="124">
        <f t="shared" si="115"/>
        <v>0.22776869444941408</v>
      </c>
      <c r="P135" s="124">
        <f t="shared" si="115"/>
        <v>0.22926242470679295</v>
      </c>
      <c r="Q135" s="124">
        <f t="shared" si="115"/>
        <v>0.24099427164829249</v>
      </c>
      <c r="R135" s="124">
        <f t="shared" si="115"/>
        <v>0.25462849410054805</v>
      </c>
      <c r="S135" s="124">
        <f t="shared" si="115"/>
        <v>0.27323495348420818</v>
      </c>
      <c r="T135" s="124">
        <f t="shared" si="115"/>
        <v>0.28368973756244142</v>
      </c>
      <c r="U135" s="124">
        <f t="shared" si="115"/>
        <v>0.2877058018326013</v>
      </c>
      <c r="V135" s="124">
        <f t="shared" si="115"/>
        <v>0.14996945311401341</v>
      </c>
      <c r="W135" s="124">
        <f t="shared" si="115"/>
        <v>0.17217133518645875</v>
      </c>
      <c r="X135" s="124">
        <f t="shared" si="115"/>
        <v>0.28234820219945977</v>
      </c>
      <c r="Y135" s="124">
        <f t="shared" si="115"/>
        <v>0.29853742276392564</v>
      </c>
      <c r="DA135" s="176"/>
    </row>
    <row r="136" spans="1:105" ht="11.45" customHeight="1" x14ac:dyDescent="0.25">
      <c r="A136" s="128" t="str">
        <f>$A$14</f>
        <v>Domestic</v>
      </c>
      <c r="B136" s="140">
        <f t="shared" si="105"/>
        <v>2.61830848220173E-2</v>
      </c>
      <c r="C136" s="140">
        <f t="shared" ref="C136:Y136" si="116">IF(C44=0,0,C44/C$34)</f>
        <v>2.7168783542945725E-2</v>
      </c>
      <c r="D136" s="140">
        <f t="shared" si="116"/>
        <v>2.7717509200822756E-2</v>
      </c>
      <c r="E136" s="140">
        <f t="shared" si="116"/>
        <v>2.4182906460048056E-2</v>
      </c>
      <c r="F136" s="140">
        <f t="shared" si="116"/>
        <v>2.635725912072532E-2</v>
      </c>
      <c r="G136" s="140">
        <f t="shared" si="116"/>
        <v>2.8355292957329088E-2</v>
      </c>
      <c r="H136" s="140">
        <f t="shared" si="116"/>
        <v>2.7261577142099959E-2</v>
      </c>
      <c r="I136" s="140">
        <f t="shared" si="116"/>
        <v>2.6829394813802056E-2</v>
      </c>
      <c r="J136" s="140">
        <f t="shared" si="116"/>
        <v>2.4353157063402363E-2</v>
      </c>
      <c r="K136" s="140">
        <f t="shared" si="116"/>
        <v>2.2749874800600811E-2</v>
      </c>
      <c r="L136" s="140">
        <f t="shared" si="116"/>
        <v>2.6509126390051267E-2</v>
      </c>
      <c r="M136" s="140">
        <f t="shared" si="116"/>
        <v>2.4894184304500591E-2</v>
      </c>
      <c r="N136" s="140">
        <f t="shared" si="116"/>
        <v>2.5963096349035795E-2</v>
      </c>
      <c r="O136" s="140">
        <f t="shared" si="116"/>
        <v>2.6479162009890107E-2</v>
      </c>
      <c r="P136" s="140">
        <f t="shared" si="116"/>
        <v>2.5116623040964774E-2</v>
      </c>
      <c r="Q136" s="140">
        <f t="shared" si="116"/>
        <v>2.5754209394647443E-2</v>
      </c>
      <c r="R136" s="140">
        <f t="shared" si="116"/>
        <v>2.7678831840652958E-2</v>
      </c>
      <c r="S136" s="140">
        <f t="shared" si="116"/>
        <v>3.186145929518857E-2</v>
      </c>
      <c r="T136" s="140">
        <f t="shared" si="116"/>
        <v>3.2968666245974547E-2</v>
      </c>
      <c r="U136" s="140">
        <f t="shared" si="116"/>
        <v>2.9441577222867433E-2</v>
      </c>
      <c r="V136" s="140">
        <f t="shared" si="116"/>
        <v>2.1504246999151402E-2</v>
      </c>
      <c r="W136" s="140">
        <f t="shared" si="116"/>
        <v>2.5436322387059552E-2</v>
      </c>
      <c r="X136" s="140">
        <f t="shared" si="116"/>
        <v>2.585265859700173E-2</v>
      </c>
      <c r="Y136" s="140">
        <f t="shared" si="116"/>
        <v>2.713027789122055E-2</v>
      </c>
      <c r="DA136" s="175"/>
    </row>
    <row r="137" spans="1:105" ht="11.45" customHeight="1" x14ac:dyDescent="0.25">
      <c r="A137" s="128" t="str">
        <f>$A$15</f>
        <v>International - Intra-EEAwCHUK</v>
      </c>
      <c r="B137" s="140">
        <f t="shared" si="105"/>
        <v>0.10020286869903958</v>
      </c>
      <c r="C137" s="140">
        <f t="shared" ref="C137:Y137" si="117">IF(C45=0,0,C45/C$34)</f>
        <v>9.6872830763874415E-2</v>
      </c>
      <c r="D137" s="140">
        <f t="shared" si="117"/>
        <v>8.9825312194053986E-2</v>
      </c>
      <c r="E137" s="140">
        <f t="shared" si="117"/>
        <v>8.7548003357050042E-2</v>
      </c>
      <c r="F137" s="140">
        <f t="shared" si="117"/>
        <v>9.2593910201997365E-2</v>
      </c>
      <c r="G137" s="140">
        <f t="shared" si="117"/>
        <v>9.9922510087417329E-2</v>
      </c>
      <c r="H137" s="140">
        <f t="shared" si="117"/>
        <v>0.10546341541385673</v>
      </c>
      <c r="I137" s="140">
        <f t="shared" si="117"/>
        <v>0.11272862264549718</v>
      </c>
      <c r="J137" s="140">
        <f t="shared" si="117"/>
        <v>0.11397396359288654</v>
      </c>
      <c r="K137" s="140">
        <f t="shared" si="117"/>
        <v>0.10484068031812277</v>
      </c>
      <c r="L137" s="140">
        <f t="shared" si="117"/>
        <v>0.10942301858401879</v>
      </c>
      <c r="M137" s="140">
        <f t="shared" si="117"/>
        <v>0.12044595123337822</v>
      </c>
      <c r="N137" s="140">
        <f t="shared" si="117"/>
        <v>0.12494542875586598</v>
      </c>
      <c r="O137" s="140">
        <f t="shared" si="117"/>
        <v>0.12751879744053934</v>
      </c>
      <c r="P137" s="140">
        <f t="shared" si="117"/>
        <v>0.13103487376920223</v>
      </c>
      <c r="Q137" s="140">
        <f t="shared" si="117"/>
        <v>0.13923545567752355</v>
      </c>
      <c r="R137" s="140">
        <f t="shared" si="117"/>
        <v>0.15128867810893398</v>
      </c>
      <c r="S137" s="140">
        <f t="shared" si="117"/>
        <v>0.16427725397842652</v>
      </c>
      <c r="T137" s="140">
        <f t="shared" si="117"/>
        <v>0.16923777752134359</v>
      </c>
      <c r="U137" s="140">
        <f t="shared" si="117"/>
        <v>0.17359332242308284</v>
      </c>
      <c r="V137" s="140">
        <f t="shared" si="117"/>
        <v>7.3231075773814033E-2</v>
      </c>
      <c r="W137" s="140">
        <f t="shared" si="117"/>
        <v>9.0310697114129035E-2</v>
      </c>
      <c r="X137" s="140">
        <f t="shared" si="117"/>
        <v>0.17652601547664529</v>
      </c>
      <c r="Y137" s="140">
        <f t="shared" si="117"/>
        <v>0.18734736229986321</v>
      </c>
      <c r="DA137" s="175"/>
    </row>
    <row r="138" spans="1:105" ht="11.45" customHeight="1" x14ac:dyDescent="0.25">
      <c r="A138" s="128" t="str">
        <f>$A$16</f>
        <v>International - Extra-EEAwCHUK</v>
      </c>
      <c r="B138" s="140">
        <f t="shared" si="105"/>
        <v>5.7170290670300751E-2</v>
      </c>
      <c r="C138" s="140">
        <f t="shared" ref="C138:Y138" si="118">IF(C46=0,0,C46/C$34)</f>
        <v>5.5265983610326093E-2</v>
      </c>
      <c r="D138" s="140">
        <f t="shared" si="118"/>
        <v>5.1245135390375285E-2</v>
      </c>
      <c r="E138" s="140">
        <f t="shared" si="118"/>
        <v>5.4992946392632767E-2</v>
      </c>
      <c r="F138" s="140">
        <f t="shared" si="118"/>
        <v>5.507019883224664E-2</v>
      </c>
      <c r="G138" s="140">
        <f t="shared" si="118"/>
        <v>5.8597611333336526E-2</v>
      </c>
      <c r="H138" s="140">
        <f t="shared" si="118"/>
        <v>5.9693342353423579E-2</v>
      </c>
      <c r="I138" s="140">
        <f t="shared" si="118"/>
        <v>5.98091107008E-2</v>
      </c>
      <c r="J138" s="140">
        <f t="shared" si="118"/>
        <v>6.1308024666331971E-2</v>
      </c>
      <c r="K138" s="140">
        <f t="shared" si="118"/>
        <v>6.0651873045269464E-2</v>
      </c>
      <c r="L138" s="140">
        <f t="shared" si="118"/>
        <v>6.3584858926611809E-2</v>
      </c>
      <c r="M138" s="140">
        <f t="shared" si="118"/>
        <v>6.8640793676335646E-2</v>
      </c>
      <c r="N138" s="140">
        <f t="shared" si="118"/>
        <v>7.3773892279016914E-2</v>
      </c>
      <c r="O138" s="140">
        <f t="shared" si="118"/>
        <v>7.3770734998984636E-2</v>
      </c>
      <c r="P138" s="140">
        <f t="shared" si="118"/>
        <v>7.311092789662596E-2</v>
      </c>
      <c r="Q138" s="140">
        <f t="shared" si="118"/>
        <v>7.6004606576121486E-2</v>
      </c>
      <c r="R138" s="140">
        <f t="shared" si="118"/>
        <v>7.5660984150961091E-2</v>
      </c>
      <c r="S138" s="140">
        <f t="shared" si="118"/>
        <v>7.7096240210593095E-2</v>
      </c>
      <c r="T138" s="140">
        <f t="shared" si="118"/>
        <v>8.1483293795123257E-2</v>
      </c>
      <c r="U138" s="140">
        <f t="shared" si="118"/>
        <v>8.4670902186650993E-2</v>
      </c>
      <c r="V138" s="140">
        <f t="shared" si="118"/>
        <v>5.5234130341047981E-2</v>
      </c>
      <c r="W138" s="140">
        <f t="shared" si="118"/>
        <v>5.6424315685270142E-2</v>
      </c>
      <c r="X138" s="140">
        <f t="shared" si="118"/>
        <v>7.9969528125812803E-2</v>
      </c>
      <c r="Y138" s="140">
        <f t="shared" si="118"/>
        <v>8.4059782572841885E-2</v>
      </c>
      <c r="DA138" s="175"/>
    </row>
    <row r="139" spans="1:105" ht="11.45" customHeight="1" x14ac:dyDescent="0.25">
      <c r="A139" s="27" t="s">
        <v>34</v>
      </c>
      <c r="B139" s="31">
        <f t="shared" ref="B139:B150" si="119">IF(B47=0,0,B47/B$47)</f>
        <v>1</v>
      </c>
      <c r="C139" s="31">
        <f t="shared" ref="C139:Y139" si="120">IF(C47=0,0,C47/C$47)</f>
        <v>1</v>
      </c>
      <c r="D139" s="31">
        <f t="shared" si="120"/>
        <v>1</v>
      </c>
      <c r="E139" s="31">
        <f t="shared" si="120"/>
        <v>1</v>
      </c>
      <c r="F139" s="31">
        <f t="shared" si="120"/>
        <v>1</v>
      </c>
      <c r="G139" s="31">
        <f t="shared" si="120"/>
        <v>1</v>
      </c>
      <c r="H139" s="31">
        <f t="shared" si="120"/>
        <v>1</v>
      </c>
      <c r="I139" s="31">
        <f t="shared" si="120"/>
        <v>1</v>
      </c>
      <c r="J139" s="31">
        <f t="shared" si="120"/>
        <v>1</v>
      </c>
      <c r="K139" s="31">
        <f t="shared" si="120"/>
        <v>1</v>
      </c>
      <c r="L139" s="31">
        <f t="shared" si="120"/>
        <v>1</v>
      </c>
      <c r="M139" s="31">
        <f t="shared" si="120"/>
        <v>1</v>
      </c>
      <c r="N139" s="31">
        <f t="shared" si="120"/>
        <v>1</v>
      </c>
      <c r="O139" s="31">
        <f t="shared" si="120"/>
        <v>1</v>
      </c>
      <c r="P139" s="31">
        <f t="shared" si="120"/>
        <v>1</v>
      </c>
      <c r="Q139" s="31">
        <f t="shared" si="120"/>
        <v>1</v>
      </c>
      <c r="R139" s="31">
        <f t="shared" si="120"/>
        <v>1</v>
      </c>
      <c r="S139" s="31">
        <f t="shared" si="120"/>
        <v>1</v>
      </c>
      <c r="T139" s="31">
        <f t="shared" si="120"/>
        <v>1</v>
      </c>
      <c r="U139" s="31">
        <f t="shared" si="120"/>
        <v>1</v>
      </c>
      <c r="V139" s="31">
        <f t="shared" si="120"/>
        <v>1</v>
      </c>
      <c r="W139" s="31">
        <f t="shared" si="120"/>
        <v>1</v>
      </c>
      <c r="X139" s="31">
        <f t="shared" si="120"/>
        <v>1</v>
      </c>
      <c r="Y139" s="31">
        <f t="shared" si="120"/>
        <v>1</v>
      </c>
      <c r="DA139" s="173"/>
    </row>
    <row r="140" spans="1:105" ht="11.45" customHeight="1" x14ac:dyDescent="0.25">
      <c r="A140" s="136" t="str">
        <f>$A$18</f>
        <v>Road transport</v>
      </c>
      <c r="B140" s="139">
        <f t="shared" si="119"/>
        <v>0.9675825971097165</v>
      </c>
      <c r="C140" s="139">
        <f t="shared" ref="C140:Y140" si="121">IF(C48=0,0,C48/C$47)</f>
        <v>0.96723911937505924</v>
      </c>
      <c r="D140" s="139">
        <f t="shared" si="121"/>
        <v>0.95163423423970173</v>
      </c>
      <c r="E140" s="139">
        <f t="shared" si="121"/>
        <v>0.9634880959162363</v>
      </c>
      <c r="F140" s="139">
        <f t="shared" si="121"/>
        <v>0.9781338961755609</v>
      </c>
      <c r="G140" s="139">
        <f t="shared" si="121"/>
        <v>0.98022368985208241</v>
      </c>
      <c r="H140" s="139">
        <f t="shared" si="121"/>
        <v>0.97725768578032757</v>
      </c>
      <c r="I140" s="139">
        <f t="shared" si="121"/>
        <v>0.93593518495407613</v>
      </c>
      <c r="J140" s="139">
        <f t="shared" si="121"/>
        <v>0.9292599236335749</v>
      </c>
      <c r="K140" s="139">
        <f t="shared" si="121"/>
        <v>0.90638569950932801</v>
      </c>
      <c r="L140" s="139">
        <f t="shared" si="121"/>
        <v>0.93239889947540044</v>
      </c>
      <c r="M140" s="139">
        <f t="shared" si="121"/>
        <v>0.93113411269412083</v>
      </c>
      <c r="N140" s="139">
        <f t="shared" si="121"/>
        <v>0.9211689733845303</v>
      </c>
      <c r="O140" s="139">
        <f t="shared" si="121"/>
        <v>0.91716954058768985</v>
      </c>
      <c r="P140" s="139">
        <f t="shared" si="121"/>
        <v>0.93640053157269831</v>
      </c>
      <c r="Q140" s="139">
        <f t="shared" si="121"/>
        <v>0.93100916628664665</v>
      </c>
      <c r="R140" s="139">
        <f t="shared" si="121"/>
        <v>0.92673733618615206</v>
      </c>
      <c r="S140" s="139">
        <f t="shared" si="121"/>
        <v>0.93109668686042968</v>
      </c>
      <c r="T140" s="139">
        <f t="shared" si="121"/>
        <v>0.92945909717243858</v>
      </c>
      <c r="U140" s="139">
        <f t="shared" si="121"/>
        <v>0.93967387490294108</v>
      </c>
      <c r="V140" s="139">
        <f t="shared" si="121"/>
        <v>0.94491000173100659</v>
      </c>
      <c r="W140" s="139">
        <f t="shared" si="121"/>
        <v>0.94120679702902088</v>
      </c>
      <c r="X140" s="139">
        <f t="shared" si="121"/>
        <v>0.94016062892957453</v>
      </c>
      <c r="Y140" s="139">
        <f t="shared" si="121"/>
        <v>0.94946978538968418</v>
      </c>
      <c r="DA140" s="174"/>
    </row>
    <row r="141" spans="1:105" ht="11.45" customHeight="1" x14ac:dyDescent="0.25">
      <c r="A141" s="128" t="str">
        <f>$A$19</f>
        <v>Light commercial vehicles</v>
      </c>
      <c r="B141" s="140">
        <f t="shared" si="119"/>
        <v>0.72259692957659505</v>
      </c>
      <c r="C141" s="140">
        <f t="shared" ref="C141:Y141" si="122">IF(C49=0,0,C49/C$47)</f>
        <v>0.68076245830183801</v>
      </c>
      <c r="D141" s="140">
        <f t="shared" si="122"/>
        <v>0.67657856094649815</v>
      </c>
      <c r="E141" s="140">
        <f t="shared" si="122"/>
        <v>0.64801332542103274</v>
      </c>
      <c r="F141" s="140">
        <f t="shared" si="122"/>
        <v>0.59926110301540736</v>
      </c>
      <c r="G141" s="140">
        <f t="shared" si="122"/>
        <v>0.57722249846646823</v>
      </c>
      <c r="H141" s="140">
        <f t="shared" si="122"/>
        <v>0.56769551268616014</v>
      </c>
      <c r="I141" s="140">
        <f t="shared" si="122"/>
        <v>0.51968735124558785</v>
      </c>
      <c r="J141" s="140">
        <f t="shared" si="122"/>
        <v>0.51769075419893928</v>
      </c>
      <c r="K141" s="140">
        <f t="shared" si="122"/>
        <v>0.52487858370530227</v>
      </c>
      <c r="L141" s="140">
        <f t="shared" si="122"/>
        <v>0.52693201665851486</v>
      </c>
      <c r="M141" s="140">
        <f t="shared" si="122"/>
        <v>0.50517270097426081</v>
      </c>
      <c r="N141" s="140">
        <f t="shared" si="122"/>
        <v>0.48784248604494784</v>
      </c>
      <c r="O141" s="140">
        <f t="shared" si="122"/>
        <v>0.48578233557799394</v>
      </c>
      <c r="P141" s="140">
        <f t="shared" si="122"/>
        <v>0.52536698051187303</v>
      </c>
      <c r="Q141" s="140">
        <f t="shared" si="122"/>
        <v>0.50834449504848989</v>
      </c>
      <c r="R141" s="140">
        <f t="shared" si="122"/>
        <v>0.51588912638629014</v>
      </c>
      <c r="S141" s="140">
        <f t="shared" si="122"/>
        <v>0.52908383141903814</v>
      </c>
      <c r="T141" s="140">
        <f t="shared" si="122"/>
        <v>0.53449270329038057</v>
      </c>
      <c r="U141" s="140">
        <f t="shared" si="122"/>
        <v>0.53775857679567207</v>
      </c>
      <c r="V141" s="140">
        <f t="shared" si="122"/>
        <v>0.53704642021532067</v>
      </c>
      <c r="W141" s="140">
        <f t="shared" si="122"/>
        <v>0.5430242177371355</v>
      </c>
      <c r="X141" s="140">
        <f t="shared" si="122"/>
        <v>0.56741045730405359</v>
      </c>
      <c r="Y141" s="140">
        <f t="shared" si="122"/>
        <v>0.5978611120944225</v>
      </c>
      <c r="DA141" s="175"/>
    </row>
    <row r="142" spans="1:105" ht="11.45" customHeight="1" x14ac:dyDescent="0.25">
      <c r="A142" s="128" t="str">
        <f>$A$20</f>
        <v>Heavy goods vehicles</v>
      </c>
      <c r="B142" s="140">
        <f t="shared" si="119"/>
        <v>0.24498566753312148</v>
      </c>
      <c r="C142" s="140">
        <f t="shared" ref="C142:Y142" si="123">IF(C50=0,0,C50/C$47)</f>
        <v>0.28647666107322123</v>
      </c>
      <c r="D142" s="140">
        <f t="shared" si="123"/>
        <v>0.27505567329320357</v>
      </c>
      <c r="E142" s="140">
        <f t="shared" si="123"/>
        <v>0.31547477049520362</v>
      </c>
      <c r="F142" s="140">
        <f t="shared" si="123"/>
        <v>0.3788727931601536</v>
      </c>
      <c r="G142" s="140">
        <f t="shared" si="123"/>
        <v>0.40300119138561408</v>
      </c>
      <c r="H142" s="140">
        <f t="shared" si="123"/>
        <v>0.40956217309416737</v>
      </c>
      <c r="I142" s="140">
        <f t="shared" si="123"/>
        <v>0.41624783370848828</v>
      </c>
      <c r="J142" s="140">
        <f t="shared" si="123"/>
        <v>0.41156916943463562</v>
      </c>
      <c r="K142" s="140">
        <f t="shared" si="123"/>
        <v>0.38150711580402574</v>
      </c>
      <c r="L142" s="140">
        <f t="shared" si="123"/>
        <v>0.40546688281688559</v>
      </c>
      <c r="M142" s="140">
        <f t="shared" si="123"/>
        <v>0.42596141171986007</v>
      </c>
      <c r="N142" s="140">
        <f t="shared" si="123"/>
        <v>0.43332648733958246</v>
      </c>
      <c r="O142" s="140">
        <f t="shared" si="123"/>
        <v>0.43138720500969596</v>
      </c>
      <c r="P142" s="140">
        <f t="shared" si="123"/>
        <v>0.41103355106082523</v>
      </c>
      <c r="Q142" s="140">
        <f t="shared" si="123"/>
        <v>0.42266467123815687</v>
      </c>
      <c r="R142" s="140">
        <f t="shared" si="123"/>
        <v>0.41084820979986209</v>
      </c>
      <c r="S142" s="140">
        <f t="shared" si="123"/>
        <v>0.40201285544139148</v>
      </c>
      <c r="T142" s="140">
        <f t="shared" si="123"/>
        <v>0.39496639388205795</v>
      </c>
      <c r="U142" s="140">
        <f t="shared" si="123"/>
        <v>0.401915298107269</v>
      </c>
      <c r="V142" s="140">
        <f t="shared" si="123"/>
        <v>0.40786358151568591</v>
      </c>
      <c r="W142" s="140">
        <f t="shared" si="123"/>
        <v>0.39818257929188527</v>
      </c>
      <c r="X142" s="140">
        <f t="shared" si="123"/>
        <v>0.37275017162552099</v>
      </c>
      <c r="Y142" s="140">
        <f t="shared" si="123"/>
        <v>0.35160867329526169</v>
      </c>
      <c r="DA142" s="175"/>
    </row>
    <row r="143" spans="1:105" ht="11.45" customHeight="1" x14ac:dyDescent="0.25">
      <c r="A143" s="109" t="str">
        <f>$A$21</f>
        <v>Rail transport</v>
      </c>
      <c r="B143" s="124">
        <f t="shared" si="119"/>
        <v>6.0756752094237813E-3</v>
      </c>
      <c r="C143" s="124">
        <f t="shared" ref="C143:Y143" si="124">IF(C51=0,0,C51/C$47)</f>
        <v>5.2219446746712746E-3</v>
      </c>
      <c r="D143" s="124">
        <f t="shared" si="124"/>
        <v>4.9445852418503059E-3</v>
      </c>
      <c r="E143" s="124">
        <f t="shared" si="124"/>
        <v>4.2385626604401856E-3</v>
      </c>
      <c r="F143" s="124">
        <f t="shared" si="124"/>
        <v>4.4666936918244856E-3</v>
      </c>
      <c r="G143" s="124">
        <f t="shared" si="124"/>
        <v>4.6880510129852053E-3</v>
      </c>
      <c r="H143" s="124">
        <f t="shared" si="124"/>
        <v>4.5724388589179453E-3</v>
      </c>
      <c r="I143" s="124">
        <f t="shared" si="124"/>
        <v>4.6083164148993999E-3</v>
      </c>
      <c r="J143" s="124">
        <f t="shared" si="124"/>
        <v>4.3715229335093775E-3</v>
      </c>
      <c r="K143" s="124">
        <f t="shared" si="124"/>
        <v>3.6388431209139435E-3</v>
      </c>
      <c r="L143" s="124">
        <f t="shared" si="124"/>
        <v>3.7760135730830939E-3</v>
      </c>
      <c r="M143" s="124">
        <f t="shared" si="124"/>
        <v>3.6957453658655599E-3</v>
      </c>
      <c r="N143" s="124">
        <f t="shared" si="124"/>
        <v>4.0621103169410713E-3</v>
      </c>
      <c r="O143" s="124">
        <f t="shared" si="124"/>
        <v>3.5515866812662875E-3</v>
      </c>
      <c r="P143" s="124">
        <f t="shared" si="124"/>
        <v>3.8043383743946173E-3</v>
      </c>
      <c r="Q143" s="124">
        <f t="shared" si="124"/>
        <v>3.9639093559232924E-3</v>
      </c>
      <c r="R143" s="124">
        <f t="shared" si="124"/>
        <v>3.8088619694203549E-3</v>
      </c>
      <c r="S143" s="124">
        <f t="shared" si="124"/>
        <v>4.2194819561407991E-3</v>
      </c>
      <c r="T143" s="124">
        <f t="shared" si="124"/>
        <v>4.0518317471889571E-3</v>
      </c>
      <c r="U143" s="124">
        <f t="shared" si="124"/>
        <v>3.8437455865677475E-3</v>
      </c>
      <c r="V143" s="124">
        <f t="shared" si="124"/>
        <v>4.9936255220397359E-3</v>
      </c>
      <c r="W143" s="124">
        <f t="shared" si="124"/>
        <v>5.1232594054444061E-3</v>
      </c>
      <c r="X143" s="124">
        <f t="shared" si="124"/>
        <v>3.7790031160905013E-3</v>
      </c>
      <c r="Y143" s="124">
        <f t="shared" si="124"/>
        <v>4.2453080493101546E-3</v>
      </c>
      <c r="DA143" s="176"/>
    </row>
    <row r="144" spans="1:105" ht="11.45" customHeight="1" x14ac:dyDescent="0.25">
      <c r="A144" s="109" t="str">
        <f>$A$22</f>
        <v>Aviation</v>
      </c>
      <c r="B144" s="124">
        <f t="shared" si="119"/>
        <v>8.2445376899773423E-3</v>
      </c>
      <c r="C144" s="124">
        <f t="shared" ref="C144:Y144" si="125">IF(C52=0,0,C52/C$47)</f>
        <v>7.4309982614784451E-3</v>
      </c>
      <c r="D144" s="124">
        <f t="shared" si="125"/>
        <v>7.4459873084153352E-3</v>
      </c>
      <c r="E144" s="124">
        <f t="shared" si="125"/>
        <v>6.7202954844401523E-3</v>
      </c>
      <c r="F144" s="124">
        <f t="shared" si="125"/>
        <v>7.4933893731165997E-3</v>
      </c>
      <c r="G144" s="124">
        <f t="shared" si="125"/>
        <v>8.1286760376112523E-3</v>
      </c>
      <c r="H144" s="124">
        <f t="shared" si="125"/>
        <v>1.0048116867912656E-2</v>
      </c>
      <c r="I144" s="124">
        <f t="shared" si="125"/>
        <v>1.0750116587448873E-2</v>
      </c>
      <c r="J144" s="124">
        <f t="shared" si="125"/>
        <v>1.2524641546508276E-2</v>
      </c>
      <c r="K144" s="124">
        <f t="shared" si="125"/>
        <v>1.124410372600854E-2</v>
      </c>
      <c r="L144" s="124">
        <f t="shared" si="125"/>
        <v>1.3101896873829471E-2</v>
      </c>
      <c r="M144" s="124">
        <f t="shared" si="125"/>
        <v>1.1906578147671923E-2</v>
      </c>
      <c r="N144" s="124">
        <f t="shared" si="125"/>
        <v>1.3319964141160965E-2</v>
      </c>
      <c r="O144" s="124">
        <f t="shared" si="125"/>
        <v>1.2770770720751607E-2</v>
      </c>
      <c r="P144" s="124">
        <f t="shared" si="125"/>
        <v>1.1427503957490545E-2</v>
      </c>
      <c r="Q144" s="124">
        <f t="shared" si="125"/>
        <v>1.0870849626946554E-2</v>
      </c>
      <c r="R144" s="124">
        <f t="shared" si="125"/>
        <v>9.0700577440350656E-3</v>
      </c>
      <c r="S144" s="124">
        <f t="shared" si="125"/>
        <v>1.132542376789086E-2</v>
      </c>
      <c r="T144" s="124">
        <f t="shared" si="125"/>
        <v>1.09525675181714E-2</v>
      </c>
      <c r="U144" s="124">
        <f t="shared" si="125"/>
        <v>9.3236293699309053E-3</v>
      </c>
      <c r="V144" s="124">
        <f t="shared" si="125"/>
        <v>1.0253232263558471E-2</v>
      </c>
      <c r="W144" s="124">
        <f t="shared" si="125"/>
        <v>1.1183804852059918E-2</v>
      </c>
      <c r="X144" s="124">
        <f t="shared" si="125"/>
        <v>1.2510886291543033E-2</v>
      </c>
      <c r="Y144" s="124">
        <f t="shared" si="125"/>
        <v>8.7452786478277814E-3</v>
      </c>
      <c r="DA144" s="176"/>
    </row>
    <row r="145" spans="1:105" ht="11.45" customHeight="1" x14ac:dyDescent="0.25">
      <c r="A145" s="128" t="s">
        <v>27</v>
      </c>
      <c r="B145" s="140">
        <f t="shared" si="119"/>
        <v>2.2890408099861133E-3</v>
      </c>
      <c r="C145" s="140">
        <f t="shared" ref="C145:Y145" si="126">IF(C53=0,0,C53/C$47)</f>
        <v>2.051514415864185E-3</v>
      </c>
      <c r="D145" s="140">
        <f t="shared" si="126"/>
        <v>2.0172854515921289E-3</v>
      </c>
      <c r="E145" s="140">
        <f t="shared" si="126"/>
        <v>1.8275812027601093E-3</v>
      </c>
      <c r="F145" s="140">
        <f t="shared" si="126"/>
        <v>1.8607208596114631E-3</v>
      </c>
      <c r="G145" s="140">
        <f t="shared" si="126"/>
        <v>2.0805582843236988E-3</v>
      </c>
      <c r="H145" s="140">
        <f t="shared" si="126"/>
        <v>2.2226822155313819E-3</v>
      </c>
      <c r="I145" s="140">
        <f t="shared" si="126"/>
        <v>2.2653156718920871E-3</v>
      </c>
      <c r="J145" s="140">
        <f t="shared" si="126"/>
        <v>2.1660234493805987E-3</v>
      </c>
      <c r="K145" s="140">
        <f t="shared" si="126"/>
        <v>2.2029492665535306E-3</v>
      </c>
      <c r="L145" s="140">
        <f t="shared" si="126"/>
        <v>2.5008864686961317E-3</v>
      </c>
      <c r="M145" s="140">
        <f t="shared" si="126"/>
        <v>1.6919370090882795E-3</v>
      </c>
      <c r="N145" s="140">
        <f t="shared" si="126"/>
        <v>1.8076306670157876E-3</v>
      </c>
      <c r="O145" s="140">
        <f t="shared" si="126"/>
        <v>1.7174416682593774E-3</v>
      </c>
      <c r="P145" s="140">
        <f t="shared" si="126"/>
        <v>1.379764551707182E-3</v>
      </c>
      <c r="Q145" s="140">
        <f t="shared" si="126"/>
        <v>1.2102981772913078E-3</v>
      </c>
      <c r="R145" s="140">
        <f t="shared" si="126"/>
        <v>7.6243236061755801E-4</v>
      </c>
      <c r="S145" s="140">
        <f t="shared" si="126"/>
        <v>1.0602192075091629E-3</v>
      </c>
      <c r="T145" s="140">
        <f t="shared" si="126"/>
        <v>1.0816255663679817E-3</v>
      </c>
      <c r="U145" s="140">
        <f t="shared" si="126"/>
        <v>1.0607271609359816E-3</v>
      </c>
      <c r="V145" s="140">
        <f t="shared" si="126"/>
        <v>1.1610887714342158E-3</v>
      </c>
      <c r="W145" s="140">
        <f t="shared" si="126"/>
        <v>1.1931121936752599E-3</v>
      </c>
      <c r="X145" s="140">
        <f t="shared" si="126"/>
        <v>1.1170417749791195E-3</v>
      </c>
      <c r="Y145" s="140">
        <f t="shared" si="126"/>
        <v>1.1830690444519345E-3</v>
      </c>
      <c r="DA145" s="175"/>
    </row>
    <row r="146" spans="1:105" ht="11.45" customHeight="1" x14ac:dyDescent="0.25">
      <c r="A146" s="128" t="str">
        <f>$A$24</f>
        <v>International - Intra-EEAwCHUK</v>
      </c>
      <c r="B146" s="140">
        <f t="shared" si="119"/>
        <v>3.8255566542470861E-3</v>
      </c>
      <c r="C146" s="140">
        <f t="shared" ref="C146:Y146" si="127">IF(C54=0,0,C54/C$47)</f>
        <v>3.3682257223550606E-3</v>
      </c>
      <c r="D146" s="140">
        <f t="shared" si="127"/>
        <v>3.3862740801852954E-3</v>
      </c>
      <c r="E146" s="140">
        <f t="shared" si="127"/>
        <v>2.9588350009408662E-3</v>
      </c>
      <c r="F146" s="140">
        <f t="shared" si="127"/>
        <v>3.3667789604820936E-3</v>
      </c>
      <c r="G146" s="140">
        <f t="shared" si="127"/>
        <v>3.3901212423505262E-3</v>
      </c>
      <c r="H146" s="140">
        <f t="shared" si="127"/>
        <v>4.185382970930936E-3</v>
      </c>
      <c r="I146" s="140">
        <f t="shared" si="127"/>
        <v>3.9938626930666344E-3</v>
      </c>
      <c r="J146" s="140">
        <f t="shared" si="127"/>
        <v>3.9618207483255062E-3</v>
      </c>
      <c r="K146" s="140">
        <f t="shared" si="127"/>
        <v>3.544414347347446E-3</v>
      </c>
      <c r="L146" s="140">
        <f t="shared" si="127"/>
        <v>3.8736033538924052E-3</v>
      </c>
      <c r="M146" s="140">
        <f t="shared" si="127"/>
        <v>3.4550294853778166E-3</v>
      </c>
      <c r="N146" s="140">
        <f t="shared" si="127"/>
        <v>3.5545754757463606E-3</v>
      </c>
      <c r="O146" s="140">
        <f t="shared" si="127"/>
        <v>3.1529726603863328E-3</v>
      </c>
      <c r="P146" s="140">
        <f t="shared" si="127"/>
        <v>2.9795501805584407E-3</v>
      </c>
      <c r="Q146" s="140">
        <f t="shared" si="127"/>
        <v>3.0911146806089375E-3</v>
      </c>
      <c r="R146" s="140">
        <f t="shared" si="127"/>
        <v>2.8960747636632982E-3</v>
      </c>
      <c r="S146" s="140">
        <f t="shared" si="127"/>
        <v>3.3494510622290711E-3</v>
      </c>
      <c r="T146" s="140">
        <f t="shared" si="127"/>
        <v>3.4938545392815879E-3</v>
      </c>
      <c r="U146" s="140">
        <f t="shared" si="127"/>
        <v>3.5348983800546543E-3</v>
      </c>
      <c r="V146" s="140">
        <f t="shared" si="127"/>
        <v>3.2493065735233894E-3</v>
      </c>
      <c r="W146" s="140">
        <f t="shared" si="127"/>
        <v>3.6509387698303035E-3</v>
      </c>
      <c r="X146" s="140">
        <f t="shared" si="127"/>
        <v>4.2041620862864008E-3</v>
      </c>
      <c r="Y146" s="140">
        <f t="shared" si="127"/>
        <v>4.2481326814481531E-3</v>
      </c>
      <c r="DA146" s="175"/>
    </row>
    <row r="147" spans="1:105" ht="11.45" customHeight="1" x14ac:dyDescent="0.25">
      <c r="A147" s="128" t="str">
        <f>$A$25</f>
        <v>International - Extra-EEAwCHUK</v>
      </c>
      <c r="B147" s="140">
        <f t="shared" si="119"/>
        <v>2.1299402257441424E-3</v>
      </c>
      <c r="C147" s="140">
        <f t="shared" ref="C147:Y147" si="128">IF(C55=0,0,C55/C$47)</f>
        <v>2.011258123259199E-3</v>
      </c>
      <c r="D147" s="140">
        <f t="shared" si="128"/>
        <v>2.0424277766379105E-3</v>
      </c>
      <c r="E147" s="140">
        <f t="shared" si="128"/>
        <v>1.9338792807391772E-3</v>
      </c>
      <c r="F147" s="140">
        <f t="shared" si="128"/>
        <v>2.2658895530230424E-3</v>
      </c>
      <c r="G147" s="140">
        <f t="shared" si="128"/>
        <v>2.6579965109370289E-3</v>
      </c>
      <c r="H147" s="140">
        <f t="shared" si="128"/>
        <v>3.6400516814503363E-3</v>
      </c>
      <c r="I147" s="140">
        <f t="shared" si="128"/>
        <v>4.490938222490152E-3</v>
      </c>
      <c r="J147" s="140">
        <f t="shared" si="128"/>
        <v>6.3967973488021721E-3</v>
      </c>
      <c r="K147" s="140">
        <f t="shared" si="128"/>
        <v>5.4967401121075645E-3</v>
      </c>
      <c r="L147" s="140">
        <f t="shared" si="128"/>
        <v>6.7274070512409337E-3</v>
      </c>
      <c r="M147" s="140">
        <f t="shared" si="128"/>
        <v>6.7596116532058275E-3</v>
      </c>
      <c r="N147" s="140">
        <f t="shared" si="128"/>
        <v>7.9577579983988143E-3</v>
      </c>
      <c r="O147" s="140">
        <f t="shared" si="128"/>
        <v>7.9003563921058971E-3</v>
      </c>
      <c r="P147" s="140">
        <f t="shared" si="128"/>
        <v>7.0681892252249237E-3</v>
      </c>
      <c r="Q147" s="140">
        <f t="shared" si="128"/>
        <v>6.5694367690463098E-3</v>
      </c>
      <c r="R147" s="140">
        <f t="shared" si="128"/>
        <v>5.4115506197542082E-3</v>
      </c>
      <c r="S147" s="140">
        <f t="shared" si="128"/>
        <v>6.915753498152627E-3</v>
      </c>
      <c r="T147" s="140">
        <f t="shared" si="128"/>
        <v>6.3770874125218284E-3</v>
      </c>
      <c r="U147" s="140">
        <f t="shared" si="128"/>
        <v>4.7280038289402712E-3</v>
      </c>
      <c r="V147" s="140">
        <f t="shared" si="128"/>
        <v>5.8428369186008661E-3</v>
      </c>
      <c r="W147" s="140">
        <f t="shared" si="128"/>
        <v>6.3397538885543543E-3</v>
      </c>
      <c r="X147" s="140">
        <f t="shared" si="128"/>
        <v>7.1896824302775143E-3</v>
      </c>
      <c r="Y147" s="140">
        <f t="shared" si="128"/>
        <v>3.3140769219276939E-3</v>
      </c>
      <c r="DA147" s="175"/>
    </row>
    <row r="148" spans="1:105" ht="11.45" customHeight="1" x14ac:dyDescent="0.25">
      <c r="A148" s="109" t="s">
        <v>141</v>
      </c>
      <c r="B148" s="124">
        <f t="shared" si="119"/>
        <v>1.8097189990882397E-2</v>
      </c>
      <c r="C148" s="124">
        <f t="shared" ref="C148:Y148" si="129">IF(C56=0,0,C56/C$47)</f>
        <v>2.0107937688790996E-2</v>
      </c>
      <c r="D148" s="124">
        <f t="shared" si="129"/>
        <v>3.5975193210032591E-2</v>
      </c>
      <c r="E148" s="124">
        <f t="shared" si="129"/>
        <v>2.5553045938883343E-2</v>
      </c>
      <c r="F148" s="124">
        <f t="shared" si="129"/>
        <v>9.9060207594980909E-3</v>
      </c>
      <c r="G148" s="124">
        <f t="shared" si="129"/>
        <v>6.9595830973210922E-3</v>
      </c>
      <c r="H148" s="124">
        <f t="shared" si="129"/>
        <v>8.1217584928418712E-3</v>
      </c>
      <c r="I148" s="124">
        <f t="shared" si="129"/>
        <v>4.8706382043575448E-2</v>
      </c>
      <c r="J148" s="124">
        <f t="shared" si="129"/>
        <v>5.3843911886407567E-2</v>
      </c>
      <c r="K148" s="124">
        <f t="shared" si="129"/>
        <v>7.8731353643749502E-2</v>
      </c>
      <c r="L148" s="124">
        <f t="shared" si="129"/>
        <v>5.0723190077687053E-2</v>
      </c>
      <c r="M148" s="124">
        <f t="shared" si="129"/>
        <v>5.3263563792341477E-2</v>
      </c>
      <c r="N148" s="124">
        <f t="shared" si="129"/>
        <v>6.1448952157367696E-2</v>
      </c>
      <c r="O148" s="124">
        <f t="shared" si="129"/>
        <v>6.6508102010292086E-2</v>
      </c>
      <c r="P148" s="124">
        <f t="shared" si="129"/>
        <v>4.8367626095416422E-2</v>
      </c>
      <c r="Q148" s="124">
        <f t="shared" si="129"/>
        <v>5.415607473048361E-2</v>
      </c>
      <c r="R148" s="124">
        <f t="shared" si="129"/>
        <v>6.0383744100392336E-2</v>
      </c>
      <c r="S148" s="124">
        <f t="shared" si="129"/>
        <v>5.3358407415538753E-2</v>
      </c>
      <c r="T148" s="124">
        <f t="shared" si="129"/>
        <v>5.5536503562201064E-2</v>
      </c>
      <c r="U148" s="124">
        <f t="shared" si="129"/>
        <v>4.7158750140560389E-2</v>
      </c>
      <c r="V148" s="124">
        <f t="shared" si="129"/>
        <v>3.9843140483395156E-2</v>
      </c>
      <c r="W148" s="124">
        <f t="shared" si="129"/>
        <v>4.2486138713474987E-2</v>
      </c>
      <c r="X148" s="124">
        <f t="shared" si="129"/>
        <v>4.3549481662792003E-2</v>
      </c>
      <c r="Y148" s="124">
        <f t="shared" si="129"/>
        <v>3.7539627913177963E-2</v>
      </c>
      <c r="DA148" s="176"/>
    </row>
    <row r="149" spans="1:105" ht="11.45" customHeight="1" x14ac:dyDescent="0.25">
      <c r="A149" s="128" t="str">
        <f>$A$27</f>
        <v>Domestic coastal shipping</v>
      </c>
      <c r="B149" s="140">
        <f t="shared" si="119"/>
        <v>1.8097189990882397E-2</v>
      </c>
      <c r="C149" s="140">
        <f t="shared" ref="C149:Y149" si="130">IF(C57=0,0,C57/C$47)</f>
        <v>2.0107937688790996E-2</v>
      </c>
      <c r="D149" s="140">
        <f t="shared" si="130"/>
        <v>3.5975193210032591E-2</v>
      </c>
      <c r="E149" s="140">
        <f t="shared" si="130"/>
        <v>2.5553045938883343E-2</v>
      </c>
      <c r="F149" s="140">
        <f t="shared" si="130"/>
        <v>9.9060207594980909E-3</v>
      </c>
      <c r="G149" s="140">
        <f t="shared" si="130"/>
        <v>6.9595830973210922E-3</v>
      </c>
      <c r="H149" s="140">
        <f t="shared" si="130"/>
        <v>8.1217584928418712E-3</v>
      </c>
      <c r="I149" s="140">
        <f t="shared" si="130"/>
        <v>4.8706382043575448E-2</v>
      </c>
      <c r="J149" s="140">
        <f t="shared" si="130"/>
        <v>5.3843911886407567E-2</v>
      </c>
      <c r="K149" s="140">
        <f t="shared" si="130"/>
        <v>7.8731353643749502E-2</v>
      </c>
      <c r="L149" s="140">
        <f t="shared" si="130"/>
        <v>5.0723190077687053E-2</v>
      </c>
      <c r="M149" s="140">
        <f t="shared" si="130"/>
        <v>5.3263563792341477E-2</v>
      </c>
      <c r="N149" s="140">
        <f t="shared" si="130"/>
        <v>6.1448952157367696E-2</v>
      </c>
      <c r="O149" s="140">
        <f t="shared" si="130"/>
        <v>6.6508102010292086E-2</v>
      </c>
      <c r="P149" s="140">
        <f t="shared" si="130"/>
        <v>4.8367626095416422E-2</v>
      </c>
      <c r="Q149" s="140">
        <f t="shared" si="130"/>
        <v>5.415607473048361E-2</v>
      </c>
      <c r="R149" s="140">
        <f t="shared" si="130"/>
        <v>6.0383744100392336E-2</v>
      </c>
      <c r="S149" s="140">
        <f t="shared" si="130"/>
        <v>5.3358407415538753E-2</v>
      </c>
      <c r="T149" s="140">
        <f t="shared" si="130"/>
        <v>5.5536503562201064E-2</v>
      </c>
      <c r="U149" s="140">
        <f t="shared" si="130"/>
        <v>4.7158750140560389E-2</v>
      </c>
      <c r="V149" s="140">
        <f t="shared" si="130"/>
        <v>3.9843140483395156E-2</v>
      </c>
      <c r="W149" s="140">
        <f t="shared" si="130"/>
        <v>4.2486138713474987E-2</v>
      </c>
      <c r="X149" s="140">
        <f t="shared" si="130"/>
        <v>4.3549481662792003E-2</v>
      </c>
      <c r="Y149" s="140">
        <f t="shared" si="130"/>
        <v>3.7539627913177963E-2</v>
      </c>
      <c r="DA149" s="175"/>
    </row>
    <row r="150" spans="1:105" ht="11.45" customHeight="1" x14ac:dyDescent="0.25">
      <c r="A150" s="138" t="str">
        <f>$A$28</f>
        <v>Inland waterways</v>
      </c>
      <c r="B150" s="127">
        <f t="shared" si="119"/>
        <v>0</v>
      </c>
      <c r="C150" s="127">
        <f t="shared" ref="C150:Y150" si="131">IF(C58=0,0,C58/C$47)</f>
        <v>0</v>
      </c>
      <c r="D150" s="127">
        <f t="shared" si="131"/>
        <v>0</v>
      </c>
      <c r="E150" s="127">
        <f t="shared" si="131"/>
        <v>0</v>
      </c>
      <c r="F150" s="127">
        <f t="shared" si="131"/>
        <v>0</v>
      </c>
      <c r="G150" s="127">
        <f t="shared" si="131"/>
        <v>0</v>
      </c>
      <c r="H150" s="127">
        <f t="shared" si="131"/>
        <v>0</v>
      </c>
      <c r="I150" s="127">
        <f t="shared" si="131"/>
        <v>0</v>
      </c>
      <c r="J150" s="127">
        <f t="shared" si="131"/>
        <v>0</v>
      </c>
      <c r="K150" s="127">
        <f t="shared" si="131"/>
        <v>0</v>
      </c>
      <c r="L150" s="127">
        <f t="shared" si="131"/>
        <v>0</v>
      </c>
      <c r="M150" s="127">
        <f t="shared" si="131"/>
        <v>0</v>
      </c>
      <c r="N150" s="127">
        <f t="shared" si="131"/>
        <v>0</v>
      </c>
      <c r="O150" s="127">
        <f t="shared" si="131"/>
        <v>0</v>
      </c>
      <c r="P150" s="127">
        <f t="shared" si="131"/>
        <v>0</v>
      </c>
      <c r="Q150" s="127">
        <f t="shared" si="131"/>
        <v>0</v>
      </c>
      <c r="R150" s="127">
        <f t="shared" si="131"/>
        <v>0</v>
      </c>
      <c r="S150" s="127">
        <f t="shared" si="131"/>
        <v>0</v>
      </c>
      <c r="T150" s="127">
        <f t="shared" si="131"/>
        <v>0</v>
      </c>
      <c r="U150" s="127">
        <f t="shared" si="131"/>
        <v>0</v>
      </c>
      <c r="V150" s="127">
        <f t="shared" si="131"/>
        <v>0</v>
      </c>
      <c r="W150" s="127">
        <f t="shared" si="131"/>
        <v>0</v>
      </c>
      <c r="X150" s="127">
        <f t="shared" si="131"/>
        <v>0</v>
      </c>
      <c r="Y150" s="127">
        <f t="shared" si="131"/>
        <v>0</v>
      </c>
      <c r="DA150" s="178"/>
    </row>
    <row r="151" spans="1:105" ht="11.45" customHeight="1" x14ac:dyDescent="0.25">
      <c r="A151" s="27" t="s">
        <v>169</v>
      </c>
      <c r="B151" s="31">
        <f t="shared" ref="B151:Y151" si="132">IF(B59=0,0,B59/B$59)</f>
        <v>1</v>
      </c>
      <c r="C151" s="31">
        <f t="shared" si="132"/>
        <v>1</v>
      </c>
      <c r="D151" s="31">
        <f t="shared" si="132"/>
        <v>1</v>
      </c>
      <c r="E151" s="31">
        <f t="shared" si="132"/>
        <v>1</v>
      </c>
      <c r="F151" s="31">
        <f t="shared" si="132"/>
        <v>1</v>
      </c>
      <c r="G151" s="31">
        <f t="shared" si="132"/>
        <v>1</v>
      </c>
      <c r="H151" s="31">
        <f t="shared" si="132"/>
        <v>1</v>
      </c>
      <c r="I151" s="31">
        <f t="shared" si="132"/>
        <v>1</v>
      </c>
      <c r="J151" s="31">
        <f t="shared" si="132"/>
        <v>1</v>
      </c>
      <c r="K151" s="31">
        <f t="shared" si="132"/>
        <v>1</v>
      </c>
      <c r="L151" s="31">
        <f t="shared" si="132"/>
        <v>1</v>
      </c>
      <c r="M151" s="31">
        <f t="shared" si="132"/>
        <v>1</v>
      </c>
      <c r="N151" s="31">
        <f t="shared" si="132"/>
        <v>1</v>
      </c>
      <c r="O151" s="31">
        <f t="shared" si="132"/>
        <v>1</v>
      </c>
      <c r="P151" s="31">
        <f t="shared" si="132"/>
        <v>1</v>
      </c>
      <c r="Q151" s="31">
        <f t="shared" si="132"/>
        <v>1</v>
      </c>
      <c r="R151" s="31">
        <f t="shared" si="132"/>
        <v>1</v>
      </c>
      <c r="S151" s="31">
        <f t="shared" si="132"/>
        <v>1</v>
      </c>
      <c r="T151" s="31">
        <f t="shared" si="132"/>
        <v>1</v>
      </c>
      <c r="U151" s="31">
        <f t="shared" si="132"/>
        <v>1</v>
      </c>
      <c r="V151" s="31">
        <f t="shared" si="132"/>
        <v>1</v>
      </c>
      <c r="W151" s="31">
        <f t="shared" si="132"/>
        <v>1</v>
      </c>
      <c r="X151" s="31">
        <f t="shared" si="132"/>
        <v>1</v>
      </c>
      <c r="Y151" s="31">
        <f t="shared" si="132"/>
        <v>1</v>
      </c>
      <c r="DA151" s="173"/>
    </row>
    <row r="152" spans="1:105" ht="11.45" customHeight="1" x14ac:dyDescent="0.25">
      <c r="A152" s="128" t="str">
        <f>$A$30</f>
        <v>Intra-EEA</v>
      </c>
      <c r="B152" s="140">
        <f t="shared" ref="B152:Y152" si="133">IF(B60=0,0,B60/B$59)</f>
        <v>0.40938073931766666</v>
      </c>
      <c r="C152" s="140">
        <f t="shared" si="133"/>
        <v>0.40898182760079388</v>
      </c>
      <c r="D152" s="140">
        <f t="shared" si="133"/>
        <v>0.39946321213500535</v>
      </c>
      <c r="E152" s="140">
        <f t="shared" si="133"/>
        <v>0.37946161088759411</v>
      </c>
      <c r="F152" s="140">
        <f t="shared" si="133"/>
        <v>0.40178276357750203</v>
      </c>
      <c r="G152" s="140">
        <f t="shared" si="133"/>
        <v>0.40682139920888705</v>
      </c>
      <c r="H152" s="140">
        <f t="shared" si="133"/>
        <v>0.3885117180957926</v>
      </c>
      <c r="I152" s="140">
        <f t="shared" si="133"/>
        <v>0.3771789094149342</v>
      </c>
      <c r="J152" s="140">
        <f t="shared" si="133"/>
        <v>0.37268455189131605</v>
      </c>
      <c r="K152" s="140">
        <f t="shared" si="133"/>
        <v>0.39534720721510669</v>
      </c>
      <c r="L152" s="140">
        <f t="shared" si="133"/>
        <v>0.38857401080312537</v>
      </c>
      <c r="M152" s="140">
        <f t="shared" si="133"/>
        <v>0.37469447015590351</v>
      </c>
      <c r="N152" s="140">
        <f t="shared" si="133"/>
        <v>0.37158492461388493</v>
      </c>
      <c r="O152" s="140">
        <f t="shared" si="133"/>
        <v>0.36895949701443764</v>
      </c>
      <c r="P152" s="140">
        <f t="shared" si="133"/>
        <v>0.37484216918117491</v>
      </c>
      <c r="Q152" s="140">
        <f t="shared" si="133"/>
        <v>0.36422644150532757</v>
      </c>
      <c r="R152" s="140">
        <f t="shared" si="133"/>
        <v>0.36191155273273667</v>
      </c>
      <c r="S152" s="140">
        <f t="shared" si="133"/>
        <v>0.36486990570990319</v>
      </c>
      <c r="T152" s="140">
        <f t="shared" si="133"/>
        <v>0.38434563104033692</v>
      </c>
      <c r="U152" s="140">
        <f t="shared" si="133"/>
        <v>0.41699136845083112</v>
      </c>
      <c r="V152" s="140">
        <f t="shared" si="133"/>
        <v>0.37092789649379965</v>
      </c>
      <c r="W152" s="140">
        <f t="shared" si="133"/>
        <v>0.37232135524024934</v>
      </c>
      <c r="X152" s="140">
        <f t="shared" si="133"/>
        <v>0.40167861175379921</v>
      </c>
      <c r="Y152" s="140">
        <f t="shared" si="133"/>
        <v>0.39650713608190125</v>
      </c>
      <c r="DA152" s="175"/>
    </row>
    <row r="153" spans="1:105" ht="11.45" customHeight="1" x14ac:dyDescent="0.25">
      <c r="A153" s="138" t="str">
        <f>$A$31</f>
        <v>Extra-EEA</v>
      </c>
      <c r="B153" s="127">
        <f t="shared" ref="B153:Y153" si="134">IF(B61=0,0,B61/B$59)</f>
        <v>0.59061926068233328</v>
      </c>
      <c r="C153" s="127">
        <f t="shared" si="134"/>
        <v>0.59101817239920618</v>
      </c>
      <c r="D153" s="127">
        <f t="shared" si="134"/>
        <v>0.60053678786499465</v>
      </c>
      <c r="E153" s="127">
        <f t="shared" si="134"/>
        <v>0.62053838911240577</v>
      </c>
      <c r="F153" s="127">
        <f t="shared" si="134"/>
        <v>0.59821723642249791</v>
      </c>
      <c r="G153" s="127">
        <f t="shared" si="134"/>
        <v>0.59317860079111295</v>
      </c>
      <c r="H153" s="127">
        <f t="shared" si="134"/>
        <v>0.61148828190420734</v>
      </c>
      <c r="I153" s="127">
        <f t="shared" si="134"/>
        <v>0.62282109058506585</v>
      </c>
      <c r="J153" s="127">
        <f t="shared" si="134"/>
        <v>0.62731544810868389</v>
      </c>
      <c r="K153" s="127">
        <f t="shared" si="134"/>
        <v>0.60465279278489326</v>
      </c>
      <c r="L153" s="127">
        <f t="shared" si="134"/>
        <v>0.61142598919687463</v>
      </c>
      <c r="M153" s="127">
        <f t="shared" si="134"/>
        <v>0.62530552984409649</v>
      </c>
      <c r="N153" s="127">
        <f t="shared" si="134"/>
        <v>0.62841507538611496</v>
      </c>
      <c r="O153" s="127">
        <f t="shared" si="134"/>
        <v>0.63104050298556236</v>
      </c>
      <c r="P153" s="127">
        <f t="shared" si="134"/>
        <v>0.62515783081882503</v>
      </c>
      <c r="Q153" s="127">
        <f t="shared" si="134"/>
        <v>0.63577355849467243</v>
      </c>
      <c r="R153" s="127">
        <f t="shared" si="134"/>
        <v>0.63808844726726333</v>
      </c>
      <c r="S153" s="127">
        <f t="shared" si="134"/>
        <v>0.63513009429009681</v>
      </c>
      <c r="T153" s="127">
        <f t="shared" si="134"/>
        <v>0.61565436895966308</v>
      </c>
      <c r="U153" s="127">
        <f t="shared" si="134"/>
        <v>0.58300863154916882</v>
      </c>
      <c r="V153" s="127">
        <f t="shared" si="134"/>
        <v>0.62907210350620035</v>
      </c>
      <c r="W153" s="127">
        <f t="shared" si="134"/>
        <v>0.62767864475975077</v>
      </c>
      <c r="X153" s="127">
        <f t="shared" si="134"/>
        <v>0.59832138824620085</v>
      </c>
      <c r="Y153" s="127">
        <f t="shared" si="134"/>
        <v>0.60349286391809875</v>
      </c>
      <c r="DA153" s="178"/>
    </row>
    <row r="154" spans="1:105" x14ac:dyDescent="0.25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DA154" s="171"/>
    </row>
    <row r="155" spans="1:105" ht="11.45" customHeight="1" x14ac:dyDescent="0.25">
      <c r="A155" s="53" t="s">
        <v>41</v>
      </c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DA155" s="172"/>
    </row>
    <row r="156" spans="1:105" ht="11.45" customHeight="1" x14ac:dyDescent="0.25">
      <c r="A156" s="27" t="s">
        <v>33</v>
      </c>
      <c r="B156" s="31">
        <f t="shared" ref="B156:B168" si="135">IF(B64=0,0,B64/B$64)</f>
        <v>1</v>
      </c>
      <c r="C156" s="31">
        <f t="shared" ref="C156:W156" si="136">IF(C64=0,0,C64/C$64)</f>
        <v>1</v>
      </c>
      <c r="D156" s="31">
        <f t="shared" si="136"/>
        <v>1</v>
      </c>
      <c r="E156" s="31">
        <f t="shared" si="136"/>
        <v>1</v>
      </c>
      <c r="F156" s="31">
        <f t="shared" si="136"/>
        <v>1</v>
      </c>
      <c r="G156" s="31">
        <f t="shared" si="136"/>
        <v>1</v>
      </c>
      <c r="H156" s="31">
        <f t="shared" si="136"/>
        <v>1</v>
      </c>
      <c r="I156" s="31">
        <f t="shared" si="136"/>
        <v>1</v>
      </c>
      <c r="J156" s="31">
        <f t="shared" si="136"/>
        <v>1</v>
      </c>
      <c r="K156" s="31">
        <f t="shared" si="136"/>
        <v>1</v>
      </c>
      <c r="L156" s="31">
        <f t="shared" si="136"/>
        <v>1</v>
      </c>
      <c r="M156" s="31">
        <f t="shared" si="136"/>
        <v>1</v>
      </c>
      <c r="N156" s="31">
        <f t="shared" si="136"/>
        <v>1</v>
      </c>
      <c r="O156" s="31">
        <f t="shared" si="136"/>
        <v>1</v>
      </c>
      <c r="P156" s="31">
        <f t="shared" si="136"/>
        <v>1</v>
      </c>
      <c r="Q156" s="31">
        <f t="shared" si="136"/>
        <v>1</v>
      </c>
      <c r="R156" s="31">
        <f t="shared" si="136"/>
        <v>1</v>
      </c>
      <c r="S156" s="31">
        <f t="shared" si="136"/>
        <v>1</v>
      </c>
      <c r="T156" s="31">
        <f t="shared" si="136"/>
        <v>1</v>
      </c>
      <c r="U156" s="31">
        <f t="shared" si="136"/>
        <v>1</v>
      </c>
      <c r="V156" s="31">
        <f t="shared" si="136"/>
        <v>1</v>
      </c>
      <c r="W156" s="31">
        <f t="shared" si="136"/>
        <v>1</v>
      </c>
      <c r="X156" s="31">
        <f t="shared" ref="X156:Y156" si="137">IF(X64=0,0,X64/X$64)</f>
        <v>1</v>
      </c>
      <c r="Y156" s="31">
        <f t="shared" si="137"/>
        <v>1</v>
      </c>
      <c r="DA156" s="173"/>
    </row>
    <row r="157" spans="1:105" ht="11.45" customHeight="1" x14ac:dyDescent="0.25">
      <c r="A157" s="136" t="str">
        <f>$A$5</f>
        <v>Road transport</v>
      </c>
      <c r="B157" s="139">
        <f t="shared" si="135"/>
        <v>0.80120505722392288</v>
      </c>
      <c r="C157" s="139">
        <f t="shared" ref="C157:W157" si="138">IF(C65=0,0,C65/C$64)</f>
        <v>0.80887233037081585</v>
      </c>
      <c r="D157" s="139">
        <f t="shared" si="138"/>
        <v>0.82139596584553798</v>
      </c>
      <c r="E157" s="139">
        <f t="shared" si="138"/>
        <v>0.82535675404303666</v>
      </c>
      <c r="F157" s="139">
        <f t="shared" si="138"/>
        <v>0.81917299062837501</v>
      </c>
      <c r="G157" s="139">
        <f t="shared" si="138"/>
        <v>0.80645548637609488</v>
      </c>
      <c r="H157" s="139">
        <f t="shared" si="138"/>
        <v>0.80002257555898937</v>
      </c>
      <c r="I157" s="139">
        <f t="shared" si="138"/>
        <v>0.79240901468553704</v>
      </c>
      <c r="J157" s="139">
        <f t="shared" si="138"/>
        <v>0.7924337982490659</v>
      </c>
      <c r="K157" s="139">
        <f t="shared" si="138"/>
        <v>0.80308712340950938</v>
      </c>
      <c r="L157" s="139">
        <f t="shared" si="138"/>
        <v>0.7899022574024378</v>
      </c>
      <c r="M157" s="139">
        <f t="shared" si="138"/>
        <v>0.77551179621834665</v>
      </c>
      <c r="N157" s="139">
        <f t="shared" si="138"/>
        <v>0.76478093725326934</v>
      </c>
      <c r="O157" s="139">
        <f t="shared" si="138"/>
        <v>0.76243868754208866</v>
      </c>
      <c r="P157" s="139">
        <f t="shared" si="138"/>
        <v>0.76115037039998823</v>
      </c>
      <c r="Q157" s="139">
        <f t="shared" si="138"/>
        <v>0.74689240944901214</v>
      </c>
      <c r="R157" s="139">
        <f t="shared" si="138"/>
        <v>0.73477060950457374</v>
      </c>
      <c r="S157" s="139">
        <f t="shared" si="138"/>
        <v>0.71701544400256634</v>
      </c>
      <c r="T157" s="139">
        <f t="shared" si="138"/>
        <v>0.70556925457247321</v>
      </c>
      <c r="U157" s="139">
        <f t="shared" si="138"/>
        <v>0.70125254669846249</v>
      </c>
      <c r="V157" s="139">
        <f t="shared" si="138"/>
        <v>0.84211350141745323</v>
      </c>
      <c r="W157" s="139">
        <f t="shared" si="138"/>
        <v>0.81709818217998231</v>
      </c>
      <c r="X157" s="139">
        <f t="shared" ref="X157:Y157" si="139">IF(X65=0,0,X65/X$64)</f>
        <v>0.70304643407368317</v>
      </c>
      <c r="Y157" s="139">
        <f t="shared" si="139"/>
        <v>0.68573402792360527</v>
      </c>
      <c r="DA157" s="174"/>
    </row>
    <row r="158" spans="1:105" ht="11.45" customHeight="1" x14ac:dyDescent="0.25">
      <c r="A158" s="128" t="str">
        <f>$A$6</f>
        <v>Powered two-wheelers</v>
      </c>
      <c r="B158" s="140">
        <f t="shared" si="135"/>
        <v>1.3060370449562472E-2</v>
      </c>
      <c r="C158" s="140">
        <f t="shared" ref="C158:W158" si="140">IF(C66=0,0,C66/C$64)</f>
        <v>1.3303771697142974E-2</v>
      </c>
      <c r="D158" s="140">
        <f t="shared" si="140"/>
        <v>1.3581362234867675E-2</v>
      </c>
      <c r="E158" s="140">
        <f t="shared" si="140"/>
        <v>1.3279230002800905E-2</v>
      </c>
      <c r="F158" s="140">
        <f t="shared" si="140"/>
        <v>1.3571267951327144E-2</v>
      </c>
      <c r="G158" s="140">
        <f t="shared" si="140"/>
        <v>1.4667760237937972E-2</v>
      </c>
      <c r="H158" s="140">
        <f t="shared" si="140"/>
        <v>1.518726820592127E-2</v>
      </c>
      <c r="I158" s="140">
        <f t="shared" si="140"/>
        <v>1.4156027981781553E-2</v>
      </c>
      <c r="J158" s="140">
        <f t="shared" si="140"/>
        <v>1.4000427685599852E-2</v>
      </c>
      <c r="K158" s="140">
        <f t="shared" si="140"/>
        <v>1.3146676808114365E-2</v>
      </c>
      <c r="L158" s="140">
        <f t="shared" si="140"/>
        <v>1.2296558384483861E-2</v>
      </c>
      <c r="M158" s="140">
        <f t="shared" si="140"/>
        <v>1.2319019051050916E-2</v>
      </c>
      <c r="N158" s="140">
        <f t="shared" si="140"/>
        <v>1.2750430857969538E-2</v>
      </c>
      <c r="O158" s="140">
        <f t="shared" si="140"/>
        <v>1.239707029171442E-2</v>
      </c>
      <c r="P158" s="140">
        <f t="shared" si="140"/>
        <v>1.1749555710396774E-2</v>
      </c>
      <c r="Q158" s="140">
        <f t="shared" si="140"/>
        <v>1.0765198850673148E-2</v>
      </c>
      <c r="R158" s="140">
        <f t="shared" si="140"/>
        <v>1.0705126333354688E-2</v>
      </c>
      <c r="S158" s="140">
        <f t="shared" si="140"/>
        <v>1.0300732997098513E-2</v>
      </c>
      <c r="T158" s="140">
        <f t="shared" si="140"/>
        <v>9.5170612244002244E-3</v>
      </c>
      <c r="U158" s="140">
        <f t="shared" si="140"/>
        <v>9.6983965430365669E-3</v>
      </c>
      <c r="V158" s="140">
        <f t="shared" si="140"/>
        <v>1.2198322297286774E-2</v>
      </c>
      <c r="W158" s="140">
        <f t="shared" si="140"/>
        <v>1.137208335923484E-2</v>
      </c>
      <c r="X158" s="140">
        <f t="shared" ref="X158:Y158" si="141">IF(X66=0,0,X66/X$64)</f>
        <v>9.4594169893606576E-3</v>
      </c>
      <c r="Y158" s="140">
        <f t="shared" si="141"/>
        <v>9.4807472890015981E-3</v>
      </c>
      <c r="DA158" s="175"/>
    </row>
    <row r="159" spans="1:105" ht="11.45" customHeight="1" x14ac:dyDescent="0.25">
      <c r="A159" s="128" t="str">
        <f>$A$7</f>
        <v>Passenger cars</v>
      </c>
      <c r="B159" s="140">
        <f t="shared" si="135"/>
        <v>0.70708779723596349</v>
      </c>
      <c r="C159" s="140">
        <f t="shared" ref="C159:W159" si="142">IF(C67=0,0,C67/C$64)</f>
        <v>0.7145557528588018</v>
      </c>
      <c r="D159" s="140">
        <f t="shared" si="142"/>
        <v>0.73030256679195038</v>
      </c>
      <c r="E159" s="140">
        <f t="shared" si="142"/>
        <v>0.74116998550115665</v>
      </c>
      <c r="F159" s="140">
        <f t="shared" si="142"/>
        <v>0.73896294333073764</v>
      </c>
      <c r="G159" s="140">
        <f t="shared" si="142"/>
        <v>0.74880364841484426</v>
      </c>
      <c r="H159" s="140">
        <f t="shared" si="142"/>
        <v>0.74283386725802181</v>
      </c>
      <c r="I159" s="140">
        <f t="shared" si="142"/>
        <v>0.73608621159705934</v>
      </c>
      <c r="J159" s="140">
        <f t="shared" si="142"/>
        <v>0.73547867842798786</v>
      </c>
      <c r="K159" s="140">
        <f t="shared" si="142"/>
        <v>0.74629962391075833</v>
      </c>
      <c r="L159" s="140">
        <f t="shared" si="142"/>
        <v>0.73417597814005908</v>
      </c>
      <c r="M159" s="140">
        <f t="shared" si="142"/>
        <v>0.71799427443136266</v>
      </c>
      <c r="N159" s="140">
        <f t="shared" si="142"/>
        <v>0.71411268905747849</v>
      </c>
      <c r="O159" s="140">
        <f t="shared" si="142"/>
        <v>0.71364764623703747</v>
      </c>
      <c r="P159" s="140">
        <f t="shared" si="142"/>
        <v>0.70577314024374505</v>
      </c>
      <c r="Q159" s="140">
        <f t="shared" si="142"/>
        <v>0.6931588057412601</v>
      </c>
      <c r="R159" s="140">
        <f t="shared" si="142"/>
        <v>0.68013989331421998</v>
      </c>
      <c r="S159" s="140">
        <f t="shared" si="142"/>
        <v>0.66327832870160541</v>
      </c>
      <c r="T159" s="140">
        <f t="shared" si="142"/>
        <v>0.65191023553240335</v>
      </c>
      <c r="U159" s="140">
        <f t="shared" si="142"/>
        <v>0.65219212916549096</v>
      </c>
      <c r="V159" s="140">
        <f t="shared" si="142"/>
        <v>0.78736862021629483</v>
      </c>
      <c r="W159" s="140">
        <f t="shared" si="142"/>
        <v>0.75786188995972426</v>
      </c>
      <c r="X159" s="140">
        <f t="shared" ref="X159:Y159" si="143">IF(X67=0,0,X67/X$64)</f>
        <v>0.64707333347001428</v>
      </c>
      <c r="Y159" s="140">
        <f t="shared" si="143"/>
        <v>0.63199962466201809</v>
      </c>
      <c r="DA159" s="175"/>
    </row>
    <row r="160" spans="1:105" ht="11.45" customHeight="1" x14ac:dyDescent="0.25">
      <c r="A160" s="128" t="str">
        <f>$A$8</f>
        <v>Motor coaches, buses and trolley buses</v>
      </c>
      <c r="B160" s="140">
        <f t="shared" si="135"/>
        <v>8.1056889538396987E-2</v>
      </c>
      <c r="C160" s="140">
        <f t="shared" ref="C160:W160" si="144">IF(C68=0,0,C68/C$64)</f>
        <v>8.1012805814871039E-2</v>
      </c>
      <c r="D160" s="140">
        <f t="shared" si="144"/>
        <v>7.7512036818719793E-2</v>
      </c>
      <c r="E160" s="140">
        <f t="shared" si="144"/>
        <v>7.0907538539079079E-2</v>
      </c>
      <c r="F160" s="140">
        <f t="shared" si="144"/>
        <v>6.6638779346310281E-2</v>
      </c>
      <c r="G160" s="140">
        <f t="shared" si="144"/>
        <v>4.298407772331269E-2</v>
      </c>
      <c r="H160" s="140">
        <f t="shared" si="144"/>
        <v>4.200144009504627E-2</v>
      </c>
      <c r="I160" s="140">
        <f t="shared" si="144"/>
        <v>4.2166775106696197E-2</v>
      </c>
      <c r="J160" s="140">
        <f t="shared" si="144"/>
        <v>4.2954692135478083E-2</v>
      </c>
      <c r="K160" s="140">
        <f t="shared" si="144"/>
        <v>4.36408226906368E-2</v>
      </c>
      <c r="L160" s="140">
        <f t="shared" si="144"/>
        <v>4.3429720877894901E-2</v>
      </c>
      <c r="M160" s="140">
        <f t="shared" si="144"/>
        <v>4.519850273593299E-2</v>
      </c>
      <c r="N160" s="140">
        <f t="shared" si="144"/>
        <v>3.7917817337821284E-2</v>
      </c>
      <c r="O160" s="140">
        <f t="shared" si="144"/>
        <v>3.6393971013336822E-2</v>
      </c>
      <c r="P160" s="140">
        <f t="shared" si="144"/>
        <v>4.3627674445846414E-2</v>
      </c>
      <c r="Q160" s="140">
        <f t="shared" si="144"/>
        <v>4.2968404857078868E-2</v>
      </c>
      <c r="R160" s="140">
        <f t="shared" si="144"/>
        <v>4.3925589856999125E-2</v>
      </c>
      <c r="S160" s="140">
        <f t="shared" si="144"/>
        <v>4.3436382303862424E-2</v>
      </c>
      <c r="T160" s="140">
        <f t="shared" si="144"/>
        <v>4.4141957815669673E-2</v>
      </c>
      <c r="U160" s="140">
        <f t="shared" si="144"/>
        <v>3.9362020989935E-2</v>
      </c>
      <c r="V160" s="140">
        <f t="shared" si="144"/>
        <v>4.2546558903871781E-2</v>
      </c>
      <c r="W160" s="140">
        <f t="shared" si="144"/>
        <v>4.7864208861023209E-2</v>
      </c>
      <c r="X160" s="140">
        <f t="shared" ref="X160:Y160" si="145">IF(X68=0,0,X68/X$64)</f>
        <v>4.6513683614308257E-2</v>
      </c>
      <c r="Y160" s="140">
        <f t="shared" si="145"/>
        <v>4.4253655972585612E-2</v>
      </c>
      <c r="DA160" s="175"/>
    </row>
    <row r="161" spans="1:105" ht="11.45" customHeight="1" x14ac:dyDescent="0.25">
      <c r="A161" s="109" t="str">
        <f>$A$9</f>
        <v>Rail, metro and tram</v>
      </c>
      <c r="B161" s="124">
        <f t="shared" si="135"/>
        <v>1.1804391026347118E-2</v>
      </c>
      <c r="C161" s="124">
        <f t="shared" ref="C161:W161" si="146">IF(C69=0,0,C69/C$64)</f>
        <v>8.8707436672311232E-3</v>
      </c>
      <c r="D161" s="124">
        <f t="shared" si="146"/>
        <v>7.012233679682788E-3</v>
      </c>
      <c r="E161" s="124">
        <f t="shared" si="146"/>
        <v>5.6777111792528654E-3</v>
      </c>
      <c r="F161" s="124">
        <f t="shared" si="146"/>
        <v>4.8111679515994857E-3</v>
      </c>
      <c r="G161" s="124">
        <f t="shared" si="146"/>
        <v>4.4908320587458634E-3</v>
      </c>
      <c r="H161" s="124">
        <f t="shared" si="146"/>
        <v>4.2855962493542708E-3</v>
      </c>
      <c r="I161" s="124">
        <f t="shared" si="146"/>
        <v>4.1171980442999022E-3</v>
      </c>
      <c r="J161" s="124">
        <f t="shared" si="146"/>
        <v>4.0291770958752228E-3</v>
      </c>
      <c r="K161" s="124">
        <f t="shared" si="146"/>
        <v>3.2873287052572874E-3</v>
      </c>
      <c r="L161" s="124">
        <f t="shared" si="146"/>
        <v>2.8115181840034304E-3</v>
      </c>
      <c r="M161" s="124">
        <f t="shared" si="146"/>
        <v>2.492042660080501E-3</v>
      </c>
      <c r="N161" s="124">
        <f t="shared" si="146"/>
        <v>1.9891753107181961E-3</v>
      </c>
      <c r="O161" s="124">
        <f t="shared" si="146"/>
        <v>1.7219534702046691E-3</v>
      </c>
      <c r="P161" s="124">
        <f t="shared" si="146"/>
        <v>1.6604644271246242E-3</v>
      </c>
      <c r="Q161" s="124">
        <f t="shared" si="146"/>
        <v>1.5715762214558037E-3</v>
      </c>
      <c r="R161" s="124">
        <f t="shared" si="146"/>
        <v>1.4673731322743747E-3</v>
      </c>
      <c r="S161" s="124">
        <f t="shared" si="146"/>
        <v>1.3007061073655782E-3</v>
      </c>
      <c r="T161" s="124">
        <f t="shared" si="146"/>
        <v>1.3352935557543011E-3</v>
      </c>
      <c r="U161" s="124">
        <f t="shared" si="146"/>
        <v>1.2400079672407745E-3</v>
      </c>
      <c r="V161" s="124">
        <f t="shared" si="146"/>
        <v>1.3462672612171067E-3</v>
      </c>
      <c r="W161" s="124">
        <f t="shared" si="146"/>
        <v>9.5973179187782711E-4</v>
      </c>
      <c r="X161" s="124">
        <f t="shared" ref="X161:Y161" si="147">IF(X69=0,0,X69/X$64)</f>
        <v>8.0182697319379069E-4</v>
      </c>
      <c r="Y161" s="124">
        <f t="shared" si="147"/>
        <v>9.6258249272720227E-4</v>
      </c>
      <c r="DA161" s="176"/>
    </row>
    <row r="162" spans="1:105" ht="11.45" customHeight="1" x14ac:dyDescent="0.25">
      <c r="A162" s="128" t="str">
        <f>$A$10</f>
        <v>Metro and tram, urban light rail</v>
      </c>
      <c r="B162" s="140">
        <f t="shared" si="135"/>
        <v>0</v>
      </c>
      <c r="C162" s="140">
        <f t="shared" ref="C162:W162" si="148">IF(C70=0,0,C70/C$64)</f>
        <v>0</v>
      </c>
      <c r="D162" s="140">
        <f t="shared" si="148"/>
        <v>0</v>
      </c>
      <c r="E162" s="140">
        <f t="shared" si="148"/>
        <v>0</v>
      </c>
      <c r="F162" s="140">
        <f t="shared" si="148"/>
        <v>0</v>
      </c>
      <c r="G162" s="140">
        <f t="shared" si="148"/>
        <v>0</v>
      </c>
      <c r="H162" s="140">
        <f t="shared" si="148"/>
        <v>0</v>
      </c>
      <c r="I162" s="140">
        <f t="shared" si="148"/>
        <v>0</v>
      </c>
      <c r="J162" s="140">
        <f t="shared" si="148"/>
        <v>0</v>
      </c>
      <c r="K162" s="140">
        <f t="shared" si="148"/>
        <v>0</v>
      </c>
      <c r="L162" s="140">
        <f t="shared" si="148"/>
        <v>0</v>
      </c>
      <c r="M162" s="140">
        <f t="shared" si="148"/>
        <v>0</v>
      </c>
      <c r="N162" s="140">
        <f t="shared" si="148"/>
        <v>0</v>
      </c>
      <c r="O162" s="140">
        <f t="shared" si="148"/>
        <v>0</v>
      </c>
      <c r="P162" s="140">
        <f t="shared" si="148"/>
        <v>0</v>
      </c>
      <c r="Q162" s="140">
        <f t="shared" si="148"/>
        <v>0</v>
      </c>
      <c r="R162" s="140">
        <f t="shared" si="148"/>
        <v>0</v>
      </c>
      <c r="S162" s="140">
        <f t="shared" si="148"/>
        <v>0</v>
      </c>
      <c r="T162" s="140">
        <f t="shared" si="148"/>
        <v>0</v>
      </c>
      <c r="U162" s="140">
        <f t="shared" si="148"/>
        <v>0</v>
      </c>
      <c r="V162" s="140">
        <f t="shared" si="148"/>
        <v>0</v>
      </c>
      <c r="W162" s="140">
        <f t="shared" si="148"/>
        <v>0</v>
      </c>
      <c r="X162" s="140">
        <f t="shared" ref="X162:Y162" si="149">IF(X70=0,0,X70/X$64)</f>
        <v>0</v>
      </c>
      <c r="Y162" s="140">
        <f t="shared" si="149"/>
        <v>0</v>
      </c>
      <c r="DA162" s="175"/>
    </row>
    <row r="163" spans="1:105" ht="11.45" customHeight="1" x14ac:dyDescent="0.25">
      <c r="A163" s="128" t="str">
        <f>$A$11</f>
        <v>Conventional passenger trains</v>
      </c>
      <c r="B163" s="140">
        <f t="shared" si="135"/>
        <v>1.1804391026347118E-2</v>
      </c>
      <c r="C163" s="140">
        <f t="shared" ref="C163:W163" si="150">IF(C71=0,0,C71/C$64)</f>
        <v>8.8707436672311232E-3</v>
      </c>
      <c r="D163" s="140">
        <f t="shared" si="150"/>
        <v>7.012233679682788E-3</v>
      </c>
      <c r="E163" s="140">
        <f t="shared" si="150"/>
        <v>5.6777111792528654E-3</v>
      </c>
      <c r="F163" s="140">
        <f t="shared" si="150"/>
        <v>4.8111679515994857E-3</v>
      </c>
      <c r="G163" s="140">
        <f t="shared" si="150"/>
        <v>4.4908320587458634E-3</v>
      </c>
      <c r="H163" s="140">
        <f t="shared" si="150"/>
        <v>4.2855962493542708E-3</v>
      </c>
      <c r="I163" s="140">
        <f t="shared" si="150"/>
        <v>4.1171980442999022E-3</v>
      </c>
      <c r="J163" s="140">
        <f t="shared" si="150"/>
        <v>4.0291770958752228E-3</v>
      </c>
      <c r="K163" s="140">
        <f t="shared" si="150"/>
        <v>3.2873287052572874E-3</v>
      </c>
      <c r="L163" s="140">
        <f t="shared" si="150"/>
        <v>2.8115181840034304E-3</v>
      </c>
      <c r="M163" s="140">
        <f t="shared" si="150"/>
        <v>2.492042660080501E-3</v>
      </c>
      <c r="N163" s="140">
        <f t="shared" si="150"/>
        <v>1.9891753107181961E-3</v>
      </c>
      <c r="O163" s="140">
        <f t="shared" si="150"/>
        <v>1.7219534702046691E-3</v>
      </c>
      <c r="P163" s="140">
        <f t="shared" si="150"/>
        <v>1.6604644271246242E-3</v>
      </c>
      <c r="Q163" s="140">
        <f t="shared" si="150"/>
        <v>1.5715762214558037E-3</v>
      </c>
      <c r="R163" s="140">
        <f t="shared" si="150"/>
        <v>1.4673731322743747E-3</v>
      </c>
      <c r="S163" s="140">
        <f t="shared" si="150"/>
        <v>1.3007061073655782E-3</v>
      </c>
      <c r="T163" s="140">
        <f t="shared" si="150"/>
        <v>1.3352935557543011E-3</v>
      </c>
      <c r="U163" s="140">
        <f t="shared" si="150"/>
        <v>1.2400079672407745E-3</v>
      </c>
      <c r="V163" s="140">
        <f t="shared" si="150"/>
        <v>1.3462672612171067E-3</v>
      </c>
      <c r="W163" s="140">
        <f t="shared" si="150"/>
        <v>9.5973179187782711E-4</v>
      </c>
      <c r="X163" s="140">
        <f t="shared" ref="X163:Y163" si="151">IF(X71=0,0,X71/X$64)</f>
        <v>8.0182697319379069E-4</v>
      </c>
      <c r="Y163" s="140">
        <f t="shared" si="151"/>
        <v>9.6258249272720227E-4</v>
      </c>
      <c r="DA163" s="175"/>
    </row>
    <row r="164" spans="1:105" ht="11.45" customHeight="1" x14ac:dyDescent="0.25">
      <c r="A164" s="128" t="str">
        <f>$A$12</f>
        <v>High speed passenger trains</v>
      </c>
      <c r="B164" s="140">
        <f t="shared" si="135"/>
        <v>0</v>
      </c>
      <c r="C164" s="140">
        <f t="shared" ref="C164:W164" si="152">IF(C72=0,0,C72/C$64)</f>
        <v>0</v>
      </c>
      <c r="D164" s="140">
        <f t="shared" si="152"/>
        <v>0</v>
      </c>
      <c r="E164" s="140">
        <f t="shared" si="152"/>
        <v>0</v>
      </c>
      <c r="F164" s="140">
        <f t="shared" si="152"/>
        <v>0</v>
      </c>
      <c r="G164" s="140">
        <f t="shared" si="152"/>
        <v>0</v>
      </c>
      <c r="H164" s="140">
        <f t="shared" si="152"/>
        <v>0</v>
      </c>
      <c r="I164" s="140">
        <f t="shared" si="152"/>
        <v>0</v>
      </c>
      <c r="J164" s="140">
        <f t="shared" si="152"/>
        <v>0</v>
      </c>
      <c r="K164" s="140">
        <f t="shared" si="152"/>
        <v>0</v>
      </c>
      <c r="L164" s="140">
        <f t="shared" si="152"/>
        <v>0</v>
      </c>
      <c r="M164" s="140">
        <f t="shared" si="152"/>
        <v>0</v>
      </c>
      <c r="N164" s="140">
        <f t="shared" si="152"/>
        <v>0</v>
      </c>
      <c r="O164" s="140">
        <f t="shared" si="152"/>
        <v>0</v>
      </c>
      <c r="P164" s="140">
        <f t="shared" si="152"/>
        <v>0</v>
      </c>
      <c r="Q164" s="140">
        <f t="shared" si="152"/>
        <v>0</v>
      </c>
      <c r="R164" s="140">
        <f t="shared" si="152"/>
        <v>0</v>
      </c>
      <c r="S164" s="140">
        <f t="shared" si="152"/>
        <v>0</v>
      </c>
      <c r="T164" s="140">
        <f t="shared" si="152"/>
        <v>0</v>
      </c>
      <c r="U164" s="140">
        <f t="shared" si="152"/>
        <v>0</v>
      </c>
      <c r="V164" s="140">
        <f t="shared" si="152"/>
        <v>0</v>
      </c>
      <c r="W164" s="140">
        <f t="shared" si="152"/>
        <v>0</v>
      </c>
      <c r="X164" s="140">
        <f t="shared" ref="X164:Y164" si="153">IF(X72=0,0,X72/X$64)</f>
        <v>0</v>
      </c>
      <c r="Y164" s="140">
        <f t="shared" si="153"/>
        <v>0</v>
      </c>
      <c r="DA164" s="175"/>
    </row>
    <row r="165" spans="1:105" ht="11.45" customHeight="1" x14ac:dyDescent="0.25">
      <c r="A165" s="109" t="str">
        <f>$A$13</f>
        <v>Aviation</v>
      </c>
      <c r="B165" s="124">
        <f t="shared" si="135"/>
        <v>0.18699055174972995</v>
      </c>
      <c r="C165" s="124">
        <f t="shared" ref="C165:W165" si="154">IF(C73=0,0,C73/C$64)</f>
        <v>0.182256925961953</v>
      </c>
      <c r="D165" s="124">
        <f t="shared" si="154"/>
        <v>0.17159180047477923</v>
      </c>
      <c r="E165" s="124">
        <f t="shared" si="154"/>
        <v>0.16896553477771037</v>
      </c>
      <c r="F165" s="124">
        <f t="shared" si="154"/>
        <v>0.17601584142002563</v>
      </c>
      <c r="G165" s="124">
        <f t="shared" si="154"/>
        <v>0.18905368156515917</v>
      </c>
      <c r="H165" s="124">
        <f t="shared" si="154"/>
        <v>0.19569182819165631</v>
      </c>
      <c r="I165" s="124">
        <f t="shared" si="154"/>
        <v>0.20347378727016299</v>
      </c>
      <c r="J165" s="124">
        <f t="shared" si="154"/>
        <v>0.20353702465505885</v>
      </c>
      <c r="K165" s="124">
        <f t="shared" si="154"/>
        <v>0.19362554788523328</v>
      </c>
      <c r="L165" s="124">
        <f t="shared" si="154"/>
        <v>0.20728622441355879</v>
      </c>
      <c r="M165" s="124">
        <f t="shared" si="154"/>
        <v>0.22199616112157283</v>
      </c>
      <c r="N165" s="124">
        <f t="shared" si="154"/>
        <v>0.2332298874360125</v>
      </c>
      <c r="O165" s="124">
        <f t="shared" si="154"/>
        <v>0.23583935898770672</v>
      </c>
      <c r="P165" s="124">
        <f t="shared" si="154"/>
        <v>0.23718916517288707</v>
      </c>
      <c r="Q165" s="124">
        <f t="shared" si="154"/>
        <v>0.25153601432953204</v>
      </c>
      <c r="R165" s="124">
        <f t="shared" si="154"/>
        <v>0.26376201736315175</v>
      </c>
      <c r="S165" s="124">
        <f t="shared" si="154"/>
        <v>0.28168384989006817</v>
      </c>
      <c r="T165" s="124">
        <f t="shared" si="154"/>
        <v>0.29309545187177255</v>
      </c>
      <c r="U165" s="124">
        <f t="shared" si="154"/>
        <v>0.29750744533429668</v>
      </c>
      <c r="V165" s="124">
        <f t="shared" si="154"/>
        <v>0.15654023132132963</v>
      </c>
      <c r="W165" s="124">
        <f t="shared" si="154"/>
        <v>0.18194208602813985</v>
      </c>
      <c r="X165" s="124">
        <f t="shared" ref="X165:Y165" si="155">IF(X73=0,0,X73/X$64)</f>
        <v>0.29615173895312291</v>
      </c>
      <c r="Y165" s="124">
        <f t="shared" si="155"/>
        <v>0.31330338958366755</v>
      </c>
      <c r="DA165" s="176"/>
    </row>
    <row r="166" spans="1:105" ht="11.45" customHeight="1" x14ac:dyDescent="0.25">
      <c r="A166" s="128" t="str">
        <f>$A$14</f>
        <v>Domestic</v>
      </c>
      <c r="B166" s="140">
        <f t="shared" si="135"/>
        <v>2.6656284072504508E-2</v>
      </c>
      <c r="C166" s="140">
        <f t="shared" ref="C166:W166" si="156">IF(C74=0,0,C74/C$64)</f>
        <v>2.7599036518470618E-2</v>
      </c>
      <c r="D166" s="140">
        <f t="shared" si="156"/>
        <v>2.8167460878821139E-2</v>
      </c>
      <c r="E166" s="140">
        <f t="shared" si="156"/>
        <v>2.4498053055988404E-2</v>
      </c>
      <c r="F166" s="140">
        <f t="shared" si="156"/>
        <v>2.6649654775868004E-2</v>
      </c>
      <c r="G166" s="140">
        <f t="shared" si="156"/>
        <v>2.8670785441419048E-2</v>
      </c>
      <c r="H166" s="140">
        <f t="shared" si="156"/>
        <v>2.7715332616491763E-2</v>
      </c>
      <c r="I166" s="140">
        <f t="shared" si="156"/>
        <v>2.7372184554393348E-2</v>
      </c>
      <c r="J166" s="140">
        <f t="shared" si="156"/>
        <v>2.4819319520024551E-2</v>
      </c>
      <c r="K166" s="140">
        <f t="shared" si="156"/>
        <v>2.3390517186466616E-2</v>
      </c>
      <c r="L166" s="140">
        <f t="shared" si="156"/>
        <v>2.7526835532709161E-2</v>
      </c>
      <c r="M166" s="140">
        <f t="shared" si="156"/>
        <v>2.5816207258780758E-2</v>
      </c>
      <c r="N166" s="140">
        <f t="shared" si="156"/>
        <v>2.6945334998448416E-2</v>
      </c>
      <c r="O166" s="140">
        <f t="shared" si="156"/>
        <v>2.7406498148275626E-2</v>
      </c>
      <c r="P166" s="140">
        <f t="shared" si="156"/>
        <v>2.5979636823637176E-2</v>
      </c>
      <c r="Q166" s="140">
        <f t="shared" si="156"/>
        <v>2.687544813741987E-2</v>
      </c>
      <c r="R166" s="140">
        <f t="shared" si="156"/>
        <v>2.8666591342505932E-2</v>
      </c>
      <c r="S166" s="140">
        <f t="shared" si="156"/>
        <v>3.2840878551350233E-2</v>
      </c>
      <c r="T166" s="140">
        <f t="shared" si="156"/>
        <v>3.4057983787195947E-2</v>
      </c>
      <c r="U166" s="140">
        <f t="shared" si="156"/>
        <v>3.0439466979560448E-2</v>
      </c>
      <c r="V166" s="140">
        <f t="shared" si="156"/>
        <v>2.2439825544421862E-2</v>
      </c>
      <c r="W166" s="140">
        <f t="shared" si="156"/>
        <v>2.6873235995903792E-2</v>
      </c>
      <c r="X166" s="140">
        <f t="shared" ref="X166:Y166" si="157">IF(X74=0,0,X74/X$64)</f>
        <v>2.7108670627165144E-2</v>
      </c>
      <c r="Y166" s="140">
        <f t="shared" si="157"/>
        <v>2.8465689150863505E-2</v>
      </c>
      <c r="DA166" s="175"/>
    </row>
    <row r="167" spans="1:105" ht="11.45" customHeight="1" x14ac:dyDescent="0.25">
      <c r="A167" s="128" t="str">
        <f>$A$15</f>
        <v>International - Intra-EEAwCHUK</v>
      </c>
      <c r="B167" s="140">
        <f t="shared" si="135"/>
        <v>0.10208826992099948</v>
      </c>
      <c r="C167" s="140">
        <f t="shared" ref="C167:W167" si="158">IF(C75=0,0,C75/C$64)</f>
        <v>9.8476825995938086E-2</v>
      </c>
      <c r="D167" s="140">
        <f t="shared" si="158"/>
        <v>9.1324131319017204E-2</v>
      </c>
      <c r="E167" s="140">
        <f t="shared" si="158"/>
        <v>8.8731270536423684E-2</v>
      </c>
      <c r="F167" s="140">
        <f t="shared" si="158"/>
        <v>9.3661210999732999E-2</v>
      </c>
      <c r="G167" s="140">
        <f t="shared" si="158"/>
        <v>0.10109670250148749</v>
      </c>
      <c r="H167" s="140">
        <f t="shared" si="158"/>
        <v>0.10726400283038913</v>
      </c>
      <c r="I167" s="140">
        <f t="shared" si="158"/>
        <v>0.11505709930690526</v>
      </c>
      <c r="J167" s="140">
        <f t="shared" si="158"/>
        <v>0.1162079767622294</v>
      </c>
      <c r="K167" s="140">
        <f t="shared" si="158"/>
        <v>0.10784507260121336</v>
      </c>
      <c r="L167" s="140">
        <f t="shared" si="158"/>
        <v>0.11369317532349037</v>
      </c>
      <c r="M167" s="140">
        <f t="shared" si="158"/>
        <v>0.12496423885876709</v>
      </c>
      <c r="N167" s="140">
        <f t="shared" si="158"/>
        <v>0.12970209296105123</v>
      </c>
      <c r="O167" s="140">
        <f t="shared" si="158"/>
        <v>0.13204416265073818</v>
      </c>
      <c r="P167" s="140">
        <f t="shared" si="158"/>
        <v>0.13556886137389193</v>
      </c>
      <c r="Q167" s="140">
        <f t="shared" si="158"/>
        <v>0.1453294334660947</v>
      </c>
      <c r="R167" s="140">
        <f t="shared" si="158"/>
        <v>0.15671878899467029</v>
      </c>
      <c r="S167" s="140">
        <f t="shared" si="158"/>
        <v>0.16936093227926818</v>
      </c>
      <c r="T167" s="140">
        <f t="shared" si="158"/>
        <v>0.17485138031360375</v>
      </c>
      <c r="U167" s="140">
        <f t="shared" si="158"/>
        <v>0.17951080040401116</v>
      </c>
      <c r="V167" s="140">
        <f t="shared" si="158"/>
        <v>7.6443398751623842E-2</v>
      </c>
      <c r="W167" s="140">
        <f t="shared" si="158"/>
        <v>9.5439906808355901E-2</v>
      </c>
      <c r="X167" s="140">
        <f t="shared" ref="X167:Y167" si="159">IF(X75=0,0,X75/X$64)</f>
        <v>0.18516150485952151</v>
      </c>
      <c r="Y167" s="140">
        <f t="shared" si="159"/>
        <v>0.19661822788295769</v>
      </c>
      <c r="DA167" s="175"/>
    </row>
    <row r="168" spans="1:105" ht="11.45" customHeight="1" x14ac:dyDescent="0.25">
      <c r="A168" s="128" t="str">
        <f>$A$16</f>
        <v>International - Extra-EEAwCHUK</v>
      </c>
      <c r="B168" s="140">
        <f t="shared" si="135"/>
        <v>5.8245997756225944E-2</v>
      </c>
      <c r="C168" s="140">
        <f t="shared" ref="C168:W168" si="160">IF(C76=0,0,C76/C$64)</f>
        <v>5.6181063447544297E-2</v>
      </c>
      <c r="D168" s="140">
        <f t="shared" si="160"/>
        <v>5.2100208276940854E-2</v>
      </c>
      <c r="E168" s="140">
        <f t="shared" si="160"/>
        <v>5.5736211185298264E-2</v>
      </c>
      <c r="F168" s="140">
        <f t="shared" si="160"/>
        <v>5.5704975644424615E-2</v>
      </c>
      <c r="G168" s="140">
        <f t="shared" si="160"/>
        <v>5.9286193622252632E-2</v>
      </c>
      <c r="H168" s="140">
        <f t="shared" si="160"/>
        <v>6.0712492744775415E-2</v>
      </c>
      <c r="I168" s="140">
        <f t="shared" si="160"/>
        <v>6.1044503408864352E-2</v>
      </c>
      <c r="J168" s="140">
        <f t="shared" si="160"/>
        <v>6.2509728372804912E-2</v>
      </c>
      <c r="K168" s="140">
        <f t="shared" si="160"/>
        <v>6.2389958097553301E-2</v>
      </c>
      <c r="L168" s="140">
        <f t="shared" si="160"/>
        <v>6.6066213557359268E-2</v>
      </c>
      <c r="M168" s="140">
        <f t="shared" si="160"/>
        <v>7.1215715004025001E-2</v>
      </c>
      <c r="N168" s="140">
        <f t="shared" si="160"/>
        <v>7.6582459476512862E-2</v>
      </c>
      <c r="O168" s="140">
        <f t="shared" si="160"/>
        <v>7.6388698188692927E-2</v>
      </c>
      <c r="P168" s="140">
        <f t="shared" si="160"/>
        <v>7.5640666975357956E-2</v>
      </c>
      <c r="Q168" s="140">
        <f t="shared" si="160"/>
        <v>7.9331132726017509E-2</v>
      </c>
      <c r="R168" s="140">
        <f t="shared" si="160"/>
        <v>7.8376637025975499E-2</v>
      </c>
      <c r="S168" s="140">
        <f t="shared" si="160"/>
        <v>7.9482039059449769E-2</v>
      </c>
      <c r="T168" s="140">
        <f t="shared" si="160"/>
        <v>8.4186087770972834E-2</v>
      </c>
      <c r="U168" s="140">
        <f t="shared" si="160"/>
        <v>8.7557177950725068E-2</v>
      </c>
      <c r="V168" s="140">
        <f t="shared" si="160"/>
        <v>5.7657007025283931E-2</v>
      </c>
      <c r="W168" s="140">
        <f t="shared" si="160"/>
        <v>5.9628943223880168E-2</v>
      </c>
      <c r="X168" s="140">
        <f t="shared" ref="X168:Y168" si="161">IF(X76=0,0,X76/X$64)</f>
        <v>8.3881563466436257E-2</v>
      </c>
      <c r="Y168" s="140">
        <f t="shared" si="161"/>
        <v>8.8219472549846342E-2</v>
      </c>
      <c r="DA168" s="175"/>
    </row>
    <row r="169" spans="1:105" ht="11.45" customHeight="1" x14ac:dyDescent="0.25">
      <c r="A169" s="27" t="s">
        <v>34</v>
      </c>
      <c r="B169" s="31">
        <f t="shared" ref="B169:B180" si="162">IF(B77=0,0,B77/B$77)</f>
        <v>1</v>
      </c>
      <c r="C169" s="31">
        <f t="shared" ref="C169:W169" si="163">IF(C77=0,0,C77/C$77)</f>
        <v>1</v>
      </c>
      <c r="D169" s="31">
        <f t="shared" si="163"/>
        <v>1</v>
      </c>
      <c r="E169" s="31">
        <f t="shared" si="163"/>
        <v>1</v>
      </c>
      <c r="F169" s="31">
        <f t="shared" si="163"/>
        <v>1</v>
      </c>
      <c r="G169" s="31">
        <f t="shared" si="163"/>
        <v>1</v>
      </c>
      <c r="H169" s="31">
        <f t="shared" si="163"/>
        <v>1</v>
      </c>
      <c r="I169" s="31">
        <f t="shared" si="163"/>
        <v>1</v>
      </c>
      <c r="J169" s="31">
        <f t="shared" si="163"/>
        <v>1</v>
      </c>
      <c r="K169" s="31">
        <f t="shared" si="163"/>
        <v>1</v>
      </c>
      <c r="L169" s="31">
        <f t="shared" si="163"/>
        <v>1</v>
      </c>
      <c r="M169" s="31">
        <f t="shared" si="163"/>
        <v>1</v>
      </c>
      <c r="N169" s="31">
        <f t="shared" si="163"/>
        <v>1</v>
      </c>
      <c r="O169" s="31">
        <f t="shared" si="163"/>
        <v>1</v>
      </c>
      <c r="P169" s="31">
        <f t="shared" si="163"/>
        <v>1</v>
      </c>
      <c r="Q169" s="31">
        <f t="shared" si="163"/>
        <v>1</v>
      </c>
      <c r="R169" s="31">
        <f t="shared" si="163"/>
        <v>1</v>
      </c>
      <c r="S169" s="31">
        <f t="shared" si="163"/>
        <v>1</v>
      </c>
      <c r="T169" s="31">
        <f t="shared" si="163"/>
        <v>1</v>
      </c>
      <c r="U169" s="31">
        <f t="shared" si="163"/>
        <v>1</v>
      </c>
      <c r="V169" s="31">
        <f t="shared" si="163"/>
        <v>1</v>
      </c>
      <c r="W169" s="31">
        <f t="shared" si="163"/>
        <v>1</v>
      </c>
      <c r="X169" s="31">
        <f t="shared" ref="X169:Y169" si="164">IF(X77=0,0,X77/X$77)</f>
        <v>1</v>
      </c>
      <c r="Y169" s="31">
        <f t="shared" si="164"/>
        <v>1</v>
      </c>
      <c r="DA169" s="173"/>
    </row>
    <row r="170" spans="1:105" ht="11.45" customHeight="1" x14ac:dyDescent="0.25">
      <c r="A170" s="136" t="str">
        <f>$A$18</f>
        <v>Road transport</v>
      </c>
      <c r="B170" s="139">
        <f t="shared" si="162"/>
        <v>0.96935531109657103</v>
      </c>
      <c r="C170" s="139">
        <f t="shared" ref="C170:W170" si="165">IF(C78=0,0,C78/C$77)</f>
        <v>0.96932884349191406</v>
      </c>
      <c r="D170" s="139">
        <f t="shared" si="165"/>
        <v>0.95390120337102191</v>
      </c>
      <c r="E170" s="139">
        <f t="shared" si="165"/>
        <v>0.96558032864046173</v>
      </c>
      <c r="F170" s="139">
        <f t="shared" si="165"/>
        <v>0.98059413974555731</v>
      </c>
      <c r="G170" s="139">
        <f t="shared" si="165"/>
        <v>0.98280508639220265</v>
      </c>
      <c r="H170" s="139">
        <f t="shared" si="165"/>
        <v>0.9796200284731803</v>
      </c>
      <c r="I170" s="139">
        <f t="shared" si="165"/>
        <v>0.935300416899984</v>
      </c>
      <c r="J170" s="139">
        <f t="shared" si="165"/>
        <v>0.92847098867486877</v>
      </c>
      <c r="K170" s="139">
        <f t="shared" si="165"/>
        <v>0.90317514073621219</v>
      </c>
      <c r="L170" s="139">
        <f t="shared" si="165"/>
        <v>0.92921634689498456</v>
      </c>
      <c r="M170" s="139">
        <f t="shared" si="165"/>
        <v>0.92824565352629851</v>
      </c>
      <c r="N170" s="139">
        <f t="shared" si="165"/>
        <v>0.91791800467602147</v>
      </c>
      <c r="O170" s="139">
        <f t="shared" si="165"/>
        <v>0.91310493603073317</v>
      </c>
      <c r="P170" s="139">
        <f t="shared" si="165"/>
        <v>0.93450364439101485</v>
      </c>
      <c r="Q170" s="139">
        <f t="shared" si="165"/>
        <v>0.92867396197774776</v>
      </c>
      <c r="R170" s="139">
        <f t="shared" si="165"/>
        <v>0.92516741897685717</v>
      </c>
      <c r="S170" s="139">
        <f t="shared" si="165"/>
        <v>0.9295775833828066</v>
      </c>
      <c r="T170" s="139">
        <f t="shared" si="165"/>
        <v>0.92782581520658181</v>
      </c>
      <c r="U170" s="139">
        <f t="shared" si="165"/>
        <v>0.93783006938170776</v>
      </c>
      <c r="V170" s="139">
        <f t="shared" si="165"/>
        <v>0.94373957849301104</v>
      </c>
      <c r="W170" s="139">
        <f t="shared" si="165"/>
        <v>0.93950521218967253</v>
      </c>
      <c r="X170" s="139">
        <f t="shared" ref="X170:Y170" si="166">IF(X78=0,0,X78/X$77)</f>
        <v>0.9381361083732549</v>
      </c>
      <c r="Y170" s="139">
        <f t="shared" si="166"/>
        <v>0.94894677382097226</v>
      </c>
      <c r="DA170" s="174"/>
    </row>
    <row r="171" spans="1:105" ht="11.45" customHeight="1" x14ac:dyDescent="0.25">
      <c r="A171" s="128" t="str">
        <f>$A$19</f>
        <v>Light commercial vehicles</v>
      </c>
      <c r="B171" s="140">
        <f t="shared" si="162"/>
        <v>0.7237397857715826</v>
      </c>
      <c r="C171" s="140">
        <f t="shared" ref="C171:W171" si="167">IF(C79=0,0,C79/C$77)</f>
        <v>0.6820499381925399</v>
      </c>
      <c r="D171" s="140">
        <f t="shared" si="167"/>
        <v>0.67801473460391537</v>
      </c>
      <c r="E171" s="140">
        <f t="shared" si="167"/>
        <v>0.64921248173105917</v>
      </c>
      <c r="F171" s="140">
        <f t="shared" si="167"/>
        <v>0.60055554946765954</v>
      </c>
      <c r="G171" s="140">
        <f t="shared" si="167"/>
        <v>0.57853053724225778</v>
      </c>
      <c r="H171" s="140">
        <f t="shared" si="167"/>
        <v>0.56890512243891478</v>
      </c>
      <c r="I171" s="140">
        <f t="shared" si="167"/>
        <v>0.51921164104033224</v>
      </c>
      <c r="J171" s="140">
        <f t="shared" si="167"/>
        <v>0.5171313927465</v>
      </c>
      <c r="K171" s="140">
        <f t="shared" si="167"/>
        <v>0.52295212056541085</v>
      </c>
      <c r="L171" s="140">
        <f t="shared" si="167"/>
        <v>0.52512203619973807</v>
      </c>
      <c r="M171" s="140">
        <f t="shared" si="167"/>
        <v>0.50359472815635598</v>
      </c>
      <c r="N171" s="140">
        <f t="shared" si="167"/>
        <v>0.48610978798537335</v>
      </c>
      <c r="O171" s="140">
        <f t="shared" si="167"/>
        <v>0.48361044912452883</v>
      </c>
      <c r="P171" s="140">
        <f t="shared" si="167"/>
        <v>0.52428079771788705</v>
      </c>
      <c r="Q171" s="140">
        <f t="shared" si="167"/>
        <v>0.50703059309096832</v>
      </c>
      <c r="R171" s="140">
        <f t="shared" si="167"/>
        <v>0.51493781173800612</v>
      </c>
      <c r="S171" s="140">
        <f t="shared" si="167"/>
        <v>0.52816486438859978</v>
      </c>
      <c r="T171" s="140">
        <f t="shared" si="167"/>
        <v>0.53348609536893532</v>
      </c>
      <c r="U171" s="140">
        <f t="shared" si="167"/>
        <v>0.53661401346491067</v>
      </c>
      <c r="V171" s="140">
        <f t="shared" si="167"/>
        <v>0.53628336169836133</v>
      </c>
      <c r="W171" s="140">
        <f t="shared" si="167"/>
        <v>0.54194378506403851</v>
      </c>
      <c r="X171" s="140">
        <f t="shared" ref="X171:Y171" si="168">IF(X79=0,0,X79/X$77)</f>
        <v>0.56604776530557865</v>
      </c>
      <c r="Y171" s="140">
        <f t="shared" si="168"/>
        <v>0.59733561355448395</v>
      </c>
      <c r="DA171" s="175"/>
    </row>
    <row r="172" spans="1:105" ht="11.45" customHeight="1" x14ac:dyDescent="0.25">
      <c r="A172" s="128" t="str">
        <f>$A$20</f>
        <v>Heavy goods vehicles</v>
      </c>
      <c r="B172" s="140">
        <f t="shared" si="162"/>
        <v>0.24561552532498845</v>
      </c>
      <c r="C172" s="140">
        <f t="shared" ref="C172:W172" si="169">IF(C80=0,0,C80/C$77)</f>
        <v>0.28727890529937417</v>
      </c>
      <c r="D172" s="140">
        <f t="shared" si="169"/>
        <v>0.27588646876710665</v>
      </c>
      <c r="E172" s="140">
        <f t="shared" si="169"/>
        <v>0.31636784690940256</v>
      </c>
      <c r="F172" s="140">
        <f t="shared" si="169"/>
        <v>0.38003859027789783</v>
      </c>
      <c r="G172" s="140">
        <f t="shared" si="169"/>
        <v>0.40427454914994498</v>
      </c>
      <c r="H172" s="140">
        <f t="shared" si="169"/>
        <v>0.41071490603426553</v>
      </c>
      <c r="I172" s="140">
        <f t="shared" si="169"/>
        <v>0.41608877585965176</v>
      </c>
      <c r="J172" s="140">
        <f t="shared" si="169"/>
        <v>0.41133959592836872</v>
      </c>
      <c r="K172" s="140">
        <f t="shared" si="169"/>
        <v>0.38022302017080128</v>
      </c>
      <c r="L172" s="140">
        <f t="shared" si="169"/>
        <v>0.40409431069524659</v>
      </c>
      <c r="M172" s="140">
        <f t="shared" si="169"/>
        <v>0.42465092536994253</v>
      </c>
      <c r="N172" s="140">
        <f t="shared" si="169"/>
        <v>0.43180821669064812</v>
      </c>
      <c r="O172" s="140">
        <f t="shared" si="169"/>
        <v>0.4294944869062044</v>
      </c>
      <c r="P172" s="140">
        <f t="shared" si="169"/>
        <v>0.41022284667312781</v>
      </c>
      <c r="Q172" s="140">
        <f t="shared" si="169"/>
        <v>0.42164336888677945</v>
      </c>
      <c r="R172" s="140">
        <f t="shared" si="169"/>
        <v>0.41022960723885121</v>
      </c>
      <c r="S172" s="140">
        <f t="shared" si="169"/>
        <v>0.40141271899420683</v>
      </c>
      <c r="T172" s="140">
        <f t="shared" si="169"/>
        <v>0.3943397198376466</v>
      </c>
      <c r="U172" s="140">
        <f t="shared" si="169"/>
        <v>0.40121605591679704</v>
      </c>
      <c r="V172" s="140">
        <f t="shared" si="169"/>
        <v>0.40745621679464972</v>
      </c>
      <c r="W172" s="140">
        <f t="shared" si="169"/>
        <v>0.39756142712563408</v>
      </c>
      <c r="X172" s="140">
        <f t="shared" ref="X172:Y172" si="170">IF(X80=0,0,X80/X$77)</f>
        <v>0.37208834306767619</v>
      </c>
      <c r="Y172" s="140">
        <f t="shared" si="170"/>
        <v>0.35161116026648837</v>
      </c>
      <c r="DA172" s="175"/>
    </row>
    <row r="173" spans="1:105" ht="11.45" customHeight="1" x14ac:dyDescent="0.25">
      <c r="A173" s="109" t="str">
        <f>$A$21</f>
        <v>Rail transport</v>
      </c>
      <c r="B173" s="124">
        <f t="shared" si="162"/>
        <v>4.4822673375170072E-3</v>
      </c>
      <c r="C173" s="124">
        <f t="shared" ref="C173:W173" si="171">IF(C81=0,0,C81/C$77)</f>
        <v>3.2777589353488426E-3</v>
      </c>
      <c r="D173" s="124">
        <f t="shared" si="171"/>
        <v>2.8184823893504162E-3</v>
      </c>
      <c r="E173" s="124">
        <f t="shared" si="171"/>
        <v>2.2392612734241425E-3</v>
      </c>
      <c r="F173" s="124">
        <f t="shared" si="171"/>
        <v>2.176847718199829E-3</v>
      </c>
      <c r="G173" s="124">
        <f t="shared" si="171"/>
        <v>2.3023303283971519E-3</v>
      </c>
      <c r="H173" s="124">
        <f t="shared" si="171"/>
        <v>2.1625077642238345E-3</v>
      </c>
      <c r="I173" s="124">
        <f t="shared" si="171"/>
        <v>2.3913200087113018E-3</v>
      </c>
      <c r="J173" s="124">
        <f t="shared" si="171"/>
        <v>2.0407076537689132E-3</v>
      </c>
      <c r="K173" s="124">
        <f t="shared" si="171"/>
        <v>1.4783763349827197E-3</v>
      </c>
      <c r="L173" s="124">
        <f t="shared" si="171"/>
        <v>1.5439055929102256E-3</v>
      </c>
      <c r="M173" s="124">
        <f t="shared" si="171"/>
        <v>1.6423998469087325E-3</v>
      </c>
      <c r="N173" s="124">
        <f t="shared" si="171"/>
        <v>1.5954245878694506E-3</v>
      </c>
      <c r="O173" s="124">
        <f t="shared" si="171"/>
        <v>1.715121237488016E-3</v>
      </c>
      <c r="P173" s="124">
        <f t="shared" si="171"/>
        <v>1.8135763132867894E-3</v>
      </c>
      <c r="Q173" s="124">
        <f t="shared" si="171"/>
        <v>1.942982831810412E-3</v>
      </c>
      <c r="R173" s="124">
        <f t="shared" si="171"/>
        <v>1.3629091535021013E-3</v>
      </c>
      <c r="S173" s="124">
        <f t="shared" si="171"/>
        <v>2.1081303661476432E-3</v>
      </c>
      <c r="T173" s="124">
        <f t="shared" si="171"/>
        <v>1.7708806123367133E-3</v>
      </c>
      <c r="U173" s="124">
        <f t="shared" si="171"/>
        <v>1.9995174728268663E-3</v>
      </c>
      <c r="V173" s="124">
        <f t="shared" si="171"/>
        <v>2.6456213391865134E-3</v>
      </c>
      <c r="W173" s="124">
        <f t="shared" si="171"/>
        <v>3.060294126197884E-3</v>
      </c>
      <c r="X173" s="124">
        <f t="shared" ref="X173:Y173" si="172">IF(X81=0,0,X81/X$77)</f>
        <v>2.0723017442605307E-3</v>
      </c>
      <c r="Y173" s="124">
        <f t="shared" si="172"/>
        <v>1.9387734768496266E-3</v>
      </c>
      <c r="DA173" s="176"/>
    </row>
    <row r="174" spans="1:105" ht="11.45" customHeight="1" x14ac:dyDescent="0.25">
      <c r="A174" s="109" t="str">
        <f>$A$22</f>
        <v>Aviation</v>
      </c>
      <c r="B174" s="124">
        <f t="shared" si="162"/>
        <v>8.0187037261090967E-3</v>
      </c>
      <c r="C174" s="124">
        <f t="shared" ref="C174:W174" si="173">IF(C82=0,0,C82/C$77)</f>
        <v>7.2291499672839689E-3</v>
      </c>
      <c r="D174" s="124">
        <f t="shared" si="173"/>
        <v>7.2458677382856353E-3</v>
      </c>
      <c r="E174" s="124">
        <f t="shared" si="173"/>
        <v>6.5383832027031789E-3</v>
      </c>
      <c r="F174" s="124">
        <f t="shared" si="173"/>
        <v>7.2925108061969186E-3</v>
      </c>
      <c r="G174" s="124">
        <f t="shared" si="173"/>
        <v>7.9110100754419248E-3</v>
      </c>
      <c r="H174" s="124">
        <f t="shared" si="173"/>
        <v>9.9380834207415079E-3</v>
      </c>
      <c r="I174" s="124">
        <f t="shared" si="173"/>
        <v>1.0718126412365541E-2</v>
      </c>
      <c r="J174" s="124">
        <f t="shared" si="173"/>
        <v>1.2486646719750942E-2</v>
      </c>
      <c r="K174" s="124">
        <f t="shared" si="173"/>
        <v>1.1390001636612848E-2</v>
      </c>
      <c r="L174" s="124">
        <f t="shared" si="173"/>
        <v>1.356962406269005E-2</v>
      </c>
      <c r="M174" s="124">
        <f t="shared" si="173"/>
        <v>1.2339608039085266E-2</v>
      </c>
      <c r="N174" s="124">
        <f t="shared" si="173"/>
        <v>1.3807544929676551E-2</v>
      </c>
      <c r="O174" s="124">
        <f t="shared" si="173"/>
        <v>1.3196719181815884E-2</v>
      </c>
      <c r="P174" s="124">
        <f t="shared" si="173"/>
        <v>1.1821923417607167E-2</v>
      </c>
      <c r="Q174" s="124">
        <f t="shared" si="173"/>
        <v>1.1357003085323621E-2</v>
      </c>
      <c r="R174" s="124">
        <f t="shared" si="173"/>
        <v>9.3094461633406508E-3</v>
      </c>
      <c r="S174" s="124">
        <f t="shared" si="173"/>
        <v>1.1609958337270392E-2</v>
      </c>
      <c r="T174" s="124">
        <f t="shared" si="173"/>
        <v>1.126426682538046E-2</v>
      </c>
      <c r="U174" s="124">
        <f t="shared" si="173"/>
        <v>9.5895082896477572E-3</v>
      </c>
      <c r="V174" s="124">
        <f t="shared" si="173"/>
        <v>1.0589562139214907E-2</v>
      </c>
      <c r="W174" s="124">
        <f t="shared" si="173"/>
        <v>1.1739556128385217E-2</v>
      </c>
      <c r="X174" s="124">
        <f t="shared" ref="X174:Y174" si="174">IF(X82=0,0,X82/X$77)</f>
        <v>1.3058980884525782E-2</v>
      </c>
      <c r="Y174" s="124">
        <f t="shared" si="174"/>
        <v>9.1406159517229777E-3</v>
      </c>
      <c r="DA174" s="176"/>
    </row>
    <row r="175" spans="1:105" ht="11.45" customHeight="1" x14ac:dyDescent="0.25">
      <c r="A175" s="128" t="s">
        <v>27</v>
      </c>
      <c r="B175" s="140">
        <f t="shared" si="162"/>
        <v>2.2251662386130245E-3</v>
      </c>
      <c r="C175" s="140">
        <f t="shared" ref="C175:W175" si="175">IF(C83=0,0,C83/C$77)</f>
        <v>1.9947635417812983E-3</v>
      </c>
      <c r="D175" s="140">
        <f t="shared" si="175"/>
        <v>1.9624315483432598E-3</v>
      </c>
      <c r="E175" s="140">
        <f t="shared" si="175"/>
        <v>1.7774921494986148E-3</v>
      </c>
      <c r="F175" s="140">
        <f t="shared" si="175"/>
        <v>1.810256787618343E-3</v>
      </c>
      <c r="G175" s="140">
        <f t="shared" si="175"/>
        <v>2.0239157833201278E-3</v>
      </c>
      <c r="H175" s="140">
        <f t="shared" si="175"/>
        <v>2.1976208636812259E-3</v>
      </c>
      <c r="I175" s="140">
        <f t="shared" si="175"/>
        <v>2.2578331828874768E-3</v>
      </c>
      <c r="J175" s="140">
        <f t="shared" si="175"/>
        <v>2.1586479586333633E-3</v>
      </c>
      <c r="K175" s="140">
        <f t="shared" si="175"/>
        <v>2.2306675265487195E-3</v>
      </c>
      <c r="L175" s="140">
        <f t="shared" si="175"/>
        <v>2.5888883559487775E-3</v>
      </c>
      <c r="M175" s="140">
        <f t="shared" si="175"/>
        <v>1.7527818092973851E-3</v>
      </c>
      <c r="N175" s="140">
        <f t="shared" si="175"/>
        <v>1.8734284144270974E-3</v>
      </c>
      <c r="O175" s="140">
        <f t="shared" si="175"/>
        <v>1.7740321512005224E-3</v>
      </c>
      <c r="P175" s="140">
        <f t="shared" si="175"/>
        <v>1.4270945231238284E-3</v>
      </c>
      <c r="Q175" s="140">
        <f t="shared" si="175"/>
        <v>1.2641747203169581E-3</v>
      </c>
      <c r="R175" s="140">
        <f t="shared" si="175"/>
        <v>7.8241295079118224E-4</v>
      </c>
      <c r="S175" s="140">
        <f t="shared" si="175"/>
        <v>1.0866590115968843E-3</v>
      </c>
      <c r="T175" s="140">
        <f t="shared" si="175"/>
        <v>1.1122824656114212E-3</v>
      </c>
      <c r="U175" s="140">
        <f t="shared" si="175"/>
        <v>1.0907939303828646E-3</v>
      </c>
      <c r="V175" s="140">
        <f t="shared" si="175"/>
        <v>1.1988095774959474E-3</v>
      </c>
      <c r="W175" s="140">
        <f t="shared" si="175"/>
        <v>1.2520785201167264E-3</v>
      </c>
      <c r="X175" s="140">
        <f t="shared" ref="X175:Y175" si="176">IF(X83=0,0,X83/X$77)</f>
        <v>1.1656389672096046E-3</v>
      </c>
      <c r="Y175" s="140">
        <f t="shared" si="176"/>
        <v>1.2362829369623619E-3</v>
      </c>
      <c r="DA175" s="175"/>
    </row>
    <row r="176" spans="1:105" ht="11.45" customHeight="1" x14ac:dyDescent="0.25">
      <c r="A176" s="128" t="str">
        <f>$A$24</f>
        <v>International - Intra-EEAwCHUK</v>
      </c>
      <c r="B176" s="140">
        <f t="shared" si="162"/>
        <v>3.7215208627484312E-3</v>
      </c>
      <c r="C176" s="140">
        <f t="shared" ref="C176:W176" si="177">IF(C84=0,0,C84/C$77)</f>
        <v>3.2773766973011689E-3</v>
      </c>
      <c r="D176" s="140">
        <f t="shared" si="177"/>
        <v>3.2956613747037599E-3</v>
      </c>
      <c r="E176" s="140">
        <f t="shared" si="177"/>
        <v>2.879115818520849E-3</v>
      </c>
      <c r="F176" s="140">
        <f t="shared" si="177"/>
        <v>3.2768726655073247E-3</v>
      </c>
      <c r="G176" s="140">
        <f t="shared" si="177"/>
        <v>3.2998635657505437E-3</v>
      </c>
      <c r="H176" s="140">
        <f t="shared" si="177"/>
        <v>4.1399361968463087E-3</v>
      </c>
      <c r="I176" s="140">
        <f t="shared" si="177"/>
        <v>3.982326731987838E-3</v>
      </c>
      <c r="J176" s="140">
        <f t="shared" si="177"/>
        <v>3.9501098888684513E-3</v>
      </c>
      <c r="K176" s="140">
        <f t="shared" si="177"/>
        <v>3.5907444538688998E-3</v>
      </c>
      <c r="L176" s="140">
        <f t="shared" si="177"/>
        <v>4.0123547696210458E-3</v>
      </c>
      <c r="M176" s="140">
        <f t="shared" si="177"/>
        <v>3.5809184369995643E-3</v>
      </c>
      <c r="N176" s="140">
        <f t="shared" si="177"/>
        <v>3.6848062111018019E-3</v>
      </c>
      <c r="O176" s="140">
        <f t="shared" si="177"/>
        <v>3.2583323761233062E-3</v>
      </c>
      <c r="P176" s="140">
        <f t="shared" si="177"/>
        <v>3.0824758742851997E-3</v>
      </c>
      <c r="Q176" s="140">
        <f t="shared" si="177"/>
        <v>3.2294315796073687E-3</v>
      </c>
      <c r="R176" s="140">
        <f t="shared" si="177"/>
        <v>2.9725612983315039E-3</v>
      </c>
      <c r="S176" s="140">
        <f t="shared" si="177"/>
        <v>3.4336652423437898E-3</v>
      </c>
      <c r="T176" s="140">
        <f t="shared" si="177"/>
        <v>3.5933304857105829E-3</v>
      </c>
      <c r="U176" s="140">
        <f t="shared" si="177"/>
        <v>3.6357796402829426E-3</v>
      </c>
      <c r="V176" s="140">
        <f t="shared" si="177"/>
        <v>3.3560220486573049E-3</v>
      </c>
      <c r="W176" s="140">
        <f t="shared" si="177"/>
        <v>3.8324808806545147E-3</v>
      </c>
      <c r="X176" s="140">
        <f t="shared" ref="X176:Y176" si="178">IF(X84=0,0,X84/X$77)</f>
        <v>4.3884693261638987E-3</v>
      </c>
      <c r="Y176" s="140">
        <f t="shared" si="178"/>
        <v>4.4403232872657116E-3</v>
      </c>
      <c r="DA176" s="175"/>
    </row>
    <row r="177" spans="1:105" ht="11.45" customHeight="1" x14ac:dyDescent="0.25">
      <c r="A177" s="128" t="str">
        <f>$A$25</f>
        <v>International - Extra-EEAwCHUK</v>
      </c>
      <c r="B177" s="140">
        <f t="shared" si="162"/>
        <v>2.0720166247476419E-3</v>
      </c>
      <c r="C177" s="140">
        <f t="shared" ref="C177:W177" si="179">IF(C85=0,0,C85/C$77)</f>
        <v>1.9570097282015013E-3</v>
      </c>
      <c r="D177" s="140">
        <f t="shared" si="179"/>
        <v>1.9877748152386156E-3</v>
      </c>
      <c r="E177" s="140">
        <f t="shared" si="179"/>
        <v>1.8817752346837145E-3</v>
      </c>
      <c r="F177" s="140">
        <f t="shared" si="179"/>
        <v>2.2053813530712504E-3</v>
      </c>
      <c r="G177" s="140">
        <f t="shared" si="179"/>
        <v>2.5872307263712533E-3</v>
      </c>
      <c r="H177" s="140">
        <f t="shared" si="179"/>
        <v>3.6005263602139747E-3</v>
      </c>
      <c r="I177" s="140">
        <f t="shared" si="179"/>
        <v>4.477966497490226E-3</v>
      </c>
      <c r="J177" s="140">
        <f t="shared" si="179"/>
        <v>6.3778888722491279E-3</v>
      </c>
      <c r="K177" s="140">
        <f t="shared" si="179"/>
        <v>5.5685896561952289E-3</v>
      </c>
      <c r="L177" s="140">
        <f t="shared" si="179"/>
        <v>6.9683809371202284E-3</v>
      </c>
      <c r="M177" s="140">
        <f t="shared" si="179"/>
        <v>7.0059077927883181E-3</v>
      </c>
      <c r="N177" s="140">
        <f t="shared" si="179"/>
        <v>8.2493103041476525E-3</v>
      </c>
      <c r="O177" s="140">
        <f t="shared" si="179"/>
        <v>8.1643546544920547E-3</v>
      </c>
      <c r="P177" s="140">
        <f t="shared" si="179"/>
        <v>7.3123530201981389E-3</v>
      </c>
      <c r="Q177" s="140">
        <f t="shared" si="179"/>
        <v>6.863396785399295E-3</v>
      </c>
      <c r="R177" s="140">
        <f t="shared" si="179"/>
        <v>5.5544719142179653E-3</v>
      </c>
      <c r="S177" s="140">
        <f t="shared" si="179"/>
        <v>7.089634083329719E-3</v>
      </c>
      <c r="T177" s="140">
        <f t="shared" si="179"/>
        <v>6.558653874058456E-3</v>
      </c>
      <c r="U177" s="140">
        <f t="shared" si="179"/>
        <v>4.8629347189819505E-3</v>
      </c>
      <c r="V177" s="140">
        <f t="shared" si="179"/>
        <v>6.0347305130616551E-3</v>
      </c>
      <c r="W177" s="140">
        <f t="shared" si="179"/>
        <v>6.6549967276139758E-3</v>
      </c>
      <c r="X177" s="140">
        <f t="shared" ref="X177:Y177" si="180">IF(X85=0,0,X85/X$77)</f>
        <v>7.5048725911522774E-3</v>
      </c>
      <c r="Y177" s="140">
        <f t="shared" si="180"/>
        <v>3.4640097274949034E-3</v>
      </c>
      <c r="DA177" s="175"/>
    </row>
    <row r="178" spans="1:105" ht="11.45" customHeight="1" x14ac:dyDescent="0.25">
      <c r="A178" s="109" t="s">
        <v>141</v>
      </c>
      <c r="B178" s="124">
        <f t="shared" si="162"/>
        <v>1.8143717839802835E-2</v>
      </c>
      <c r="C178" s="124">
        <f t="shared" ref="C178:W178" si="181">IF(C86=0,0,C86/C$77)</f>
        <v>2.0164247605453121E-2</v>
      </c>
      <c r="D178" s="124">
        <f t="shared" si="181"/>
        <v>3.6034446501341952E-2</v>
      </c>
      <c r="E178" s="124">
        <f t="shared" si="181"/>
        <v>2.5642026883410891E-2</v>
      </c>
      <c r="F178" s="124">
        <f t="shared" si="181"/>
        <v>9.93650173004605E-3</v>
      </c>
      <c r="G178" s="124">
        <f t="shared" si="181"/>
        <v>6.9815732039582726E-3</v>
      </c>
      <c r="H178" s="124">
        <f t="shared" si="181"/>
        <v>8.2793803418544087E-3</v>
      </c>
      <c r="I178" s="124">
        <f t="shared" si="181"/>
        <v>5.1590136678939184E-2</v>
      </c>
      <c r="J178" s="124">
        <f t="shared" si="181"/>
        <v>5.7001656951611253E-2</v>
      </c>
      <c r="K178" s="124">
        <f t="shared" si="181"/>
        <v>8.3956481292192214E-2</v>
      </c>
      <c r="L178" s="124">
        <f t="shared" si="181"/>
        <v>5.5670123449415208E-2</v>
      </c>
      <c r="M178" s="124">
        <f t="shared" si="181"/>
        <v>5.7772338587707521E-2</v>
      </c>
      <c r="N178" s="124">
        <f t="shared" si="181"/>
        <v>6.6679025806432451E-2</v>
      </c>
      <c r="O178" s="124">
        <f t="shared" si="181"/>
        <v>7.1983223549962991E-2</v>
      </c>
      <c r="P178" s="124">
        <f t="shared" si="181"/>
        <v>5.1860855878091264E-2</v>
      </c>
      <c r="Q178" s="124">
        <f t="shared" si="181"/>
        <v>5.8026052105118027E-2</v>
      </c>
      <c r="R178" s="124">
        <f t="shared" si="181"/>
        <v>6.4160225706299936E-2</v>
      </c>
      <c r="S178" s="124">
        <f t="shared" si="181"/>
        <v>5.6704327913775436E-2</v>
      </c>
      <c r="T178" s="124">
        <f t="shared" si="181"/>
        <v>5.9139037355701189E-2</v>
      </c>
      <c r="U178" s="124">
        <f t="shared" si="181"/>
        <v>5.0580904855817468E-2</v>
      </c>
      <c r="V178" s="124">
        <f t="shared" si="181"/>
        <v>4.3025238028587445E-2</v>
      </c>
      <c r="W178" s="124">
        <f t="shared" si="181"/>
        <v>4.5694937555744192E-2</v>
      </c>
      <c r="X178" s="124">
        <f t="shared" ref="X178:Y178" si="182">IF(X86=0,0,X86/X$77)</f>
        <v>4.6732608997958863E-2</v>
      </c>
      <c r="Y178" s="124">
        <f t="shared" si="182"/>
        <v>3.9973836750455315E-2</v>
      </c>
      <c r="DA178" s="176"/>
    </row>
    <row r="179" spans="1:105" ht="11.45" customHeight="1" x14ac:dyDescent="0.25">
      <c r="A179" s="128" t="str">
        <f>$A$27</f>
        <v>Domestic coastal shipping</v>
      </c>
      <c r="B179" s="140">
        <f t="shared" si="162"/>
        <v>1.8143717839802835E-2</v>
      </c>
      <c r="C179" s="140">
        <f t="shared" ref="C179:W179" si="183">IF(C87=0,0,C87/C$77)</f>
        <v>2.0164247605453121E-2</v>
      </c>
      <c r="D179" s="140">
        <f t="shared" si="183"/>
        <v>3.6034446501341952E-2</v>
      </c>
      <c r="E179" s="140">
        <f t="shared" si="183"/>
        <v>2.5642026883410891E-2</v>
      </c>
      <c r="F179" s="140">
        <f t="shared" si="183"/>
        <v>9.93650173004605E-3</v>
      </c>
      <c r="G179" s="140">
        <f t="shared" si="183"/>
        <v>6.9815732039582726E-3</v>
      </c>
      <c r="H179" s="140">
        <f t="shared" si="183"/>
        <v>8.2793803418544087E-3</v>
      </c>
      <c r="I179" s="140">
        <f t="shared" si="183"/>
        <v>5.1590136678939184E-2</v>
      </c>
      <c r="J179" s="140">
        <f t="shared" si="183"/>
        <v>5.7001656951611253E-2</v>
      </c>
      <c r="K179" s="140">
        <f t="shared" si="183"/>
        <v>8.3956481292192214E-2</v>
      </c>
      <c r="L179" s="140">
        <f t="shared" si="183"/>
        <v>5.5670123449415208E-2</v>
      </c>
      <c r="M179" s="140">
        <f t="shared" si="183"/>
        <v>5.7772338587707521E-2</v>
      </c>
      <c r="N179" s="140">
        <f t="shared" si="183"/>
        <v>6.6679025806432451E-2</v>
      </c>
      <c r="O179" s="140">
        <f t="shared" si="183"/>
        <v>7.1983223549962991E-2</v>
      </c>
      <c r="P179" s="140">
        <f t="shared" si="183"/>
        <v>5.1860855878091264E-2</v>
      </c>
      <c r="Q179" s="140">
        <f t="shared" si="183"/>
        <v>5.8026052105118027E-2</v>
      </c>
      <c r="R179" s="140">
        <f t="shared" si="183"/>
        <v>6.4160225706299936E-2</v>
      </c>
      <c r="S179" s="140">
        <f t="shared" si="183"/>
        <v>5.6704327913775436E-2</v>
      </c>
      <c r="T179" s="140">
        <f t="shared" si="183"/>
        <v>5.9139037355701189E-2</v>
      </c>
      <c r="U179" s="140">
        <f t="shared" si="183"/>
        <v>5.0580904855817468E-2</v>
      </c>
      <c r="V179" s="140">
        <f t="shared" si="183"/>
        <v>4.3025238028587445E-2</v>
      </c>
      <c r="W179" s="140">
        <f t="shared" si="183"/>
        <v>4.5694937555744192E-2</v>
      </c>
      <c r="X179" s="140">
        <f t="shared" ref="X179:Y179" si="184">IF(X87=0,0,X87/X$77)</f>
        <v>4.6732608997958863E-2</v>
      </c>
      <c r="Y179" s="140">
        <f t="shared" si="184"/>
        <v>3.9973836750455315E-2</v>
      </c>
      <c r="DA179" s="175"/>
    </row>
    <row r="180" spans="1:105" ht="11.45" customHeight="1" x14ac:dyDescent="0.25">
      <c r="A180" s="138" t="str">
        <f>$A$28</f>
        <v>Inland waterways</v>
      </c>
      <c r="B180" s="127">
        <f t="shared" si="162"/>
        <v>0</v>
      </c>
      <c r="C180" s="127">
        <f t="shared" ref="C180:W180" si="185">IF(C88=0,0,C88/C$77)</f>
        <v>0</v>
      </c>
      <c r="D180" s="127">
        <f t="shared" si="185"/>
        <v>0</v>
      </c>
      <c r="E180" s="127">
        <f t="shared" si="185"/>
        <v>0</v>
      </c>
      <c r="F180" s="127">
        <f t="shared" si="185"/>
        <v>0</v>
      </c>
      <c r="G180" s="127">
        <f t="shared" si="185"/>
        <v>0</v>
      </c>
      <c r="H180" s="127">
        <f t="shared" si="185"/>
        <v>0</v>
      </c>
      <c r="I180" s="127">
        <f t="shared" si="185"/>
        <v>0</v>
      </c>
      <c r="J180" s="127">
        <f t="shared" si="185"/>
        <v>0</v>
      </c>
      <c r="K180" s="127">
        <f t="shared" si="185"/>
        <v>0</v>
      </c>
      <c r="L180" s="127">
        <f t="shared" si="185"/>
        <v>0</v>
      </c>
      <c r="M180" s="127">
        <f t="shared" si="185"/>
        <v>0</v>
      </c>
      <c r="N180" s="127">
        <f t="shared" si="185"/>
        <v>0</v>
      </c>
      <c r="O180" s="127">
        <f t="shared" si="185"/>
        <v>0</v>
      </c>
      <c r="P180" s="127">
        <f t="shared" si="185"/>
        <v>0</v>
      </c>
      <c r="Q180" s="127">
        <f t="shared" si="185"/>
        <v>0</v>
      </c>
      <c r="R180" s="127">
        <f t="shared" si="185"/>
        <v>0</v>
      </c>
      <c r="S180" s="127">
        <f t="shared" si="185"/>
        <v>0</v>
      </c>
      <c r="T180" s="127">
        <f t="shared" si="185"/>
        <v>0</v>
      </c>
      <c r="U180" s="127">
        <f t="shared" si="185"/>
        <v>0</v>
      </c>
      <c r="V180" s="127">
        <f t="shared" si="185"/>
        <v>0</v>
      </c>
      <c r="W180" s="127">
        <f t="shared" si="185"/>
        <v>0</v>
      </c>
      <c r="X180" s="127">
        <f t="shared" ref="X180:Y180" si="186">IF(X88=0,0,X88/X$77)</f>
        <v>0</v>
      </c>
      <c r="Y180" s="127">
        <f t="shared" si="186"/>
        <v>0</v>
      </c>
      <c r="DA180" s="178"/>
    </row>
    <row r="181" spans="1:105" ht="11.45" customHeight="1" x14ac:dyDescent="0.25">
      <c r="A181" s="27" t="s">
        <v>169</v>
      </c>
      <c r="B181" s="31">
        <f>IF(B89=0,0,B89/B$89)</f>
        <v>1</v>
      </c>
      <c r="C181" s="31">
        <f t="shared" ref="C181:W181" si="187">IF(C89=0,0,C89/C$89)</f>
        <v>1</v>
      </c>
      <c r="D181" s="31">
        <f t="shared" si="187"/>
        <v>1</v>
      </c>
      <c r="E181" s="31">
        <f t="shared" si="187"/>
        <v>1</v>
      </c>
      <c r="F181" s="31">
        <f t="shared" si="187"/>
        <v>1</v>
      </c>
      <c r="G181" s="31">
        <f t="shared" si="187"/>
        <v>1</v>
      </c>
      <c r="H181" s="31">
        <f t="shared" si="187"/>
        <v>1</v>
      </c>
      <c r="I181" s="31">
        <f t="shared" si="187"/>
        <v>1</v>
      </c>
      <c r="J181" s="31">
        <f t="shared" si="187"/>
        <v>1</v>
      </c>
      <c r="K181" s="31">
        <f t="shared" si="187"/>
        <v>1</v>
      </c>
      <c r="L181" s="31">
        <f t="shared" si="187"/>
        <v>1</v>
      </c>
      <c r="M181" s="31">
        <f t="shared" si="187"/>
        <v>1</v>
      </c>
      <c r="N181" s="31">
        <f t="shared" si="187"/>
        <v>1</v>
      </c>
      <c r="O181" s="31">
        <f t="shared" si="187"/>
        <v>1</v>
      </c>
      <c r="P181" s="31">
        <f t="shared" si="187"/>
        <v>1</v>
      </c>
      <c r="Q181" s="31">
        <f t="shared" si="187"/>
        <v>1</v>
      </c>
      <c r="R181" s="31">
        <f t="shared" si="187"/>
        <v>1</v>
      </c>
      <c r="S181" s="31">
        <f t="shared" si="187"/>
        <v>1</v>
      </c>
      <c r="T181" s="31">
        <f t="shared" si="187"/>
        <v>1</v>
      </c>
      <c r="U181" s="31">
        <f t="shared" si="187"/>
        <v>1</v>
      </c>
      <c r="V181" s="31">
        <f t="shared" si="187"/>
        <v>1</v>
      </c>
      <c r="W181" s="31">
        <f t="shared" si="187"/>
        <v>1</v>
      </c>
      <c r="X181" s="31">
        <f t="shared" ref="X181:Y181" si="188">IF(X89=0,0,X89/X$89)</f>
        <v>1</v>
      </c>
      <c r="Y181" s="31">
        <f t="shared" si="188"/>
        <v>1</v>
      </c>
      <c r="DA181" s="173"/>
    </row>
    <row r="182" spans="1:105" ht="11.45" customHeight="1" x14ac:dyDescent="0.25">
      <c r="A182" s="128" t="str">
        <f>$A$30</f>
        <v>Intra-EEA</v>
      </c>
      <c r="B182" s="140">
        <f>IF(B90=0,0,B90/B$89)</f>
        <v>0.40421373993934889</v>
      </c>
      <c r="C182" s="140">
        <f t="shared" ref="C182:W182" si="189">IF(C90=0,0,C90/C$89)</f>
        <v>0.40354518121821842</v>
      </c>
      <c r="D182" s="140">
        <f t="shared" si="189"/>
        <v>0.39503602701309881</v>
      </c>
      <c r="E182" s="140">
        <f t="shared" si="189"/>
        <v>0.37506262473962404</v>
      </c>
      <c r="F182" s="140">
        <f t="shared" si="189"/>
        <v>0.3980335580160535</v>
      </c>
      <c r="G182" s="140">
        <f t="shared" si="189"/>
        <v>0.4028756431520833</v>
      </c>
      <c r="H182" s="140">
        <f t="shared" si="189"/>
        <v>0.38492025925497186</v>
      </c>
      <c r="I182" s="140">
        <f t="shared" si="189"/>
        <v>0.37546196776540192</v>
      </c>
      <c r="J182" s="140">
        <f t="shared" si="189"/>
        <v>0.37088881610006724</v>
      </c>
      <c r="K182" s="140">
        <f t="shared" si="189"/>
        <v>0.39383860016611483</v>
      </c>
      <c r="L182" s="140">
        <f t="shared" si="189"/>
        <v>0.38673038095524109</v>
      </c>
      <c r="M182" s="140">
        <f t="shared" si="189"/>
        <v>0.37309213205678687</v>
      </c>
      <c r="N182" s="140">
        <f t="shared" si="189"/>
        <v>0.37022761612634786</v>
      </c>
      <c r="O182" s="140">
        <f t="shared" si="189"/>
        <v>0.36742215929991334</v>
      </c>
      <c r="P182" s="140">
        <f t="shared" si="189"/>
        <v>0.37324282392212449</v>
      </c>
      <c r="Q182" s="140">
        <f t="shared" si="189"/>
        <v>0.36136350268934447</v>
      </c>
      <c r="R182" s="140">
        <f t="shared" si="189"/>
        <v>0.35909744971340152</v>
      </c>
      <c r="S182" s="140">
        <f t="shared" si="189"/>
        <v>0.36205227351176822</v>
      </c>
      <c r="T182" s="140">
        <f t="shared" si="189"/>
        <v>0.38152854389745083</v>
      </c>
      <c r="U182" s="140">
        <f t="shared" si="189"/>
        <v>0.41436484759777664</v>
      </c>
      <c r="V182" s="140">
        <f t="shared" si="189"/>
        <v>0.36750184176443951</v>
      </c>
      <c r="W182" s="140">
        <f t="shared" si="189"/>
        <v>0.36874500551902734</v>
      </c>
      <c r="X182" s="140">
        <f t="shared" ref="X182:Y182" si="190">IF(X90=0,0,X90/X$89)</f>
        <v>0.39780157317913811</v>
      </c>
      <c r="Y182" s="140">
        <f t="shared" si="190"/>
        <v>0.39204844632535985</v>
      </c>
      <c r="DA182" s="175"/>
    </row>
    <row r="183" spans="1:105" ht="11.45" customHeight="1" x14ac:dyDescent="0.25">
      <c r="A183" s="138" t="str">
        <f>$A$31</f>
        <v>Extra-EEA</v>
      </c>
      <c r="B183" s="127">
        <f>IF(B91=0,0,B91/B$89)</f>
        <v>0.59578626006065094</v>
      </c>
      <c r="C183" s="127">
        <f t="shared" ref="C183:W183" si="191">IF(C91=0,0,C91/C$89)</f>
        <v>0.59645481878178164</v>
      </c>
      <c r="D183" s="127">
        <f t="shared" si="191"/>
        <v>0.60496397298690119</v>
      </c>
      <c r="E183" s="127">
        <f t="shared" si="191"/>
        <v>0.62493737526037596</v>
      </c>
      <c r="F183" s="127">
        <f t="shared" si="191"/>
        <v>0.60196644198394655</v>
      </c>
      <c r="G183" s="127">
        <f t="shared" si="191"/>
        <v>0.59712435684791665</v>
      </c>
      <c r="H183" s="127">
        <f t="shared" si="191"/>
        <v>0.61507974074502814</v>
      </c>
      <c r="I183" s="127">
        <f t="shared" si="191"/>
        <v>0.62453803223459803</v>
      </c>
      <c r="J183" s="127">
        <f t="shared" si="191"/>
        <v>0.6291111838999327</v>
      </c>
      <c r="K183" s="127">
        <f t="shared" si="191"/>
        <v>0.60616139983388517</v>
      </c>
      <c r="L183" s="127">
        <f t="shared" si="191"/>
        <v>0.61326961904475885</v>
      </c>
      <c r="M183" s="127">
        <f t="shared" si="191"/>
        <v>0.62690786794321307</v>
      </c>
      <c r="N183" s="127">
        <f t="shared" si="191"/>
        <v>0.62977238387365209</v>
      </c>
      <c r="O183" s="127">
        <f t="shared" si="191"/>
        <v>0.6325778407000866</v>
      </c>
      <c r="P183" s="127">
        <f t="shared" si="191"/>
        <v>0.62675717607787551</v>
      </c>
      <c r="Q183" s="127">
        <f t="shared" si="191"/>
        <v>0.63863649731065553</v>
      </c>
      <c r="R183" s="127">
        <f t="shared" si="191"/>
        <v>0.64090255028659859</v>
      </c>
      <c r="S183" s="127">
        <f t="shared" si="191"/>
        <v>0.63794772648823184</v>
      </c>
      <c r="T183" s="127">
        <f t="shared" si="191"/>
        <v>0.61847145610254917</v>
      </c>
      <c r="U183" s="127">
        <f t="shared" si="191"/>
        <v>0.5856351524022233</v>
      </c>
      <c r="V183" s="127">
        <f t="shared" si="191"/>
        <v>0.63249815823556033</v>
      </c>
      <c r="W183" s="127">
        <f t="shared" si="191"/>
        <v>0.63125499448097266</v>
      </c>
      <c r="X183" s="127">
        <f t="shared" ref="X183:Y183" si="192">IF(X91=0,0,X91/X$89)</f>
        <v>0.602198426820862</v>
      </c>
      <c r="Y183" s="127">
        <f t="shared" si="192"/>
        <v>0.60795155367464015</v>
      </c>
      <c r="DA183" s="178"/>
    </row>
    <row r="184" spans="1:105" x14ac:dyDescent="0.25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DA184" s="171"/>
    </row>
    <row r="185" spans="1:105" ht="11.45" customHeight="1" x14ac:dyDescent="0.25">
      <c r="A185" s="53" t="s">
        <v>42</v>
      </c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DA185" s="172"/>
    </row>
    <row r="186" spans="1:105" ht="11.45" customHeight="1" x14ac:dyDescent="0.25">
      <c r="A186" s="27" t="s">
        <v>155</v>
      </c>
      <c r="B186" s="32">
        <f t="shared" ref="B186:Y186" si="193">IF(B34=0,0,B34/B4*1000)</f>
        <v>38.255495046968811</v>
      </c>
      <c r="C186" s="32">
        <f t="shared" si="193"/>
        <v>37.690127917092248</v>
      </c>
      <c r="D186" s="32">
        <f t="shared" si="193"/>
        <v>38.080005820111872</v>
      </c>
      <c r="E186" s="32">
        <f t="shared" si="193"/>
        <v>39.016635229343841</v>
      </c>
      <c r="F186" s="32">
        <f t="shared" si="193"/>
        <v>39.589401653326881</v>
      </c>
      <c r="G186" s="32">
        <f t="shared" si="193"/>
        <v>38.425301822456717</v>
      </c>
      <c r="H186" s="32">
        <f t="shared" si="193"/>
        <v>38.190456200916387</v>
      </c>
      <c r="I186" s="32">
        <f t="shared" si="193"/>
        <v>37.50409807217234</v>
      </c>
      <c r="J186" s="32">
        <f t="shared" si="193"/>
        <v>37.666009268555698</v>
      </c>
      <c r="K186" s="32">
        <f t="shared" si="193"/>
        <v>38.241667682616935</v>
      </c>
      <c r="L186" s="32">
        <f t="shared" si="193"/>
        <v>39.277568478629149</v>
      </c>
      <c r="M186" s="32">
        <f t="shared" si="193"/>
        <v>37.193197831220672</v>
      </c>
      <c r="N186" s="32">
        <f t="shared" si="193"/>
        <v>35.891203566243405</v>
      </c>
      <c r="O186" s="32">
        <f t="shared" si="193"/>
        <v>35.487048360286906</v>
      </c>
      <c r="P186" s="32">
        <f t="shared" si="193"/>
        <v>35.302460775104031</v>
      </c>
      <c r="Q186" s="32">
        <f t="shared" si="193"/>
        <v>35.396829411694831</v>
      </c>
      <c r="R186" s="32">
        <f t="shared" si="193"/>
        <v>34.175571525808316</v>
      </c>
      <c r="S186" s="32">
        <f t="shared" si="193"/>
        <v>33.384505967768597</v>
      </c>
      <c r="T186" s="32">
        <f t="shared" si="193"/>
        <v>32.562630994949615</v>
      </c>
      <c r="U186" s="32">
        <f t="shared" si="193"/>
        <v>32.162806059525018</v>
      </c>
      <c r="V186" s="32">
        <f t="shared" si="193"/>
        <v>35.291828778702019</v>
      </c>
      <c r="W186" s="32">
        <f t="shared" si="193"/>
        <v>35.196695256037223</v>
      </c>
      <c r="X186" s="32">
        <f t="shared" si="193"/>
        <v>31.660317939397018</v>
      </c>
      <c r="Y186" s="32">
        <f t="shared" si="193"/>
        <v>31.58518102518325</v>
      </c>
      <c r="DA186" s="173" t="s">
        <v>415</v>
      </c>
    </row>
    <row r="187" spans="1:105" ht="11.45" customHeight="1" x14ac:dyDescent="0.25">
      <c r="A187" s="136" t="str">
        <f>$A$5</f>
        <v>Road transport</v>
      </c>
      <c r="B187" s="141">
        <f t="shared" ref="B187:Y187" si="194">IF(B35=0,0,B35/B5*1000)</f>
        <v>39.533874389690837</v>
      </c>
      <c r="C187" s="141">
        <f t="shared" si="194"/>
        <v>38.961656132398197</v>
      </c>
      <c r="D187" s="141">
        <f t="shared" si="194"/>
        <v>39.747722330493509</v>
      </c>
      <c r="E187" s="141">
        <f t="shared" si="194"/>
        <v>40.605384821223645</v>
      </c>
      <c r="F187" s="141">
        <f t="shared" si="194"/>
        <v>40.992194344006066</v>
      </c>
      <c r="G187" s="141">
        <f t="shared" si="194"/>
        <v>39.921297494222962</v>
      </c>
      <c r="H187" s="141">
        <f t="shared" si="194"/>
        <v>39.767726777772808</v>
      </c>
      <c r="I187" s="141">
        <f t="shared" si="194"/>
        <v>39.522183848511084</v>
      </c>
      <c r="J187" s="141">
        <f t="shared" si="194"/>
        <v>39.948734335500305</v>
      </c>
      <c r="K187" s="141">
        <f t="shared" si="194"/>
        <v>41.017149334714603</v>
      </c>
      <c r="L187" s="141">
        <f t="shared" si="194"/>
        <v>42.458874488909821</v>
      </c>
      <c r="M187" s="141">
        <f t="shared" si="194"/>
        <v>40.346119370413192</v>
      </c>
      <c r="N187" s="141">
        <f t="shared" si="194"/>
        <v>38.687802138741446</v>
      </c>
      <c r="O187" s="141">
        <f t="shared" si="194"/>
        <v>38.693258089018713</v>
      </c>
      <c r="P187" s="141">
        <f t="shared" si="194"/>
        <v>39.083485110183517</v>
      </c>
      <c r="Q187" s="141">
        <f t="shared" si="194"/>
        <v>39.224746274506124</v>
      </c>
      <c r="R187" s="141">
        <f t="shared" si="194"/>
        <v>37.712843197139378</v>
      </c>
      <c r="S187" s="141">
        <f t="shared" si="194"/>
        <v>37.445676538313634</v>
      </c>
      <c r="T187" s="141">
        <f t="shared" si="194"/>
        <v>36.570251935393493</v>
      </c>
      <c r="U187" s="141">
        <f t="shared" si="194"/>
        <v>36.912352968960498</v>
      </c>
      <c r="V187" s="141">
        <f t="shared" si="194"/>
        <v>36.706540813742784</v>
      </c>
      <c r="W187" s="141">
        <f t="shared" si="194"/>
        <v>36.907993509893153</v>
      </c>
      <c r="X187" s="141">
        <f t="shared" si="194"/>
        <v>35.545341622428744</v>
      </c>
      <c r="Y187" s="141">
        <f t="shared" si="194"/>
        <v>36.600277234129877</v>
      </c>
      <c r="DA187" s="174" t="s">
        <v>416</v>
      </c>
    </row>
    <row r="188" spans="1:105" ht="11.45" customHeight="1" x14ac:dyDescent="0.25">
      <c r="A188" s="128" t="str">
        <f>$A$6</f>
        <v>Powered two-wheelers</v>
      </c>
      <c r="B188" s="97">
        <f t="shared" ref="B188:Y188" si="195">IF(B36=0,0,B36/B6*1000)</f>
        <v>35.28721653036915</v>
      </c>
      <c r="C188" s="97">
        <f t="shared" si="195"/>
        <v>33.228788367330935</v>
      </c>
      <c r="D188" s="97">
        <f t="shared" si="195"/>
        <v>32.933257012604344</v>
      </c>
      <c r="E188" s="97">
        <f t="shared" si="195"/>
        <v>32.680072752577772</v>
      </c>
      <c r="F188" s="97">
        <f t="shared" si="195"/>
        <v>32.42659209248346</v>
      </c>
      <c r="G188" s="97">
        <f t="shared" si="195"/>
        <v>32.208001949473584</v>
      </c>
      <c r="H188" s="97">
        <f t="shared" si="195"/>
        <v>31.91888736300713</v>
      </c>
      <c r="I188" s="97">
        <f t="shared" si="195"/>
        <v>31.56628002138244</v>
      </c>
      <c r="J188" s="97">
        <f t="shared" si="195"/>
        <v>31.378302137114691</v>
      </c>
      <c r="K188" s="97">
        <f t="shared" si="195"/>
        <v>31.076395754590926</v>
      </c>
      <c r="L188" s="97">
        <f t="shared" si="195"/>
        <v>30.441774753708955</v>
      </c>
      <c r="M188" s="97">
        <f t="shared" si="195"/>
        <v>29.917325058609432</v>
      </c>
      <c r="N188" s="97">
        <f t="shared" si="195"/>
        <v>29.604624275833725</v>
      </c>
      <c r="O188" s="97">
        <f t="shared" si="195"/>
        <v>29.377124872437161</v>
      </c>
      <c r="P188" s="97">
        <f t="shared" si="195"/>
        <v>28.943323319339274</v>
      </c>
      <c r="Q188" s="97">
        <f t="shared" si="195"/>
        <v>28.377409995917045</v>
      </c>
      <c r="R188" s="97">
        <f t="shared" si="195"/>
        <v>27.969542962650301</v>
      </c>
      <c r="S188" s="97">
        <f t="shared" si="195"/>
        <v>29.051985730286596</v>
      </c>
      <c r="T188" s="97">
        <f t="shared" si="195"/>
        <v>28.756029050254252</v>
      </c>
      <c r="U188" s="97">
        <f t="shared" si="195"/>
        <v>28.505655653786576</v>
      </c>
      <c r="V188" s="97">
        <f t="shared" si="195"/>
        <v>27.923364739641446</v>
      </c>
      <c r="W188" s="97">
        <f t="shared" si="195"/>
        <v>27.656418363791889</v>
      </c>
      <c r="X188" s="97">
        <f t="shared" si="195"/>
        <v>27.611963824674042</v>
      </c>
      <c r="Y188" s="97">
        <f t="shared" si="195"/>
        <v>27.532806328323037</v>
      </c>
      <c r="DA188" s="175" t="s">
        <v>417</v>
      </c>
    </row>
    <row r="189" spans="1:105" ht="11.45" customHeight="1" x14ac:dyDescent="0.25">
      <c r="A189" s="128" t="str">
        <f>$A$7</f>
        <v>Passenger cars</v>
      </c>
      <c r="B189" s="97">
        <f t="shared" ref="B189:Y189" si="196">IF(B37=0,0,B37/B7*1000)</f>
        <v>41.664492665735992</v>
      </c>
      <c r="C189" s="97">
        <f t="shared" si="196"/>
        <v>40.624784050838983</v>
      </c>
      <c r="D189" s="97">
        <f t="shared" si="196"/>
        <v>40.828612902693862</v>
      </c>
      <c r="E189" s="97">
        <f t="shared" si="196"/>
        <v>42.144725861516839</v>
      </c>
      <c r="F189" s="97">
        <f t="shared" si="196"/>
        <v>42.799742085096852</v>
      </c>
      <c r="G189" s="97">
        <f t="shared" si="196"/>
        <v>40.821591534200024</v>
      </c>
      <c r="H189" s="97">
        <f t="shared" si="196"/>
        <v>40.519074187295587</v>
      </c>
      <c r="I189" s="97">
        <f t="shared" si="196"/>
        <v>40.278761973653047</v>
      </c>
      <c r="J189" s="97">
        <f t="shared" si="196"/>
        <v>40.683523390347148</v>
      </c>
      <c r="K189" s="97">
        <f t="shared" si="196"/>
        <v>41.673152587271026</v>
      </c>
      <c r="L189" s="97">
        <f t="shared" si="196"/>
        <v>43.23973581963395</v>
      </c>
      <c r="M189" s="97">
        <f t="shared" si="196"/>
        <v>40.826761449491315</v>
      </c>
      <c r="N189" s="97">
        <f t="shared" si="196"/>
        <v>39.531029823042822</v>
      </c>
      <c r="O189" s="97">
        <f t="shared" si="196"/>
        <v>39.705083524488366</v>
      </c>
      <c r="P189" s="97">
        <f t="shared" si="196"/>
        <v>39.499443815541248</v>
      </c>
      <c r="Q189" s="97">
        <f t="shared" si="196"/>
        <v>39.524366473344088</v>
      </c>
      <c r="R189" s="97">
        <f t="shared" si="196"/>
        <v>37.694280231157123</v>
      </c>
      <c r="S189" s="97">
        <f t="shared" si="196"/>
        <v>37.654933856490871</v>
      </c>
      <c r="T189" s="97">
        <f t="shared" si="196"/>
        <v>36.758516594818339</v>
      </c>
      <c r="U189" s="97">
        <f t="shared" si="196"/>
        <v>37.300970496361955</v>
      </c>
      <c r="V189" s="97">
        <f t="shared" si="196"/>
        <v>36.504469922676925</v>
      </c>
      <c r="W189" s="97">
        <f t="shared" si="196"/>
        <v>37.020022608216344</v>
      </c>
      <c r="X189" s="97">
        <f t="shared" si="196"/>
        <v>36.095601482761211</v>
      </c>
      <c r="Y189" s="97">
        <f t="shared" si="196"/>
        <v>37.214228805210624</v>
      </c>
      <c r="DA189" s="175" t="s">
        <v>418</v>
      </c>
    </row>
    <row r="190" spans="1:105" ht="11.45" customHeight="1" x14ac:dyDescent="0.25">
      <c r="A190" s="128" t="str">
        <f>$A$8</f>
        <v>Motor coaches, buses and trolley buses</v>
      </c>
      <c r="B190" s="97">
        <f t="shared" ref="B190:Y190" si="197">IF(B38=0,0,B38/B8*1000)</f>
        <v>27.302435906448832</v>
      </c>
      <c r="C190" s="97">
        <f t="shared" si="197"/>
        <v>28.92528972213448</v>
      </c>
      <c r="D190" s="97">
        <f t="shared" si="197"/>
        <v>32.550410174015653</v>
      </c>
      <c r="E190" s="97">
        <f t="shared" si="197"/>
        <v>30.153352902405715</v>
      </c>
      <c r="F190" s="97">
        <f t="shared" si="197"/>
        <v>28.754285934587966</v>
      </c>
      <c r="G190" s="97">
        <f t="shared" si="197"/>
        <v>30.552465991066484</v>
      </c>
      <c r="H190" s="97">
        <f t="shared" si="197"/>
        <v>32.075604145615863</v>
      </c>
      <c r="I190" s="97">
        <f t="shared" si="197"/>
        <v>31.799564190123622</v>
      </c>
      <c r="J190" s="97">
        <f t="shared" si="197"/>
        <v>32.768208330978922</v>
      </c>
      <c r="K190" s="97">
        <f t="shared" si="197"/>
        <v>35.018796400913587</v>
      </c>
      <c r="L190" s="97">
        <f t="shared" si="197"/>
        <v>35.634771056382533</v>
      </c>
      <c r="M190" s="97">
        <f t="shared" si="197"/>
        <v>36.976594713833457</v>
      </c>
      <c r="N190" s="97">
        <f t="shared" si="197"/>
        <v>29.883802311002764</v>
      </c>
      <c r="O190" s="97">
        <f t="shared" si="197"/>
        <v>27.912803732259203</v>
      </c>
      <c r="P190" s="97">
        <f t="shared" si="197"/>
        <v>36.351993374635029</v>
      </c>
      <c r="Q190" s="97">
        <f t="shared" si="197"/>
        <v>38.240753429715838</v>
      </c>
      <c r="R190" s="97">
        <f t="shared" si="197"/>
        <v>41.63035937213639</v>
      </c>
      <c r="S190" s="97">
        <f t="shared" si="197"/>
        <v>36.867877508801072</v>
      </c>
      <c r="T190" s="97">
        <f t="shared" si="197"/>
        <v>35.977487013423264</v>
      </c>
      <c r="U190" s="97">
        <f t="shared" si="197"/>
        <v>33.613617451637296</v>
      </c>
      <c r="V190" s="97">
        <f t="shared" si="197"/>
        <v>45.239075574576759</v>
      </c>
      <c r="W190" s="97">
        <f t="shared" si="197"/>
        <v>38.078529034908215</v>
      </c>
      <c r="X190" s="97">
        <f t="shared" si="197"/>
        <v>30.895853554262256</v>
      </c>
      <c r="Y190" s="97">
        <f t="shared" si="197"/>
        <v>31.548999771952364</v>
      </c>
      <c r="DA190" s="175" t="s">
        <v>419</v>
      </c>
    </row>
    <row r="191" spans="1:105" ht="11.45" customHeight="1" x14ac:dyDescent="0.25">
      <c r="A191" s="109" t="str">
        <f>$A$9</f>
        <v>Rail, metro and tram</v>
      </c>
      <c r="B191" s="130">
        <f t="shared" ref="B191:Y191" si="198">IF(B39=0,0,B39/B9*1000)</f>
        <v>16.21429541916315</v>
      </c>
      <c r="C191" s="130">
        <f t="shared" si="198"/>
        <v>13.462567260366727</v>
      </c>
      <c r="D191" s="130">
        <f t="shared" si="198"/>
        <v>13.193509369363065</v>
      </c>
      <c r="E191" s="130">
        <f t="shared" si="198"/>
        <v>12.70746224595308</v>
      </c>
      <c r="F191" s="130">
        <f t="shared" si="198"/>
        <v>12.214247170946795</v>
      </c>
      <c r="G191" s="130">
        <f t="shared" si="198"/>
        <v>11.726381835548642</v>
      </c>
      <c r="H191" s="130">
        <f t="shared" si="198"/>
        <v>11.670894760006483</v>
      </c>
      <c r="I191" s="130">
        <f t="shared" si="198"/>
        <v>11.028812834724546</v>
      </c>
      <c r="J191" s="130">
        <f t="shared" si="198"/>
        <v>10.475047544265296</v>
      </c>
      <c r="K191" s="130">
        <f t="shared" si="198"/>
        <v>9.5942622709241636</v>
      </c>
      <c r="L191" s="130">
        <f t="shared" si="198"/>
        <v>9.1815646163785214</v>
      </c>
      <c r="M191" s="130">
        <f t="shared" si="198"/>
        <v>7.4065973669819041</v>
      </c>
      <c r="N191" s="130">
        <f t="shared" si="198"/>
        <v>7.6132164503380899</v>
      </c>
      <c r="O191" s="130">
        <f t="shared" si="198"/>
        <v>6.2902824206628605</v>
      </c>
      <c r="P191" s="130">
        <f t="shared" si="198"/>
        <v>5.9869034233336027</v>
      </c>
      <c r="Q191" s="130">
        <f t="shared" si="198"/>
        <v>5.8093728498865103</v>
      </c>
      <c r="R191" s="130">
        <f t="shared" si="198"/>
        <v>7.2655113852128501</v>
      </c>
      <c r="S191" s="130">
        <f t="shared" si="198"/>
        <v>7.6917735160007785</v>
      </c>
      <c r="T191" s="130">
        <f t="shared" si="198"/>
        <v>7.5785298247294151</v>
      </c>
      <c r="U191" s="130">
        <f t="shared" si="198"/>
        <v>6.9059789927090449</v>
      </c>
      <c r="V191" s="130">
        <f t="shared" si="198"/>
        <v>11.333088134973989</v>
      </c>
      <c r="W191" s="130">
        <f t="shared" si="198"/>
        <v>10.81703250264893</v>
      </c>
      <c r="X191" s="130">
        <f t="shared" si="198"/>
        <v>7.1318575319970012</v>
      </c>
      <c r="Y191" s="130">
        <f t="shared" si="198"/>
        <v>6.8314476590696858</v>
      </c>
      <c r="DA191" s="176" t="s">
        <v>420</v>
      </c>
    </row>
    <row r="192" spans="1:105" ht="11.45" customHeight="1" x14ac:dyDescent="0.25">
      <c r="A192" s="128" t="str">
        <f>$A$10</f>
        <v>Metro and tram, urban light rail</v>
      </c>
      <c r="B192" s="97">
        <f t="shared" ref="B192:Y192" si="199">IF(B40=0,0,B40/B10*1000)</f>
        <v>5.0433314068600454</v>
      </c>
      <c r="C192" s="97">
        <f t="shared" si="199"/>
        <v>4.9853073021000469</v>
      </c>
      <c r="D192" s="97">
        <f t="shared" si="199"/>
        <v>4.9563859624434361</v>
      </c>
      <c r="E192" s="97">
        <f t="shared" si="199"/>
        <v>4.9117708744631594</v>
      </c>
      <c r="F192" s="97">
        <f t="shared" si="199"/>
        <v>4.7249279612063004</v>
      </c>
      <c r="G192" s="97">
        <f t="shared" si="199"/>
        <v>4.8326786153845731</v>
      </c>
      <c r="H192" s="97">
        <f t="shared" si="199"/>
        <v>4.954156506844833</v>
      </c>
      <c r="I192" s="97">
        <f t="shared" si="199"/>
        <v>4.7768587860784306</v>
      </c>
      <c r="J192" s="97">
        <f t="shared" si="199"/>
        <v>4.7371900563210119</v>
      </c>
      <c r="K192" s="97">
        <f t="shared" si="199"/>
        <v>4.6363343993471302</v>
      </c>
      <c r="L192" s="97">
        <f t="shared" si="199"/>
        <v>4.5980714986288103</v>
      </c>
      <c r="M192" s="97">
        <f t="shared" si="199"/>
        <v>4.4670646515638452</v>
      </c>
      <c r="N192" s="97">
        <f t="shared" si="199"/>
        <v>4.4965346838229445</v>
      </c>
      <c r="O192" s="97">
        <f t="shared" si="199"/>
        <v>4.5439524506565325</v>
      </c>
      <c r="P192" s="97">
        <f t="shared" si="199"/>
        <v>4.4450904133240616</v>
      </c>
      <c r="Q192" s="97">
        <f t="shared" si="199"/>
        <v>4.4209558690752235</v>
      </c>
      <c r="R192" s="97">
        <f t="shared" si="199"/>
        <v>4.3354228951145339</v>
      </c>
      <c r="S192" s="97">
        <f t="shared" si="199"/>
        <v>4.264223843022414</v>
      </c>
      <c r="T192" s="97">
        <f t="shared" si="199"/>
        <v>4.2235730160239857</v>
      </c>
      <c r="U192" s="97">
        <f t="shared" si="199"/>
        <v>4.1320516272960361</v>
      </c>
      <c r="V192" s="97">
        <f t="shared" si="199"/>
        <v>7.2451335863848572</v>
      </c>
      <c r="W192" s="97">
        <f t="shared" si="199"/>
        <v>6.7987072274915672</v>
      </c>
      <c r="X192" s="97">
        <f t="shared" si="199"/>
        <v>4.5599026869660326</v>
      </c>
      <c r="Y192" s="97">
        <f t="shared" si="199"/>
        <v>3.9098912289196686</v>
      </c>
      <c r="DA192" s="175" t="s">
        <v>421</v>
      </c>
    </row>
    <row r="193" spans="1:105" ht="11.45" customHeight="1" x14ac:dyDescent="0.25">
      <c r="A193" s="128" t="str">
        <f>$A$11</f>
        <v>Conventional passenger trains</v>
      </c>
      <c r="B193" s="97">
        <f t="shared" ref="B193:Y193" si="200">IF(B41=0,0,B41/B11*1000)</f>
        <v>17.68270090689148</v>
      </c>
      <c r="C193" s="97">
        <f t="shared" si="200"/>
        <v>14.619908612384597</v>
      </c>
      <c r="D193" s="97">
        <f t="shared" si="200"/>
        <v>14.347755961415498</v>
      </c>
      <c r="E193" s="97">
        <f t="shared" si="200"/>
        <v>14.306897992301932</v>
      </c>
      <c r="F193" s="97">
        <f t="shared" si="200"/>
        <v>14.089672604272536</v>
      </c>
      <c r="G193" s="97">
        <f t="shared" si="200"/>
        <v>13.397117180251044</v>
      </c>
      <c r="H193" s="97">
        <f t="shared" si="200"/>
        <v>13.524429369606322</v>
      </c>
      <c r="I193" s="97">
        <f t="shared" si="200"/>
        <v>12.636078890530545</v>
      </c>
      <c r="J193" s="97">
        <f t="shared" si="200"/>
        <v>11.885144660263514</v>
      </c>
      <c r="K193" s="97">
        <f t="shared" si="200"/>
        <v>10.670096588095916</v>
      </c>
      <c r="L193" s="97">
        <f t="shared" si="200"/>
        <v>10.144392876443924</v>
      </c>
      <c r="M193" s="97">
        <f t="shared" si="200"/>
        <v>7.513380821174688</v>
      </c>
      <c r="N193" s="97">
        <f t="shared" si="200"/>
        <v>7.7335202145486619</v>
      </c>
      <c r="O193" s="97">
        <f t="shared" si="200"/>
        <v>5.769350987950947</v>
      </c>
      <c r="P193" s="97">
        <f t="shared" si="200"/>
        <v>5.5511261750540735</v>
      </c>
      <c r="Q193" s="97">
        <f t="shared" si="200"/>
        <v>5.4103750998589994</v>
      </c>
      <c r="R193" s="97">
        <f t="shared" si="200"/>
        <v>7.6403842225009004</v>
      </c>
      <c r="S193" s="97">
        <f t="shared" si="200"/>
        <v>8.3912777169039074</v>
      </c>
      <c r="T193" s="97">
        <f t="shared" si="200"/>
        <v>8.3474247980966325</v>
      </c>
      <c r="U193" s="97">
        <f t="shared" si="200"/>
        <v>7.4487423431250939</v>
      </c>
      <c r="V193" s="97">
        <f t="shared" si="200"/>
        <v>12.084709995934119</v>
      </c>
      <c r="W193" s="97">
        <f t="shared" si="200"/>
        <v>11.298602630065783</v>
      </c>
      <c r="X193" s="97">
        <f t="shared" si="200"/>
        <v>7.4913414530928124</v>
      </c>
      <c r="Y193" s="97">
        <f t="shared" si="200"/>
        <v>7.5013589021635312</v>
      </c>
      <c r="DA193" s="175" t="s">
        <v>422</v>
      </c>
    </row>
    <row r="194" spans="1:105" ht="11.45" customHeight="1" x14ac:dyDescent="0.25">
      <c r="A194" s="128" t="str">
        <f>$A$12</f>
        <v>High speed passenger trains</v>
      </c>
      <c r="B194" s="97">
        <f t="shared" ref="B194:Y194" si="201">IF(B42=0,0,B42/B12*1000)</f>
        <v>0</v>
      </c>
      <c r="C194" s="97">
        <f t="shared" si="201"/>
        <v>0</v>
      </c>
      <c r="D194" s="97">
        <f t="shared" si="201"/>
        <v>0</v>
      </c>
      <c r="E194" s="97">
        <f t="shared" si="201"/>
        <v>0</v>
      </c>
      <c r="F194" s="97">
        <f t="shared" si="201"/>
        <v>12.499895413474405</v>
      </c>
      <c r="G194" s="97">
        <f t="shared" si="201"/>
        <v>12.336038794563597</v>
      </c>
      <c r="H194" s="97">
        <f t="shared" si="201"/>
        <v>12.442724447685263</v>
      </c>
      <c r="I194" s="97">
        <f t="shared" si="201"/>
        <v>12.943775079531632</v>
      </c>
      <c r="J194" s="97">
        <f t="shared" si="201"/>
        <v>12.534370282470915</v>
      </c>
      <c r="K194" s="97">
        <f t="shared" si="201"/>
        <v>12.319555303602062</v>
      </c>
      <c r="L194" s="97">
        <f t="shared" si="201"/>
        <v>12.52466501776391</v>
      </c>
      <c r="M194" s="97">
        <f t="shared" si="201"/>
        <v>13.784071941099793</v>
      </c>
      <c r="N194" s="97">
        <f t="shared" si="201"/>
        <v>13.678647252918037</v>
      </c>
      <c r="O194" s="97">
        <f t="shared" si="201"/>
        <v>13.39234499529042</v>
      </c>
      <c r="P194" s="97">
        <f t="shared" si="201"/>
        <v>11.441219641858119</v>
      </c>
      <c r="Q194" s="97">
        <f t="shared" si="201"/>
        <v>10.646339355374151</v>
      </c>
      <c r="R194" s="97">
        <f t="shared" si="201"/>
        <v>10.100029010213239</v>
      </c>
      <c r="S194" s="97">
        <f t="shared" si="201"/>
        <v>9.4381171249514377</v>
      </c>
      <c r="T194" s="97">
        <f t="shared" si="201"/>
        <v>9.0003433741169019</v>
      </c>
      <c r="U194" s="97">
        <f t="shared" si="201"/>
        <v>8.6546523720988091</v>
      </c>
      <c r="V194" s="97">
        <f t="shared" si="201"/>
        <v>15.645817271473399</v>
      </c>
      <c r="W194" s="97">
        <f t="shared" si="201"/>
        <v>15.77337624958135</v>
      </c>
      <c r="X194" s="97">
        <f t="shared" si="201"/>
        <v>9.7466811433288623</v>
      </c>
      <c r="Y194" s="97">
        <f t="shared" si="201"/>
        <v>8.6588455782495153</v>
      </c>
      <c r="DA194" s="175" t="s">
        <v>423</v>
      </c>
    </row>
    <row r="195" spans="1:105" ht="11.45" customHeight="1" x14ac:dyDescent="0.25">
      <c r="A195" s="109" t="str">
        <f>$A$13</f>
        <v>Aviation</v>
      </c>
      <c r="B195" s="130">
        <f t="shared" ref="B195:Y195" si="202">IF(B43=0,0,B43/B13*1000)</f>
        <v>37.892879242979525</v>
      </c>
      <c r="C195" s="130">
        <f t="shared" si="202"/>
        <v>37.715113450853394</v>
      </c>
      <c r="D195" s="130">
        <f t="shared" si="202"/>
        <v>36.213460568948967</v>
      </c>
      <c r="E195" s="130">
        <f t="shared" si="202"/>
        <v>37.548565104663496</v>
      </c>
      <c r="F195" s="130">
        <f t="shared" si="202"/>
        <v>39.188021140640721</v>
      </c>
      <c r="G195" s="130">
        <f t="shared" si="202"/>
        <v>37.748041768925852</v>
      </c>
      <c r="H195" s="130">
        <f t="shared" si="202"/>
        <v>37.373620297964017</v>
      </c>
      <c r="I195" s="130">
        <f t="shared" si="202"/>
        <v>35.329767007792114</v>
      </c>
      <c r="J195" s="130">
        <f t="shared" si="202"/>
        <v>34.996567535078725</v>
      </c>
      <c r="K195" s="130">
        <f t="shared" si="202"/>
        <v>34.13240665875152</v>
      </c>
      <c r="L195" s="130">
        <f t="shared" si="202"/>
        <v>34.563019842793963</v>
      </c>
      <c r="M195" s="130">
        <f t="shared" si="202"/>
        <v>33.055060133753592</v>
      </c>
      <c r="N195" s="130">
        <f t="shared" si="202"/>
        <v>32.254191704053014</v>
      </c>
      <c r="O195" s="130">
        <f t="shared" si="202"/>
        <v>30.886692619240193</v>
      </c>
      <c r="P195" s="130">
        <f t="shared" si="202"/>
        <v>29.665965507773329</v>
      </c>
      <c r="Q195" s="130">
        <f t="shared" si="202"/>
        <v>30.063945933097035</v>
      </c>
      <c r="R195" s="130">
        <f t="shared" si="202"/>
        <v>29.4863843676873</v>
      </c>
      <c r="S195" s="130">
        <f t="shared" si="202"/>
        <v>28.201951715434006</v>
      </c>
      <c r="T195" s="130">
        <f t="shared" si="202"/>
        <v>27.612222371700817</v>
      </c>
      <c r="U195" s="130">
        <f t="shared" si="202"/>
        <v>26.464535982673116</v>
      </c>
      <c r="V195" s="130">
        <f t="shared" si="202"/>
        <v>32.50173579442675</v>
      </c>
      <c r="W195" s="130">
        <f t="shared" si="202"/>
        <v>31.809402587271393</v>
      </c>
      <c r="X195" s="130">
        <f t="shared" si="202"/>
        <v>26.714750718332237</v>
      </c>
      <c r="Y195" s="130">
        <f t="shared" si="202"/>
        <v>25.653246109952704</v>
      </c>
      <c r="DA195" s="176" t="s">
        <v>297</v>
      </c>
    </row>
    <row r="196" spans="1:105" ht="11.45" customHeight="1" x14ac:dyDescent="0.25">
      <c r="A196" s="128" t="str">
        <f>$A$14</f>
        <v>Domestic</v>
      </c>
      <c r="B196" s="97">
        <f t="shared" ref="B196:Y196" si="203">IF(B44=0,0,B44/B14*1000)</f>
        <v>47.671308297129869</v>
      </c>
      <c r="C196" s="97">
        <f t="shared" si="203"/>
        <v>47.857508375126137</v>
      </c>
      <c r="D196" s="97">
        <f t="shared" si="203"/>
        <v>50.215951961308718</v>
      </c>
      <c r="E196" s="97">
        <f t="shared" si="203"/>
        <v>47.973298266481635</v>
      </c>
      <c r="F196" s="97">
        <f t="shared" si="203"/>
        <v>51.688931275107116</v>
      </c>
      <c r="G196" s="97">
        <f t="shared" si="203"/>
        <v>52.397052243813178</v>
      </c>
      <c r="H196" s="97">
        <f t="shared" si="203"/>
        <v>61.931851515041302</v>
      </c>
      <c r="I196" s="97">
        <f t="shared" si="203"/>
        <v>61.313388768557097</v>
      </c>
      <c r="J196" s="97">
        <f t="shared" si="203"/>
        <v>53.84564359240099</v>
      </c>
      <c r="K196" s="97">
        <f t="shared" si="203"/>
        <v>45.844914353698456</v>
      </c>
      <c r="L196" s="97">
        <f t="shared" si="203"/>
        <v>53.936613627051834</v>
      </c>
      <c r="M196" s="97">
        <f t="shared" si="203"/>
        <v>52.875790601779805</v>
      </c>
      <c r="N196" s="97">
        <f t="shared" si="203"/>
        <v>52.748633615818392</v>
      </c>
      <c r="O196" s="97">
        <f t="shared" si="203"/>
        <v>51.739231534110658</v>
      </c>
      <c r="P196" s="97">
        <f t="shared" si="203"/>
        <v>50.322146831317291</v>
      </c>
      <c r="Q196" s="97">
        <f t="shared" si="203"/>
        <v>42.317886523280144</v>
      </c>
      <c r="R196" s="97">
        <f t="shared" si="203"/>
        <v>38.350453998435349</v>
      </c>
      <c r="S196" s="97">
        <f t="shared" si="203"/>
        <v>39.822087416414284</v>
      </c>
      <c r="T196" s="97">
        <f t="shared" si="203"/>
        <v>40.64628173690528</v>
      </c>
      <c r="U196" s="97">
        <f t="shared" si="203"/>
        <v>37.315713590018454</v>
      </c>
      <c r="V196" s="97">
        <f t="shared" si="203"/>
        <v>55.55378493401966</v>
      </c>
      <c r="W196" s="97">
        <f t="shared" si="203"/>
        <v>39.596740238304349</v>
      </c>
      <c r="X196" s="97">
        <f t="shared" si="203"/>
        <v>26.508456769155114</v>
      </c>
      <c r="Y196" s="97">
        <f t="shared" si="203"/>
        <v>27.982360916902383</v>
      </c>
      <c r="DA196" s="175" t="s">
        <v>298</v>
      </c>
    </row>
    <row r="197" spans="1:105" ht="11.45" customHeight="1" x14ac:dyDescent="0.25">
      <c r="A197" s="128" t="str">
        <f>$A$15</f>
        <v>International - Intra-EEAwCHUK</v>
      </c>
      <c r="B197" s="97">
        <f t="shared" ref="B197:Y197" si="204">IF(B45=0,0,B45/B15*1000)</f>
        <v>31.886375098520304</v>
      </c>
      <c r="C197" s="97">
        <f t="shared" si="204"/>
        <v>31.70563073759681</v>
      </c>
      <c r="D197" s="97">
        <f t="shared" si="204"/>
        <v>30.784319205483214</v>
      </c>
      <c r="E197" s="97">
        <f t="shared" si="204"/>
        <v>32.267352557559398</v>
      </c>
      <c r="F197" s="97">
        <f t="shared" si="204"/>
        <v>34.569902756531192</v>
      </c>
      <c r="G197" s="97">
        <f t="shared" si="204"/>
        <v>34.287440965522983</v>
      </c>
      <c r="H197" s="97">
        <f t="shared" si="204"/>
        <v>33.607797782757906</v>
      </c>
      <c r="I197" s="97">
        <f t="shared" si="204"/>
        <v>33.243148025315307</v>
      </c>
      <c r="J197" s="97">
        <f t="shared" si="204"/>
        <v>34.154429770749942</v>
      </c>
      <c r="K197" s="97">
        <f t="shared" si="204"/>
        <v>32.922809961252227</v>
      </c>
      <c r="L197" s="97">
        <f t="shared" si="204"/>
        <v>33.359179482088351</v>
      </c>
      <c r="M197" s="97">
        <f t="shared" si="204"/>
        <v>32.338479827683109</v>
      </c>
      <c r="N197" s="97">
        <f t="shared" si="204"/>
        <v>31.354562295299601</v>
      </c>
      <c r="O197" s="97">
        <f t="shared" si="204"/>
        <v>29.823848372734961</v>
      </c>
      <c r="P197" s="97">
        <f t="shared" si="204"/>
        <v>28.748374156011234</v>
      </c>
      <c r="Q197" s="97">
        <f t="shared" si="204"/>
        <v>28.965055466014149</v>
      </c>
      <c r="R197" s="97">
        <f t="shared" si="204"/>
        <v>28.600407960839828</v>
      </c>
      <c r="S197" s="97">
        <f t="shared" si="204"/>
        <v>27.995875080578049</v>
      </c>
      <c r="T197" s="97">
        <f t="shared" si="204"/>
        <v>28.069871239803575</v>
      </c>
      <c r="U197" s="97">
        <f t="shared" si="204"/>
        <v>28.2974423506713</v>
      </c>
      <c r="V197" s="97">
        <f t="shared" si="204"/>
        <v>26.759987676955625</v>
      </c>
      <c r="W197" s="97">
        <f t="shared" si="204"/>
        <v>28.586027047218725</v>
      </c>
      <c r="X197" s="97">
        <f t="shared" si="204"/>
        <v>29.847161399256155</v>
      </c>
      <c r="Y197" s="97">
        <f t="shared" si="204"/>
        <v>29.292258083320892</v>
      </c>
      <c r="DA197" s="175" t="s">
        <v>299</v>
      </c>
    </row>
    <row r="198" spans="1:105" ht="11.45" customHeight="1" x14ac:dyDescent="0.25">
      <c r="A198" s="128" t="str">
        <f>$A$16</f>
        <v>International - Extra-EEAwCHUK</v>
      </c>
      <c r="B198" s="97">
        <f t="shared" ref="B198:Y198" si="205">IF(B46=0,0,B46/B16*1000)</f>
        <v>49.612224169835642</v>
      </c>
      <c r="C198" s="97">
        <f t="shared" si="205"/>
        <v>48.85694658854343</v>
      </c>
      <c r="D198" s="97">
        <f t="shared" si="205"/>
        <v>43.024828029329761</v>
      </c>
      <c r="E198" s="97">
        <f t="shared" si="205"/>
        <v>44.968510152163766</v>
      </c>
      <c r="F198" s="97">
        <f t="shared" si="205"/>
        <v>43.975160586651462</v>
      </c>
      <c r="G198" s="97">
        <f t="shared" si="205"/>
        <v>39.191082888103068</v>
      </c>
      <c r="H198" s="97">
        <f t="shared" si="205"/>
        <v>38.01503464867784</v>
      </c>
      <c r="I198" s="97">
        <f t="shared" si="205"/>
        <v>32.963137918762669</v>
      </c>
      <c r="J198" s="97">
        <f t="shared" si="205"/>
        <v>32.012544044450799</v>
      </c>
      <c r="K198" s="97">
        <f t="shared" si="205"/>
        <v>33.063781494412702</v>
      </c>
      <c r="L198" s="97">
        <f t="shared" si="205"/>
        <v>31.777760800494789</v>
      </c>
      <c r="M198" s="97">
        <f t="shared" si="205"/>
        <v>30.130389071641147</v>
      </c>
      <c r="N198" s="97">
        <f t="shared" si="205"/>
        <v>29.641557843728627</v>
      </c>
      <c r="O198" s="97">
        <f t="shared" si="205"/>
        <v>28.517952496669707</v>
      </c>
      <c r="P198" s="97">
        <f t="shared" si="205"/>
        <v>27.371909538307566</v>
      </c>
      <c r="Q198" s="97">
        <f t="shared" si="205"/>
        <v>29.227463122816253</v>
      </c>
      <c r="R198" s="97">
        <f t="shared" si="205"/>
        <v>28.834354505266624</v>
      </c>
      <c r="S198" s="97">
        <f t="shared" si="205"/>
        <v>25.524264448697139</v>
      </c>
      <c r="T198" s="97">
        <f t="shared" si="205"/>
        <v>23.729833167580395</v>
      </c>
      <c r="U198" s="97">
        <f t="shared" si="205"/>
        <v>21.447663900587941</v>
      </c>
      <c r="V198" s="97">
        <f t="shared" si="205"/>
        <v>37.056930086479063</v>
      </c>
      <c r="W198" s="97">
        <f t="shared" si="205"/>
        <v>35.025532839851984</v>
      </c>
      <c r="X198" s="97">
        <f t="shared" si="205"/>
        <v>21.734349462596157</v>
      </c>
      <c r="Y198" s="97">
        <f t="shared" si="205"/>
        <v>19.676611628968939</v>
      </c>
      <c r="DA198" s="175" t="s">
        <v>300</v>
      </c>
    </row>
    <row r="199" spans="1:105" ht="11.45" customHeight="1" x14ac:dyDescent="0.25">
      <c r="A199" s="27" t="s">
        <v>156</v>
      </c>
      <c r="B199" s="32">
        <f t="shared" ref="B199:Y199" si="206">IF(B47=0,0,B47/B17*1000)</f>
        <v>102.83630905931946</v>
      </c>
      <c r="C199" s="32">
        <f t="shared" si="206"/>
        <v>95.458551660610226</v>
      </c>
      <c r="D199" s="32">
        <f t="shared" si="206"/>
        <v>99.975641663320786</v>
      </c>
      <c r="E199" s="32">
        <f t="shared" si="206"/>
        <v>105.72097964834074</v>
      </c>
      <c r="F199" s="32">
        <f t="shared" si="206"/>
        <v>91.003837721193918</v>
      </c>
      <c r="G199" s="32">
        <f t="shared" si="206"/>
        <v>86.953455374423783</v>
      </c>
      <c r="H199" s="32">
        <f t="shared" si="206"/>
        <v>85.094417141532645</v>
      </c>
      <c r="I199" s="32">
        <f t="shared" si="206"/>
        <v>82.506419841299618</v>
      </c>
      <c r="J199" s="32">
        <f t="shared" si="206"/>
        <v>87.690947608397309</v>
      </c>
      <c r="K199" s="32">
        <f t="shared" si="206"/>
        <v>96.460618239257172</v>
      </c>
      <c r="L199" s="32">
        <f t="shared" si="206"/>
        <v>99.801888354584193</v>
      </c>
      <c r="M199" s="32">
        <f t="shared" si="206"/>
        <v>91.050955132849111</v>
      </c>
      <c r="N199" s="32">
        <f t="shared" si="206"/>
        <v>90.04786071938247</v>
      </c>
      <c r="O199" s="32">
        <f t="shared" si="206"/>
        <v>89.738874790164544</v>
      </c>
      <c r="P199" s="32">
        <f t="shared" si="206"/>
        <v>82.635632329863697</v>
      </c>
      <c r="Q199" s="32">
        <f t="shared" si="206"/>
        <v>84.799780619060869</v>
      </c>
      <c r="R199" s="32">
        <f t="shared" si="206"/>
        <v>84.734375450556215</v>
      </c>
      <c r="S199" s="32">
        <f t="shared" si="206"/>
        <v>83.060460529337703</v>
      </c>
      <c r="T199" s="32">
        <f t="shared" si="206"/>
        <v>83.279657966786218</v>
      </c>
      <c r="U199" s="32">
        <f t="shared" si="206"/>
        <v>84.740331693585262</v>
      </c>
      <c r="V199" s="32">
        <f t="shared" si="206"/>
        <v>84.55097165613212</v>
      </c>
      <c r="W199" s="32">
        <f t="shared" si="206"/>
        <v>85.835308135270992</v>
      </c>
      <c r="X199" s="32">
        <f t="shared" si="206"/>
        <v>89.229496019344523</v>
      </c>
      <c r="Y199" s="32">
        <f t="shared" si="206"/>
        <v>102.33775818107873</v>
      </c>
      <c r="DA199" s="173" t="s">
        <v>424</v>
      </c>
    </row>
    <row r="200" spans="1:105" ht="11.45" customHeight="1" x14ac:dyDescent="0.25">
      <c r="A200" s="136" t="str">
        <f>$A$18</f>
        <v>Road transport</v>
      </c>
      <c r="B200" s="141">
        <f t="shared" ref="B200:Y200" si="207">IF(B48=0,0,B48/B18*1000)</f>
        <v>111.91651042495911</v>
      </c>
      <c r="C200" s="141">
        <f t="shared" si="207"/>
        <v>102.45922322618456</v>
      </c>
      <c r="D200" s="141">
        <f t="shared" si="207"/>
        <v>106.29780305288672</v>
      </c>
      <c r="E200" s="141">
        <f t="shared" si="207"/>
        <v>113.58146653018214</v>
      </c>
      <c r="F200" s="141">
        <f t="shared" si="207"/>
        <v>98.427047553568229</v>
      </c>
      <c r="G200" s="141">
        <f t="shared" si="207"/>
        <v>94.877899154274075</v>
      </c>
      <c r="H200" s="141">
        <f t="shared" si="207"/>
        <v>92.488926254604635</v>
      </c>
      <c r="I200" s="141">
        <f t="shared" si="207"/>
        <v>86.119324482343373</v>
      </c>
      <c r="J200" s="141">
        <f t="shared" si="207"/>
        <v>91.70158932532901</v>
      </c>
      <c r="K200" s="141">
        <f t="shared" si="207"/>
        <v>98.01076397835709</v>
      </c>
      <c r="L200" s="141">
        <f t="shared" si="207"/>
        <v>106.1313106854017</v>
      </c>
      <c r="M200" s="141">
        <f t="shared" si="207"/>
        <v>96.775441636384215</v>
      </c>
      <c r="N200" s="141">
        <f t="shared" si="207"/>
        <v>96.785820959693126</v>
      </c>
      <c r="O200" s="141">
        <f t="shared" si="207"/>
        <v>96.011839477374394</v>
      </c>
      <c r="P200" s="141">
        <f t="shared" si="207"/>
        <v>90.128541520873014</v>
      </c>
      <c r="Q200" s="141">
        <f t="shared" si="207"/>
        <v>93.093255372914541</v>
      </c>
      <c r="R200" s="141">
        <f t="shared" si="207"/>
        <v>93.251423675093619</v>
      </c>
      <c r="S200" s="141">
        <f t="shared" si="207"/>
        <v>91.484314860277351</v>
      </c>
      <c r="T200" s="141">
        <f t="shared" si="207"/>
        <v>91.685911599353872</v>
      </c>
      <c r="U200" s="141">
        <f t="shared" si="207"/>
        <v>93.130056295332949</v>
      </c>
      <c r="V200" s="141">
        <f t="shared" si="207"/>
        <v>94.130199857859765</v>
      </c>
      <c r="W200" s="141">
        <f t="shared" si="207"/>
        <v>92.147672520921731</v>
      </c>
      <c r="X200" s="141">
        <f t="shared" si="207"/>
        <v>97.828755901681845</v>
      </c>
      <c r="Y200" s="141">
        <f t="shared" si="207"/>
        <v>114.1912083473126</v>
      </c>
      <c r="DA200" s="174" t="s">
        <v>425</v>
      </c>
    </row>
    <row r="201" spans="1:105" ht="11.45" customHeight="1" x14ac:dyDescent="0.25">
      <c r="A201" s="128" t="str">
        <f>$A$19</f>
        <v>Light commercial vehicles</v>
      </c>
      <c r="B201" s="97">
        <f t="shared" ref="B201:Y201" si="208">IF(B49=0,0,B49/B19*1000)</f>
        <v>737.91945229865678</v>
      </c>
      <c r="C201" s="97">
        <f t="shared" si="208"/>
        <v>688.11414726706721</v>
      </c>
      <c r="D201" s="97">
        <f t="shared" si="208"/>
        <v>685.28258683418881</v>
      </c>
      <c r="E201" s="97">
        <f t="shared" si="208"/>
        <v>691.26556282140234</v>
      </c>
      <c r="F201" s="97">
        <f t="shared" si="208"/>
        <v>673.39773400764818</v>
      </c>
      <c r="G201" s="97">
        <f t="shared" si="208"/>
        <v>646.6807870117018</v>
      </c>
      <c r="H201" s="97">
        <f t="shared" si="208"/>
        <v>627.42819510635013</v>
      </c>
      <c r="I201" s="97">
        <f t="shared" si="208"/>
        <v>602.75225205780453</v>
      </c>
      <c r="J201" s="97">
        <f t="shared" si="208"/>
        <v>587.09017598771345</v>
      </c>
      <c r="K201" s="97">
        <f t="shared" si="208"/>
        <v>573.11499065514113</v>
      </c>
      <c r="L201" s="97">
        <f t="shared" si="208"/>
        <v>558.27028780550393</v>
      </c>
      <c r="M201" s="97">
        <f t="shared" si="208"/>
        <v>536.4416027036475</v>
      </c>
      <c r="N201" s="97">
        <f t="shared" si="208"/>
        <v>519.77665737010307</v>
      </c>
      <c r="O201" s="97">
        <f t="shared" si="208"/>
        <v>513.33053568062235</v>
      </c>
      <c r="P201" s="97">
        <f t="shared" si="208"/>
        <v>496.7414943359019</v>
      </c>
      <c r="Q201" s="97">
        <f t="shared" si="208"/>
        <v>490.20747328427308</v>
      </c>
      <c r="R201" s="97">
        <f t="shared" si="208"/>
        <v>489.3151866822401</v>
      </c>
      <c r="S201" s="97">
        <f t="shared" si="208"/>
        <v>481.83254902223672</v>
      </c>
      <c r="T201" s="97">
        <f t="shared" si="208"/>
        <v>473.99350282896069</v>
      </c>
      <c r="U201" s="97">
        <f t="shared" si="208"/>
        <v>460.01377908049881</v>
      </c>
      <c r="V201" s="97">
        <f t="shared" si="208"/>
        <v>449.70465279460927</v>
      </c>
      <c r="W201" s="97">
        <f t="shared" si="208"/>
        <v>459.12295565865179</v>
      </c>
      <c r="X201" s="97">
        <f t="shared" si="208"/>
        <v>466.30943923191825</v>
      </c>
      <c r="Y201" s="97">
        <f t="shared" si="208"/>
        <v>475.03581908106446</v>
      </c>
      <c r="DA201" s="175" t="s">
        <v>426</v>
      </c>
    </row>
    <row r="202" spans="1:105" ht="11.45" customHeight="1" x14ac:dyDescent="0.25">
      <c r="A202" s="128" t="str">
        <f>$A$20</f>
        <v>Heavy goods vehicles</v>
      </c>
      <c r="B202" s="97">
        <f t="shared" ref="B202:Y202" si="209">IF(B50=0,0,B50/B20*1000)</f>
        <v>31.956015542345298</v>
      </c>
      <c r="C202" s="97">
        <f t="shared" si="209"/>
        <v>33.89887841160612</v>
      </c>
      <c r="D202" s="97">
        <f t="shared" si="209"/>
        <v>34.532039619797622</v>
      </c>
      <c r="E202" s="97">
        <f t="shared" si="209"/>
        <v>41.810417300989712</v>
      </c>
      <c r="F202" s="97">
        <f t="shared" si="209"/>
        <v>41.874822228918255</v>
      </c>
      <c r="G202" s="97">
        <f t="shared" si="209"/>
        <v>42.696095177177718</v>
      </c>
      <c r="H202" s="97">
        <f t="shared" si="209"/>
        <v>42.391529553403046</v>
      </c>
      <c r="I202" s="97">
        <f t="shared" si="209"/>
        <v>41.601081173961113</v>
      </c>
      <c r="J202" s="97">
        <f t="shared" si="209"/>
        <v>44.485646613429751</v>
      </c>
      <c r="K202" s="97">
        <f t="shared" si="209"/>
        <v>45.78827210380156</v>
      </c>
      <c r="L202" s="97">
        <f t="shared" si="209"/>
        <v>51.708035725133549</v>
      </c>
      <c r="M202" s="97">
        <f t="shared" si="209"/>
        <v>49.074548056413995</v>
      </c>
      <c r="N202" s="97">
        <f t="shared" si="209"/>
        <v>50.509899497825494</v>
      </c>
      <c r="O202" s="97">
        <f t="shared" si="209"/>
        <v>50.124368896925674</v>
      </c>
      <c r="P202" s="97">
        <f t="shared" si="209"/>
        <v>44.045672181386848</v>
      </c>
      <c r="Q202" s="97">
        <f t="shared" si="209"/>
        <v>47.15227084199045</v>
      </c>
      <c r="R202" s="97">
        <f t="shared" si="209"/>
        <v>46.247202725549108</v>
      </c>
      <c r="S202" s="97">
        <f t="shared" si="209"/>
        <v>44.276499038585911</v>
      </c>
      <c r="T202" s="97">
        <f t="shared" si="209"/>
        <v>43.837477747256379</v>
      </c>
      <c r="U202" s="97">
        <f t="shared" si="209"/>
        <v>45.053200339856559</v>
      </c>
      <c r="V202" s="97">
        <f t="shared" si="209"/>
        <v>46.116974851221862</v>
      </c>
      <c r="W202" s="97">
        <f t="shared" si="209"/>
        <v>44.08882909977585</v>
      </c>
      <c r="X202" s="97">
        <f t="shared" si="209"/>
        <v>44.409608770537325</v>
      </c>
      <c r="Y202" s="97">
        <f t="shared" si="209"/>
        <v>49.829916597261956</v>
      </c>
      <c r="DA202" s="175" t="s">
        <v>427</v>
      </c>
    </row>
    <row r="203" spans="1:105" ht="11.45" customHeight="1" x14ac:dyDescent="0.25">
      <c r="A203" s="109" t="str">
        <f>$A$21</f>
        <v>Rail transport</v>
      </c>
      <c r="B203" s="130">
        <f t="shared" ref="B203:Y203" si="210">IF(B51=0,0,B51/B21*1000)</f>
        <v>6.8439177819047661</v>
      </c>
      <c r="C203" s="130">
        <f t="shared" si="210"/>
        <v>6.159695744727272</v>
      </c>
      <c r="D203" s="130">
        <f t="shared" si="210"/>
        <v>5.709470334693723</v>
      </c>
      <c r="E203" s="130">
        <f t="shared" si="210"/>
        <v>5.2942426987557525</v>
      </c>
      <c r="F203" s="130">
        <f t="shared" si="210"/>
        <v>5.1123208263891291</v>
      </c>
      <c r="G203" s="130">
        <f t="shared" si="210"/>
        <v>4.8931732861604518</v>
      </c>
      <c r="H203" s="130">
        <f t="shared" si="210"/>
        <v>4.7589155699514833</v>
      </c>
      <c r="I203" s="130">
        <f t="shared" si="210"/>
        <v>4.6087782141326077</v>
      </c>
      <c r="J203" s="130">
        <f t="shared" si="210"/>
        <v>4.3887884184823776</v>
      </c>
      <c r="K203" s="130">
        <f t="shared" si="210"/>
        <v>4.2028789041345362</v>
      </c>
      <c r="L203" s="130">
        <f t="shared" si="210"/>
        <v>3.9450809790718031</v>
      </c>
      <c r="M203" s="130">
        <f t="shared" si="210"/>
        <v>3.4943692753627515</v>
      </c>
      <c r="N203" s="130">
        <f t="shared" si="210"/>
        <v>3.2191064844860668</v>
      </c>
      <c r="O203" s="130">
        <f t="shared" si="210"/>
        <v>2.8399815540096869</v>
      </c>
      <c r="P203" s="130">
        <f t="shared" si="210"/>
        <v>2.788623753096608</v>
      </c>
      <c r="Q203" s="130">
        <f t="shared" si="210"/>
        <v>2.6854048603511069</v>
      </c>
      <c r="R203" s="130">
        <f t="shared" si="210"/>
        <v>2.5319694307188838</v>
      </c>
      <c r="S203" s="130">
        <f t="shared" si="210"/>
        <v>2.8286263551510729</v>
      </c>
      <c r="T203" s="130">
        <f t="shared" si="210"/>
        <v>2.709346424434794</v>
      </c>
      <c r="U203" s="130">
        <f t="shared" si="210"/>
        <v>2.8884600429432119</v>
      </c>
      <c r="V203" s="130">
        <f t="shared" si="210"/>
        <v>3.4164610399357431</v>
      </c>
      <c r="W203" s="130">
        <f t="shared" si="210"/>
        <v>4.7097892097316265</v>
      </c>
      <c r="X203" s="130">
        <f t="shared" si="210"/>
        <v>3.2204950024906527</v>
      </c>
      <c r="Y203" s="130">
        <f t="shared" si="210"/>
        <v>3.6659624106773809</v>
      </c>
      <c r="DA203" s="176" t="s">
        <v>428</v>
      </c>
    </row>
    <row r="204" spans="1:105" ht="11.45" customHeight="1" x14ac:dyDescent="0.25">
      <c r="A204" s="109" t="str">
        <f>$A$22</f>
        <v>Aviation</v>
      </c>
      <c r="B204" s="130">
        <f t="shared" ref="B204:Y204" si="211">IF(B52=0,0,B52/B22*1000)</f>
        <v>122.62649653152361</v>
      </c>
      <c r="C204" s="130">
        <f t="shared" si="211"/>
        <v>115.53532740648335</v>
      </c>
      <c r="D204" s="130">
        <f t="shared" si="211"/>
        <v>121.01193162726749</v>
      </c>
      <c r="E204" s="130">
        <f t="shared" si="211"/>
        <v>127.33801888198445</v>
      </c>
      <c r="F204" s="130">
        <f t="shared" si="211"/>
        <v>140.3841742605691</v>
      </c>
      <c r="G204" s="130">
        <f t="shared" si="211"/>
        <v>130.41179803027717</v>
      </c>
      <c r="H204" s="130">
        <f t="shared" si="211"/>
        <v>132.50335006089327</v>
      </c>
      <c r="I204" s="130">
        <f t="shared" si="211"/>
        <v>126.08747538246151</v>
      </c>
      <c r="J204" s="130">
        <f t="shared" si="211"/>
        <v>128.5127589954524</v>
      </c>
      <c r="K204" s="130">
        <f t="shared" si="211"/>
        <v>120.67413155675818</v>
      </c>
      <c r="L204" s="130">
        <f t="shared" si="211"/>
        <v>112.79431223715865</v>
      </c>
      <c r="M204" s="130">
        <f t="shared" si="211"/>
        <v>96.444929652965328</v>
      </c>
      <c r="N204" s="130">
        <f t="shared" si="211"/>
        <v>84.880588894555189</v>
      </c>
      <c r="O204" s="130">
        <f t="shared" si="211"/>
        <v>81.894384409502464</v>
      </c>
      <c r="P204" s="130">
        <f t="shared" si="211"/>
        <v>68.577852130732794</v>
      </c>
      <c r="Q204" s="130">
        <f t="shared" si="211"/>
        <v>72.923634128955229</v>
      </c>
      <c r="R204" s="130">
        <f t="shared" si="211"/>
        <v>65.746065590179512</v>
      </c>
      <c r="S204" s="130">
        <f t="shared" si="211"/>
        <v>62.60122868523635</v>
      </c>
      <c r="T204" s="130">
        <f t="shared" si="211"/>
        <v>59.744124549906616</v>
      </c>
      <c r="U204" s="130">
        <f t="shared" si="211"/>
        <v>49.202389648204409</v>
      </c>
      <c r="V204" s="130">
        <f t="shared" si="211"/>
        <v>80.209495756095819</v>
      </c>
      <c r="W204" s="130">
        <f t="shared" si="211"/>
        <v>69.731928791077181</v>
      </c>
      <c r="X204" s="130">
        <f t="shared" si="211"/>
        <v>59.641549255324136</v>
      </c>
      <c r="Y204" s="130">
        <f t="shared" si="211"/>
        <v>79.249883812616545</v>
      </c>
      <c r="DA204" s="176" t="s">
        <v>301</v>
      </c>
    </row>
    <row r="205" spans="1:105" ht="11.45" customHeight="1" x14ac:dyDescent="0.25">
      <c r="A205" s="128" t="s">
        <v>27</v>
      </c>
      <c r="B205" s="97">
        <f t="shared" ref="B205:Y205" si="212">IF(B53=0,0,B53/B23*1000)</f>
        <v>1287.2916799523794</v>
      </c>
      <c r="C205" s="97">
        <f t="shared" si="212"/>
        <v>1302.9286014016834</v>
      </c>
      <c r="D205" s="97">
        <f t="shared" si="212"/>
        <v>1269.8969706580708</v>
      </c>
      <c r="E205" s="97">
        <f t="shared" si="212"/>
        <v>1142.4852476034537</v>
      </c>
      <c r="F205" s="97">
        <f t="shared" si="212"/>
        <v>1216.1779947264959</v>
      </c>
      <c r="G205" s="97">
        <f t="shared" si="212"/>
        <v>1136.1102158381925</v>
      </c>
      <c r="H205" s="97">
        <f t="shared" si="212"/>
        <v>879.76947706643296</v>
      </c>
      <c r="I205" s="97">
        <f t="shared" si="212"/>
        <v>735.3926220271187</v>
      </c>
      <c r="J205" s="97">
        <f t="shared" si="212"/>
        <v>571.3417056989756</v>
      </c>
      <c r="K205" s="97">
        <f t="shared" si="212"/>
        <v>502.2270688513114</v>
      </c>
      <c r="L205" s="97">
        <f t="shared" si="212"/>
        <v>495.22502220535245</v>
      </c>
      <c r="M205" s="97">
        <f t="shared" si="212"/>
        <v>465.9921750793381</v>
      </c>
      <c r="N205" s="97">
        <f t="shared" si="212"/>
        <v>538.14700366483669</v>
      </c>
      <c r="O205" s="97">
        <f t="shared" si="212"/>
        <v>546.18155450233837</v>
      </c>
      <c r="P205" s="97">
        <f t="shared" si="212"/>
        <v>465.81734750792947</v>
      </c>
      <c r="Q205" s="97">
        <f t="shared" si="212"/>
        <v>434.64355766950746</v>
      </c>
      <c r="R205" s="97">
        <f t="shared" si="212"/>
        <v>295.13994145598195</v>
      </c>
      <c r="S205" s="97">
        <f t="shared" si="212"/>
        <v>382.61734080454642</v>
      </c>
      <c r="T205" s="97">
        <f t="shared" si="212"/>
        <v>397.06670469406646</v>
      </c>
      <c r="U205" s="97">
        <f t="shared" si="212"/>
        <v>318.57159171823133</v>
      </c>
      <c r="V205" s="97">
        <f t="shared" si="212"/>
        <v>349.30338385403013</v>
      </c>
      <c r="W205" s="97">
        <f t="shared" si="212"/>
        <v>318.472295664044</v>
      </c>
      <c r="X205" s="97">
        <f t="shared" si="212"/>
        <v>280.47082757327235</v>
      </c>
      <c r="Y205" s="97">
        <f t="shared" si="212"/>
        <v>278.80299103848637</v>
      </c>
      <c r="DA205" s="175" t="s">
        <v>302</v>
      </c>
    </row>
    <row r="206" spans="1:105" ht="11.45" customHeight="1" x14ac:dyDescent="0.25">
      <c r="A206" s="128" t="str">
        <f>$A$24</f>
        <v>International - Intra-EEAwCHUK</v>
      </c>
      <c r="B206" s="97">
        <f t="shared" ref="B206:Y206" si="213">IF(B54=0,0,B54/B24*1000)</f>
        <v>139.71178032606554</v>
      </c>
      <c r="C206" s="97">
        <f t="shared" si="213"/>
        <v>134.38886836836087</v>
      </c>
      <c r="D206" s="97">
        <f t="shared" si="213"/>
        <v>142.61439772087331</v>
      </c>
      <c r="E206" s="97">
        <f t="shared" si="213"/>
        <v>142.85747590550656</v>
      </c>
      <c r="F206" s="97">
        <f t="shared" si="213"/>
        <v>171.88184761251387</v>
      </c>
      <c r="G206" s="97">
        <f t="shared" si="213"/>
        <v>170.70071457475854</v>
      </c>
      <c r="H206" s="97">
        <f t="shared" si="213"/>
        <v>190.01457435302032</v>
      </c>
      <c r="I206" s="97">
        <f t="shared" si="213"/>
        <v>190.69803041512748</v>
      </c>
      <c r="J206" s="97">
        <f t="shared" si="213"/>
        <v>199.54760658260449</v>
      </c>
      <c r="K206" s="97">
        <f t="shared" si="213"/>
        <v>193.72221613343407</v>
      </c>
      <c r="L206" s="97">
        <f t="shared" si="213"/>
        <v>195.36632010562056</v>
      </c>
      <c r="M206" s="97">
        <f t="shared" si="213"/>
        <v>189.11999366958923</v>
      </c>
      <c r="N206" s="97">
        <f t="shared" si="213"/>
        <v>171.80774282313274</v>
      </c>
      <c r="O206" s="97">
        <f t="shared" si="213"/>
        <v>165.021546415963</v>
      </c>
      <c r="P206" s="97">
        <f t="shared" si="213"/>
        <v>142.9106903307748</v>
      </c>
      <c r="Q206" s="97">
        <f t="shared" si="213"/>
        <v>149.07363405892619</v>
      </c>
      <c r="R206" s="97">
        <f t="shared" si="213"/>
        <v>142.68332464882195</v>
      </c>
      <c r="S206" s="97">
        <f t="shared" si="213"/>
        <v>155.15019307363471</v>
      </c>
      <c r="T206" s="97">
        <f t="shared" si="213"/>
        <v>150.19589186582195</v>
      </c>
      <c r="U206" s="97">
        <f t="shared" si="213"/>
        <v>149.95065738076721</v>
      </c>
      <c r="V206" s="97">
        <f t="shared" si="213"/>
        <v>136.65095505567669</v>
      </c>
      <c r="W206" s="97">
        <f t="shared" si="213"/>
        <v>142.45901060275938</v>
      </c>
      <c r="X206" s="97">
        <f t="shared" si="213"/>
        <v>181.72128966712128</v>
      </c>
      <c r="Y206" s="97">
        <f t="shared" si="213"/>
        <v>187.00972361913074</v>
      </c>
      <c r="DA206" s="175" t="s">
        <v>303</v>
      </c>
    </row>
    <row r="207" spans="1:105" ht="11.45" customHeight="1" x14ac:dyDescent="0.25">
      <c r="A207" s="128" t="str">
        <f>$A$25</f>
        <v>International - Extra-EEAwCHUK</v>
      </c>
      <c r="B207" s="97">
        <f t="shared" ref="B207:Y207" si="214">IF(B55=0,0,B55/B25*1000)</f>
        <v>55.943642715650022</v>
      </c>
      <c r="C207" s="97">
        <f t="shared" si="214"/>
        <v>53.377119740935491</v>
      </c>
      <c r="D207" s="97">
        <f t="shared" si="214"/>
        <v>56.423446961101817</v>
      </c>
      <c r="E207" s="97">
        <f t="shared" si="214"/>
        <v>63.481229532425246</v>
      </c>
      <c r="F207" s="97">
        <f t="shared" si="214"/>
        <v>70.238340076310067</v>
      </c>
      <c r="G207" s="97">
        <f t="shared" si="214"/>
        <v>65.404255730280994</v>
      </c>
      <c r="H207" s="97">
        <f t="shared" si="214"/>
        <v>70.984057443133324</v>
      </c>
      <c r="I207" s="97">
        <f t="shared" si="214"/>
        <v>73.338933186697361</v>
      </c>
      <c r="J207" s="97">
        <f t="shared" si="214"/>
        <v>86.66194617784754</v>
      </c>
      <c r="K207" s="97">
        <f t="shared" si="214"/>
        <v>77.973829400288636</v>
      </c>
      <c r="L207" s="97">
        <f t="shared" si="214"/>
        <v>73.700746646453595</v>
      </c>
      <c r="M207" s="97">
        <f t="shared" si="214"/>
        <v>66.561173715255805</v>
      </c>
      <c r="N207" s="97">
        <f t="shared" si="214"/>
        <v>59.887853444798722</v>
      </c>
      <c r="O207" s="97">
        <f t="shared" si="214"/>
        <v>59.094119005904062</v>
      </c>
      <c r="P207" s="97">
        <f t="shared" si="214"/>
        <v>49.48865906887621</v>
      </c>
      <c r="Q207" s="97">
        <f t="shared" si="214"/>
        <v>52.324584446769954</v>
      </c>
      <c r="R207" s="97">
        <f t="shared" si="214"/>
        <v>47.02613285391697</v>
      </c>
      <c r="S207" s="97">
        <f t="shared" si="214"/>
        <v>44.174775842712428</v>
      </c>
      <c r="T207" s="97">
        <f t="shared" si="214"/>
        <v>40.530985779757259</v>
      </c>
      <c r="U207" s="97">
        <f t="shared" si="214"/>
        <v>29.078930847111472</v>
      </c>
      <c r="V207" s="97">
        <f t="shared" si="214"/>
        <v>58.005800632481687</v>
      </c>
      <c r="W207" s="97">
        <f t="shared" si="214"/>
        <v>48.391933334739171</v>
      </c>
      <c r="X207" s="97">
        <f t="shared" si="214"/>
        <v>39.363165869446625</v>
      </c>
      <c r="Y207" s="97">
        <f t="shared" si="214"/>
        <v>39.741332442591045</v>
      </c>
      <c r="DA207" s="175" t="s">
        <v>304</v>
      </c>
    </row>
    <row r="208" spans="1:105" ht="11.45" customHeight="1" x14ac:dyDescent="0.25">
      <c r="A208" s="109" t="s">
        <v>141</v>
      </c>
      <c r="B208" s="130">
        <f t="shared" ref="B208:Y208" si="215">IF(B56=0,0,B56/B26*1000)</f>
        <v>146.37511420614865</v>
      </c>
      <c r="C208" s="130">
        <f t="shared" si="215"/>
        <v>162.89918831144124</v>
      </c>
      <c r="D208" s="130">
        <f t="shared" si="215"/>
        <v>294.05062056341467</v>
      </c>
      <c r="E208" s="130">
        <f t="shared" si="215"/>
        <v>208.26722841677019</v>
      </c>
      <c r="F208" s="130">
        <f t="shared" si="215"/>
        <v>80.013238721808364</v>
      </c>
      <c r="G208" s="130">
        <f t="shared" si="215"/>
        <v>46.843165467599533</v>
      </c>
      <c r="H208" s="130">
        <f t="shared" si="215"/>
        <v>54.584958767287752</v>
      </c>
      <c r="I208" s="130">
        <f t="shared" si="215"/>
        <v>291.26807516975703</v>
      </c>
      <c r="J208" s="130">
        <f t="shared" si="215"/>
        <v>304.82129247317113</v>
      </c>
      <c r="K208" s="130">
        <f t="shared" si="215"/>
        <v>491.66544960328588</v>
      </c>
      <c r="L208" s="130">
        <f t="shared" si="215"/>
        <v>314.6299860225684</v>
      </c>
      <c r="M208" s="130">
        <f t="shared" si="215"/>
        <v>295.6086802367671</v>
      </c>
      <c r="N208" s="130">
        <f t="shared" si="215"/>
        <v>364.02979389640592</v>
      </c>
      <c r="O208" s="130">
        <f t="shared" si="215"/>
        <v>360.94203662161499</v>
      </c>
      <c r="P208" s="130">
        <f t="shared" si="215"/>
        <v>267.46807986127197</v>
      </c>
      <c r="Q208" s="130">
        <f t="shared" si="215"/>
        <v>325.27163570867742</v>
      </c>
      <c r="R208" s="130">
        <f t="shared" si="215"/>
        <v>272.89427821577129</v>
      </c>
      <c r="S208" s="130">
        <f t="shared" si="215"/>
        <v>282.11485294515757</v>
      </c>
      <c r="T208" s="130">
        <f t="shared" si="215"/>
        <v>290.03418814263063</v>
      </c>
      <c r="U208" s="130">
        <f t="shared" si="215"/>
        <v>247.38877903200898</v>
      </c>
      <c r="V208" s="130">
        <f t="shared" si="215"/>
        <v>199.8274559444836</v>
      </c>
      <c r="W208" s="130">
        <f t="shared" si="215"/>
        <v>226.07259123674385</v>
      </c>
      <c r="X208" s="130">
        <f t="shared" si="215"/>
        <v>203.88643969076097</v>
      </c>
      <c r="Y208" s="130">
        <f t="shared" si="215"/>
        <v>199.20865435253879</v>
      </c>
      <c r="DA208" s="176" t="s">
        <v>429</v>
      </c>
    </row>
    <row r="209" spans="1:105" ht="11.45" customHeight="1" x14ac:dyDescent="0.25">
      <c r="A209" s="128" t="str">
        <f>$A$27</f>
        <v>Domestic coastal shipping</v>
      </c>
      <c r="B209" s="97">
        <f t="shared" ref="B209:Y209" si="216">IF(B57=0,0,B57/B27*1000)</f>
        <v>146.37511420614865</v>
      </c>
      <c r="C209" s="97">
        <f t="shared" si="216"/>
        <v>162.89918831144124</v>
      </c>
      <c r="D209" s="97">
        <f t="shared" si="216"/>
        <v>294.05062056341467</v>
      </c>
      <c r="E209" s="97">
        <f t="shared" si="216"/>
        <v>208.26722841677019</v>
      </c>
      <c r="F209" s="97">
        <f t="shared" si="216"/>
        <v>80.013238721808364</v>
      </c>
      <c r="G209" s="97">
        <f t="shared" si="216"/>
        <v>46.843165467599533</v>
      </c>
      <c r="H209" s="97">
        <f t="shared" si="216"/>
        <v>54.584958767287752</v>
      </c>
      <c r="I209" s="97">
        <f t="shared" si="216"/>
        <v>291.26807516975703</v>
      </c>
      <c r="J209" s="97">
        <f t="shared" si="216"/>
        <v>304.82129247317113</v>
      </c>
      <c r="K209" s="97">
        <f t="shared" si="216"/>
        <v>491.66544960328588</v>
      </c>
      <c r="L209" s="97">
        <f t="shared" si="216"/>
        <v>314.6299860225684</v>
      </c>
      <c r="M209" s="97">
        <f t="shared" si="216"/>
        <v>295.6086802367671</v>
      </c>
      <c r="N209" s="97">
        <f t="shared" si="216"/>
        <v>364.02979389640592</v>
      </c>
      <c r="O209" s="97">
        <f t="shared" si="216"/>
        <v>360.94203662161499</v>
      </c>
      <c r="P209" s="97">
        <f t="shared" si="216"/>
        <v>267.46807986127197</v>
      </c>
      <c r="Q209" s="97">
        <f t="shared" si="216"/>
        <v>325.27163570867742</v>
      </c>
      <c r="R209" s="97">
        <f t="shared" si="216"/>
        <v>272.89427821577129</v>
      </c>
      <c r="S209" s="97">
        <f t="shared" si="216"/>
        <v>282.11485294515757</v>
      </c>
      <c r="T209" s="97">
        <f t="shared" si="216"/>
        <v>290.03418814263063</v>
      </c>
      <c r="U209" s="97">
        <f t="shared" si="216"/>
        <v>247.38877903200898</v>
      </c>
      <c r="V209" s="97">
        <f t="shared" si="216"/>
        <v>199.8274559444836</v>
      </c>
      <c r="W209" s="97">
        <f t="shared" si="216"/>
        <v>226.07259123674385</v>
      </c>
      <c r="X209" s="97">
        <f t="shared" si="216"/>
        <v>203.88643969076097</v>
      </c>
      <c r="Y209" s="97">
        <f t="shared" si="216"/>
        <v>199.20865435253879</v>
      </c>
      <c r="DA209" s="175" t="s">
        <v>430</v>
      </c>
    </row>
    <row r="210" spans="1:105" ht="11.45" customHeight="1" x14ac:dyDescent="0.25">
      <c r="A210" s="138" t="str">
        <f>$A$28</f>
        <v>Inland waterways</v>
      </c>
      <c r="B210" s="98">
        <f t="shared" ref="B210:Y210" si="217">IF(B58=0,0,B58/B28*1000)</f>
        <v>0</v>
      </c>
      <c r="C210" s="98">
        <f t="shared" si="217"/>
        <v>0</v>
      </c>
      <c r="D210" s="98">
        <f t="shared" si="217"/>
        <v>0</v>
      </c>
      <c r="E210" s="98">
        <f t="shared" si="217"/>
        <v>0</v>
      </c>
      <c r="F210" s="98">
        <f t="shared" si="217"/>
        <v>0</v>
      </c>
      <c r="G210" s="98">
        <f t="shared" si="217"/>
        <v>0</v>
      </c>
      <c r="H210" s="98">
        <f t="shared" si="217"/>
        <v>0</v>
      </c>
      <c r="I210" s="98">
        <f t="shared" si="217"/>
        <v>0</v>
      </c>
      <c r="J210" s="98">
        <f t="shared" si="217"/>
        <v>0</v>
      </c>
      <c r="K210" s="98">
        <f t="shared" si="217"/>
        <v>0</v>
      </c>
      <c r="L210" s="98">
        <f t="shared" si="217"/>
        <v>0</v>
      </c>
      <c r="M210" s="98">
        <f t="shared" si="217"/>
        <v>0</v>
      </c>
      <c r="N210" s="98">
        <f t="shared" si="217"/>
        <v>0</v>
      </c>
      <c r="O210" s="98">
        <f t="shared" si="217"/>
        <v>0</v>
      </c>
      <c r="P210" s="98">
        <f t="shared" si="217"/>
        <v>0</v>
      </c>
      <c r="Q210" s="98">
        <f t="shared" si="217"/>
        <v>0</v>
      </c>
      <c r="R210" s="98">
        <f t="shared" si="217"/>
        <v>0</v>
      </c>
      <c r="S210" s="98">
        <f t="shared" si="217"/>
        <v>0</v>
      </c>
      <c r="T210" s="98">
        <f t="shared" si="217"/>
        <v>0</v>
      </c>
      <c r="U210" s="98">
        <f t="shared" si="217"/>
        <v>0</v>
      </c>
      <c r="V210" s="98">
        <f t="shared" si="217"/>
        <v>0</v>
      </c>
      <c r="W210" s="98">
        <f t="shared" si="217"/>
        <v>0</v>
      </c>
      <c r="X210" s="98">
        <f t="shared" si="217"/>
        <v>0</v>
      </c>
      <c r="Y210" s="98">
        <f t="shared" si="217"/>
        <v>0</v>
      </c>
      <c r="DA210" s="178" t="s">
        <v>431</v>
      </c>
    </row>
    <row r="211" spans="1:105" ht="11.45" customHeight="1" x14ac:dyDescent="0.25">
      <c r="A211" s="27" t="s">
        <v>172</v>
      </c>
      <c r="B211" s="32">
        <f t="shared" ref="B211:Y211" si="218">IF(B59=0,0,B59/B29*1000)</f>
        <v>5.3813860536035154</v>
      </c>
      <c r="C211" s="32">
        <f t="shared" si="218"/>
        <v>3.8850629883456356</v>
      </c>
      <c r="D211" s="32">
        <f t="shared" si="218"/>
        <v>3.9184812206473274</v>
      </c>
      <c r="E211" s="32">
        <f t="shared" si="218"/>
        <v>4.8699767486571757</v>
      </c>
      <c r="F211" s="32">
        <f t="shared" si="218"/>
        <v>5.5549303675574082</v>
      </c>
      <c r="G211" s="32">
        <f t="shared" si="218"/>
        <v>4.6399673052344133</v>
      </c>
      <c r="H211" s="32">
        <f t="shared" si="218"/>
        <v>4.734595631344769</v>
      </c>
      <c r="I211" s="32">
        <f t="shared" si="218"/>
        <v>3.7150110518606154</v>
      </c>
      <c r="J211" s="32">
        <f t="shared" si="218"/>
        <v>3.9937344920172522</v>
      </c>
      <c r="K211" s="32">
        <f t="shared" si="218"/>
        <v>4.2592265618713281</v>
      </c>
      <c r="L211" s="32">
        <f t="shared" si="218"/>
        <v>3.6344277612296247</v>
      </c>
      <c r="M211" s="32">
        <f t="shared" si="218"/>
        <v>3.9468161598410219</v>
      </c>
      <c r="N211" s="32">
        <f t="shared" si="218"/>
        <v>4.2735471570898769</v>
      </c>
      <c r="O211" s="32">
        <f t="shared" si="218"/>
        <v>3.7721222706070785</v>
      </c>
      <c r="P211" s="32">
        <f t="shared" si="218"/>
        <v>3.4708591723553726</v>
      </c>
      <c r="Q211" s="32">
        <f t="shared" si="218"/>
        <v>3.407860744663648</v>
      </c>
      <c r="R211" s="32">
        <f t="shared" si="218"/>
        <v>3.9503516859812304</v>
      </c>
      <c r="S211" s="32">
        <f t="shared" si="218"/>
        <v>3.7880694748065626</v>
      </c>
      <c r="T211" s="32">
        <f t="shared" si="218"/>
        <v>4.1276631587966701</v>
      </c>
      <c r="U211" s="32">
        <f t="shared" si="218"/>
        <v>5.2666712835446292</v>
      </c>
      <c r="V211" s="32">
        <f t="shared" si="218"/>
        <v>4.101991028429679</v>
      </c>
      <c r="W211" s="32">
        <f t="shared" si="218"/>
        <v>3.678416570476791</v>
      </c>
      <c r="X211" s="32">
        <f t="shared" si="218"/>
        <v>3.8284130101785312</v>
      </c>
      <c r="Y211" s="32">
        <f t="shared" si="218"/>
        <v>3.0485307286389678</v>
      </c>
      <c r="DA211" s="173" t="s">
        <v>432</v>
      </c>
    </row>
    <row r="212" spans="1:105" ht="11.45" customHeight="1" x14ac:dyDescent="0.25">
      <c r="A212" s="128" t="str">
        <f>$A$30</f>
        <v>Intra-EEA</v>
      </c>
      <c r="B212" s="97">
        <f t="shared" ref="B212:Y212" si="219">IF(B60=0,0,B60/B30*1000)</f>
        <v>13.034174824847479</v>
      </c>
      <c r="C212" s="97">
        <f t="shared" si="219"/>
        <v>9.6623327399376695</v>
      </c>
      <c r="D212" s="97">
        <f t="shared" si="219"/>
        <v>9.6742936083043709</v>
      </c>
      <c r="E212" s="97">
        <f t="shared" si="219"/>
        <v>12.522899678057209</v>
      </c>
      <c r="F212" s="97">
        <f t="shared" si="219"/>
        <v>13.759056290514437</v>
      </c>
      <c r="G212" s="97">
        <f t="shared" si="219"/>
        <v>11.380579597315936</v>
      </c>
      <c r="H212" s="97">
        <f t="shared" si="219"/>
        <v>12.180052116048087</v>
      </c>
      <c r="I212" s="97">
        <f t="shared" si="219"/>
        <v>9.9175277843841378</v>
      </c>
      <c r="J212" s="97">
        <f t="shared" si="219"/>
        <v>10.931990690773606</v>
      </c>
      <c r="K212" s="97">
        <f t="shared" si="219"/>
        <v>11.161016825397393</v>
      </c>
      <c r="L212" s="97">
        <f t="shared" si="219"/>
        <v>9.7391274074032417</v>
      </c>
      <c r="M212" s="97">
        <f t="shared" si="219"/>
        <v>11.242407889030956</v>
      </c>
      <c r="N212" s="97">
        <f t="shared" si="219"/>
        <v>12.37295818686205</v>
      </c>
      <c r="O212" s="97">
        <f t="shared" si="219"/>
        <v>11.0610525673839</v>
      </c>
      <c r="P212" s="97">
        <f t="shared" si="219"/>
        <v>9.9661120300009713</v>
      </c>
      <c r="Q212" s="97">
        <f t="shared" si="219"/>
        <v>10.019630901528668</v>
      </c>
      <c r="R212" s="97">
        <f t="shared" si="219"/>
        <v>11.514105981159133</v>
      </c>
      <c r="S212" s="97">
        <f t="shared" si="219"/>
        <v>11.058645010016066</v>
      </c>
      <c r="T212" s="97">
        <f t="shared" si="219"/>
        <v>11.58150993160465</v>
      </c>
      <c r="U212" s="97">
        <f t="shared" si="219"/>
        <v>13.780930111679563</v>
      </c>
      <c r="V212" s="97">
        <f t="shared" si="219"/>
        <v>9.6132201954160728</v>
      </c>
      <c r="W212" s="97">
        <f t="shared" si="219"/>
        <v>8.8908649596817995</v>
      </c>
      <c r="X212" s="97">
        <f t="shared" si="219"/>
        <v>9.8655844607484315</v>
      </c>
      <c r="Y212" s="97">
        <f t="shared" si="219"/>
        <v>8.0837236019580363</v>
      </c>
      <c r="DA212" s="175" t="s">
        <v>433</v>
      </c>
    </row>
    <row r="213" spans="1:105" ht="11.45" customHeight="1" x14ac:dyDescent="0.25">
      <c r="A213" s="138" t="str">
        <f>$A$31</f>
        <v>Extra-EEA</v>
      </c>
      <c r="B213" s="98">
        <f t="shared" ref="B213:Y213" si="220">IF(B61=0,0,B61/B31*1000)</f>
        <v>3.8248214480656983</v>
      </c>
      <c r="C213" s="98">
        <f t="shared" si="220"/>
        <v>2.7480443736911999</v>
      </c>
      <c r="D213" s="98">
        <f t="shared" si="220"/>
        <v>2.8074311097360614</v>
      </c>
      <c r="E213" s="98">
        <f t="shared" si="220"/>
        <v>3.5451563116191833</v>
      </c>
      <c r="F213" s="98">
        <f t="shared" si="220"/>
        <v>3.9664599712428297</v>
      </c>
      <c r="G213" s="98">
        <f t="shared" si="220"/>
        <v>3.2996203004774207</v>
      </c>
      <c r="H213" s="98">
        <f t="shared" si="220"/>
        <v>3.4101554610939133</v>
      </c>
      <c r="I213" s="98">
        <f t="shared" si="220"/>
        <v>2.6944845177824526</v>
      </c>
      <c r="J213" s="98">
        <f t="shared" si="220"/>
        <v>2.9001964342212823</v>
      </c>
      <c r="K213" s="98">
        <f t="shared" si="220"/>
        <v>3.0329350608286552</v>
      </c>
      <c r="L213" s="98">
        <f t="shared" si="220"/>
        <v>2.5990672002009432</v>
      </c>
      <c r="M213" s="98">
        <f t="shared" si="220"/>
        <v>2.8417797022404745</v>
      </c>
      <c r="N213" s="98">
        <f t="shared" si="220"/>
        <v>3.0809851090500504</v>
      </c>
      <c r="O213" s="98">
        <f t="shared" si="220"/>
        <v>2.722981978518678</v>
      </c>
      <c r="P213" s="98">
        <f t="shared" si="220"/>
        <v>2.4956258369846651</v>
      </c>
      <c r="Q213" s="98">
        <f t="shared" si="220"/>
        <v>2.4729809021093607</v>
      </c>
      <c r="R213" s="98">
        <f t="shared" si="220"/>
        <v>2.8780318302702348</v>
      </c>
      <c r="S213" s="98">
        <f t="shared" si="220"/>
        <v>2.7495687396599973</v>
      </c>
      <c r="T213" s="98">
        <f t="shared" si="220"/>
        <v>2.9445637816400052</v>
      </c>
      <c r="U213" s="98">
        <f t="shared" si="220"/>
        <v>3.6526005086183044</v>
      </c>
      <c r="V213" s="98">
        <f t="shared" si="220"/>
        <v>3.065670457699516</v>
      </c>
      <c r="W213" s="98">
        <f t="shared" si="220"/>
        <v>2.7292836758581904</v>
      </c>
      <c r="X213" s="98">
        <f t="shared" si="220"/>
        <v>2.7136024156735545</v>
      </c>
      <c r="Y213" s="98">
        <f t="shared" si="220"/>
        <v>2.1632366547032875</v>
      </c>
      <c r="DA213" s="178" t="s">
        <v>434</v>
      </c>
    </row>
    <row r="214" spans="1:105" x14ac:dyDescent="0.25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DA214" s="171"/>
    </row>
    <row r="215" spans="1:105" ht="11.45" customHeight="1" x14ac:dyDescent="0.25">
      <c r="A215" s="53" t="s">
        <v>43</v>
      </c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DA215" s="172"/>
    </row>
    <row r="216" spans="1:105" ht="11.45" customHeight="1" x14ac:dyDescent="0.25">
      <c r="A216" s="27" t="s">
        <v>160</v>
      </c>
      <c r="B216" s="32">
        <f t="shared" ref="B216:Y216" si="221">IF(B4=0,0,B64/B4*1000)</f>
        <v>113.03403822579925</v>
      </c>
      <c r="C216" s="32">
        <f t="shared" si="221"/>
        <v>111.61091421872403</v>
      </c>
      <c r="D216" s="32">
        <f t="shared" si="221"/>
        <v>112.75123236748237</v>
      </c>
      <c r="E216" s="32">
        <f t="shared" si="221"/>
        <v>115.88586451259599</v>
      </c>
      <c r="F216" s="32">
        <f t="shared" si="221"/>
        <v>117.81828580030022</v>
      </c>
      <c r="G216" s="32">
        <f t="shared" si="221"/>
        <v>114.32856123557296</v>
      </c>
      <c r="H216" s="32">
        <f t="shared" si="221"/>
        <v>113.03522006088399</v>
      </c>
      <c r="I216" s="32">
        <f t="shared" si="221"/>
        <v>110.61413088624747</v>
      </c>
      <c r="J216" s="32">
        <f t="shared" si="221"/>
        <v>111.20656506844006</v>
      </c>
      <c r="K216" s="32">
        <f t="shared" si="221"/>
        <v>111.9122049123508</v>
      </c>
      <c r="L216" s="32">
        <f t="shared" si="221"/>
        <v>113.79678579999658</v>
      </c>
      <c r="M216" s="32">
        <f t="shared" si="221"/>
        <v>107.91481823574613</v>
      </c>
      <c r="N216" s="32">
        <f t="shared" si="221"/>
        <v>104.08125384754227</v>
      </c>
      <c r="O216" s="32">
        <f t="shared" si="221"/>
        <v>103.16585595961892</v>
      </c>
      <c r="P216" s="32">
        <f t="shared" si="221"/>
        <v>102.71716662598806</v>
      </c>
      <c r="Q216" s="32">
        <f t="shared" si="221"/>
        <v>102.08730255913615</v>
      </c>
      <c r="R216" s="32">
        <f t="shared" si="221"/>
        <v>99.314406843573636</v>
      </c>
      <c r="S216" s="32">
        <f t="shared" si="221"/>
        <v>97.481063519752283</v>
      </c>
      <c r="T216" s="32">
        <f t="shared" si="221"/>
        <v>94.876540811656596</v>
      </c>
      <c r="U216" s="32">
        <f t="shared" si="221"/>
        <v>93.628371513895445</v>
      </c>
      <c r="V216" s="32">
        <f t="shared" si="221"/>
        <v>101.77490260758029</v>
      </c>
      <c r="W216" s="32">
        <f t="shared" si="221"/>
        <v>100.25872603810774</v>
      </c>
      <c r="X216" s="32">
        <f t="shared" si="221"/>
        <v>90.862439861572199</v>
      </c>
      <c r="Y216" s="32">
        <f t="shared" si="221"/>
        <v>90.597931402456382</v>
      </c>
      <c r="DA216" s="173" t="s">
        <v>435</v>
      </c>
    </row>
    <row r="217" spans="1:105" ht="11.45" customHeight="1" x14ac:dyDescent="0.25">
      <c r="A217" s="136" t="str">
        <f>$A$5</f>
        <v>Road transport</v>
      </c>
      <c r="B217" s="141">
        <f t="shared" ref="B217:Y217" si="222">IF(B5=0,0,B65/B5*1000)</f>
        <v>117.17239901584558</v>
      </c>
      <c r="C217" s="141">
        <f t="shared" si="222"/>
        <v>115.78602278044377</v>
      </c>
      <c r="D217" s="141">
        <f t="shared" si="222"/>
        <v>118.2302428240119</v>
      </c>
      <c r="E217" s="141">
        <f t="shared" si="222"/>
        <v>121.25789532097835</v>
      </c>
      <c r="F217" s="141">
        <f t="shared" si="222"/>
        <v>122.71701884161848</v>
      </c>
      <c r="G217" s="141">
        <f t="shared" si="222"/>
        <v>119.52791444802327</v>
      </c>
      <c r="H217" s="141">
        <f t="shared" si="222"/>
        <v>118.36585435726963</v>
      </c>
      <c r="I217" s="141">
        <f t="shared" si="222"/>
        <v>117.07551096166968</v>
      </c>
      <c r="J217" s="141">
        <f t="shared" si="222"/>
        <v>118.47964447595353</v>
      </c>
      <c r="K217" s="141">
        <f t="shared" si="222"/>
        <v>120.31859307991535</v>
      </c>
      <c r="L217" s="141">
        <f t="shared" si="222"/>
        <v>122.88794949144031</v>
      </c>
      <c r="M217" s="141">
        <f t="shared" si="222"/>
        <v>116.75296037836281</v>
      </c>
      <c r="N217" s="141">
        <f t="shared" si="222"/>
        <v>111.83628205855884</v>
      </c>
      <c r="O217" s="141">
        <f t="shared" si="222"/>
        <v>111.98311971613398</v>
      </c>
      <c r="P217" s="141">
        <f t="shared" si="222"/>
        <v>113.21605741881312</v>
      </c>
      <c r="Q217" s="141">
        <f t="shared" si="222"/>
        <v>112.21401120683289</v>
      </c>
      <c r="R217" s="141">
        <f t="shared" si="222"/>
        <v>109.16966625209595</v>
      </c>
      <c r="S217" s="141">
        <f t="shared" si="222"/>
        <v>109.11822936029564</v>
      </c>
      <c r="T217" s="141">
        <f t="shared" si="222"/>
        <v>106.15809481421469</v>
      </c>
      <c r="U217" s="141">
        <f t="shared" si="222"/>
        <v>106.96717849811893</v>
      </c>
      <c r="V217" s="141">
        <f t="shared" si="222"/>
        <v>106.02105355071775</v>
      </c>
      <c r="W217" s="141">
        <f t="shared" si="222"/>
        <v>104.87490790485582</v>
      </c>
      <c r="X217" s="141">
        <f t="shared" si="222"/>
        <v>100.97357136962188</v>
      </c>
      <c r="Y217" s="141">
        <f t="shared" si="222"/>
        <v>103.69377304744057</v>
      </c>
      <c r="DA217" s="174" t="s">
        <v>436</v>
      </c>
    </row>
    <row r="218" spans="1:105" ht="11.45" customHeight="1" x14ac:dyDescent="0.25">
      <c r="A218" s="128" t="str">
        <f>$A$6</f>
        <v>Powered two-wheelers</v>
      </c>
      <c r="B218" s="97">
        <f t="shared" ref="B218:Y218" si="223">IF(B6=0,0,B66/B6*1000)</f>
        <v>102.38417909135924</v>
      </c>
      <c r="C218" s="97">
        <f t="shared" si="223"/>
        <v>96.411747757484449</v>
      </c>
      <c r="D218" s="97">
        <f t="shared" si="223"/>
        <v>95.55427759903769</v>
      </c>
      <c r="E218" s="97">
        <f t="shared" si="223"/>
        <v>94.819675520141374</v>
      </c>
      <c r="F218" s="97">
        <f t="shared" si="223"/>
        <v>94.084213450557172</v>
      </c>
      <c r="G218" s="97">
        <f t="shared" si="223"/>
        <v>93.449984555504813</v>
      </c>
      <c r="H218" s="97">
        <f t="shared" si="223"/>
        <v>92.611132344726698</v>
      </c>
      <c r="I218" s="97">
        <f t="shared" si="223"/>
        <v>91.588058927112129</v>
      </c>
      <c r="J218" s="97">
        <f t="shared" si="223"/>
        <v>91.042650043656536</v>
      </c>
      <c r="K218" s="97">
        <f t="shared" si="223"/>
        <v>90.166683045507696</v>
      </c>
      <c r="L218" s="97">
        <f t="shared" si="223"/>
        <v>88.325360419408256</v>
      </c>
      <c r="M218" s="97">
        <f t="shared" si="223"/>
        <v>86.803694592882479</v>
      </c>
      <c r="N218" s="97">
        <f t="shared" si="223"/>
        <v>85.802805096111172</v>
      </c>
      <c r="O218" s="97">
        <f t="shared" si="223"/>
        <v>85.093401354068547</v>
      </c>
      <c r="P218" s="97">
        <f t="shared" si="223"/>
        <v>83.835953724890174</v>
      </c>
      <c r="Q218" s="97">
        <f t="shared" si="223"/>
        <v>80.772001576688126</v>
      </c>
      <c r="R218" s="97">
        <f t="shared" si="223"/>
        <v>79.309557845509147</v>
      </c>
      <c r="S218" s="97">
        <f t="shared" si="223"/>
        <v>84.063563405196803</v>
      </c>
      <c r="T218" s="97">
        <f t="shared" si="223"/>
        <v>82.999076821641353</v>
      </c>
      <c r="U218" s="97">
        <f t="shared" si="223"/>
        <v>82.100704102732522</v>
      </c>
      <c r="V218" s="97">
        <f t="shared" si="223"/>
        <v>80.45474166491779</v>
      </c>
      <c r="W218" s="97">
        <f t="shared" si="223"/>
        <v>78.888066584999862</v>
      </c>
      <c r="X218" s="97">
        <f t="shared" si="223"/>
        <v>78.25781089144445</v>
      </c>
      <c r="Y218" s="97">
        <f t="shared" si="223"/>
        <v>78.243890879384509</v>
      </c>
      <c r="DA218" s="175" t="s">
        <v>437</v>
      </c>
    </row>
    <row r="219" spans="1:105" ht="11.45" customHeight="1" x14ac:dyDescent="0.25">
      <c r="A219" s="128" t="str">
        <f>$A$7</f>
        <v>Passenger cars</v>
      </c>
      <c r="B219" s="97">
        <f t="shared" ref="B219:Y219" si="224">IF(B7=0,0,B67/B7*1000)</f>
        <v>122.91802148670475</v>
      </c>
      <c r="C219" s="97">
        <f t="shared" si="224"/>
        <v>120.25325856243396</v>
      </c>
      <c r="D219" s="97">
        <f t="shared" si="224"/>
        <v>121.03680052054003</v>
      </c>
      <c r="E219" s="97">
        <f t="shared" si="224"/>
        <v>125.5509089412587</v>
      </c>
      <c r="F219" s="97">
        <f t="shared" si="224"/>
        <v>127.88092144008115</v>
      </c>
      <c r="G219" s="97">
        <f t="shared" si="224"/>
        <v>122.15012243489272</v>
      </c>
      <c r="H219" s="97">
        <f t="shared" si="224"/>
        <v>120.58020830032788</v>
      </c>
      <c r="I219" s="97">
        <f t="shared" si="224"/>
        <v>119.3262443054488</v>
      </c>
      <c r="J219" s="97">
        <f t="shared" si="224"/>
        <v>120.67970976980908</v>
      </c>
      <c r="K219" s="97">
        <f t="shared" si="224"/>
        <v>122.28309767239041</v>
      </c>
      <c r="L219" s="97">
        <f t="shared" si="224"/>
        <v>125.22414673240301</v>
      </c>
      <c r="M219" s="97">
        <f t="shared" si="224"/>
        <v>118.22084117413419</v>
      </c>
      <c r="N219" s="97">
        <f t="shared" si="224"/>
        <v>114.34988991856591</v>
      </c>
      <c r="O219" s="97">
        <f t="shared" si="224"/>
        <v>114.98900046983144</v>
      </c>
      <c r="P219" s="97">
        <f t="shared" si="224"/>
        <v>114.49197490463362</v>
      </c>
      <c r="Q219" s="97">
        <f t="shared" si="224"/>
        <v>113.14193191979683</v>
      </c>
      <c r="R219" s="97">
        <f t="shared" si="224"/>
        <v>109.16596457298968</v>
      </c>
      <c r="S219" s="97">
        <f t="shared" si="224"/>
        <v>109.80007783173603</v>
      </c>
      <c r="T219" s="97">
        <f t="shared" si="224"/>
        <v>106.79165405636441</v>
      </c>
      <c r="U219" s="97">
        <f t="shared" si="224"/>
        <v>108.18506736331165</v>
      </c>
      <c r="V219" s="97">
        <f t="shared" si="224"/>
        <v>105.56570397306353</v>
      </c>
      <c r="W219" s="97">
        <f t="shared" si="224"/>
        <v>105.31112606876459</v>
      </c>
      <c r="X219" s="97">
        <f t="shared" si="224"/>
        <v>102.67427409910502</v>
      </c>
      <c r="Y219" s="97">
        <f t="shared" si="224"/>
        <v>105.64497557271511</v>
      </c>
      <c r="DA219" s="175" t="s">
        <v>438</v>
      </c>
    </row>
    <row r="220" spans="1:105" ht="11.45" customHeight="1" x14ac:dyDescent="0.25">
      <c r="A220" s="128" t="str">
        <f>$A$8</f>
        <v>Motor coaches, buses and trolley buses</v>
      </c>
      <c r="B220" s="97">
        <f t="shared" ref="B220:Y220" si="225">IF(B8=0,0,B68/B8*1000)</f>
        <v>84.632327435448076</v>
      </c>
      <c r="C220" s="97">
        <f t="shared" si="225"/>
        <v>89.43349660197498</v>
      </c>
      <c r="D220" s="97">
        <f t="shared" si="225"/>
        <v>100.46000447157743</v>
      </c>
      <c r="E220" s="97">
        <f t="shared" si="225"/>
        <v>92.904141777415347</v>
      </c>
      <c r="F220" s="97">
        <f t="shared" si="225"/>
        <v>88.552883059211965</v>
      </c>
      <c r="G220" s="97">
        <f t="shared" si="225"/>
        <v>93.473016909157849</v>
      </c>
      <c r="H220" s="97">
        <f t="shared" si="225"/>
        <v>96.685910253976431</v>
      </c>
      <c r="I220" s="97">
        <f t="shared" si="225"/>
        <v>94.733429525471877</v>
      </c>
      <c r="J220" s="97">
        <f t="shared" si="225"/>
        <v>97.600617795425677</v>
      </c>
      <c r="K220" s="97">
        <f t="shared" si="225"/>
        <v>102.48664661040142</v>
      </c>
      <c r="L220" s="97">
        <f t="shared" si="225"/>
        <v>102.01675015365903</v>
      </c>
      <c r="M220" s="97">
        <f t="shared" si="225"/>
        <v>105.83097861786494</v>
      </c>
      <c r="N220" s="97">
        <f t="shared" si="225"/>
        <v>85.243716754947229</v>
      </c>
      <c r="O220" s="97">
        <f t="shared" si="225"/>
        <v>79.706232417952862</v>
      </c>
      <c r="P220" s="97">
        <f t="shared" si="225"/>
        <v>104.2600424242752</v>
      </c>
      <c r="Q220" s="97">
        <f t="shared" si="225"/>
        <v>108.44270818854505</v>
      </c>
      <c r="R220" s="97">
        <f t="shared" si="225"/>
        <v>120.26829079129259</v>
      </c>
      <c r="S220" s="97">
        <f t="shared" si="225"/>
        <v>106.5455599273311</v>
      </c>
      <c r="T220" s="97">
        <f t="shared" si="225"/>
        <v>103.32111540344515</v>
      </c>
      <c r="U220" s="97">
        <f t="shared" si="225"/>
        <v>96.202185337383781</v>
      </c>
      <c r="V220" s="97">
        <f t="shared" si="225"/>
        <v>127.87972569519191</v>
      </c>
      <c r="W220" s="97">
        <f t="shared" si="225"/>
        <v>106.22180546862982</v>
      </c>
      <c r="X220" s="97">
        <f t="shared" si="225"/>
        <v>86.199137850906098</v>
      </c>
      <c r="Y220" s="97">
        <f t="shared" si="225"/>
        <v>86.839587819266754</v>
      </c>
      <c r="DA220" s="175" t="s">
        <v>439</v>
      </c>
    </row>
    <row r="221" spans="1:105" ht="11.45" customHeight="1" x14ac:dyDescent="0.25">
      <c r="A221" s="109" t="str">
        <f>$A$9</f>
        <v>Rail, metro and tram</v>
      </c>
      <c r="B221" s="130">
        <f t="shared" ref="B221:Y221" si="226">IF(B9=0,0,B69/B9*1000)</f>
        <v>31.936614339172504</v>
      </c>
      <c r="C221" s="130">
        <f t="shared" si="226"/>
        <v>24.085910325855512</v>
      </c>
      <c r="D221" s="130">
        <f t="shared" si="226"/>
        <v>20.178968736900668</v>
      </c>
      <c r="E221" s="130">
        <f t="shared" si="226"/>
        <v>17.330310942419118</v>
      </c>
      <c r="F221" s="130">
        <f t="shared" si="226"/>
        <v>15.026169969630116</v>
      </c>
      <c r="G221" s="130">
        <f t="shared" si="226"/>
        <v>13.371863741756123</v>
      </c>
      <c r="H221" s="130">
        <f t="shared" si="226"/>
        <v>12.30037438016023</v>
      </c>
      <c r="I221" s="130">
        <f t="shared" si="226"/>
        <v>11.475311213916518</v>
      </c>
      <c r="J221" s="130">
        <f t="shared" si="226"/>
        <v>10.836484648962452</v>
      </c>
      <c r="K221" s="130">
        <f t="shared" si="226"/>
        <v>8.7349032007933953</v>
      </c>
      <c r="L221" s="130">
        <f t="shared" si="226"/>
        <v>7.6537149973650198</v>
      </c>
      <c r="M221" s="130">
        <f t="shared" si="226"/>
        <v>6.3389072109248668</v>
      </c>
      <c r="N221" s="130">
        <f t="shared" si="226"/>
        <v>5.4150782056212785</v>
      </c>
      <c r="O221" s="130">
        <f t="shared" si="226"/>
        <v>4.9483045397666343</v>
      </c>
      <c r="P221" s="130">
        <f t="shared" si="226"/>
        <v>4.6585871779026746</v>
      </c>
      <c r="Q221" s="130">
        <f t="shared" si="226"/>
        <v>4.3635654340540979</v>
      </c>
      <c r="R221" s="130">
        <f t="shared" si="226"/>
        <v>3.9993430138830344</v>
      </c>
      <c r="S221" s="130">
        <f t="shared" si="226"/>
        <v>3.5214616900744704</v>
      </c>
      <c r="T221" s="130">
        <f t="shared" si="226"/>
        <v>3.6339943461425799</v>
      </c>
      <c r="U221" s="130">
        <f t="shared" si="226"/>
        <v>3.1773524958306334</v>
      </c>
      <c r="V221" s="130">
        <f t="shared" si="226"/>
        <v>4.7625164422732613</v>
      </c>
      <c r="W221" s="130">
        <f t="shared" si="226"/>
        <v>3.392631557422118</v>
      </c>
      <c r="X221" s="130">
        <f t="shared" si="226"/>
        <v>2.2255461980380402</v>
      </c>
      <c r="Y221" s="130">
        <f t="shared" si="226"/>
        <v>2.6188685254527622</v>
      </c>
      <c r="DA221" s="176" t="s">
        <v>440</v>
      </c>
    </row>
    <row r="222" spans="1:105" ht="11.45" customHeight="1" x14ac:dyDescent="0.25">
      <c r="A222" s="128" t="str">
        <f>$A$10</f>
        <v>Metro and tram, urban light rail</v>
      </c>
      <c r="B222" s="97">
        <f t="shared" ref="B222:Y222" si="227">IF(B10=0,0,B70/B10*1000)</f>
        <v>0</v>
      </c>
      <c r="C222" s="97">
        <f t="shared" si="227"/>
        <v>0</v>
      </c>
      <c r="D222" s="97">
        <f t="shared" si="227"/>
        <v>0</v>
      </c>
      <c r="E222" s="97">
        <f t="shared" si="227"/>
        <v>0</v>
      </c>
      <c r="F222" s="97">
        <f t="shared" si="227"/>
        <v>0</v>
      </c>
      <c r="G222" s="97">
        <f t="shared" si="227"/>
        <v>0</v>
      </c>
      <c r="H222" s="97">
        <f t="shared" si="227"/>
        <v>0</v>
      </c>
      <c r="I222" s="97">
        <f t="shared" si="227"/>
        <v>0</v>
      </c>
      <c r="J222" s="97">
        <f t="shared" si="227"/>
        <v>0</v>
      </c>
      <c r="K222" s="97">
        <f t="shared" si="227"/>
        <v>0</v>
      </c>
      <c r="L222" s="97">
        <f t="shared" si="227"/>
        <v>0</v>
      </c>
      <c r="M222" s="97">
        <f t="shared" si="227"/>
        <v>0</v>
      </c>
      <c r="N222" s="97">
        <f t="shared" si="227"/>
        <v>0</v>
      </c>
      <c r="O222" s="97">
        <f t="shared" si="227"/>
        <v>0</v>
      </c>
      <c r="P222" s="97">
        <f t="shared" si="227"/>
        <v>0</v>
      </c>
      <c r="Q222" s="97">
        <f t="shared" si="227"/>
        <v>0</v>
      </c>
      <c r="R222" s="97">
        <f t="shared" si="227"/>
        <v>0</v>
      </c>
      <c r="S222" s="97">
        <f t="shared" si="227"/>
        <v>0</v>
      </c>
      <c r="T222" s="97">
        <f t="shared" si="227"/>
        <v>0</v>
      </c>
      <c r="U222" s="97">
        <f t="shared" si="227"/>
        <v>0</v>
      </c>
      <c r="V222" s="97">
        <f t="shared" si="227"/>
        <v>0</v>
      </c>
      <c r="W222" s="97">
        <f t="shared" si="227"/>
        <v>0</v>
      </c>
      <c r="X222" s="97">
        <f t="shared" si="227"/>
        <v>0</v>
      </c>
      <c r="Y222" s="97">
        <f t="shared" si="227"/>
        <v>0</v>
      </c>
      <c r="DA222" s="175" t="s">
        <v>441</v>
      </c>
    </row>
    <row r="223" spans="1:105" ht="11.45" customHeight="1" x14ac:dyDescent="0.25">
      <c r="A223" s="128" t="str">
        <f>$A$11</f>
        <v>Conventional passenger trains</v>
      </c>
      <c r="B223" s="97">
        <f t="shared" ref="B223:Y223" si="228">IF(B11=0,0,B71/B11*1000)</f>
        <v>36.1346316010181</v>
      </c>
      <c r="C223" s="97">
        <f t="shared" si="228"/>
        <v>27.374192171444498</v>
      </c>
      <c r="D223" s="97">
        <f t="shared" si="228"/>
        <v>23.006594929332611</v>
      </c>
      <c r="E223" s="97">
        <f t="shared" si="228"/>
        <v>20.885956939131805</v>
      </c>
      <c r="F223" s="97">
        <f t="shared" si="228"/>
        <v>20.839974574888089</v>
      </c>
      <c r="G223" s="97">
        <f t="shared" si="228"/>
        <v>18.761365422131853</v>
      </c>
      <c r="H223" s="97">
        <f t="shared" si="228"/>
        <v>17.763230674056807</v>
      </c>
      <c r="I223" s="97">
        <f t="shared" si="228"/>
        <v>16.604389629492665</v>
      </c>
      <c r="J223" s="97">
        <f t="shared" si="228"/>
        <v>15.595843437326899</v>
      </c>
      <c r="K223" s="97">
        <f t="shared" si="228"/>
        <v>12.574049646035919</v>
      </c>
      <c r="L223" s="97">
        <f t="shared" si="228"/>
        <v>11.175045530689621</v>
      </c>
      <c r="M223" s="97">
        <f t="shared" si="228"/>
        <v>9.0519796687431455</v>
      </c>
      <c r="N223" s="97">
        <f t="shared" si="228"/>
        <v>7.83017553180263</v>
      </c>
      <c r="O223" s="97">
        <f t="shared" si="228"/>
        <v>7.1338512988921563</v>
      </c>
      <c r="P223" s="97">
        <f t="shared" si="228"/>
        <v>6.7735927853174083</v>
      </c>
      <c r="Q223" s="97">
        <f t="shared" si="228"/>
        <v>6.3954980592507669</v>
      </c>
      <c r="R223" s="97">
        <f t="shared" si="228"/>
        <v>5.8341560229130875</v>
      </c>
      <c r="S223" s="97">
        <f t="shared" si="228"/>
        <v>5.1386877296142703</v>
      </c>
      <c r="T223" s="97">
        <f t="shared" si="228"/>
        <v>5.3417578697711097</v>
      </c>
      <c r="U223" s="97">
        <f t="shared" si="228"/>
        <v>4.6261960772191859</v>
      </c>
      <c r="V223" s="97">
        <f t="shared" si="228"/>
        <v>6.5708480059312926</v>
      </c>
      <c r="W223" s="97">
        <f t="shared" si="228"/>
        <v>4.5735729587504608</v>
      </c>
      <c r="X223" s="97">
        <f t="shared" si="228"/>
        <v>3.1759585672739763</v>
      </c>
      <c r="Y223" s="97">
        <f t="shared" si="228"/>
        <v>3.8233374973150518</v>
      </c>
      <c r="DA223" s="175" t="s">
        <v>442</v>
      </c>
    </row>
    <row r="224" spans="1:105" ht="11.45" customHeight="1" x14ac:dyDescent="0.25">
      <c r="A224" s="128" t="str">
        <f>$A$12</f>
        <v>High speed passenger trains</v>
      </c>
      <c r="B224" s="97">
        <f t="shared" ref="B224:Y224" si="229">IF(B12=0,0,B72/B12*1000)</f>
        <v>0</v>
      </c>
      <c r="C224" s="97">
        <f t="shared" si="229"/>
        <v>0</v>
      </c>
      <c r="D224" s="97">
        <f t="shared" si="229"/>
        <v>0</v>
      </c>
      <c r="E224" s="97">
        <f t="shared" si="229"/>
        <v>0</v>
      </c>
      <c r="F224" s="97">
        <f t="shared" si="229"/>
        <v>0</v>
      </c>
      <c r="G224" s="97">
        <f t="shared" si="229"/>
        <v>0</v>
      </c>
      <c r="H224" s="97">
        <f t="shared" si="229"/>
        <v>0</v>
      </c>
      <c r="I224" s="97">
        <f t="shared" si="229"/>
        <v>0</v>
      </c>
      <c r="J224" s="97">
        <f t="shared" si="229"/>
        <v>0</v>
      </c>
      <c r="K224" s="97">
        <f t="shared" si="229"/>
        <v>0</v>
      </c>
      <c r="L224" s="97">
        <f t="shared" si="229"/>
        <v>0</v>
      </c>
      <c r="M224" s="97">
        <f t="shared" si="229"/>
        <v>0</v>
      </c>
      <c r="N224" s="97">
        <f t="shared" si="229"/>
        <v>0</v>
      </c>
      <c r="O224" s="97">
        <f t="shared" si="229"/>
        <v>0</v>
      </c>
      <c r="P224" s="97">
        <f t="shared" si="229"/>
        <v>0</v>
      </c>
      <c r="Q224" s="97">
        <f t="shared" si="229"/>
        <v>0</v>
      </c>
      <c r="R224" s="97">
        <f t="shared" si="229"/>
        <v>0</v>
      </c>
      <c r="S224" s="97">
        <f t="shared" si="229"/>
        <v>0</v>
      </c>
      <c r="T224" s="97">
        <f t="shared" si="229"/>
        <v>0</v>
      </c>
      <c r="U224" s="97">
        <f t="shared" si="229"/>
        <v>0</v>
      </c>
      <c r="V224" s="97">
        <f t="shared" si="229"/>
        <v>0</v>
      </c>
      <c r="W224" s="97">
        <f t="shared" si="229"/>
        <v>0</v>
      </c>
      <c r="X224" s="97">
        <f t="shared" si="229"/>
        <v>0</v>
      </c>
      <c r="Y224" s="97">
        <f t="shared" si="229"/>
        <v>0</v>
      </c>
      <c r="DA224" s="175" t="s">
        <v>443</v>
      </c>
    </row>
    <row r="225" spans="1:105" ht="11.45" customHeight="1" x14ac:dyDescent="0.25">
      <c r="A225" s="109" t="str">
        <f>$A$13</f>
        <v>Aviation</v>
      </c>
      <c r="B225" s="130">
        <f t="shared" ref="B225:Y225" si="230">IF(B13=0,0,B73/B13*1000)</f>
        <v>114.057414631844</v>
      </c>
      <c r="C225" s="130">
        <f t="shared" si="230"/>
        <v>113.52194435623248</v>
      </c>
      <c r="D225" s="130">
        <f t="shared" si="230"/>
        <v>109.00574680935318</v>
      </c>
      <c r="E225" s="130">
        <f t="shared" si="230"/>
        <v>113.0249640250824</v>
      </c>
      <c r="F225" s="130">
        <f t="shared" si="230"/>
        <v>117.96040981149699</v>
      </c>
      <c r="G225" s="130">
        <f t="shared" si="230"/>
        <v>113.62263273068221</v>
      </c>
      <c r="H225" s="130">
        <f t="shared" si="230"/>
        <v>112.49943602744708</v>
      </c>
      <c r="I225" s="130">
        <f t="shared" si="230"/>
        <v>106.34757094936288</v>
      </c>
      <c r="J225" s="130">
        <f t="shared" si="230"/>
        <v>105.34469977894675</v>
      </c>
      <c r="K225" s="130">
        <f t="shared" si="230"/>
        <v>102.74310439612961</v>
      </c>
      <c r="L225" s="130">
        <f t="shared" si="230"/>
        <v>104.03694922681559</v>
      </c>
      <c r="M225" s="130">
        <f t="shared" si="230"/>
        <v>99.500648283638668</v>
      </c>
      <c r="N225" s="130">
        <f t="shared" si="230"/>
        <v>97.092519521898978</v>
      </c>
      <c r="O225" s="130">
        <f t="shared" si="230"/>
        <v>92.973625560255783</v>
      </c>
      <c r="P225" s="130">
        <f t="shared" si="230"/>
        <v>89.301448794112019</v>
      </c>
      <c r="Q225" s="130">
        <f t="shared" si="230"/>
        <v>90.499629858753082</v>
      </c>
      <c r="R225" s="130">
        <f t="shared" si="230"/>
        <v>88.761216080653256</v>
      </c>
      <c r="S225" s="130">
        <f t="shared" si="230"/>
        <v>84.894618655884003</v>
      </c>
      <c r="T225" s="130">
        <f t="shared" si="230"/>
        <v>83.120121668401836</v>
      </c>
      <c r="U225" s="130">
        <f t="shared" si="230"/>
        <v>79.664904575853413</v>
      </c>
      <c r="V225" s="130">
        <f t="shared" si="230"/>
        <v>97.835450926496875</v>
      </c>
      <c r="W225" s="130">
        <f t="shared" si="230"/>
        <v>95.752060620540377</v>
      </c>
      <c r="X225" s="130">
        <f t="shared" si="230"/>
        <v>80.417303943584884</v>
      </c>
      <c r="Y225" s="130">
        <f t="shared" si="230"/>
        <v>77.222445917096408</v>
      </c>
      <c r="DA225" s="176" t="s">
        <v>344</v>
      </c>
    </row>
    <row r="226" spans="1:105" ht="11.45" customHeight="1" x14ac:dyDescent="0.25">
      <c r="A226" s="128" t="str">
        <f>$A$14</f>
        <v>Domestic</v>
      </c>
      <c r="B226" s="97">
        <f t="shared" ref="B226:Y226" si="231">IF(B14=0,0,B74/B14*1000)</f>
        <v>143.40070394509863</v>
      </c>
      <c r="C226" s="97">
        <f t="shared" si="231"/>
        <v>143.96365545523355</v>
      </c>
      <c r="D226" s="97">
        <f t="shared" si="231"/>
        <v>151.09826965936142</v>
      </c>
      <c r="E226" s="97">
        <f t="shared" si="231"/>
        <v>144.34551840942143</v>
      </c>
      <c r="F226" s="97">
        <f t="shared" si="231"/>
        <v>155.53303823962489</v>
      </c>
      <c r="G226" s="97">
        <f t="shared" si="231"/>
        <v>157.63394984920262</v>
      </c>
      <c r="H226" s="97">
        <f t="shared" si="231"/>
        <v>186.35545917258924</v>
      </c>
      <c r="I226" s="97">
        <f t="shared" si="231"/>
        <v>184.49550467755481</v>
      </c>
      <c r="J226" s="97">
        <f t="shared" si="231"/>
        <v>162.01901601628245</v>
      </c>
      <c r="K226" s="97">
        <f t="shared" si="231"/>
        <v>137.94075812134753</v>
      </c>
      <c r="L226" s="97">
        <f t="shared" si="231"/>
        <v>162.266903781428</v>
      </c>
      <c r="M226" s="97">
        <f t="shared" si="231"/>
        <v>159.0995590413294</v>
      </c>
      <c r="N226" s="97">
        <f t="shared" si="231"/>
        <v>158.75331763593638</v>
      </c>
      <c r="O226" s="97">
        <f t="shared" si="231"/>
        <v>155.68092093114549</v>
      </c>
      <c r="P226" s="97">
        <f t="shared" si="231"/>
        <v>151.44991737144932</v>
      </c>
      <c r="Q226" s="97">
        <f t="shared" si="231"/>
        <v>127.36169425504387</v>
      </c>
      <c r="R226" s="97">
        <f t="shared" si="231"/>
        <v>115.4237751903307</v>
      </c>
      <c r="S226" s="97">
        <f t="shared" si="231"/>
        <v>119.85286771572322</v>
      </c>
      <c r="T226" s="97">
        <f t="shared" si="231"/>
        <v>122.34260786605411</v>
      </c>
      <c r="U226" s="97">
        <f t="shared" si="231"/>
        <v>112.3107326000013</v>
      </c>
      <c r="V226" s="97">
        <f t="shared" si="231"/>
        <v>167.17657428680471</v>
      </c>
      <c r="W226" s="97">
        <f t="shared" si="231"/>
        <v>119.16408257820676</v>
      </c>
      <c r="X226" s="97">
        <f t="shared" si="231"/>
        <v>79.773119951403743</v>
      </c>
      <c r="Y226" s="97">
        <f t="shared" si="231"/>
        <v>84.21447110205628</v>
      </c>
      <c r="DA226" s="175" t="s">
        <v>345</v>
      </c>
    </row>
    <row r="227" spans="1:105" ht="11.45" customHeight="1" x14ac:dyDescent="0.25">
      <c r="A227" s="128" t="str">
        <f>$A$15</f>
        <v>International - Intra-EEAwCHUK</v>
      </c>
      <c r="B227" s="97">
        <f t="shared" ref="B227:Y227" si="232">IF(B15=0,0,B75/B15*1000)</f>
        <v>95.98784831372663</v>
      </c>
      <c r="C227" s="97">
        <f t="shared" si="232"/>
        <v>95.443751901190467</v>
      </c>
      <c r="D227" s="97">
        <f t="shared" si="232"/>
        <v>92.670319320002847</v>
      </c>
      <c r="E227" s="97">
        <f t="shared" si="232"/>
        <v>97.134708263664621</v>
      </c>
      <c r="F227" s="97">
        <f t="shared" si="232"/>
        <v>104.06609631109121</v>
      </c>
      <c r="G227" s="97">
        <f t="shared" si="232"/>
        <v>103.21579898297068</v>
      </c>
      <c r="H227" s="97">
        <f t="shared" si="232"/>
        <v>101.16986285717573</v>
      </c>
      <c r="I227" s="97">
        <f t="shared" si="232"/>
        <v>100.07215433756853</v>
      </c>
      <c r="J227" s="97">
        <f t="shared" si="232"/>
        <v>102.81539415964244</v>
      </c>
      <c r="K227" s="97">
        <f t="shared" si="232"/>
        <v>99.107837716209204</v>
      </c>
      <c r="L227" s="97">
        <f t="shared" si="232"/>
        <v>100.4214448993818</v>
      </c>
      <c r="M227" s="97">
        <f t="shared" si="232"/>
        <v>97.34882333928887</v>
      </c>
      <c r="N227" s="97">
        <f t="shared" si="232"/>
        <v>94.386927339513491</v>
      </c>
      <c r="O227" s="97">
        <f t="shared" si="232"/>
        <v>89.779005135849104</v>
      </c>
      <c r="P227" s="97">
        <f t="shared" si="232"/>
        <v>86.541495206882857</v>
      </c>
      <c r="Q227" s="97">
        <f t="shared" si="232"/>
        <v>87.193772947852693</v>
      </c>
      <c r="R227" s="97">
        <f t="shared" si="232"/>
        <v>86.096071208269393</v>
      </c>
      <c r="S227" s="97">
        <f t="shared" si="232"/>
        <v>84.276240317114912</v>
      </c>
      <c r="T227" s="97">
        <f t="shared" si="232"/>
        <v>84.498991635996148</v>
      </c>
      <c r="U227" s="97">
        <f t="shared" si="232"/>
        <v>85.18405104469548</v>
      </c>
      <c r="V227" s="97">
        <f t="shared" si="232"/>
        <v>80.555837095826149</v>
      </c>
      <c r="W227" s="97">
        <f t="shared" si="232"/>
        <v>86.052780211691356</v>
      </c>
      <c r="X227" s="97">
        <f t="shared" si="232"/>
        <v>89.849184554065715</v>
      </c>
      <c r="Y227" s="97">
        <f t="shared" si="232"/>
        <v>88.178753996995312</v>
      </c>
      <c r="DA227" s="175" t="s">
        <v>346</v>
      </c>
    </row>
    <row r="228" spans="1:105" ht="11.45" customHeight="1" x14ac:dyDescent="0.25">
      <c r="A228" s="128" t="str">
        <f>$A$16</f>
        <v>International - Extra-EEAwCHUK</v>
      </c>
      <c r="B228" s="97">
        <f t="shared" ref="B228:Y228" si="233">IF(B16=0,0,B76/B16*1000)</f>
        <v>149.34813485091865</v>
      </c>
      <c r="C228" s="97">
        <f t="shared" si="233"/>
        <v>147.0745157994009</v>
      </c>
      <c r="D228" s="97">
        <f t="shared" si="233"/>
        <v>129.51803564510928</v>
      </c>
      <c r="E228" s="97">
        <f t="shared" si="233"/>
        <v>135.369119821352</v>
      </c>
      <c r="F228" s="97">
        <f t="shared" si="233"/>
        <v>132.37883048547434</v>
      </c>
      <c r="G228" s="97">
        <f t="shared" si="233"/>
        <v>117.97727737601922</v>
      </c>
      <c r="H228" s="97">
        <f t="shared" si="233"/>
        <v>114.43700854123364</v>
      </c>
      <c r="I228" s="97">
        <f t="shared" si="233"/>
        <v>99.22923733772015</v>
      </c>
      <c r="J228" s="97">
        <f t="shared" si="233"/>
        <v>96.367655852415453</v>
      </c>
      <c r="K228" s="97">
        <f t="shared" si="233"/>
        <v>99.532205619420296</v>
      </c>
      <c r="L228" s="97">
        <f t="shared" si="233"/>
        <v>95.660885693128833</v>
      </c>
      <c r="M228" s="97">
        <f t="shared" si="233"/>
        <v>90.701787421940807</v>
      </c>
      <c r="N228" s="97">
        <f t="shared" si="233"/>
        <v>89.23025427930844</v>
      </c>
      <c r="O228" s="97">
        <f t="shared" si="233"/>
        <v>85.847854765887803</v>
      </c>
      <c r="P228" s="97">
        <f t="shared" si="233"/>
        <v>82.39791110473503</v>
      </c>
      <c r="Q228" s="97">
        <f t="shared" si="233"/>
        <v>87.983701131274501</v>
      </c>
      <c r="R228" s="97">
        <f t="shared" si="233"/>
        <v>86.800322643265574</v>
      </c>
      <c r="S228" s="97">
        <f t="shared" si="233"/>
        <v>76.835928093145966</v>
      </c>
      <c r="T228" s="97">
        <f t="shared" si="233"/>
        <v>71.434135098832442</v>
      </c>
      <c r="U228" s="97">
        <f t="shared" si="233"/>
        <v>64.564099958447784</v>
      </c>
      <c r="V228" s="97">
        <f t="shared" si="233"/>
        <v>111.55281756308469</v>
      </c>
      <c r="W228" s="97">
        <f t="shared" si="233"/>
        <v>105.4376837427086</v>
      </c>
      <c r="X228" s="97">
        <f t="shared" si="233"/>
        <v>65.427112143268275</v>
      </c>
      <c r="Y228" s="97">
        <f t="shared" si="233"/>
        <v>59.232685011512231</v>
      </c>
      <c r="DA228" s="175" t="s">
        <v>347</v>
      </c>
    </row>
    <row r="229" spans="1:105" ht="11.45" customHeight="1" x14ac:dyDescent="0.25">
      <c r="A229" s="27" t="s">
        <v>159</v>
      </c>
      <c r="B229" s="32">
        <f t="shared" ref="B229:Y229" si="234">IF(B17=0,0,B77/B17*1000)</f>
        <v>318.22314730331635</v>
      </c>
      <c r="C229" s="32">
        <f t="shared" si="234"/>
        <v>295.32538126538907</v>
      </c>
      <c r="D229" s="32">
        <f t="shared" si="234"/>
        <v>309.23228557286029</v>
      </c>
      <c r="E229" s="32">
        <f t="shared" si="234"/>
        <v>327.0648680350173</v>
      </c>
      <c r="F229" s="32">
        <f t="shared" si="234"/>
        <v>281.4659422035939</v>
      </c>
      <c r="G229" s="32">
        <f t="shared" si="234"/>
        <v>268.91634311245082</v>
      </c>
      <c r="H229" s="32">
        <f t="shared" si="234"/>
        <v>258.97254739330498</v>
      </c>
      <c r="I229" s="32">
        <f t="shared" si="234"/>
        <v>249.08930976278037</v>
      </c>
      <c r="J229" s="32">
        <f t="shared" si="234"/>
        <v>264.75947646417694</v>
      </c>
      <c r="K229" s="32">
        <f t="shared" si="234"/>
        <v>286.62966393328259</v>
      </c>
      <c r="L229" s="32">
        <f t="shared" si="234"/>
        <v>290.04520263386149</v>
      </c>
      <c r="M229" s="32">
        <f t="shared" si="234"/>
        <v>264.45570522355001</v>
      </c>
      <c r="N229" s="32">
        <f t="shared" si="234"/>
        <v>261.49151010140179</v>
      </c>
      <c r="O229" s="32">
        <f t="shared" si="234"/>
        <v>261.40659901473219</v>
      </c>
      <c r="P229" s="32">
        <f t="shared" si="234"/>
        <v>240.45260055495973</v>
      </c>
      <c r="Q229" s="32">
        <f t="shared" si="234"/>
        <v>244.34016596431195</v>
      </c>
      <c r="R229" s="32">
        <f t="shared" si="234"/>
        <v>248.51332994501982</v>
      </c>
      <c r="S229" s="32">
        <f t="shared" si="234"/>
        <v>243.90523688376567</v>
      </c>
      <c r="T229" s="32">
        <f t="shared" si="234"/>
        <v>243.75733700096609</v>
      </c>
      <c r="U229" s="32">
        <f t="shared" si="234"/>
        <v>248.01654057702274</v>
      </c>
      <c r="V229" s="32">
        <f t="shared" si="234"/>
        <v>246.43114360768868</v>
      </c>
      <c r="W229" s="32">
        <f t="shared" si="234"/>
        <v>246.15101385274119</v>
      </c>
      <c r="X229" s="32">
        <f t="shared" si="234"/>
        <v>257.32733966290499</v>
      </c>
      <c r="Y229" s="32">
        <f t="shared" si="234"/>
        <v>294.73416849856216</v>
      </c>
      <c r="DA229" s="173" t="s">
        <v>444</v>
      </c>
    </row>
    <row r="230" spans="1:105" ht="11.45" customHeight="1" x14ac:dyDescent="0.25">
      <c r="A230" s="136" t="str">
        <f>$A$18</f>
        <v>Road transport</v>
      </c>
      <c r="B230" s="141">
        <f t="shared" ref="B230:Y230" si="235">IF(B18=0,0,B78/B18*1000)</f>
        <v>346.95599164451886</v>
      </c>
      <c r="C230" s="141">
        <f t="shared" si="235"/>
        <v>317.66858933243628</v>
      </c>
      <c r="D230" s="141">
        <f t="shared" si="235"/>
        <v>329.57044507251572</v>
      </c>
      <c r="E230" s="141">
        <f t="shared" si="235"/>
        <v>352.14558336474289</v>
      </c>
      <c r="F230" s="141">
        <f t="shared" si="235"/>
        <v>305.19090505522553</v>
      </c>
      <c r="G230" s="141">
        <f t="shared" si="235"/>
        <v>294.19657537465986</v>
      </c>
      <c r="H230" s="141">
        <f t="shared" si="235"/>
        <v>282.15708470577795</v>
      </c>
      <c r="I230" s="141">
        <f t="shared" si="235"/>
        <v>259.8204407230499</v>
      </c>
      <c r="J230" s="141">
        <f t="shared" si="235"/>
        <v>276.63348226455759</v>
      </c>
      <c r="K230" s="141">
        <f t="shared" si="235"/>
        <v>290.20427012470333</v>
      </c>
      <c r="L230" s="141">
        <f t="shared" si="235"/>
        <v>307.38703420164643</v>
      </c>
      <c r="M230" s="141">
        <f t="shared" si="235"/>
        <v>280.21042149615607</v>
      </c>
      <c r="N230" s="141">
        <f t="shared" si="235"/>
        <v>280.06608363800518</v>
      </c>
      <c r="O230" s="141">
        <f t="shared" si="235"/>
        <v>278.44010229839296</v>
      </c>
      <c r="P230" s="141">
        <f t="shared" si="235"/>
        <v>261.72416014998242</v>
      </c>
      <c r="Q230" s="141">
        <f t="shared" si="235"/>
        <v>267.56399104837215</v>
      </c>
      <c r="R230" s="141">
        <f t="shared" si="235"/>
        <v>273.02926304275115</v>
      </c>
      <c r="S230" s="141">
        <f t="shared" si="235"/>
        <v>268.20340753375473</v>
      </c>
      <c r="T230" s="141">
        <f t="shared" si="235"/>
        <v>267.89064049873019</v>
      </c>
      <c r="U230" s="141">
        <f t="shared" si="235"/>
        <v>272.03660863362074</v>
      </c>
      <c r="V230" s="141">
        <f t="shared" si="235"/>
        <v>274.01080796425578</v>
      </c>
      <c r="W230" s="141">
        <f t="shared" si="235"/>
        <v>263.77532547486607</v>
      </c>
      <c r="X230" s="141">
        <f t="shared" si="235"/>
        <v>281.51906566924436</v>
      </c>
      <c r="Y230" s="141">
        <f t="shared" si="235"/>
        <v>328.69111207110114</v>
      </c>
      <c r="DA230" s="174" t="s">
        <v>445</v>
      </c>
    </row>
    <row r="231" spans="1:105" ht="11.45" customHeight="1" x14ac:dyDescent="0.25">
      <c r="A231" s="128" t="str">
        <f>$A$19</f>
        <v>Light commercial vehicles</v>
      </c>
      <c r="B231" s="97">
        <f t="shared" ref="B231:Y231" si="236">IF(B19=0,0,B79/B19*1000)</f>
        <v>2287.0759155469732</v>
      </c>
      <c r="C231" s="97">
        <f t="shared" si="236"/>
        <v>2132.8828164059023</v>
      </c>
      <c r="D231" s="97">
        <f t="shared" si="236"/>
        <v>2124.1306553037421</v>
      </c>
      <c r="E231" s="97">
        <f t="shared" si="236"/>
        <v>2142.49868480946</v>
      </c>
      <c r="F231" s="97">
        <f t="shared" si="236"/>
        <v>2087.2520224321106</v>
      </c>
      <c r="G231" s="97">
        <f t="shared" si="236"/>
        <v>2004.487478623309</v>
      </c>
      <c r="H231" s="97">
        <f t="shared" si="236"/>
        <v>1913.5555517808843</v>
      </c>
      <c r="I231" s="97">
        <f t="shared" si="236"/>
        <v>1818.0610513791723</v>
      </c>
      <c r="J231" s="97">
        <f t="shared" si="236"/>
        <v>1770.6472842188127</v>
      </c>
      <c r="K231" s="97">
        <f t="shared" si="236"/>
        <v>1696.7424957982462</v>
      </c>
      <c r="L231" s="97">
        <f t="shared" si="236"/>
        <v>1616.8774290031308</v>
      </c>
      <c r="M231" s="97">
        <f t="shared" si="236"/>
        <v>1553.217186855059</v>
      </c>
      <c r="N231" s="97">
        <f t="shared" si="236"/>
        <v>1504.0272710139175</v>
      </c>
      <c r="O231" s="97">
        <f t="shared" si="236"/>
        <v>1488.6307425014802</v>
      </c>
      <c r="P231" s="97">
        <f t="shared" si="236"/>
        <v>1442.4266609330748</v>
      </c>
      <c r="Q231" s="97">
        <f t="shared" si="236"/>
        <v>1408.8219298299716</v>
      </c>
      <c r="R231" s="97">
        <f t="shared" si="236"/>
        <v>1432.4423747478952</v>
      </c>
      <c r="S231" s="97">
        <f t="shared" si="236"/>
        <v>1412.4332793703804</v>
      </c>
      <c r="T231" s="97">
        <f t="shared" si="236"/>
        <v>1384.7535154778473</v>
      </c>
      <c r="U231" s="97">
        <f t="shared" si="236"/>
        <v>1343.4948025273711</v>
      </c>
      <c r="V231" s="97">
        <f t="shared" si="236"/>
        <v>1308.8409294594981</v>
      </c>
      <c r="W231" s="97">
        <f t="shared" si="236"/>
        <v>1314.0131380983939</v>
      </c>
      <c r="X231" s="97">
        <f t="shared" si="236"/>
        <v>1341.5517850830433</v>
      </c>
      <c r="Y231" s="97">
        <f t="shared" si="236"/>
        <v>1366.9072537162276</v>
      </c>
      <c r="DA231" s="175" t="s">
        <v>446</v>
      </c>
    </row>
    <row r="232" spans="1:105" ht="11.45" customHeight="1" x14ac:dyDescent="0.25">
      <c r="A232" s="128" t="str">
        <f>$A$20</f>
        <v>Heavy goods vehicles</v>
      </c>
      <c r="B232" s="97">
        <f t="shared" ref="B232:Y232" si="237">IF(B20=0,0,B80/B20*1000)</f>
        <v>99.140943391664266</v>
      </c>
      <c r="C232" s="97">
        <f t="shared" si="237"/>
        <v>105.16851768308096</v>
      </c>
      <c r="D232" s="97">
        <f t="shared" si="237"/>
        <v>107.132848918805</v>
      </c>
      <c r="E232" s="97">
        <f t="shared" si="237"/>
        <v>129.71342467043576</v>
      </c>
      <c r="F232" s="97">
        <f t="shared" si="237"/>
        <v>129.91323572965393</v>
      </c>
      <c r="G232" s="97">
        <f t="shared" si="237"/>
        <v>132.46116836426549</v>
      </c>
      <c r="H232" s="97">
        <f t="shared" si="237"/>
        <v>129.37559913971398</v>
      </c>
      <c r="I232" s="97">
        <f t="shared" si="237"/>
        <v>125.5468957445236</v>
      </c>
      <c r="J232" s="97">
        <f t="shared" si="237"/>
        <v>134.23765001674278</v>
      </c>
      <c r="K232" s="97">
        <f t="shared" si="237"/>
        <v>135.60044440151361</v>
      </c>
      <c r="L232" s="97">
        <f t="shared" si="237"/>
        <v>149.76568452716219</v>
      </c>
      <c r="M232" s="97">
        <f t="shared" si="237"/>
        <v>142.09754036478958</v>
      </c>
      <c r="N232" s="97">
        <f t="shared" si="237"/>
        <v>146.16263490128912</v>
      </c>
      <c r="O232" s="97">
        <f t="shared" si="237"/>
        <v>145.37012986656271</v>
      </c>
      <c r="P232" s="97">
        <f t="shared" si="237"/>
        <v>127.91101254682829</v>
      </c>
      <c r="Q232" s="97">
        <f t="shared" si="237"/>
        <v>135.53519191063137</v>
      </c>
      <c r="R232" s="97">
        <f t="shared" si="237"/>
        <v>135.43194876029261</v>
      </c>
      <c r="S232" s="97">
        <f t="shared" si="237"/>
        <v>129.822883888478</v>
      </c>
      <c r="T232" s="97">
        <f t="shared" si="237"/>
        <v>128.107542749027</v>
      </c>
      <c r="U232" s="97">
        <f t="shared" si="237"/>
        <v>131.63152099688043</v>
      </c>
      <c r="V232" s="97">
        <f t="shared" si="237"/>
        <v>134.27767737335898</v>
      </c>
      <c r="W232" s="97">
        <f t="shared" si="237"/>
        <v>126.23686740683945</v>
      </c>
      <c r="X232" s="97">
        <f t="shared" si="237"/>
        <v>127.8446768507561</v>
      </c>
      <c r="Y232" s="97">
        <f t="shared" si="237"/>
        <v>143.51186869496129</v>
      </c>
      <c r="DA232" s="175" t="s">
        <v>447</v>
      </c>
    </row>
    <row r="233" spans="1:105" ht="11.45" customHeight="1" x14ac:dyDescent="0.25">
      <c r="A233" s="109" t="str">
        <f>$A$21</f>
        <v>Rail transport</v>
      </c>
      <c r="B233" s="130">
        <f t="shared" ref="B233:Y233" si="238">IF(B21=0,0,B81/B21*1000)</f>
        <v>15.624037610945988</v>
      </c>
      <c r="C233" s="130">
        <f t="shared" si="238"/>
        <v>11.961618228060596</v>
      </c>
      <c r="D233" s="130">
        <f t="shared" si="238"/>
        <v>10.06634726054242</v>
      </c>
      <c r="E233" s="130">
        <f t="shared" si="238"/>
        <v>8.6529207368250507</v>
      </c>
      <c r="F233" s="130">
        <f t="shared" si="238"/>
        <v>7.7059488648865555</v>
      </c>
      <c r="G233" s="130">
        <f t="shared" si="238"/>
        <v>7.4318383335856328</v>
      </c>
      <c r="H233" s="130">
        <f t="shared" si="238"/>
        <v>6.8496823085500615</v>
      </c>
      <c r="I233" s="130">
        <f t="shared" si="238"/>
        <v>7.2201889480804393</v>
      </c>
      <c r="J233" s="130">
        <f t="shared" si="238"/>
        <v>6.1857081691402138</v>
      </c>
      <c r="K233" s="130">
        <f t="shared" si="238"/>
        <v>5.0738735528995775</v>
      </c>
      <c r="L233" s="130">
        <f t="shared" si="238"/>
        <v>4.6878104618346139</v>
      </c>
      <c r="M233" s="130">
        <f t="shared" si="238"/>
        <v>4.5103899178163731</v>
      </c>
      <c r="N233" s="130">
        <f t="shared" si="238"/>
        <v>3.6715048278593185</v>
      </c>
      <c r="O233" s="130">
        <f t="shared" si="238"/>
        <v>3.9950650237237406</v>
      </c>
      <c r="P233" s="130">
        <f t="shared" si="238"/>
        <v>3.868198418018939</v>
      </c>
      <c r="Q233" s="130">
        <f t="shared" si="238"/>
        <v>3.7927581902002943</v>
      </c>
      <c r="R233" s="130">
        <f t="shared" si="238"/>
        <v>2.6571751843849785</v>
      </c>
      <c r="S233" s="130">
        <f t="shared" si="238"/>
        <v>4.1499293567793769</v>
      </c>
      <c r="T233" s="130">
        <f t="shared" si="238"/>
        <v>3.4659411381789265</v>
      </c>
      <c r="U233" s="130">
        <f t="shared" si="238"/>
        <v>4.3977184259086233</v>
      </c>
      <c r="V233" s="130">
        <f t="shared" si="238"/>
        <v>5.2755188123895644</v>
      </c>
      <c r="W233" s="130">
        <f t="shared" si="238"/>
        <v>8.0677782259337008</v>
      </c>
      <c r="X233" s="130">
        <f t="shared" si="238"/>
        <v>5.0930256355179262</v>
      </c>
      <c r="Y233" s="130">
        <f t="shared" si="238"/>
        <v>4.8217029977263133</v>
      </c>
      <c r="DA233" s="176" t="s">
        <v>448</v>
      </c>
    </row>
    <row r="234" spans="1:105" ht="11.45" customHeight="1" x14ac:dyDescent="0.25">
      <c r="A234" s="109" t="str">
        <f>$A$22</f>
        <v>Aviation</v>
      </c>
      <c r="B234" s="130">
        <f t="shared" ref="B234:Y234" si="239">IF(B22=0,0,B82/B22*1000)</f>
        <v>369.06891342749435</v>
      </c>
      <c r="C234" s="130">
        <f t="shared" si="239"/>
        <v>347.72891578598626</v>
      </c>
      <c r="D234" s="130">
        <f t="shared" si="239"/>
        <v>364.23941038947765</v>
      </c>
      <c r="E234" s="130">
        <f t="shared" si="239"/>
        <v>383.27704346594157</v>
      </c>
      <c r="F234" s="130">
        <f t="shared" si="239"/>
        <v>422.55483736694202</v>
      </c>
      <c r="G234" s="130">
        <f t="shared" si="239"/>
        <v>392.51780086771231</v>
      </c>
      <c r="H234" s="130">
        <f t="shared" si="239"/>
        <v>398.83887240410951</v>
      </c>
      <c r="I234" s="130">
        <f t="shared" si="239"/>
        <v>379.5290264760215</v>
      </c>
      <c r="J234" s="130">
        <f t="shared" si="239"/>
        <v>386.83300115795515</v>
      </c>
      <c r="K234" s="130">
        <f t="shared" si="239"/>
        <v>363.23209755745842</v>
      </c>
      <c r="L234" s="130">
        <f t="shared" si="239"/>
        <v>339.50624532014865</v>
      </c>
      <c r="M234" s="130">
        <f t="shared" si="239"/>
        <v>290.31015886235622</v>
      </c>
      <c r="N234" s="130">
        <f t="shared" si="239"/>
        <v>255.50887327731786</v>
      </c>
      <c r="O234" s="130">
        <f t="shared" si="239"/>
        <v>246.51248358775695</v>
      </c>
      <c r="P234" s="130">
        <f t="shared" si="239"/>
        <v>206.43473014121568</v>
      </c>
      <c r="Q234" s="130">
        <f t="shared" si="239"/>
        <v>219.51727086458874</v>
      </c>
      <c r="R234" s="130">
        <f t="shared" si="239"/>
        <v>197.9126789128662</v>
      </c>
      <c r="S234" s="130">
        <f t="shared" si="239"/>
        <v>188.44553325633379</v>
      </c>
      <c r="T234" s="130">
        <f t="shared" si="239"/>
        <v>179.84607153583514</v>
      </c>
      <c r="U234" s="130">
        <f t="shared" si="239"/>
        <v>148.11124056184434</v>
      </c>
      <c r="V234" s="130">
        <f t="shared" si="239"/>
        <v>241.44598249369434</v>
      </c>
      <c r="W234" s="130">
        <f t="shared" si="239"/>
        <v>209.90821355809453</v>
      </c>
      <c r="X234" s="130">
        <f t="shared" si="239"/>
        <v>179.53437558268359</v>
      </c>
      <c r="Y234" s="130">
        <f t="shared" si="239"/>
        <v>238.55857503819814</v>
      </c>
      <c r="DA234" s="176" t="s">
        <v>348</v>
      </c>
    </row>
    <row r="235" spans="1:105" ht="11.45" customHeight="1" x14ac:dyDescent="0.25">
      <c r="A235" s="128" t="s">
        <v>27</v>
      </c>
      <c r="B235" s="97">
        <f t="shared" ref="B235:Y235" si="240">IF(B23=0,0,B83/B23*1000)</f>
        <v>3872.319424028768</v>
      </c>
      <c r="C235" s="97">
        <f t="shared" si="240"/>
        <v>3919.4343922938688</v>
      </c>
      <c r="D235" s="97">
        <f t="shared" si="240"/>
        <v>3821.0812982285374</v>
      </c>
      <c r="E235" s="97">
        <f t="shared" si="240"/>
        <v>3437.591979279423</v>
      </c>
      <c r="F235" s="97">
        <f t="shared" si="240"/>
        <v>3659.5041509608845</v>
      </c>
      <c r="G235" s="97">
        <f t="shared" si="240"/>
        <v>3417.9316033518003</v>
      </c>
      <c r="H235" s="97">
        <f t="shared" si="240"/>
        <v>2647.2621252882377</v>
      </c>
      <c r="I235" s="97">
        <f t="shared" si="240"/>
        <v>2212.8385930386162</v>
      </c>
      <c r="J235" s="97">
        <f t="shared" si="240"/>
        <v>1719.1403944789367</v>
      </c>
      <c r="K235" s="97">
        <f t="shared" si="240"/>
        <v>1511.1290663982504</v>
      </c>
      <c r="L235" s="97">
        <f t="shared" si="240"/>
        <v>1489.871640514853</v>
      </c>
      <c r="M235" s="97">
        <f t="shared" si="240"/>
        <v>1402.1378919928081</v>
      </c>
      <c r="N235" s="97">
        <f t="shared" si="240"/>
        <v>1619.6177294346348</v>
      </c>
      <c r="O235" s="97">
        <f t="shared" si="240"/>
        <v>1643.4346796293264</v>
      </c>
      <c r="P235" s="97">
        <f t="shared" si="240"/>
        <v>1401.927446115217</v>
      </c>
      <c r="Q235" s="97">
        <f t="shared" si="240"/>
        <v>1308.121563948499</v>
      </c>
      <c r="R235" s="97">
        <f t="shared" si="240"/>
        <v>888.28586628185644</v>
      </c>
      <c r="S235" s="97">
        <f t="shared" si="240"/>
        <v>1151.566593023121</v>
      </c>
      <c r="T235" s="97">
        <f t="shared" si="240"/>
        <v>1195.1444036994246</v>
      </c>
      <c r="U235" s="97">
        <f t="shared" si="240"/>
        <v>958.8188301722189</v>
      </c>
      <c r="V235" s="97">
        <f t="shared" si="240"/>
        <v>1051.1496771797051</v>
      </c>
      <c r="W235" s="97">
        <f t="shared" si="240"/>
        <v>958.42381749064828</v>
      </c>
      <c r="X235" s="97">
        <f t="shared" si="240"/>
        <v>844.03378007678873</v>
      </c>
      <c r="Y235" s="97">
        <f t="shared" si="240"/>
        <v>839.07310400657195</v>
      </c>
      <c r="DA235" s="175" t="s">
        <v>349</v>
      </c>
    </row>
    <row r="236" spans="1:105" ht="11.45" customHeight="1" x14ac:dyDescent="0.25">
      <c r="A236" s="128" t="str">
        <f>$A$24</f>
        <v>International - Intra-EEAwCHUK</v>
      </c>
      <c r="B236" s="97">
        <f t="shared" ref="B236:Y236" si="241">IF(B24=0,0,B84/B24*1000)</f>
        <v>420.57565766393429</v>
      </c>
      <c r="C236" s="97">
        <f t="shared" si="241"/>
        <v>404.55204682686582</v>
      </c>
      <c r="D236" s="97">
        <f t="shared" si="241"/>
        <v>429.31343351160405</v>
      </c>
      <c r="E236" s="97">
        <f t="shared" si="241"/>
        <v>430.0451740071249</v>
      </c>
      <c r="F236" s="97">
        <f t="shared" si="241"/>
        <v>517.41750718094875</v>
      </c>
      <c r="G236" s="97">
        <f t="shared" si="241"/>
        <v>513.86193153096951</v>
      </c>
      <c r="H236" s="97">
        <f t="shared" si="241"/>
        <v>572.00262130898102</v>
      </c>
      <c r="I236" s="97">
        <f t="shared" si="241"/>
        <v>574.06003538053824</v>
      </c>
      <c r="J236" s="97">
        <f t="shared" si="241"/>
        <v>600.69999593359466</v>
      </c>
      <c r="K236" s="97">
        <f t="shared" si="241"/>
        <v>583.16376947086496</v>
      </c>
      <c r="L236" s="97">
        <f t="shared" si="241"/>
        <v>588.11303078409446</v>
      </c>
      <c r="M236" s="97">
        <f t="shared" si="241"/>
        <v>569.30965684750606</v>
      </c>
      <c r="N236" s="97">
        <f t="shared" si="241"/>
        <v>517.19442885171054</v>
      </c>
      <c r="O236" s="97">
        <f t="shared" si="241"/>
        <v>496.76587937420055</v>
      </c>
      <c r="P236" s="97">
        <f t="shared" si="241"/>
        <v>430.20536588108251</v>
      </c>
      <c r="Q236" s="97">
        <f t="shared" si="241"/>
        <v>448.75773208501897</v>
      </c>
      <c r="R236" s="97">
        <f t="shared" si="241"/>
        <v>429.52092487693562</v>
      </c>
      <c r="S236" s="97">
        <f t="shared" si="241"/>
        <v>467.05005359133901</v>
      </c>
      <c r="T236" s="97">
        <f t="shared" si="241"/>
        <v>452.13607508588905</v>
      </c>
      <c r="U236" s="97">
        <f t="shared" si="241"/>
        <v>451.39784345937164</v>
      </c>
      <c r="V236" s="97">
        <f t="shared" si="241"/>
        <v>411.36162719289013</v>
      </c>
      <c r="W236" s="97">
        <f t="shared" si="241"/>
        <v>428.84567024038427</v>
      </c>
      <c r="X236" s="97">
        <f t="shared" si="241"/>
        <v>547.03727012080026</v>
      </c>
      <c r="Y236" s="97">
        <f t="shared" si="241"/>
        <v>562.95709150012681</v>
      </c>
      <c r="DA236" s="175" t="s">
        <v>350</v>
      </c>
    </row>
    <row r="237" spans="1:105" ht="11.45" customHeight="1" x14ac:dyDescent="0.25">
      <c r="A237" s="128" t="str">
        <f>$A$25</f>
        <v>International - Extra-EEAwCHUK</v>
      </c>
      <c r="B237" s="97">
        <f t="shared" ref="B237:Y237" si="242">IF(B25=0,0,B85/B25*1000)</f>
        <v>168.40766234843429</v>
      </c>
      <c r="C237" s="97">
        <f t="shared" si="242"/>
        <v>160.68163462563979</v>
      </c>
      <c r="D237" s="97">
        <f t="shared" si="242"/>
        <v>169.85202148271685</v>
      </c>
      <c r="E237" s="97">
        <f t="shared" si="242"/>
        <v>191.09812928877147</v>
      </c>
      <c r="F237" s="97">
        <f t="shared" si="242"/>
        <v>211.43912132444495</v>
      </c>
      <c r="G237" s="97">
        <f t="shared" si="242"/>
        <v>196.88703274401752</v>
      </c>
      <c r="H237" s="97">
        <f t="shared" si="242"/>
        <v>213.68396117439269</v>
      </c>
      <c r="I237" s="97">
        <f t="shared" si="242"/>
        <v>220.7728652901005</v>
      </c>
      <c r="J237" s="97">
        <f t="shared" si="242"/>
        <v>260.87925386907932</v>
      </c>
      <c r="K237" s="97">
        <f t="shared" si="242"/>
        <v>234.72533600291928</v>
      </c>
      <c r="L237" s="97">
        <f t="shared" si="242"/>
        <v>221.86203567668844</v>
      </c>
      <c r="M237" s="97">
        <f t="shared" si="242"/>
        <v>200.36971359783271</v>
      </c>
      <c r="N237" s="97">
        <f t="shared" si="242"/>
        <v>180.2809561931293</v>
      </c>
      <c r="O237" s="97">
        <f t="shared" si="242"/>
        <v>177.89157010936785</v>
      </c>
      <c r="P237" s="97">
        <f t="shared" si="242"/>
        <v>148.97616569070149</v>
      </c>
      <c r="Q237" s="97">
        <f t="shared" si="242"/>
        <v>157.51317794628852</v>
      </c>
      <c r="R237" s="97">
        <f t="shared" si="242"/>
        <v>141.56320037056855</v>
      </c>
      <c r="S237" s="97">
        <f t="shared" si="242"/>
        <v>132.97973412725506</v>
      </c>
      <c r="T237" s="97">
        <f t="shared" si="242"/>
        <v>122.0107993778725</v>
      </c>
      <c r="U237" s="97">
        <f t="shared" si="242"/>
        <v>87.536573055223471</v>
      </c>
      <c r="V237" s="97">
        <f t="shared" si="242"/>
        <v>174.61539529732545</v>
      </c>
      <c r="W237" s="97">
        <f t="shared" si="242"/>
        <v>145.674682123352</v>
      </c>
      <c r="X237" s="97">
        <f t="shared" si="242"/>
        <v>118.4953003579212</v>
      </c>
      <c r="Y237" s="97">
        <f t="shared" si="242"/>
        <v>119.63369867219036</v>
      </c>
      <c r="DA237" s="175" t="s">
        <v>351</v>
      </c>
    </row>
    <row r="238" spans="1:105" ht="11.45" customHeight="1" x14ac:dyDescent="0.25">
      <c r="A238" s="109" t="s">
        <v>141</v>
      </c>
      <c r="B238" s="130">
        <f t="shared" ref="B238:Y238" si="243">IF(B26=0,0,B86/B26*1000)</f>
        <v>454.11690616530262</v>
      </c>
      <c r="C238" s="130">
        <f t="shared" si="243"/>
        <v>505.38150432215554</v>
      </c>
      <c r="D238" s="130">
        <f t="shared" si="243"/>
        <v>911.01903428953221</v>
      </c>
      <c r="E238" s="130">
        <f t="shared" si="243"/>
        <v>646.55180829230824</v>
      </c>
      <c r="F238" s="130">
        <f t="shared" si="243"/>
        <v>248.23457605942625</v>
      </c>
      <c r="G238" s="130">
        <f t="shared" si="243"/>
        <v>145.32711719819162</v>
      </c>
      <c r="H238" s="130">
        <f t="shared" si="243"/>
        <v>169.34540227685835</v>
      </c>
      <c r="I238" s="130">
        <f t="shared" si="243"/>
        <v>931.41030819993591</v>
      </c>
      <c r="J238" s="130">
        <f t="shared" si="243"/>
        <v>974.30050111053117</v>
      </c>
      <c r="K238" s="130">
        <f t="shared" si="243"/>
        <v>1557.9276817015186</v>
      </c>
      <c r="L238" s="130">
        <f t="shared" si="243"/>
        <v>1003.5584312618236</v>
      </c>
      <c r="M238" s="130">
        <f t="shared" si="243"/>
        <v>931.26942361604404</v>
      </c>
      <c r="N238" s="130">
        <f t="shared" si="243"/>
        <v>1147.0857580613788</v>
      </c>
      <c r="O238" s="130">
        <f t="shared" si="243"/>
        <v>1137.9682068425921</v>
      </c>
      <c r="P238" s="130">
        <f t="shared" si="243"/>
        <v>834.48587694529772</v>
      </c>
      <c r="Q238" s="130">
        <f t="shared" si="243"/>
        <v>1004.2045255960766</v>
      </c>
      <c r="R238" s="130">
        <f t="shared" si="243"/>
        <v>850.41386240818747</v>
      </c>
      <c r="S238" s="130">
        <f t="shared" si="243"/>
        <v>880.37173500455845</v>
      </c>
      <c r="T238" s="130">
        <f t="shared" si="243"/>
        <v>903.99010033104719</v>
      </c>
      <c r="U238" s="130">
        <f t="shared" si="243"/>
        <v>776.59535930901802</v>
      </c>
      <c r="V238" s="130">
        <f t="shared" si="243"/>
        <v>628.92935810843085</v>
      </c>
      <c r="W238" s="130">
        <f t="shared" si="243"/>
        <v>697.27548438317376</v>
      </c>
      <c r="X238" s="130">
        <f t="shared" si="243"/>
        <v>630.96151353466632</v>
      </c>
      <c r="Y238" s="130">
        <f t="shared" si="243"/>
        <v>610.92607279797528</v>
      </c>
      <c r="DA238" s="176" t="s">
        <v>449</v>
      </c>
    </row>
    <row r="239" spans="1:105" ht="11.45" customHeight="1" x14ac:dyDescent="0.25">
      <c r="A239" s="128" t="str">
        <f>$A$27</f>
        <v>Domestic coastal shipping</v>
      </c>
      <c r="B239" s="97">
        <f t="shared" ref="B239:Y239" si="244">IF(B27=0,0,B87/B27*1000)</f>
        <v>454.11690616530262</v>
      </c>
      <c r="C239" s="97">
        <f t="shared" si="244"/>
        <v>505.38150432215554</v>
      </c>
      <c r="D239" s="97">
        <f t="shared" si="244"/>
        <v>911.01903428953221</v>
      </c>
      <c r="E239" s="97">
        <f t="shared" si="244"/>
        <v>646.55180829230824</v>
      </c>
      <c r="F239" s="97">
        <f t="shared" si="244"/>
        <v>248.23457605942625</v>
      </c>
      <c r="G239" s="97">
        <f t="shared" si="244"/>
        <v>145.32711719819162</v>
      </c>
      <c r="H239" s="97">
        <f t="shared" si="244"/>
        <v>169.34540227685835</v>
      </c>
      <c r="I239" s="97">
        <f t="shared" si="244"/>
        <v>931.41030819993591</v>
      </c>
      <c r="J239" s="97">
        <f t="shared" si="244"/>
        <v>974.30050111053117</v>
      </c>
      <c r="K239" s="97">
        <f t="shared" si="244"/>
        <v>1557.9276817015186</v>
      </c>
      <c r="L239" s="97">
        <f t="shared" si="244"/>
        <v>1003.5584312618236</v>
      </c>
      <c r="M239" s="97">
        <f t="shared" si="244"/>
        <v>931.26942361604404</v>
      </c>
      <c r="N239" s="97">
        <f t="shared" si="244"/>
        <v>1147.0857580613788</v>
      </c>
      <c r="O239" s="97">
        <f t="shared" si="244"/>
        <v>1137.9682068425921</v>
      </c>
      <c r="P239" s="97">
        <f t="shared" si="244"/>
        <v>834.48587694529772</v>
      </c>
      <c r="Q239" s="97">
        <f t="shared" si="244"/>
        <v>1004.2045255960766</v>
      </c>
      <c r="R239" s="97">
        <f t="shared" si="244"/>
        <v>850.41386240818747</v>
      </c>
      <c r="S239" s="97">
        <f t="shared" si="244"/>
        <v>880.37173500455845</v>
      </c>
      <c r="T239" s="97">
        <f t="shared" si="244"/>
        <v>903.99010033104719</v>
      </c>
      <c r="U239" s="97">
        <f t="shared" si="244"/>
        <v>776.59535930901802</v>
      </c>
      <c r="V239" s="97">
        <f t="shared" si="244"/>
        <v>628.92935810843085</v>
      </c>
      <c r="W239" s="97">
        <f t="shared" si="244"/>
        <v>697.27548438317376</v>
      </c>
      <c r="X239" s="97">
        <f t="shared" si="244"/>
        <v>630.96151353466632</v>
      </c>
      <c r="Y239" s="97">
        <f t="shared" si="244"/>
        <v>610.92607279797528</v>
      </c>
      <c r="DA239" s="175" t="s">
        <v>450</v>
      </c>
    </row>
    <row r="240" spans="1:105" ht="11.45" customHeight="1" x14ac:dyDescent="0.25">
      <c r="A240" s="138" t="str">
        <f>$A$28</f>
        <v>Inland waterways</v>
      </c>
      <c r="B240" s="98">
        <f t="shared" ref="B240:Y240" si="245">IF(B28=0,0,B88/B28*1000)</f>
        <v>0</v>
      </c>
      <c r="C240" s="98">
        <f t="shared" si="245"/>
        <v>0</v>
      </c>
      <c r="D240" s="98">
        <f t="shared" si="245"/>
        <v>0</v>
      </c>
      <c r="E240" s="98">
        <f t="shared" si="245"/>
        <v>0</v>
      </c>
      <c r="F240" s="98">
        <f t="shared" si="245"/>
        <v>0</v>
      </c>
      <c r="G240" s="98">
        <f t="shared" si="245"/>
        <v>0</v>
      </c>
      <c r="H240" s="98">
        <f t="shared" si="245"/>
        <v>0</v>
      </c>
      <c r="I240" s="98">
        <f t="shared" si="245"/>
        <v>0</v>
      </c>
      <c r="J240" s="98">
        <f t="shared" si="245"/>
        <v>0</v>
      </c>
      <c r="K240" s="98">
        <f t="shared" si="245"/>
        <v>0</v>
      </c>
      <c r="L240" s="98">
        <f t="shared" si="245"/>
        <v>0</v>
      </c>
      <c r="M240" s="98">
        <f t="shared" si="245"/>
        <v>0</v>
      </c>
      <c r="N240" s="98">
        <f t="shared" si="245"/>
        <v>0</v>
      </c>
      <c r="O240" s="98">
        <f t="shared" si="245"/>
        <v>0</v>
      </c>
      <c r="P240" s="98">
        <f t="shared" si="245"/>
        <v>0</v>
      </c>
      <c r="Q240" s="98">
        <f t="shared" si="245"/>
        <v>0</v>
      </c>
      <c r="R240" s="98">
        <f t="shared" si="245"/>
        <v>0</v>
      </c>
      <c r="S240" s="98">
        <f t="shared" si="245"/>
        <v>0</v>
      </c>
      <c r="T240" s="98">
        <f t="shared" si="245"/>
        <v>0</v>
      </c>
      <c r="U240" s="98">
        <f t="shared" si="245"/>
        <v>0</v>
      </c>
      <c r="V240" s="98">
        <f t="shared" si="245"/>
        <v>0</v>
      </c>
      <c r="W240" s="98">
        <f t="shared" si="245"/>
        <v>0</v>
      </c>
      <c r="X240" s="98">
        <f t="shared" si="245"/>
        <v>0</v>
      </c>
      <c r="Y240" s="98">
        <f t="shared" si="245"/>
        <v>0</v>
      </c>
      <c r="DA240" s="178" t="s">
        <v>451</v>
      </c>
    </row>
    <row r="241" spans="1:105" ht="11.45" customHeight="1" x14ac:dyDescent="0.25">
      <c r="A241" s="27" t="s">
        <v>172</v>
      </c>
      <c r="B241" s="32">
        <f t="shared" ref="B241:Y241" si="246">IF(B29=0,0,B89/B29*1000)</f>
        <v>17.202206384376066</v>
      </c>
      <c r="C241" s="32">
        <f t="shared" si="246"/>
        <v>12.411598559709043</v>
      </c>
      <c r="D241" s="32">
        <f t="shared" si="246"/>
        <v>12.551033249213747</v>
      </c>
      <c r="E241" s="32">
        <f t="shared" si="246"/>
        <v>15.602891362884801</v>
      </c>
      <c r="F241" s="32">
        <f t="shared" si="246"/>
        <v>17.825630482808048</v>
      </c>
      <c r="G241" s="32">
        <f t="shared" si="246"/>
        <v>14.879959311188045</v>
      </c>
      <c r="H241" s="32">
        <f t="shared" si="246"/>
        <v>15.199352427034988</v>
      </c>
      <c r="I241" s="32">
        <f t="shared" si="246"/>
        <v>11.985413113436497</v>
      </c>
      <c r="J241" s="32">
        <f t="shared" si="246"/>
        <v>12.882832390456624</v>
      </c>
      <c r="K241" s="32">
        <f t="shared" si="246"/>
        <v>13.747284723339039</v>
      </c>
      <c r="L241" s="32">
        <f t="shared" si="246"/>
        <v>11.720046602651243</v>
      </c>
      <c r="M241" s="32">
        <f t="shared" si="246"/>
        <v>12.735662949453378</v>
      </c>
      <c r="N241" s="32">
        <f t="shared" si="246"/>
        <v>13.799547656910734</v>
      </c>
      <c r="O241" s="32">
        <f t="shared" si="246"/>
        <v>12.17378466821603</v>
      </c>
      <c r="P241" s="32">
        <f t="shared" si="246"/>
        <v>11.200398794901258</v>
      </c>
      <c r="Q241" s="32">
        <f t="shared" si="246"/>
        <v>10.960346278800856</v>
      </c>
      <c r="R241" s="32">
        <f t="shared" si="246"/>
        <v>12.707241649224361</v>
      </c>
      <c r="S241" s="32">
        <f t="shared" si="246"/>
        <v>12.184710628189045</v>
      </c>
      <c r="T241" s="32">
        <f t="shared" si="246"/>
        <v>13.276556860963062</v>
      </c>
      <c r="U241" s="32">
        <f t="shared" si="246"/>
        <v>16.946328941227883</v>
      </c>
      <c r="V241" s="32">
        <f t="shared" si="246"/>
        <v>13.173766259499477</v>
      </c>
      <c r="W241" s="32">
        <f t="shared" si="246"/>
        <v>11.808024097740702</v>
      </c>
      <c r="X241" s="32">
        <f t="shared" si="246"/>
        <v>12.278217632986673</v>
      </c>
      <c r="Y241" s="32">
        <f t="shared" si="246"/>
        <v>9.7627962859024251</v>
      </c>
      <c r="DA241" s="173" t="s">
        <v>452</v>
      </c>
    </row>
    <row r="242" spans="1:105" ht="11.45" customHeight="1" x14ac:dyDescent="0.25">
      <c r="A242" s="128" t="str">
        <f>$A$30</f>
        <v>Intra-EEA</v>
      </c>
      <c r="B242" s="97">
        <f t="shared" ref="B242:Y242" si="247">IF(B30=0,0,B90/B30*1000)</f>
        <v>41.139329829773772</v>
      </c>
      <c r="C242" s="97">
        <f t="shared" si="247"/>
        <v>30.457888990172673</v>
      </c>
      <c r="D242" s="97">
        <f t="shared" si="247"/>
        <v>30.643677917797088</v>
      </c>
      <c r="E242" s="97">
        <f t="shared" si="247"/>
        <v>39.656925450504275</v>
      </c>
      <c r="F242" s="97">
        <f t="shared" si="247"/>
        <v>43.740456855035696</v>
      </c>
      <c r="G242" s="97">
        <f t="shared" si="247"/>
        <v>36.142519713034481</v>
      </c>
      <c r="H242" s="97">
        <f t="shared" si="247"/>
        <v>38.739854561302025</v>
      </c>
      <c r="I242" s="97">
        <f t="shared" si="247"/>
        <v>31.850398844309119</v>
      </c>
      <c r="J242" s="97">
        <f t="shared" si="247"/>
        <v>35.09407234705823</v>
      </c>
      <c r="K242" s="97">
        <f t="shared" si="247"/>
        <v>35.886371781093004</v>
      </c>
      <c r="L242" s="97">
        <f t="shared" si="247"/>
        <v>31.257042668609174</v>
      </c>
      <c r="M242" s="97">
        <f t="shared" si="247"/>
        <v>36.122084482768003</v>
      </c>
      <c r="N242" s="97">
        <f t="shared" si="247"/>
        <v>39.807107334809992</v>
      </c>
      <c r="O242" s="97">
        <f t="shared" si="247"/>
        <v>35.548637665559163</v>
      </c>
      <c r="P242" s="97">
        <f t="shared" si="247"/>
        <v>32.023240892314476</v>
      </c>
      <c r="Q242" s="97">
        <f t="shared" si="247"/>
        <v>31.971791739078498</v>
      </c>
      <c r="R242" s="97">
        <f t="shared" si="247"/>
        <v>36.749854547464075</v>
      </c>
      <c r="S242" s="97">
        <f t="shared" si="247"/>
        <v>35.296564442961916</v>
      </c>
      <c r="T242" s="97">
        <f t="shared" si="247"/>
        <v>36.978686520302354</v>
      </c>
      <c r="U242" s="97">
        <f t="shared" si="247"/>
        <v>44.06297228177521</v>
      </c>
      <c r="V242" s="97">
        <f t="shared" si="247"/>
        <v>30.58821687626024</v>
      </c>
      <c r="W242" s="97">
        <f t="shared" si="247"/>
        <v>28.266272037612122</v>
      </c>
      <c r="X242" s="97">
        <f t="shared" si="247"/>
        <v>31.33481619104532</v>
      </c>
      <c r="Y242" s="97">
        <f t="shared" si="247"/>
        <v>25.59669155967234</v>
      </c>
      <c r="DA242" s="175" t="s">
        <v>453</v>
      </c>
    </row>
    <row r="243" spans="1:105" ht="11.45" customHeight="1" x14ac:dyDescent="0.25">
      <c r="A243" s="138" t="str">
        <f>$A$31</f>
        <v>Extra-EEA</v>
      </c>
      <c r="B243" s="98">
        <f t="shared" ref="B243:Y243" si="248">IF(B31=0,0,B91/B31*1000)</f>
        <v>12.333434982569958</v>
      </c>
      <c r="C243" s="98">
        <f t="shared" si="248"/>
        <v>8.8599263984354657</v>
      </c>
      <c r="D243" s="98">
        <f t="shared" si="248"/>
        <v>9.0585923022477353</v>
      </c>
      <c r="E243" s="98">
        <f t="shared" si="248"/>
        <v>11.438825391429226</v>
      </c>
      <c r="F243" s="98">
        <f t="shared" si="248"/>
        <v>12.808041174149707</v>
      </c>
      <c r="G243" s="98">
        <f t="shared" si="248"/>
        <v>10.65197409068238</v>
      </c>
      <c r="H243" s="98">
        <f t="shared" si="248"/>
        <v>11.011833942633878</v>
      </c>
      <c r="I243" s="98">
        <f t="shared" si="248"/>
        <v>8.7169422794704374</v>
      </c>
      <c r="J243" s="98">
        <f t="shared" si="248"/>
        <v>9.3821204669424674</v>
      </c>
      <c r="K243" s="98">
        <f t="shared" si="248"/>
        <v>9.8136713761989682</v>
      </c>
      <c r="L243" s="98">
        <f t="shared" si="248"/>
        <v>8.4065608654218913</v>
      </c>
      <c r="M243" s="98">
        <f t="shared" si="248"/>
        <v>9.1934076579834674</v>
      </c>
      <c r="N243" s="98">
        <f t="shared" si="248"/>
        <v>9.9701792596303758</v>
      </c>
      <c r="O243" s="98">
        <f t="shared" si="248"/>
        <v>8.8092991946753738</v>
      </c>
      <c r="P243" s="98">
        <f t="shared" si="248"/>
        <v>8.0739416429438524</v>
      </c>
      <c r="Q243" s="98">
        <f t="shared" si="248"/>
        <v>7.9894056142426981</v>
      </c>
      <c r="R243" s="98">
        <f t="shared" si="248"/>
        <v>9.2987000456992401</v>
      </c>
      <c r="S243" s="98">
        <f t="shared" si="248"/>
        <v>8.8835033082172341</v>
      </c>
      <c r="T243" s="98">
        <f t="shared" si="248"/>
        <v>9.5144759258478633</v>
      </c>
      <c r="U243" s="98">
        <f t="shared" si="248"/>
        <v>11.805754475080782</v>
      </c>
      <c r="V243" s="98">
        <f t="shared" si="248"/>
        <v>9.89918760285072</v>
      </c>
      <c r="W243" s="98">
        <f t="shared" si="248"/>
        <v>8.811147516694442</v>
      </c>
      <c r="X243" s="98">
        <f t="shared" si="248"/>
        <v>8.7592687110131884</v>
      </c>
      <c r="Y243" s="98">
        <f t="shared" si="248"/>
        <v>6.9788604951873001</v>
      </c>
      <c r="DA243" s="178" t="s">
        <v>454</v>
      </c>
    </row>
    <row r="245" spans="1:105" x14ac:dyDescent="0.25">
      <c r="A245" s="18" t="s">
        <v>168</v>
      </c>
    </row>
    <row r="246" spans="1:105" x14ac:dyDescent="0.25">
      <c r="A246" s="18" t="s">
        <v>184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DA273"/>
  <sheetViews>
    <sheetView showGridLines="0" zoomScaleNormal="10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455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DA3" s="172"/>
    </row>
    <row r="4" spans="1:105" ht="11.45" customHeight="1" x14ac:dyDescent="0.25">
      <c r="A4" s="27" t="s">
        <v>18</v>
      </c>
      <c r="B4" s="29">
        <f t="shared" ref="B4:K4" si="0">B5+B6+B13</f>
        <v>84395.429471431475</v>
      </c>
      <c r="C4" s="29">
        <f t="shared" si="0"/>
        <v>86058.873650865411</v>
      </c>
      <c r="D4" s="29">
        <f t="shared" si="0"/>
        <v>89466.327588645989</v>
      </c>
      <c r="E4" s="29">
        <f t="shared" si="0"/>
        <v>93970.45502645032</v>
      </c>
      <c r="F4" s="29">
        <f t="shared" si="0"/>
        <v>95880.881228197424</v>
      </c>
      <c r="G4" s="29">
        <f t="shared" si="0"/>
        <v>93552.616720398859</v>
      </c>
      <c r="H4" s="29">
        <f t="shared" si="0"/>
        <v>94353.625054534976</v>
      </c>
      <c r="I4" s="29">
        <f t="shared" si="0"/>
        <v>95018.578042178662</v>
      </c>
      <c r="J4" s="29">
        <f t="shared" si="0"/>
        <v>95477.858770322506</v>
      </c>
      <c r="K4" s="29">
        <f t="shared" si="0"/>
        <v>94054.932873486963</v>
      </c>
      <c r="L4" s="29">
        <f t="shared" ref="L4" si="1">L5+L6+L13</f>
        <v>91765.075429244083</v>
      </c>
      <c r="M4" s="29">
        <f t="shared" ref="M4:V4" si="2">M5+M6+M13</f>
        <v>90984.023141529091</v>
      </c>
      <c r="N4" s="29">
        <f t="shared" si="2"/>
        <v>89935.105173080825</v>
      </c>
      <c r="O4" s="29">
        <f t="shared" si="2"/>
        <v>89810.696076485008</v>
      </c>
      <c r="P4" s="29">
        <f t="shared" si="2"/>
        <v>90887.560810949057</v>
      </c>
      <c r="Q4" s="29">
        <f t="shared" si="2"/>
        <v>91768.426005264133</v>
      </c>
      <c r="R4" s="29">
        <f t="shared" si="2"/>
        <v>97724.837678328826</v>
      </c>
      <c r="S4" s="29">
        <f t="shared" si="2"/>
        <v>100283.3782809617</v>
      </c>
      <c r="T4" s="29">
        <f t="shared" si="2"/>
        <v>103934.48013096393</v>
      </c>
      <c r="U4" s="29">
        <f t="shared" si="2"/>
        <v>106613.04326978141</v>
      </c>
      <c r="V4" s="29">
        <f t="shared" si="2"/>
        <v>90716.128791358104</v>
      </c>
      <c r="W4" s="29">
        <f t="shared" ref="W4:Y4" si="3">W5+W6+W13</f>
        <v>98093.717882192868</v>
      </c>
      <c r="X4" s="29">
        <f t="shared" si="3"/>
        <v>106673.59325815114</v>
      </c>
      <c r="Y4" s="29">
        <f t="shared" si="3"/>
        <v>111082.43377379236</v>
      </c>
      <c r="DA4" s="173" t="s">
        <v>372</v>
      </c>
    </row>
    <row r="5" spans="1:105" ht="11.45" customHeight="1" x14ac:dyDescent="0.25">
      <c r="A5" s="136" t="s">
        <v>173</v>
      </c>
      <c r="B5" s="152">
        <f t="shared" ref="B5:K5" si="4">IF(B32=0,0,B32*B142)</f>
        <v>1574.4294714314808</v>
      </c>
      <c r="C5" s="152">
        <f t="shared" si="4"/>
        <v>1699.873650865409</v>
      </c>
      <c r="D5" s="152">
        <f t="shared" si="4"/>
        <v>1830.3275886459926</v>
      </c>
      <c r="E5" s="152">
        <f t="shared" si="4"/>
        <v>1933.4550264503389</v>
      </c>
      <c r="F5" s="152">
        <f t="shared" si="4"/>
        <v>2071.8812281974297</v>
      </c>
      <c r="G5" s="152">
        <f t="shared" si="4"/>
        <v>2176.353553752986</v>
      </c>
      <c r="H5" s="152">
        <f t="shared" si="4"/>
        <v>2289.2817887439328</v>
      </c>
      <c r="I5" s="152">
        <f t="shared" si="4"/>
        <v>2169.8401388656785</v>
      </c>
      <c r="J5" s="152">
        <f t="shared" si="4"/>
        <v>2195.2290177453697</v>
      </c>
      <c r="K5" s="152">
        <f t="shared" si="4"/>
        <v>2054.5728892767697</v>
      </c>
      <c r="L5" s="152">
        <f t="shared" ref="L5:L7" si="5">IF(L32=0,0,L32*L142)</f>
        <v>1987.5200866212617</v>
      </c>
      <c r="M5" s="152">
        <f t="shared" ref="M5:V5" si="6">IF(M32=0,0,M32*M142)</f>
        <v>1943.9386126090665</v>
      </c>
      <c r="N5" s="152">
        <f t="shared" si="6"/>
        <v>1954.3317502796574</v>
      </c>
      <c r="O5" s="152">
        <f t="shared" si="6"/>
        <v>1921.7588051520365</v>
      </c>
      <c r="P5" s="152">
        <f t="shared" si="6"/>
        <v>1894.6681208341433</v>
      </c>
      <c r="Q5" s="152">
        <f t="shared" si="6"/>
        <v>1837.5684906353188</v>
      </c>
      <c r="R5" s="152">
        <f t="shared" si="6"/>
        <v>1959.84367710279</v>
      </c>
      <c r="S5" s="152">
        <f t="shared" si="6"/>
        <v>1870.070977618323</v>
      </c>
      <c r="T5" s="152">
        <f t="shared" si="6"/>
        <v>1793.0925957470808</v>
      </c>
      <c r="U5" s="152">
        <f t="shared" si="6"/>
        <v>1921.0536118664029</v>
      </c>
      <c r="V5" s="152">
        <f t="shared" si="6"/>
        <v>1731.6274165879918</v>
      </c>
      <c r="W5" s="152">
        <f t="shared" ref="W5:Y5" si="7">IF(W32=0,0,W32*W142)</f>
        <v>1814.9608668245555</v>
      </c>
      <c r="X5" s="152">
        <f t="shared" si="7"/>
        <v>1851.8990421437211</v>
      </c>
      <c r="Y5" s="152">
        <f t="shared" si="7"/>
        <v>2035.3284093575012</v>
      </c>
      <c r="DA5" s="174" t="s">
        <v>373</v>
      </c>
    </row>
    <row r="6" spans="1:105" ht="11.45" customHeight="1" x14ac:dyDescent="0.25">
      <c r="A6" s="109" t="s">
        <v>20</v>
      </c>
      <c r="B6" s="116">
        <f t="shared" ref="B6:K6" si="8">SUM(B7:B12)</f>
        <v>71000</v>
      </c>
      <c r="C6" s="116">
        <f t="shared" si="8"/>
        <v>73200</v>
      </c>
      <c r="D6" s="116">
        <f t="shared" si="8"/>
        <v>77700</v>
      </c>
      <c r="E6" s="116">
        <f t="shared" si="8"/>
        <v>81499.999999999985</v>
      </c>
      <c r="F6" s="116">
        <f t="shared" si="8"/>
        <v>83000</v>
      </c>
      <c r="G6" s="116">
        <f t="shared" si="8"/>
        <v>85000</v>
      </c>
      <c r="H6" s="116">
        <f t="shared" si="8"/>
        <v>86000</v>
      </c>
      <c r="I6" s="116">
        <f t="shared" si="8"/>
        <v>86600.000000000015</v>
      </c>
      <c r="J6" s="116">
        <f t="shared" si="8"/>
        <v>87000.000000000015</v>
      </c>
      <c r="K6" s="116">
        <f t="shared" si="8"/>
        <v>86000</v>
      </c>
      <c r="L6" s="116">
        <f t="shared" ref="L6" si="9">SUM(L7:L12)</f>
        <v>83700</v>
      </c>
      <c r="M6" s="116">
        <f t="shared" ref="M6:V6" si="10">SUM(M7:M12)</f>
        <v>83190.084528920022</v>
      </c>
      <c r="N6" s="116">
        <f t="shared" si="10"/>
        <v>82130.773422801169</v>
      </c>
      <c r="O6" s="116">
        <f t="shared" si="10"/>
        <v>81865.937271332965</v>
      </c>
      <c r="P6" s="116">
        <f t="shared" si="10"/>
        <v>83335.89269011491</v>
      </c>
      <c r="Q6" s="116">
        <f t="shared" si="10"/>
        <v>84467.85751462882</v>
      </c>
      <c r="R6" s="116">
        <f t="shared" si="10"/>
        <v>90461.994001226034</v>
      </c>
      <c r="S6" s="116">
        <f t="shared" si="10"/>
        <v>92191.507303343373</v>
      </c>
      <c r="T6" s="116">
        <f t="shared" si="10"/>
        <v>95460.477535216851</v>
      </c>
      <c r="U6" s="116">
        <f t="shared" si="10"/>
        <v>98038.049657915006</v>
      </c>
      <c r="V6" s="116">
        <f t="shared" si="10"/>
        <v>85184.631374770121</v>
      </c>
      <c r="W6" s="116">
        <f t="shared" ref="W6:Y6" si="11">SUM(W7:W12)</f>
        <v>90605.457015368316</v>
      </c>
      <c r="X6" s="116">
        <f t="shared" si="11"/>
        <v>96554.494216007428</v>
      </c>
      <c r="Y6" s="116">
        <f t="shared" si="11"/>
        <v>100487.10536443486</v>
      </c>
      <c r="DA6" s="176" t="s">
        <v>374</v>
      </c>
    </row>
    <row r="7" spans="1:105" ht="11.45" customHeight="1" x14ac:dyDescent="0.25">
      <c r="A7" s="111" t="s">
        <v>110</v>
      </c>
      <c r="B7" s="87">
        <f t="shared" ref="B7:K7" si="12">IF(B34=0,0,B34*B144)</f>
        <v>44973.25816556083</v>
      </c>
      <c r="C7" s="87">
        <f t="shared" si="12"/>
        <v>43876.683858324555</v>
      </c>
      <c r="D7" s="87">
        <f t="shared" si="12"/>
        <v>44872.359950783779</v>
      </c>
      <c r="E7" s="87">
        <f t="shared" si="12"/>
        <v>43927.031014652886</v>
      </c>
      <c r="F7" s="87">
        <f t="shared" si="12"/>
        <v>41554.865548355265</v>
      </c>
      <c r="G7" s="87">
        <f t="shared" si="12"/>
        <v>39139.912251975366</v>
      </c>
      <c r="H7" s="87">
        <f t="shared" si="12"/>
        <v>36083.551411842316</v>
      </c>
      <c r="I7" s="87">
        <f t="shared" si="12"/>
        <v>33961.125056178375</v>
      </c>
      <c r="J7" s="87">
        <f t="shared" si="12"/>
        <v>31494.232741644548</v>
      </c>
      <c r="K7" s="87">
        <f t="shared" si="12"/>
        <v>29850.933676891884</v>
      </c>
      <c r="L7" s="87">
        <f t="shared" si="5"/>
        <v>27400.727197670945</v>
      </c>
      <c r="M7" s="87">
        <f t="shared" ref="M7:V7" si="13">IF(M34=0,0,M34*M144)</f>
        <v>25251.570677619489</v>
      </c>
      <c r="N7" s="87">
        <f t="shared" si="13"/>
        <v>24756.680791772593</v>
      </c>
      <c r="O7" s="87">
        <f t="shared" si="13"/>
        <v>23933.912495659381</v>
      </c>
      <c r="P7" s="87">
        <f t="shared" si="13"/>
        <v>23418.438737207605</v>
      </c>
      <c r="Q7" s="87">
        <f t="shared" si="13"/>
        <v>23550.254297832002</v>
      </c>
      <c r="R7" s="87">
        <f t="shared" si="13"/>
        <v>23956.192086850271</v>
      </c>
      <c r="S7" s="87">
        <f t="shared" si="13"/>
        <v>23326.873382681526</v>
      </c>
      <c r="T7" s="87">
        <f t="shared" si="13"/>
        <v>23583.779434851163</v>
      </c>
      <c r="U7" s="87">
        <f t="shared" si="13"/>
        <v>24439.03628563404</v>
      </c>
      <c r="V7" s="87">
        <f t="shared" si="13"/>
        <v>20167.068213696864</v>
      </c>
      <c r="W7" s="87">
        <f t="shared" ref="W7:Y7" si="14">IF(W34=0,0,W34*W144)</f>
        <v>22518.285719409691</v>
      </c>
      <c r="X7" s="87">
        <f t="shared" si="14"/>
        <v>24544.474334045768</v>
      </c>
      <c r="Y7" s="87">
        <f t="shared" si="14"/>
        <v>26101.441815344966</v>
      </c>
      <c r="DA7" s="171" t="s">
        <v>456</v>
      </c>
    </row>
    <row r="8" spans="1:105" ht="11.45" customHeight="1" x14ac:dyDescent="0.25">
      <c r="A8" s="111" t="s">
        <v>111</v>
      </c>
      <c r="B8" s="87">
        <f t="shared" ref="B8:K8" si="15">IF(B35=0,0,B35*B145)</f>
        <v>25622.80852831409</v>
      </c>
      <c r="C8" s="87">
        <f t="shared" si="15"/>
        <v>28936.096012470916</v>
      </c>
      <c r="D8" s="87">
        <f t="shared" si="15"/>
        <v>32478.449861486959</v>
      </c>
      <c r="E8" s="87">
        <f t="shared" si="15"/>
        <v>37148.118211485547</v>
      </c>
      <c r="F8" s="87">
        <f t="shared" si="15"/>
        <v>41013.841773770873</v>
      </c>
      <c r="G8" s="87">
        <f t="shared" si="15"/>
        <v>45402.793463144568</v>
      </c>
      <c r="H8" s="87">
        <f t="shared" si="15"/>
        <v>49525.764087550051</v>
      </c>
      <c r="I8" s="87">
        <f t="shared" si="15"/>
        <v>52269.041789885741</v>
      </c>
      <c r="J8" s="87">
        <f t="shared" si="15"/>
        <v>55029.810116884168</v>
      </c>
      <c r="K8" s="87">
        <f t="shared" si="15"/>
        <v>55459.138244672293</v>
      </c>
      <c r="L8" s="87">
        <f t="shared" ref="L8" si="16">IF(L35=0,0,L35*L145)</f>
        <v>55648.586383302783</v>
      </c>
      <c r="M8" s="87">
        <f t="shared" ref="M8:V8" si="17">IF(M35=0,0,M35*M145)</f>
        <v>57359.402199159078</v>
      </c>
      <c r="N8" s="87">
        <f t="shared" si="17"/>
        <v>56601.66908215556</v>
      </c>
      <c r="O8" s="87">
        <f t="shared" si="17"/>
        <v>57128.920152475082</v>
      </c>
      <c r="P8" s="87">
        <f t="shared" si="17"/>
        <v>59052.86034662609</v>
      </c>
      <c r="Q8" s="87">
        <f t="shared" si="17"/>
        <v>60002.30815458946</v>
      </c>
      <c r="R8" s="87">
        <f t="shared" si="17"/>
        <v>65492.597194202724</v>
      </c>
      <c r="S8" s="87">
        <f t="shared" si="17"/>
        <v>67703.740255724522</v>
      </c>
      <c r="T8" s="87">
        <f t="shared" si="17"/>
        <v>70419.809945637622</v>
      </c>
      <c r="U8" s="87">
        <f t="shared" si="17"/>
        <v>71818.088698287553</v>
      </c>
      <c r="V8" s="87">
        <f t="shared" si="17"/>
        <v>63331.571964847302</v>
      </c>
      <c r="W8" s="87">
        <f t="shared" ref="W8:Y8" si="18">IF(W35=0,0,W35*W145)</f>
        <v>65737.554448215145</v>
      </c>
      <c r="X8" s="87">
        <f t="shared" si="18"/>
        <v>68911.958058135278</v>
      </c>
      <c r="Y8" s="87">
        <f t="shared" si="18"/>
        <v>70133.146049623363</v>
      </c>
      <c r="DA8" s="171" t="s">
        <v>457</v>
      </c>
    </row>
    <row r="9" spans="1:105" ht="11.45" customHeight="1" x14ac:dyDescent="0.25">
      <c r="A9" s="111" t="s">
        <v>112</v>
      </c>
      <c r="B9" s="87">
        <f t="shared" ref="B9:K9" si="19">IF(B36=0,0,B36*B146)</f>
        <v>403.93330612507737</v>
      </c>
      <c r="C9" s="87">
        <f t="shared" si="19"/>
        <v>387.22012920453159</v>
      </c>
      <c r="D9" s="87">
        <f t="shared" si="19"/>
        <v>349.19018772925995</v>
      </c>
      <c r="E9" s="87">
        <f t="shared" si="19"/>
        <v>424.85077386156371</v>
      </c>
      <c r="F9" s="87">
        <f t="shared" si="19"/>
        <v>431.29267787385908</v>
      </c>
      <c r="G9" s="87">
        <f t="shared" si="19"/>
        <v>457.29428488007005</v>
      </c>
      <c r="H9" s="87">
        <f t="shared" si="19"/>
        <v>390.68450060763212</v>
      </c>
      <c r="I9" s="87">
        <f t="shared" si="19"/>
        <v>369.8331539358843</v>
      </c>
      <c r="J9" s="87">
        <f t="shared" si="19"/>
        <v>475.51130465107519</v>
      </c>
      <c r="K9" s="87">
        <f t="shared" si="19"/>
        <v>689.48184230389256</v>
      </c>
      <c r="L9" s="87">
        <f t="shared" ref="L9" si="20">IF(L36=0,0,L36*L146)</f>
        <v>640.07578877345043</v>
      </c>
      <c r="M9" s="87">
        <f t="shared" ref="M9:V9" si="21">IF(M36=0,0,M36*M146)</f>
        <v>574.63411364086028</v>
      </c>
      <c r="N9" s="87">
        <f t="shared" si="21"/>
        <v>765.90026630089562</v>
      </c>
      <c r="O9" s="87">
        <f t="shared" si="21"/>
        <v>794.36635890317643</v>
      </c>
      <c r="P9" s="87">
        <f t="shared" si="21"/>
        <v>854.06710407190872</v>
      </c>
      <c r="Q9" s="87">
        <f t="shared" si="21"/>
        <v>890.22076652163264</v>
      </c>
      <c r="R9" s="87">
        <f t="shared" si="21"/>
        <v>950.14643298442866</v>
      </c>
      <c r="S9" s="87">
        <f t="shared" si="21"/>
        <v>984.85803681806806</v>
      </c>
      <c r="T9" s="87">
        <f t="shared" si="21"/>
        <v>1055.0590306247184</v>
      </c>
      <c r="U9" s="87">
        <f t="shared" si="21"/>
        <v>1075.9501921904277</v>
      </c>
      <c r="V9" s="87">
        <f t="shared" si="21"/>
        <v>902.396403103887</v>
      </c>
      <c r="W9" s="87">
        <f t="shared" ref="W9:Y9" si="22">IF(W36=0,0,W36*W146)</f>
        <v>1027.1611232624421</v>
      </c>
      <c r="X9" s="87">
        <f t="shared" si="22"/>
        <v>1160.3985960765754</v>
      </c>
      <c r="Y9" s="87">
        <f t="shared" si="22"/>
        <v>1347.2086920886313</v>
      </c>
      <c r="DA9" s="171" t="s">
        <v>458</v>
      </c>
    </row>
    <row r="10" spans="1:105" ht="11.45" customHeight="1" x14ac:dyDescent="0.25">
      <c r="A10" s="111" t="s">
        <v>113</v>
      </c>
      <c r="B10" s="87">
        <f t="shared" ref="B10:K10" si="23">IF(B37=0,0,B37*B147)</f>
        <v>0</v>
      </c>
      <c r="C10" s="87">
        <f t="shared" si="23"/>
        <v>0</v>
      </c>
      <c r="D10" s="87">
        <f t="shared" si="23"/>
        <v>0</v>
      </c>
      <c r="E10" s="87">
        <f t="shared" si="23"/>
        <v>0</v>
      </c>
      <c r="F10" s="87">
        <f t="shared" si="23"/>
        <v>0</v>
      </c>
      <c r="G10" s="87">
        <f t="shared" si="23"/>
        <v>0</v>
      </c>
      <c r="H10" s="87">
        <f t="shared" si="23"/>
        <v>0</v>
      </c>
      <c r="I10" s="87">
        <f t="shared" si="23"/>
        <v>0</v>
      </c>
      <c r="J10" s="87">
        <f t="shared" si="23"/>
        <v>0</v>
      </c>
      <c r="K10" s="87">
        <f t="shared" si="23"/>
        <v>0</v>
      </c>
      <c r="L10" s="87">
        <f t="shared" ref="L10" si="24">IF(L37=0,0,L37*L147)</f>
        <v>3.1274309107384234E-2</v>
      </c>
      <c r="M10" s="87">
        <f t="shared" ref="M10:V10" si="25">IF(M37=0,0,M37*M147)</f>
        <v>2.9568016547239079E-2</v>
      </c>
      <c r="N10" s="87">
        <f t="shared" si="25"/>
        <v>0.11556625038052926</v>
      </c>
      <c r="O10" s="87">
        <f t="shared" si="25"/>
        <v>0.36283040672107925</v>
      </c>
      <c r="P10" s="87">
        <f t="shared" si="25"/>
        <v>0.38749672485359243</v>
      </c>
      <c r="Q10" s="87">
        <f t="shared" si="25"/>
        <v>0.5008346414997038</v>
      </c>
      <c r="R10" s="87">
        <f t="shared" si="25"/>
        <v>0.61586278193140542</v>
      </c>
      <c r="S10" s="87">
        <f t="shared" si="25"/>
        <v>0.72498630042319445</v>
      </c>
      <c r="T10" s="87">
        <f t="shared" si="25"/>
        <v>0.84583806098135739</v>
      </c>
      <c r="U10" s="87">
        <f t="shared" si="25"/>
        <v>1.5657518641405588</v>
      </c>
      <c r="V10" s="87">
        <f t="shared" si="25"/>
        <v>1.66223325647028</v>
      </c>
      <c r="W10" s="87">
        <f t="shared" ref="W10:Y10" si="26">IF(W37=0,0,W37*W147)</f>
        <v>2.1323446277679268</v>
      </c>
      <c r="X10" s="87">
        <f t="shared" si="26"/>
        <v>2.3430399334279426</v>
      </c>
      <c r="Y10" s="87">
        <f t="shared" si="26"/>
        <v>2.4268994925827991</v>
      </c>
      <c r="DA10" s="171" t="s">
        <v>459</v>
      </c>
    </row>
    <row r="11" spans="1:105" ht="11.45" customHeight="1" x14ac:dyDescent="0.25">
      <c r="A11" s="111" t="s">
        <v>114</v>
      </c>
      <c r="B11" s="87">
        <f t="shared" ref="B11:K11" si="27">IF(B38=0,0,B38*B148)</f>
        <v>0</v>
      </c>
      <c r="C11" s="87">
        <f t="shared" si="27"/>
        <v>0</v>
      </c>
      <c r="D11" s="87">
        <f t="shared" si="27"/>
        <v>0</v>
      </c>
      <c r="E11" s="87">
        <f t="shared" si="27"/>
        <v>0</v>
      </c>
      <c r="F11" s="87">
        <f t="shared" si="27"/>
        <v>0</v>
      </c>
      <c r="G11" s="87">
        <f t="shared" si="27"/>
        <v>0</v>
      </c>
      <c r="H11" s="87">
        <f t="shared" si="27"/>
        <v>0</v>
      </c>
      <c r="I11" s="87">
        <f t="shared" si="27"/>
        <v>0</v>
      </c>
      <c r="J11" s="87">
        <f t="shared" si="27"/>
        <v>0</v>
      </c>
      <c r="K11" s="87">
        <f t="shared" si="27"/>
        <v>0</v>
      </c>
      <c r="L11" s="87">
        <f t="shared" ref="L11" si="28">IF(L38=0,0,L38*L148)</f>
        <v>0</v>
      </c>
      <c r="M11" s="87">
        <f t="shared" ref="M11:V11" si="29">IF(M38=0,0,M38*M148)</f>
        <v>0.20448542848218193</v>
      </c>
      <c r="N11" s="87">
        <f t="shared" si="29"/>
        <v>0.81936253501377299</v>
      </c>
      <c r="O11" s="87">
        <f t="shared" si="29"/>
        <v>1.4021918315664608</v>
      </c>
      <c r="P11" s="87">
        <f t="shared" si="29"/>
        <v>2.563591435595991</v>
      </c>
      <c r="Q11" s="87">
        <f t="shared" si="29"/>
        <v>9.1182420839408636</v>
      </c>
      <c r="R11" s="87">
        <f t="shared" si="29"/>
        <v>23.510710670741435</v>
      </c>
      <c r="S11" s="87">
        <f t="shared" si="29"/>
        <v>55.059111904707535</v>
      </c>
      <c r="T11" s="87">
        <f t="shared" si="29"/>
        <v>122.76069292975318</v>
      </c>
      <c r="U11" s="87">
        <f t="shared" si="29"/>
        <v>221.41824836178864</v>
      </c>
      <c r="V11" s="87">
        <f t="shared" si="29"/>
        <v>287.18542774903932</v>
      </c>
      <c r="W11" s="87">
        <f t="shared" ref="W11:Y11" si="30">IF(W38=0,0,W38*W148)</f>
        <v>488.69787403833811</v>
      </c>
      <c r="X11" s="87">
        <f t="shared" si="30"/>
        <v>768.17577812565014</v>
      </c>
      <c r="Y11" s="87">
        <f t="shared" si="30"/>
        <v>1147.2152425007748</v>
      </c>
      <c r="DA11" s="171" t="s">
        <v>460</v>
      </c>
    </row>
    <row r="12" spans="1:105" ht="11.45" customHeight="1" x14ac:dyDescent="0.25">
      <c r="A12" s="111" t="s">
        <v>115</v>
      </c>
      <c r="B12" s="87">
        <f t="shared" ref="B12:K12" si="31">IF(B39=0,0,B39*B149)</f>
        <v>0</v>
      </c>
      <c r="C12" s="87">
        <f t="shared" si="31"/>
        <v>0</v>
      </c>
      <c r="D12" s="87">
        <f t="shared" si="31"/>
        <v>0</v>
      </c>
      <c r="E12" s="87">
        <f t="shared" si="31"/>
        <v>0</v>
      </c>
      <c r="F12" s="87">
        <f t="shared" si="31"/>
        <v>0</v>
      </c>
      <c r="G12" s="87">
        <f t="shared" si="31"/>
        <v>0</v>
      </c>
      <c r="H12" s="87">
        <f t="shared" si="31"/>
        <v>0</v>
      </c>
      <c r="I12" s="87">
        <f t="shared" si="31"/>
        <v>0</v>
      </c>
      <c r="J12" s="87">
        <f t="shared" si="31"/>
        <v>0.44583682021203269</v>
      </c>
      <c r="K12" s="87">
        <f t="shared" si="31"/>
        <v>0.44623613193601819</v>
      </c>
      <c r="L12" s="87">
        <f t="shared" ref="L12" si="32">IF(L39=0,0,L39*L149)</f>
        <v>10.579355943717328</v>
      </c>
      <c r="M12" s="87">
        <f t="shared" ref="M12:V12" si="33">IF(M39=0,0,M39*M149)</f>
        <v>4.2434850555656283</v>
      </c>
      <c r="N12" s="87">
        <f t="shared" si="33"/>
        <v>5.588353786729745</v>
      </c>
      <c r="O12" s="87">
        <f t="shared" si="33"/>
        <v>6.9732420570222944</v>
      </c>
      <c r="P12" s="87">
        <f t="shared" si="33"/>
        <v>7.5754140488575041</v>
      </c>
      <c r="Q12" s="87">
        <f t="shared" si="33"/>
        <v>15.45521896028565</v>
      </c>
      <c r="R12" s="87">
        <f t="shared" si="33"/>
        <v>38.931713735913711</v>
      </c>
      <c r="S12" s="87">
        <f t="shared" si="33"/>
        <v>120.25152991412067</v>
      </c>
      <c r="T12" s="87">
        <f t="shared" si="33"/>
        <v>278.22259311262195</v>
      </c>
      <c r="U12" s="87">
        <f t="shared" si="33"/>
        <v>481.99048157705204</v>
      </c>
      <c r="V12" s="87">
        <f t="shared" si="33"/>
        <v>494.74713211654625</v>
      </c>
      <c r="W12" s="87">
        <f t="shared" ref="W12:Y12" si="34">IF(W39=0,0,W39*W149)</f>
        <v>831.62550581494088</v>
      </c>
      <c r="X12" s="87">
        <f t="shared" si="34"/>
        <v>1167.1444096907348</v>
      </c>
      <c r="Y12" s="87">
        <f t="shared" si="34"/>
        <v>1755.6666653845352</v>
      </c>
      <c r="DA12" s="171" t="s">
        <v>461</v>
      </c>
    </row>
    <row r="13" spans="1:105" ht="11.45" customHeight="1" x14ac:dyDescent="0.25">
      <c r="A13" s="109" t="s">
        <v>21</v>
      </c>
      <c r="B13" s="116">
        <f t="shared" ref="B13:K13" si="35">SUM(B14:B18)</f>
        <v>11821</v>
      </c>
      <c r="C13" s="116">
        <f t="shared" si="35"/>
        <v>11159</v>
      </c>
      <c r="D13" s="116">
        <f t="shared" si="35"/>
        <v>9936</v>
      </c>
      <c r="E13" s="116">
        <f t="shared" si="35"/>
        <v>10537</v>
      </c>
      <c r="F13" s="116">
        <f t="shared" si="35"/>
        <v>10809</v>
      </c>
      <c r="G13" s="116">
        <f t="shared" si="35"/>
        <v>6376.2631666458828</v>
      </c>
      <c r="H13" s="116">
        <f t="shared" si="35"/>
        <v>6064.3432657910444</v>
      </c>
      <c r="I13" s="116">
        <f t="shared" si="35"/>
        <v>6248.7379033129673</v>
      </c>
      <c r="J13" s="116">
        <f t="shared" si="35"/>
        <v>6282.6297525771188</v>
      </c>
      <c r="K13" s="116">
        <f t="shared" si="35"/>
        <v>6000.3599842101912</v>
      </c>
      <c r="L13" s="116">
        <f t="shared" ref="L13" si="36">SUM(L14:L18)</f>
        <v>6077.5553426228325</v>
      </c>
      <c r="M13" s="116">
        <f t="shared" ref="M13:V13" si="37">SUM(M14:M18)</f>
        <v>5849.9999999999991</v>
      </c>
      <c r="N13" s="116">
        <f t="shared" si="37"/>
        <v>5850</v>
      </c>
      <c r="O13" s="116">
        <f t="shared" si="37"/>
        <v>6023.0000000000009</v>
      </c>
      <c r="P13" s="116">
        <f t="shared" si="37"/>
        <v>5656.9999999999991</v>
      </c>
      <c r="Q13" s="116">
        <f t="shared" si="37"/>
        <v>5462.9999999999991</v>
      </c>
      <c r="R13" s="116">
        <f t="shared" si="37"/>
        <v>5302.9999999999991</v>
      </c>
      <c r="S13" s="116">
        <f t="shared" si="37"/>
        <v>6221.8</v>
      </c>
      <c r="T13" s="116">
        <f t="shared" si="37"/>
        <v>6680.91</v>
      </c>
      <c r="U13" s="116">
        <f t="shared" si="37"/>
        <v>6653.94</v>
      </c>
      <c r="V13" s="116">
        <f t="shared" si="37"/>
        <v>3799.87</v>
      </c>
      <c r="W13" s="116">
        <f t="shared" ref="W13:Y13" si="38">SUM(W14:W18)</f>
        <v>5673.2999999999993</v>
      </c>
      <c r="X13" s="116">
        <f t="shared" si="38"/>
        <v>8267.2000000000007</v>
      </c>
      <c r="Y13" s="116">
        <f t="shared" si="38"/>
        <v>8560</v>
      </c>
      <c r="DA13" s="176" t="s">
        <v>375</v>
      </c>
    </row>
    <row r="14" spans="1:105" ht="11.45" customHeight="1" x14ac:dyDescent="0.25">
      <c r="A14" s="111" t="s">
        <v>110</v>
      </c>
      <c r="B14" s="101">
        <f t="shared" ref="B14:K14" si="39">IF(B41=0,0,B41*B151)</f>
        <v>0</v>
      </c>
      <c r="C14" s="101">
        <f t="shared" si="39"/>
        <v>0</v>
      </c>
      <c r="D14" s="101">
        <f t="shared" si="39"/>
        <v>0</v>
      </c>
      <c r="E14" s="101">
        <f t="shared" si="39"/>
        <v>0</v>
      </c>
      <c r="F14" s="101">
        <f t="shared" si="39"/>
        <v>0</v>
      </c>
      <c r="G14" s="101">
        <f t="shared" si="39"/>
        <v>0</v>
      </c>
      <c r="H14" s="101">
        <f t="shared" si="39"/>
        <v>0</v>
      </c>
      <c r="I14" s="101">
        <f t="shared" si="39"/>
        <v>0</v>
      </c>
      <c r="J14" s="101">
        <f t="shared" si="39"/>
        <v>0</v>
      </c>
      <c r="K14" s="101">
        <f t="shared" si="39"/>
        <v>0</v>
      </c>
      <c r="L14" s="101">
        <f t="shared" ref="L14" si="40">IF(L41=0,0,L41*L151)</f>
        <v>0.46606028939931127</v>
      </c>
      <c r="M14" s="101">
        <f t="shared" ref="M14:V14" si="41">IF(M41=0,0,M41*M151)</f>
        <v>0.47869625756279649</v>
      </c>
      <c r="N14" s="101">
        <f t="shared" si="41"/>
        <v>0.51669101974281073</v>
      </c>
      <c r="O14" s="101">
        <f t="shared" si="41"/>
        <v>0.64125595525731582</v>
      </c>
      <c r="P14" s="101">
        <f t="shared" si="41"/>
        <v>0.5637319208717726</v>
      </c>
      <c r="Q14" s="101">
        <f t="shared" si="41"/>
        <v>0.66199033787347361</v>
      </c>
      <c r="R14" s="101">
        <f t="shared" si="41"/>
        <v>0.77059923930979213</v>
      </c>
      <c r="S14" s="101">
        <f t="shared" si="41"/>
        <v>0.69186951822797349</v>
      </c>
      <c r="T14" s="101">
        <f t="shared" si="41"/>
        <v>0.72371415300285102</v>
      </c>
      <c r="U14" s="101">
        <f t="shared" si="41"/>
        <v>0.63529317694597265</v>
      </c>
      <c r="V14" s="101">
        <f t="shared" si="41"/>
        <v>0.47994569743459059</v>
      </c>
      <c r="W14" s="101">
        <f t="shared" ref="W14:Y14" si="42">IF(W41=0,0,W41*W151)</f>
        <v>0.61937381567328009</v>
      </c>
      <c r="X14" s="101">
        <f t="shared" si="42"/>
        <v>0.72789430554344092</v>
      </c>
      <c r="Y14" s="101">
        <f t="shared" si="42"/>
        <v>0.74963511996933574</v>
      </c>
      <c r="DA14" s="175" t="s">
        <v>462</v>
      </c>
    </row>
    <row r="15" spans="1:105" ht="11.45" customHeight="1" x14ac:dyDescent="0.25">
      <c r="A15" s="111" t="s">
        <v>111</v>
      </c>
      <c r="B15" s="101">
        <f t="shared" ref="B15:K15" si="43">IF(B42=0,0,B42*B152)</f>
        <v>11781.105488374291</v>
      </c>
      <c r="C15" s="101">
        <f t="shared" si="43"/>
        <v>10993.545369564055</v>
      </c>
      <c r="D15" s="101">
        <f t="shared" si="43"/>
        <v>9713.1945020408784</v>
      </c>
      <c r="E15" s="101">
        <f t="shared" si="43"/>
        <v>10213.839620257573</v>
      </c>
      <c r="F15" s="101">
        <f t="shared" si="43"/>
        <v>10459.435135416903</v>
      </c>
      <c r="G15" s="101">
        <f t="shared" si="43"/>
        <v>5998.9253336220027</v>
      </c>
      <c r="H15" s="101">
        <f t="shared" si="43"/>
        <v>5730.7435765943655</v>
      </c>
      <c r="I15" s="101">
        <f t="shared" si="43"/>
        <v>5879.2943828978778</v>
      </c>
      <c r="J15" s="101">
        <f t="shared" si="43"/>
        <v>5902.139255397401</v>
      </c>
      <c r="K15" s="101">
        <f t="shared" si="43"/>
        <v>5629.9673154984512</v>
      </c>
      <c r="L15" s="101">
        <f t="shared" ref="L15" si="44">IF(L42=0,0,L42*L152)</f>
        <v>5689.2115169753615</v>
      </c>
      <c r="M15" s="101">
        <f t="shared" ref="M15:V15" si="45">IF(M42=0,0,M42*M152)</f>
        <v>5473.4297290323611</v>
      </c>
      <c r="N15" s="101">
        <f t="shared" si="45"/>
        <v>5389.9447625378034</v>
      </c>
      <c r="O15" s="101">
        <f t="shared" si="45"/>
        <v>5566.7517040499324</v>
      </c>
      <c r="P15" s="101">
        <f t="shared" si="45"/>
        <v>5328.407265985923</v>
      </c>
      <c r="Q15" s="101">
        <f t="shared" si="45"/>
        <v>5150.3123862854036</v>
      </c>
      <c r="R15" s="101">
        <f t="shared" si="45"/>
        <v>5018.6092288781474</v>
      </c>
      <c r="S15" s="101">
        <f t="shared" si="45"/>
        <v>5906.9621984229161</v>
      </c>
      <c r="T15" s="101">
        <f t="shared" si="45"/>
        <v>6168.389326515543</v>
      </c>
      <c r="U15" s="101">
        <f t="shared" si="45"/>
        <v>6315.9171018579427</v>
      </c>
      <c r="V15" s="101">
        <f t="shared" si="45"/>
        <v>3529.5040836974704</v>
      </c>
      <c r="W15" s="101">
        <f t="shared" ref="W15:Y15" si="46">IF(W42=0,0,W42*W152)</f>
        <v>5167.3376451651093</v>
      </c>
      <c r="X15" s="101">
        <f t="shared" si="46"/>
        <v>7547.8220227524216</v>
      </c>
      <c r="Y15" s="101">
        <f t="shared" si="46"/>
        <v>7514.8452899493368</v>
      </c>
      <c r="DA15" s="175" t="s">
        <v>463</v>
      </c>
    </row>
    <row r="16" spans="1:105" ht="11.45" customHeight="1" x14ac:dyDescent="0.25">
      <c r="A16" s="111" t="s">
        <v>112</v>
      </c>
      <c r="B16" s="101">
        <f t="shared" ref="B16:K16" si="47">IF(B43=0,0,B43*B153)</f>
        <v>0</v>
      </c>
      <c r="C16" s="101">
        <f t="shared" si="47"/>
        <v>0</v>
      </c>
      <c r="D16" s="101">
        <f t="shared" si="47"/>
        <v>0</v>
      </c>
      <c r="E16" s="101">
        <f t="shared" si="47"/>
        <v>0</v>
      </c>
      <c r="F16" s="101">
        <f t="shared" si="47"/>
        <v>0</v>
      </c>
      <c r="G16" s="101">
        <f t="shared" si="47"/>
        <v>0</v>
      </c>
      <c r="H16" s="101">
        <f t="shared" si="47"/>
        <v>0</v>
      </c>
      <c r="I16" s="101">
        <f t="shared" si="47"/>
        <v>0</v>
      </c>
      <c r="J16" s="101">
        <f t="shared" si="47"/>
        <v>0</v>
      </c>
      <c r="K16" s="101">
        <f t="shared" si="47"/>
        <v>0</v>
      </c>
      <c r="L16" s="101">
        <f t="shared" ref="L16" si="48">IF(L43=0,0,L43*L153)</f>
        <v>0.80216155402615186</v>
      </c>
      <c r="M16" s="101">
        <f t="shared" ref="M16:V16" si="49">IF(M43=0,0,M43*M153)</f>
        <v>0.79388381770285288</v>
      </c>
      <c r="N16" s="101">
        <f t="shared" si="49"/>
        <v>0.65319813398046034</v>
      </c>
      <c r="O16" s="101">
        <f t="shared" si="49"/>
        <v>0.69488231088330499</v>
      </c>
      <c r="P16" s="101">
        <f t="shared" si="49"/>
        <v>1.0760253541377633</v>
      </c>
      <c r="Q16" s="101">
        <f t="shared" si="49"/>
        <v>1.0685429274712661</v>
      </c>
      <c r="R16" s="101">
        <f t="shared" si="49"/>
        <v>1.2763017722605874</v>
      </c>
      <c r="S16" s="101">
        <f t="shared" si="49"/>
        <v>1.4484512592762688</v>
      </c>
      <c r="T16" s="101">
        <f t="shared" si="49"/>
        <v>1.5183671102726128</v>
      </c>
      <c r="U16" s="101">
        <f t="shared" si="49"/>
        <v>1.3003074641171686</v>
      </c>
      <c r="V16" s="101">
        <f t="shared" si="49"/>
        <v>0.6853534630790914</v>
      </c>
      <c r="W16" s="101">
        <f t="shared" ref="W16:Y16" si="50">IF(W43=0,0,W43*W153)</f>
        <v>1.0066665419048908</v>
      </c>
      <c r="X16" s="101">
        <f t="shared" si="50"/>
        <v>1.035224814503962</v>
      </c>
      <c r="Y16" s="101">
        <f t="shared" si="50"/>
        <v>1.0596658884023133</v>
      </c>
      <c r="DA16" s="175" t="s">
        <v>464</v>
      </c>
    </row>
    <row r="17" spans="1:105" ht="11.45" customHeight="1" x14ac:dyDescent="0.25">
      <c r="A17" s="111" t="s">
        <v>113</v>
      </c>
      <c r="B17" s="101">
        <f t="shared" ref="B17:K17" si="51">IF(B44=0,0,B44*B154)</f>
        <v>39.89451162570893</v>
      </c>
      <c r="C17" s="101">
        <f t="shared" si="51"/>
        <v>165.45463043594381</v>
      </c>
      <c r="D17" s="101">
        <f t="shared" si="51"/>
        <v>222.80549795912233</v>
      </c>
      <c r="E17" s="101">
        <f t="shared" si="51"/>
        <v>323.16037974242619</v>
      </c>
      <c r="F17" s="101">
        <f t="shared" si="51"/>
        <v>349.56486458309712</v>
      </c>
      <c r="G17" s="101">
        <f t="shared" si="51"/>
        <v>377.3378330238798</v>
      </c>
      <c r="H17" s="101">
        <f t="shared" si="51"/>
        <v>333.59968919667904</v>
      </c>
      <c r="I17" s="101">
        <f t="shared" si="51"/>
        <v>369.44352041508989</v>
      </c>
      <c r="J17" s="101">
        <f t="shared" si="51"/>
        <v>380.49049717971792</v>
      </c>
      <c r="K17" s="101">
        <f t="shared" si="51"/>
        <v>370.39266871174016</v>
      </c>
      <c r="L17" s="101">
        <f t="shared" ref="L17" si="52">IF(L44=0,0,L44*L154)</f>
        <v>378.75189339985076</v>
      </c>
      <c r="M17" s="101">
        <f t="shared" ref="M17:V17" si="53">IF(M44=0,0,M44*M154)</f>
        <v>367.91396821955436</v>
      </c>
      <c r="N17" s="101">
        <f t="shared" si="53"/>
        <v>441.76938641913893</v>
      </c>
      <c r="O17" s="101">
        <f t="shared" si="53"/>
        <v>436.46502654709235</v>
      </c>
      <c r="P17" s="101">
        <f t="shared" si="53"/>
        <v>312.66193496352344</v>
      </c>
      <c r="Q17" s="101">
        <f t="shared" si="53"/>
        <v>297.17670051993201</v>
      </c>
      <c r="R17" s="101">
        <f t="shared" si="53"/>
        <v>269.73876418062372</v>
      </c>
      <c r="S17" s="101">
        <f t="shared" si="53"/>
        <v>289.68145961876212</v>
      </c>
      <c r="T17" s="101">
        <f t="shared" si="53"/>
        <v>450.57699200399321</v>
      </c>
      <c r="U17" s="101">
        <f t="shared" si="53"/>
        <v>260.49718690907434</v>
      </c>
      <c r="V17" s="101">
        <f t="shared" si="53"/>
        <v>212.31032849519261</v>
      </c>
      <c r="W17" s="101">
        <f t="shared" ref="W17:Y17" si="54">IF(W44=0,0,W44*W154)</f>
        <v>429.43100522705106</v>
      </c>
      <c r="X17" s="101">
        <f t="shared" si="54"/>
        <v>583.38188495285453</v>
      </c>
      <c r="Y17" s="101">
        <f t="shared" si="54"/>
        <v>656.05263429868296</v>
      </c>
      <c r="DA17" s="175" t="s">
        <v>465</v>
      </c>
    </row>
    <row r="18" spans="1:105" ht="11.45" customHeight="1" x14ac:dyDescent="0.25">
      <c r="A18" s="111" t="s">
        <v>115</v>
      </c>
      <c r="B18" s="101">
        <f t="shared" ref="B18:K18" si="55">IF(B45=0,0,B45*B155)</f>
        <v>0</v>
      </c>
      <c r="C18" s="101">
        <f t="shared" si="55"/>
        <v>0</v>
      </c>
      <c r="D18" s="101">
        <f t="shared" si="55"/>
        <v>0</v>
      </c>
      <c r="E18" s="101">
        <f t="shared" si="55"/>
        <v>0</v>
      </c>
      <c r="F18" s="101">
        <f t="shared" si="55"/>
        <v>0</v>
      </c>
      <c r="G18" s="101">
        <f t="shared" si="55"/>
        <v>0</v>
      </c>
      <c r="H18" s="101">
        <f t="shared" si="55"/>
        <v>0</v>
      </c>
      <c r="I18" s="101">
        <f t="shared" si="55"/>
        <v>0</v>
      </c>
      <c r="J18" s="101">
        <f t="shared" si="55"/>
        <v>0</v>
      </c>
      <c r="K18" s="101">
        <f t="shared" si="55"/>
        <v>0</v>
      </c>
      <c r="L18" s="101">
        <f t="shared" ref="L18" si="56">IF(L45=0,0,L45*L155)</f>
        <v>8.3237104041945909</v>
      </c>
      <c r="M18" s="101">
        <f t="shared" ref="M18:V18" si="57">IF(M45=0,0,M45*M155)</f>
        <v>7.3837226728185081</v>
      </c>
      <c r="N18" s="101">
        <f t="shared" si="57"/>
        <v>17.115961889334674</v>
      </c>
      <c r="O18" s="101">
        <f t="shared" si="57"/>
        <v>18.447131136834901</v>
      </c>
      <c r="P18" s="101">
        <f t="shared" si="57"/>
        <v>14.291041775544192</v>
      </c>
      <c r="Q18" s="101">
        <f t="shared" si="57"/>
        <v>13.780379929319968</v>
      </c>
      <c r="R18" s="101">
        <f t="shared" si="57"/>
        <v>12.605105929658158</v>
      </c>
      <c r="S18" s="101">
        <f t="shared" si="57"/>
        <v>23.016021180817628</v>
      </c>
      <c r="T18" s="101">
        <f t="shared" si="57"/>
        <v>59.701600217188492</v>
      </c>
      <c r="U18" s="101">
        <f t="shared" si="57"/>
        <v>75.590110591919483</v>
      </c>
      <c r="V18" s="101">
        <f t="shared" si="57"/>
        <v>56.890288646823237</v>
      </c>
      <c r="W18" s="101">
        <f t="shared" ref="W18:Y18" si="58">IF(W45=0,0,W45*W155)</f>
        <v>74.905309250261269</v>
      </c>
      <c r="X18" s="101">
        <f t="shared" si="58"/>
        <v>134.23297317467828</v>
      </c>
      <c r="Y18" s="101">
        <f t="shared" si="58"/>
        <v>387.29277474360833</v>
      </c>
      <c r="DA18" s="175" t="s">
        <v>466</v>
      </c>
    </row>
    <row r="19" spans="1:105" ht="11.45" customHeight="1" x14ac:dyDescent="0.25">
      <c r="A19" s="27" t="s">
        <v>28</v>
      </c>
      <c r="B19" s="29">
        <f t="shared" ref="B19:K19" si="59">B20+B26</f>
        <v>21259.73555025737</v>
      </c>
      <c r="C19" s="29">
        <f t="shared" si="59"/>
        <v>23807.702636935945</v>
      </c>
      <c r="D19" s="29">
        <f t="shared" si="59"/>
        <v>22669.939051658173</v>
      </c>
      <c r="E19" s="29">
        <f t="shared" si="59"/>
        <v>21964.606232663013</v>
      </c>
      <c r="F19" s="29">
        <f t="shared" si="59"/>
        <v>25955.620775051921</v>
      </c>
      <c r="G19" s="29">
        <f t="shared" si="59"/>
        <v>26117.556363496933</v>
      </c>
      <c r="H19" s="29">
        <f t="shared" si="59"/>
        <v>26723.031501891899</v>
      </c>
      <c r="I19" s="29">
        <f t="shared" si="59"/>
        <v>28107.175060506241</v>
      </c>
      <c r="J19" s="29">
        <f t="shared" si="59"/>
        <v>25932.361288017499</v>
      </c>
      <c r="K19" s="29">
        <f t="shared" si="59"/>
        <v>23221.076788775103</v>
      </c>
      <c r="L19" s="29">
        <f t="shared" ref="L19" si="60">L20+L26</f>
        <v>21230.304973930113</v>
      </c>
      <c r="M19" s="29">
        <f t="shared" ref="M19:V19" si="61">M20+M26</f>
        <v>21123.994619929614</v>
      </c>
      <c r="N19" s="29">
        <f t="shared" si="61"/>
        <v>18260.219017977503</v>
      </c>
      <c r="O19" s="29">
        <f t="shared" si="61"/>
        <v>17492.561756704126</v>
      </c>
      <c r="P19" s="29">
        <f t="shared" si="61"/>
        <v>18536.625098697627</v>
      </c>
      <c r="Q19" s="29">
        <f t="shared" si="61"/>
        <v>18211.723991106624</v>
      </c>
      <c r="R19" s="29">
        <f t="shared" si="61"/>
        <v>18326.134495602128</v>
      </c>
      <c r="S19" s="29">
        <f t="shared" si="61"/>
        <v>18769.607078012858</v>
      </c>
      <c r="T19" s="29">
        <f t="shared" si="61"/>
        <v>18742.863678863079</v>
      </c>
      <c r="U19" s="29">
        <f t="shared" si="61"/>
        <v>18788.855176537872</v>
      </c>
      <c r="V19" s="29">
        <f t="shared" si="61"/>
        <v>15809.833129584884</v>
      </c>
      <c r="W19" s="29">
        <f t="shared" ref="W19:Y19" si="62">W20+W26</f>
        <v>17662.192121089938</v>
      </c>
      <c r="X19" s="29">
        <f t="shared" si="62"/>
        <v>17935.97641115537</v>
      </c>
      <c r="Y19" s="29">
        <f t="shared" si="62"/>
        <v>16248.446048360887</v>
      </c>
      <c r="DA19" s="173" t="s">
        <v>381</v>
      </c>
    </row>
    <row r="20" spans="1:105" ht="11.45" customHeight="1" x14ac:dyDescent="0.25">
      <c r="A20" s="136" t="s">
        <v>153</v>
      </c>
      <c r="B20" s="152">
        <f t="shared" ref="B20:K20" si="63">SUM(B21:B25)</f>
        <v>2407.97028169445</v>
      </c>
      <c r="C20" s="152">
        <f t="shared" si="63"/>
        <v>2494.9957295966146</v>
      </c>
      <c r="D20" s="152">
        <f t="shared" si="63"/>
        <v>2500.0754743704492</v>
      </c>
      <c r="E20" s="152">
        <f t="shared" si="63"/>
        <v>2427.300555084656</v>
      </c>
      <c r="F20" s="152">
        <f t="shared" si="63"/>
        <v>2324.2990668028215</v>
      </c>
      <c r="G20" s="152">
        <f t="shared" si="63"/>
        <v>2256.4499149494181</v>
      </c>
      <c r="H20" s="152">
        <f t="shared" si="63"/>
        <v>2288.3254828886024</v>
      </c>
      <c r="I20" s="152">
        <f t="shared" si="63"/>
        <v>2229.8484311884686</v>
      </c>
      <c r="J20" s="152">
        <f t="shared" si="63"/>
        <v>2256.5622265838374</v>
      </c>
      <c r="K20" s="152">
        <f t="shared" si="63"/>
        <v>2299.6416666533373</v>
      </c>
      <c r="L20" s="152">
        <f t="shared" ref="L20" si="64">SUM(L21:L25)</f>
        <v>2280.909642085272</v>
      </c>
      <c r="M20" s="152">
        <f t="shared" ref="M20:V20" si="65">SUM(M21:M25)</f>
        <v>2067.5041731708193</v>
      </c>
      <c r="N20" s="152">
        <f t="shared" si="65"/>
        <v>1800.6995956496421</v>
      </c>
      <c r="O20" s="152">
        <f t="shared" si="65"/>
        <v>1732.8988052144709</v>
      </c>
      <c r="P20" s="152">
        <f t="shared" si="65"/>
        <v>1886.9643381130168</v>
      </c>
      <c r="Q20" s="152">
        <f t="shared" si="65"/>
        <v>1888.3979367466791</v>
      </c>
      <c r="R20" s="152">
        <f t="shared" si="65"/>
        <v>1944.1839766661014</v>
      </c>
      <c r="S20" s="152">
        <f t="shared" si="65"/>
        <v>2025.0483429893266</v>
      </c>
      <c r="T20" s="152">
        <f t="shared" si="65"/>
        <v>2084.8636788630783</v>
      </c>
      <c r="U20" s="152">
        <f t="shared" si="65"/>
        <v>2176.855176537872</v>
      </c>
      <c r="V20" s="152">
        <f t="shared" si="65"/>
        <v>1880.8331295848832</v>
      </c>
      <c r="W20" s="152">
        <f t="shared" ref="W20:Y20" si="66">SUM(W21:W25)</f>
        <v>2045.1921210899391</v>
      </c>
      <c r="X20" s="152">
        <f t="shared" si="66"/>
        <v>2270.9764111553709</v>
      </c>
      <c r="Y20" s="152">
        <f t="shared" si="66"/>
        <v>2459.4460483608868</v>
      </c>
      <c r="DA20" s="174" t="s">
        <v>382</v>
      </c>
    </row>
    <row r="21" spans="1:105" ht="11.45" customHeight="1" x14ac:dyDescent="0.25">
      <c r="A21" s="111" t="s">
        <v>110</v>
      </c>
      <c r="B21" s="87">
        <f t="shared" ref="B21:K21" si="67">IF(B48=0,0,B48*B158)</f>
        <v>24.54719984544634</v>
      </c>
      <c r="C21" s="87">
        <f t="shared" si="67"/>
        <v>22.464895677304376</v>
      </c>
      <c r="D21" s="87">
        <f t="shared" si="67"/>
        <v>21.931045032250701</v>
      </c>
      <c r="E21" s="87">
        <f t="shared" si="67"/>
        <v>24.00436084138946</v>
      </c>
      <c r="F21" s="87">
        <f t="shared" si="67"/>
        <v>21.192925790246875</v>
      </c>
      <c r="G21" s="87">
        <f t="shared" si="67"/>
        <v>19.874299779388348</v>
      </c>
      <c r="H21" s="87">
        <f t="shared" si="67"/>
        <v>19.621871665499341</v>
      </c>
      <c r="I21" s="87">
        <f t="shared" si="67"/>
        <v>18.462467842616423</v>
      </c>
      <c r="J21" s="87">
        <f t="shared" si="67"/>
        <v>18.223372094745027</v>
      </c>
      <c r="K21" s="87">
        <f t="shared" si="67"/>
        <v>18.139824387397397</v>
      </c>
      <c r="L21" s="87">
        <f t="shared" ref="L21" si="68">IF(L48=0,0,L48*L158)</f>
        <v>17.539081201749187</v>
      </c>
      <c r="M21" s="87">
        <f t="shared" ref="M21:V21" si="69">IF(M48=0,0,M48*M158)</f>
        <v>14.341014465050398</v>
      </c>
      <c r="N21" s="87">
        <f t="shared" si="69"/>
        <v>12.464224363451944</v>
      </c>
      <c r="O21" s="87">
        <f t="shared" si="69"/>
        <v>11.158259507815604</v>
      </c>
      <c r="P21" s="87">
        <f t="shared" si="69"/>
        <v>10.68222640328143</v>
      </c>
      <c r="Q21" s="87">
        <f t="shared" si="69"/>
        <v>11.827083739396977</v>
      </c>
      <c r="R21" s="87">
        <f t="shared" si="69"/>
        <v>11.05338789867335</v>
      </c>
      <c r="S21" s="87">
        <f t="shared" si="69"/>
        <v>11.486444691896315</v>
      </c>
      <c r="T21" s="87">
        <f t="shared" si="69"/>
        <v>10.661506176822849</v>
      </c>
      <c r="U21" s="87">
        <f t="shared" si="69"/>
        <v>13.34361135067242</v>
      </c>
      <c r="V21" s="87">
        <f t="shared" si="69"/>
        <v>8.5131731368576578</v>
      </c>
      <c r="W21" s="87">
        <f t="shared" ref="W21:Y21" si="70">IF(W48=0,0,W48*W158)</f>
        <v>8.9230971839543809</v>
      </c>
      <c r="X21" s="87">
        <f t="shared" si="70"/>
        <v>9.7379408319620477</v>
      </c>
      <c r="Y21" s="87">
        <f t="shared" si="70"/>
        <v>9.3256591053141964</v>
      </c>
      <c r="DA21" s="171" t="s">
        <v>467</v>
      </c>
    </row>
    <row r="22" spans="1:105" ht="11.45" customHeight="1" x14ac:dyDescent="0.25">
      <c r="A22" s="111" t="s">
        <v>111</v>
      </c>
      <c r="B22" s="87">
        <f t="shared" ref="B22:K22" si="71">IF(B49=0,0,B49*B159)</f>
        <v>2382.3949214224244</v>
      </c>
      <c r="C22" s="87">
        <f t="shared" si="71"/>
        <v>2471.5680863437965</v>
      </c>
      <c r="D22" s="87">
        <f t="shared" si="71"/>
        <v>2477.1811853686118</v>
      </c>
      <c r="E22" s="87">
        <f t="shared" si="71"/>
        <v>2402.2433511397021</v>
      </c>
      <c r="F22" s="87">
        <f t="shared" si="71"/>
        <v>2302.1553200775134</v>
      </c>
      <c r="G22" s="87">
        <f t="shared" si="71"/>
        <v>2235.6586487207787</v>
      </c>
      <c r="H22" s="87">
        <f t="shared" si="71"/>
        <v>2267.7767106495116</v>
      </c>
      <c r="I22" s="87">
        <f t="shared" si="71"/>
        <v>2210.4855025044044</v>
      </c>
      <c r="J22" s="87">
        <f t="shared" si="71"/>
        <v>2237.4302580961662</v>
      </c>
      <c r="K22" s="87">
        <f t="shared" si="71"/>
        <v>2280.5775005795695</v>
      </c>
      <c r="L22" s="87">
        <f t="shared" ref="L22" si="72">IF(L49=0,0,L49*L159)</f>
        <v>2262.4868910530008</v>
      </c>
      <c r="M22" s="87">
        <f t="shared" ref="M22:V22" si="73">IF(M49=0,0,M49*M159)</f>
        <v>2052.3783871501259</v>
      </c>
      <c r="N22" s="87">
        <f t="shared" si="73"/>
        <v>1787.5729125830192</v>
      </c>
      <c r="O22" s="87">
        <f t="shared" si="73"/>
        <v>1721.0336744958579</v>
      </c>
      <c r="P22" s="87">
        <f t="shared" si="73"/>
        <v>1875.5091365796347</v>
      </c>
      <c r="Q22" s="87">
        <f t="shared" si="73"/>
        <v>1875.6587098280656</v>
      </c>
      <c r="R22" s="87">
        <f t="shared" si="73"/>
        <v>1932.2218599170362</v>
      </c>
      <c r="S22" s="87">
        <f t="shared" si="73"/>
        <v>2012.1766832144829</v>
      </c>
      <c r="T22" s="87">
        <f t="shared" si="73"/>
        <v>2072.2061157682583</v>
      </c>
      <c r="U22" s="87">
        <f t="shared" si="73"/>
        <v>2160.9710099512727</v>
      </c>
      <c r="V22" s="87">
        <f t="shared" si="73"/>
        <v>1869.6045735856906</v>
      </c>
      <c r="W22" s="87">
        <f t="shared" ref="W22:Y22" si="74">IF(W49=0,0,W49*W159)</f>
        <v>2033.0114525835479</v>
      </c>
      <c r="X22" s="87">
        <f t="shared" si="74"/>
        <v>2256.8366162081529</v>
      </c>
      <c r="Y22" s="87">
        <f t="shared" si="74"/>
        <v>2443.0681142336643</v>
      </c>
      <c r="DA22" s="171" t="s">
        <v>468</v>
      </c>
    </row>
    <row r="23" spans="1:105" ht="11.45" customHeight="1" x14ac:dyDescent="0.25">
      <c r="A23" s="111" t="s">
        <v>112</v>
      </c>
      <c r="B23" s="87">
        <f t="shared" ref="B23:K23" si="75">IF(B50=0,0,B50*B160)</f>
        <v>1.028160426579106</v>
      </c>
      <c r="C23" s="87">
        <f t="shared" si="75"/>
        <v>0.96274757551392887</v>
      </c>
      <c r="D23" s="87">
        <f t="shared" si="75"/>
        <v>0.96324396958700986</v>
      </c>
      <c r="E23" s="87">
        <f t="shared" si="75"/>
        <v>1.0528431035647001</v>
      </c>
      <c r="F23" s="87">
        <f t="shared" si="75"/>
        <v>0.95082093506127496</v>
      </c>
      <c r="G23" s="87">
        <f t="shared" si="75"/>
        <v>0.91696644925096316</v>
      </c>
      <c r="H23" s="87">
        <f t="shared" si="75"/>
        <v>0.92690057359146494</v>
      </c>
      <c r="I23" s="87">
        <f t="shared" si="75"/>
        <v>0.90046084144815575</v>
      </c>
      <c r="J23" s="87">
        <f t="shared" si="75"/>
        <v>0.90859639292624772</v>
      </c>
      <c r="K23" s="87">
        <f t="shared" si="75"/>
        <v>0.92434168637043279</v>
      </c>
      <c r="L23" s="87">
        <f t="shared" ref="L23" si="76">IF(L50=0,0,L50*L160)</f>
        <v>0.8836698305220112</v>
      </c>
      <c r="M23" s="87">
        <f t="shared" ref="M23:V23" si="77">IF(M50=0,0,M50*M160)</f>
        <v>0.77939577200032673</v>
      </c>
      <c r="N23" s="87">
        <f t="shared" si="77"/>
        <v>0.64524008471662442</v>
      </c>
      <c r="O23" s="87">
        <f t="shared" si="77"/>
        <v>0.63630720179064748</v>
      </c>
      <c r="P23" s="87">
        <f t="shared" si="77"/>
        <v>0.6625393826911673</v>
      </c>
      <c r="Q23" s="87">
        <f t="shared" si="77"/>
        <v>0.70711669250917963</v>
      </c>
      <c r="R23" s="87">
        <f t="shared" si="77"/>
        <v>0.66580089306965251</v>
      </c>
      <c r="S23" s="87">
        <f t="shared" si="77"/>
        <v>0.66813523718211165</v>
      </c>
      <c r="T23" s="87">
        <f t="shared" si="77"/>
        <v>0.6680663325577838</v>
      </c>
      <c r="U23" s="87">
        <f t="shared" si="77"/>
        <v>0.77546543999092921</v>
      </c>
      <c r="V23" s="87">
        <f t="shared" si="77"/>
        <v>0.64791508087262029</v>
      </c>
      <c r="W23" s="87">
        <f t="shared" ref="W23:Y23" si="78">IF(W50=0,0,W50*W160)</f>
        <v>0.65461355544194222</v>
      </c>
      <c r="X23" s="87">
        <f t="shared" si="78"/>
        <v>0.71730970448651399</v>
      </c>
      <c r="Y23" s="87">
        <f t="shared" si="78"/>
        <v>0.75548948878044853</v>
      </c>
      <c r="DA23" s="171" t="s">
        <v>469</v>
      </c>
    </row>
    <row r="24" spans="1:105" ht="11.45" customHeight="1" x14ac:dyDescent="0.25">
      <c r="A24" s="111" t="s">
        <v>113</v>
      </c>
      <c r="B24" s="87">
        <f t="shared" ref="B24:K24" si="79">IF(B51=0,0,B51*B161)</f>
        <v>0</v>
      </c>
      <c r="C24" s="87">
        <f t="shared" si="79"/>
        <v>0</v>
      </c>
      <c r="D24" s="87">
        <f t="shared" si="79"/>
        <v>0</v>
      </c>
      <c r="E24" s="87">
        <f t="shared" si="79"/>
        <v>0</v>
      </c>
      <c r="F24" s="87">
        <f t="shared" si="79"/>
        <v>0</v>
      </c>
      <c r="G24" s="87">
        <f t="shared" si="79"/>
        <v>0</v>
      </c>
      <c r="H24" s="87">
        <f t="shared" si="79"/>
        <v>0</v>
      </c>
      <c r="I24" s="87">
        <f t="shared" si="79"/>
        <v>0</v>
      </c>
      <c r="J24" s="87">
        <f t="shared" si="79"/>
        <v>0</v>
      </c>
      <c r="K24" s="87">
        <f t="shared" si="79"/>
        <v>0</v>
      </c>
      <c r="L24" s="87">
        <f t="shared" ref="L24" si="80">IF(L51=0,0,L51*L161)</f>
        <v>0</v>
      </c>
      <c r="M24" s="87">
        <f t="shared" ref="M24:V24" si="81">IF(M51=0,0,M51*M161)</f>
        <v>0</v>
      </c>
      <c r="N24" s="87">
        <f t="shared" si="81"/>
        <v>0</v>
      </c>
      <c r="O24" s="87">
        <f t="shared" si="81"/>
        <v>5.8915414685694802E-3</v>
      </c>
      <c r="P24" s="87">
        <f t="shared" si="81"/>
        <v>1.5550938837884391E-2</v>
      </c>
      <c r="Q24" s="87">
        <f t="shared" si="81"/>
        <v>2.361998066467403E-2</v>
      </c>
      <c r="R24" s="87">
        <f t="shared" si="81"/>
        <v>3.2503542182010702E-2</v>
      </c>
      <c r="S24" s="87">
        <f t="shared" si="81"/>
        <v>3.752788433614828E-2</v>
      </c>
      <c r="T24" s="87">
        <f t="shared" si="81"/>
        <v>5.6682659247231378E-2</v>
      </c>
      <c r="U24" s="87">
        <f t="shared" si="81"/>
        <v>9.0961175943161013E-2</v>
      </c>
      <c r="V24" s="87">
        <f t="shared" si="81"/>
        <v>9.3639167617347752E-2</v>
      </c>
      <c r="W24" s="87">
        <f t="shared" ref="W24:Y24" si="82">IF(W51=0,0,W51*W161)</f>
        <v>0.14317857034630641</v>
      </c>
      <c r="X24" s="87">
        <f t="shared" si="82"/>
        <v>0.16696743695714181</v>
      </c>
      <c r="Y24" s="87">
        <f t="shared" si="82"/>
        <v>0.1864663924981399</v>
      </c>
      <c r="DA24" s="171" t="s">
        <v>470</v>
      </c>
    </row>
    <row r="25" spans="1:105" ht="11.45" customHeight="1" x14ac:dyDescent="0.25">
      <c r="A25" s="111" t="s">
        <v>115</v>
      </c>
      <c r="B25" s="87">
        <f t="shared" ref="B25:K25" si="83">IF(B52=0,0,B52*B162)</f>
        <v>0</v>
      </c>
      <c r="C25" s="87">
        <f t="shared" si="83"/>
        <v>0</v>
      </c>
      <c r="D25" s="87">
        <f t="shared" si="83"/>
        <v>0</v>
      </c>
      <c r="E25" s="87">
        <f t="shared" si="83"/>
        <v>0</v>
      </c>
      <c r="F25" s="87">
        <f t="shared" si="83"/>
        <v>0</v>
      </c>
      <c r="G25" s="87">
        <f t="shared" si="83"/>
        <v>0</v>
      </c>
      <c r="H25" s="87">
        <f t="shared" si="83"/>
        <v>0</v>
      </c>
      <c r="I25" s="87">
        <f t="shared" si="83"/>
        <v>0</v>
      </c>
      <c r="J25" s="87">
        <f t="shared" si="83"/>
        <v>0</v>
      </c>
      <c r="K25" s="87">
        <f t="shared" si="83"/>
        <v>0</v>
      </c>
      <c r="L25" s="87">
        <f t="shared" ref="L25" si="84">IF(L52=0,0,L52*L162)</f>
        <v>0</v>
      </c>
      <c r="M25" s="87">
        <f t="shared" ref="M25:V25" si="85">IF(M52=0,0,M52*M162)</f>
        <v>5.3757836425480654E-3</v>
      </c>
      <c r="N25" s="87">
        <f t="shared" si="85"/>
        <v>1.7218618454570234E-2</v>
      </c>
      <c r="O25" s="87">
        <f t="shared" si="85"/>
        <v>6.4672467538244932E-2</v>
      </c>
      <c r="P25" s="87">
        <f t="shared" si="85"/>
        <v>9.4884808571604154E-2</v>
      </c>
      <c r="Q25" s="87">
        <f t="shared" si="85"/>
        <v>0.18140650604253858</v>
      </c>
      <c r="R25" s="87">
        <f t="shared" si="85"/>
        <v>0.21042441514027632</v>
      </c>
      <c r="S25" s="87">
        <f t="shared" si="85"/>
        <v>0.67955196142907004</v>
      </c>
      <c r="T25" s="87">
        <f t="shared" si="85"/>
        <v>1.2713079261918783</v>
      </c>
      <c r="U25" s="87">
        <f t="shared" si="85"/>
        <v>1.6741286199933201</v>
      </c>
      <c r="V25" s="87">
        <f t="shared" si="85"/>
        <v>1.9738286138452756</v>
      </c>
      <c r="W25" s="87">
        <f t="shared" ref="W25:Y25" si="86">IF(W52=0,0,W52*W162)</f>
        <v>2.4597791966486451</v>
      </c>
      <c r="X25" s="87">
        <f t="shared" si="86"/>
        <v>3.5175769738120715</v>
      </c>
      <c r="Y25" s="87">
        <f t="shared" si="86"/>
        <v>6.11031914063022</v>
      </c>
      <c r="DA25" s="171" t="s">
        <v>471</v>
      </c>
    </row>
    <row r="26" spans="1:105" ht="11.45" customHeight="1" x14ac:dyDescent="0.25">
      <c r="A26" s="109" t="s">
        <v>154</v>
      </c>
      <c r="B26" s="116">
        <f t="shared" ref="B26:K26" si="87">SUM(B27:B28)</f>
        <v>18851.765268562922</v>
      </c>
      <c r="C26" s="116">
        <f t="shared" si="87"/>
        <v>21312.706907339329</v>
      </c>
      <c r="D26" s="116">
        <f t="shared" si="87"/>
        <v>20169.863577287724</v>
      </c>
      <c r="E26" s="116">
        <f t="shared" si="87"/>
        <v>19537.305677578355</v>
      </c>
      <c r="F26" s="116">
        <f t="shared" si="87"/>
        <v>23631.321708249099</v>
      </c>
      <c r="G26" s="116">
        <f t="shared" si="87"/>
        <v>23861.106448547514</v>
      </c>
      <c r="H26" s="116">
        <f t="shared" si="87"/>
        <v>24434.706019003297</v>
      </c>
      <c r="I26" s="116">
        <f t="shared" si="87"/>
        <v>25877.326629317773</v>
      </c>
      <c r="J26" s="116">
        <f t="shared" si="87"/>
        <v>23675.799061433663</v>
      </c>
      <c r="K26" s="116">
        <f t="shared" si="87"/>
        <v>20921.435122121766</v>
      </c>
      <c r="L26" s="116">
        <f t="shared" ref="L26" si="88">SUM(L27:L28)</f>
        <v>18949.39533184484</v>
      </c>
      <c r="M26" s="116">
        <f t="shared" ref="M26:V26" si="89">SUM(M27:M28)</f>
        <v>19056.490446758795</v>
      </c>
      <c r="N26" s="116">
        <f t="shared" si="89"/>
        <v>16459.51942232786</v>
      </c>
      <c r="O26" s="116">
        <f t="shared" si="89"/>
        <v>15759.662951489654</v>
      </c>
      <c r="P26" s="116">
        <f t="shared" si="89"/>
        <v>16649.660760584611</v>
      </c>
      <c r="Q26" s="116">
        <f t="shared" si="89"/>
        <v>16323.326054359946</v>
      </c>
      <c r="R26" s="116">
        <f t="shared" si="89"/>
        <v>16381.950518936026</v>
      </c>
      <c r="S26" s="116">
        <f t="shared" si="89"/>
        <v>16744.558735023529</v>
      </c>
      <c r="T26" s="116">
        <f t="shared" si="89"/>
        <v>16658</v>
      </c>
      <c r="U26" s="116">
        <f t="shared" si="89"/>
        <v>16612</v>
      </c>
      <c r="V26" s="116">
        <f t="shared" si="89"/>
        <v>13929</v>
      </c>
      <c r="W26" s="116">
        <f t="shared" ref="W26:Y26" si="90">SUM(W27:W28)</f>
        <v>15617</v>
      </c>
      <c r="X26" s="116">
        <f t="shared" si="90"/>
        <v>15665</v>
      </c>
      <c r="Y26" s="116">
        <f t="shared" si="90"/>
        <v>13789</v>
      </c>
      <c r="DA26" s="176" t="s">
        <v>383</v>
      </c>
    </row>
    <row r="27" spans="1:105" ht="11.45" customHeight="1" x14ac:dyDescent="0.25">
      <c r="A27" s="128" t="s">
        <v>27</v>
      </c>
      <c r="B27" s="101">
        <f t="shared" ref="B27:K27" si="91">IF(B54=0,0,B54*B164)</f>
        <v>14220</v>
      </c>
      <c r="C27" s="101">
        <f t="shared" si="91"/>
        <v>16351.000000000002</v>
      </c>
      <c r="D27" s="101">
        <f t="shared" si="91"/>
        <v>14916</v>
      </c>
      <c r="E27" s="101">
        <f t="shared" si="91"/>
        <v>14199.000000000002</v>
      </c>
      <c r="F27" s="101">
        <f t="shared" si="91"/>
        <v>17435</v>
      </c>
      <c r="G27" s="101">
        <f t="shared" si="91"/>
        <v>17445</v>
      </c>
      <c r="H27" s="101">
        <f t="shared" si="91"/>
        <v>17540</v>
      </c>
      <c r="I27" s="101">
        <f t="shared" si="91"/>
        <v>18319</v>
      </c>
      <c r="J27" s="101">
        <f t="shared" si="91"/>
        <v>17114</v>
      </c>
      <c r="K27" s="101">
        <f t="shared" si="91"/>
        <v>14424</v>
      </c>
      <c r="L27" s="101">
        <f t="shared" ref="L27:V27" si="92">IF(L54=0,0,L54*L164)</f>
        <v>12881</v>
      </c>
      <c r="M27" s="101">
        <f t="shared" si="92"/>
        <v>12673</v>
      </c>
      <c r="N27" s="101">
        <f t="shared" si="92"/>
        <v>11179.999999999998</v>
      </c>
      <c r="O27" s="101">
        <f t="shared" si="92"/>
        <v>9773</v>
      </c>
      <c r="P27" s="101">
        <f t="shared" si="92"/>
        <v>10469</v>
      </c>
      <c r="Q27" s="101">
        <f t="shared" si="92"/>
        <v>10791</v>
      </c>
      <c r="R27" s="101">
        <f t="shared" si="92"/>
        <v>10382</v>
      </c>
      <c r="S27" s="101">
        <f t="shared" si="92"/>
        <v>10854</v>
      </c>
      <c r="T27" s="101">
        <f t="shared" si="92"/>
        <v>10530</v>
      </c>
      <c r="U27" s="101">
        <f t="shared" si="92"/>
        <v>10413</v>
      </c>
      <c r="V27" s="101">
        <f t="shared" si="92"/>
        <v>8722</v>
      </c>
      <c r="W27" s="101">
        <f t="shared" ref="W27:Y27" si="93">IF(W54=0,0,W54*W164)</f>
        <v>9389</v>
      </c>
      <c r="X27" s="101">
        <f t="shared" si="93"/>
        <v>9055</v>
      </c>
      <c r="Y27" s="101">
        <f t="shared" si="93"/>
        <v>7645</v>
      </c>
      <c r="DA27" s="175" t="s">
        <v>472</v>
      </c>
    </row>
    <row r="28" spans="1:105" ht="11.45" customHeight="1" x14ac:dyDescent="0.25">
      <c r="A28" s="138" t="s">
        <v>116</v>
      </c>
      <c r="B28" s="88">
        <f t="shared" ref="B28:K28" si="94">IF(B55=0,0,B55*B165)</f>
        <v>4631.7652685629218</v>
      </c>
      <c r="C28" s="88">
        <f t="shared" si="94"/>
        <v>4961.706907339325</v>
      </c>
      <c r="D28" s="88">
        <f t="shared" si="94"/>
        <v>5253.8635772877242</v>
      </c>
      <c r="E28" s="88">
        <f t="shared" si="94"/>
        <v>5338.3056775783516</v>
      </c>
      <c r="F28" s="88">
        <f t="shared" si="94"/>
        <v>6196.3217082490992</v>
      </c>
      <c r="G28" s="88">
        <f t="shared" si="94"/>
        <v>6416.1064485475144</v>
      </c>
      <c r="H28" s="88">
        <f t="shared" si="94"/>
        <v>6894.7060190032971</v>
      </c>
      <c r="I28" s="88">
        <f t="shared" si="94"/>
        <v>7558.326629317773</v>
      </c>
      <c r="J28" s="88">
        <f t="shared" si="94"/>
        <v>6561.7990614336632</v>
      </c>
      <c r="K28" s="88">
        <f t="shared" si="94"/>
        <v>6497.4351221217657</v>
      </c>
      <c r="L28" s="88">
        <f t="shared" ref="L28:V28" si="95">IF(L55=0,0,L55*L165)</f>
        <v>6068.3953318448403</v>
      </c>
      <c r="M28" s="88">
        <f t="shared" si="95"/>
        <v>6383.4904467587949</v>
      </c>
      <c r="N28" s="88">
        <f t="shared" si="95"/>
        <v>5279.5194223278595</v>
      </c>
      <c r="O28" s="88">
        <f t="shared" si="95"/>
        <v>5986.662951489654</v>
      </c>
      <c r="P28" s="88">
        <f t="shared" si="95"/>
        <v>6180.6607605846111</v>
      </c>
      <c r="Q28" s="88">
        <f t="shared" si="95"/>
        <v>5532.3260543599463</v>
      </c>
      <c r="R28" s="88">
        <f t="shared" si="95"/>
        <v>5999.9505189360261</v>
      </c>
      <c r="S28" s="88">
        <f t="shared" si="95"/>
        <v>5890.5587350235292</v>
      </c>
      <c r="T28" s="88">
        <f t="shared" si="95"/>
        <v>6128</v>
      </c>
      <c r="U28" s="88">
        <f t="shared" si="95"/>
        <v>6199</v>
      </c>
      <c r="V28" s="88">
        <f t="shared" si="95"/>
        <v>5207</v>
      </c>
      <c r="W28" s="88">
        <f t="shared" ref="W28:Y28" si="96">IF(W55=0,0,W55*W165)</f>
        <v>6228</v>
      </c>
      <c r="X28" s="88">
        <f t="shared" si="96"/>
        <v>6610</v>
      </c>
      <c r="Y28" s="88">
        <f t="shared" si="96"/>
        <v>6144</v>
      </c>
      <c r="DA28" s="178" t="s">
        <v>473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DA29" s="171"/>
    </row>
    <row r="30" spans="1:105" ht="11.45" customHeight="1" x14ac:dyDescent="0.25">
      <c r="A30" s="53" t="s">
        <v>134</v>
      </c>
      <c r="B30" s="62">
        <f t="shared" ref="B30" si="97">B31+B46</f>
        <v>68430.188957915962</v>
      </c>
      <c r="C30" s="62">
        <f t="shared" ref="C30:V30" si="98">C31+C46</f>
        <v>69605.875158133771</v>
      </c>
      <c r="D30" s="62">
        <f t="shared" si="98"/>
        <v>74033.447865124006</v>
      </c>
      <c r="E30" s="62">
        <f t="shared" si="98"/>
        <v>75929.763955605289</v>
      </c>
      <c r="F30" s="62">
        <f t="shared" si="98"/>
        <v>77538.761647200939</v>
      </c>
      <c r="G30" s="62">
        <f t="shared" si="98"/>
        <v>78072.183785094981</v>
      </c>
      <c r="H30" s="62">
        <f t="shared" si="98"/>
        <v>79048.983428225038</v>
      </c>
      <c r="I30" s="62">
        <f t="shared" si="98"/>
        <v>78556.980610848434</v>
      </c>
      <c r="J30" s="62">
        <f t="shared" si="98"/>
        <v>79640.441878458863</v>
      </c>
      <c r="K30" s="62">
        <f t="shared" si="98"/>
        <v>81008.035379868845</v>
      </c>
      <c r="L30" s="62">
        <f t="shared" si="98"/>
        <v>82209.42311996076</v>
      </c>
      <c r="M30" s="62">
        <f t="shared" si="98"/>
        <v>78919.194122931702</v>
      </c>
      <c r="N30" s="62">
        <f t="shared" si="98"/>
        <v>72089.939627416446</v>
      </c>
      <c r="O30" s="62">
        <f t="shared" si="98"/>
        <v>71881.878147894677</v>
      </c>
      <c r="P30" s="62">
        <f t="shared" si="98"/>
        <v>75101.511150412334</v>
      </c>
      <c r="Q30" s="62">
        <f t="shared" si="98"/>
        <v>75114.594914834801</v>
      </c>
      <c r="R30" s="62">
        <f t="shared" si="98"/>
        <v>77592.821909968567</v>
      </c>
      <c r="S30" s="62">
        <f t="shared" si="98"/>
        <v>80312.940466665372</v>
      </c>
      <c r="T30" s="62">
        <f t="shared" si="98"/>
        <v>81420.80679806316</v>
      </c>
      <c r="U30" s="62">
        <f t="shared" si="98"/>
        <v>83519.719217486141</v>
      </c>
      <c r="V30" s="62">
        <f t="shared" si="98"/>
        <v>72789.497371449615</v>
      </c>
      <c r="W30" s="62">
        <f t="shared" ref="W30:Y30" si="99">W31+W46</f>
        <v>77395.376585758204</v>
      </c>
      <c r="X30" s="62">
        <f t="shared" si="99"/>
        <v>81457.304761506355</v>
      </c>
      <c r="Y30" s="62">
        <f t="shared" si="99"/>
        <v>87861.689646111481</v>
      </c>
      <c r="DA30" s="172" t="s">
        <v>474</v>
      </c>
    </row>
    <row r="31" spans="1:105" ht="11.45" customHeight="1" x14ac:dyDescent="0.25">
      <c r="A31" s="27" t="s">
        <v>33</v>
      </c>
      <c r="B31" s="29">
        <f t="shared" ref="B31" si="100">B32+B33+B40</f>
        <v>51281.17277209703</v>
      </c>
      <c r="C31" s="29">
        <f t="shared" ref="C31:V31" si="101">C32+C33+C40</f>
        <v>51893.17477192777</v>
      </c>
      <c r="D31" s="29">
        <f t="shared" si="101"/>
        <v>56306.832174602947</v>
      </c>
      <c r="E31" s="29">
        <f t="shared" si="101"/>
        <v>58484.596776260027</v>
      </c>
      <c r="F31" s="29">
        <f t="shared" si="101"/>
        <v>60453.441067296233</v>
      </c>
      <c r="G31" s="29">
        <f t="shared" si="101"/>
        <v>61459.481932820992</v>
      </c>
      <c r="H31" s="29">
        <f t="shared" si="101"/>
        <v>62213.700666963661</v>
      </c>
      <c r="I31" s="29">
        <f t="shared" si="101"/>
        <v>62131.766979082109</v>
      </c>
      <c r="J31" s="29">
        <f t="shared" si="101"/>
        <v>63151.855633342959</v>
      </c>
      <c r="K31" s="29">
        <f t="shared" si="101"/>
        <v>64449.494386589016</v>
      </c>
      <c r="L31" s="29">
        <f t="shared" si="101"/>
        <v>65763.383952835691</v>
      </c>
      <c r="M31" s="29">
        <f t="shared" si="101"/>
        <v>64138.33956546829</v>
      </c>
      <c r="N31" s="29">
        <f t="shared" si="101"/>
        <v>59431.477118985706</v>
      </c>
      <c r="O31" s="29">
        <f t="shared" si="101"/>
        <v>59807.855381314985</v>
      </c>
      <c r="P31" s="29">
        <f t="shared" si="101"/>
        <v>62148.867660908865</v>
      </c>
      <c r="Q31" s="29">
        <f t="shared" si="101"/>
        <v>61872.198778143676</v>
      </c>
      <c r="R31" s="29">
        <f t="shared" si="101"/>
        <v>63957.609207054527</v>
      </c>
      <c r="S31" s="29">
        <f t="shared" si="101"/>
        <v>66106.179406977142</v>
      </c>
      <c r="T31" s="29">
        <f t="shared" si="101"/>
        <v>66838.370301852876</v>
      </c>
      <c r="U31" s="29">
        <f t="shared" si="101"/>
        <v>68563.980730458308</v>
      </c>
      <c r="V31" s="29">
        <f t="shared" si="101"/>
        <v>60092.547385490514</v>
      </c>
      <c r="W31" s="29">
        <f t="shared" ref="W31:Y31" si="102">W32+W33+W40</f>
        <v>63296.519806219847</v>
      </c>
      <c r="X31" s="29">
        <f t="shared" si="102"/>
        <v>65651.429611223386</v>
      </c>
      <c r="Y31" s="29">
        <f t="shared" si="102"/>
        <v>70602.654966263042</v>
      </c>
      <c r="DA31" s="173" t="s">
        <v>475</v>
      </c>
    </row>
    <row r="32" spans="1:105" ht="11.45" customHeight="1" x14ac:dyDescent="0.25">
      <c r="A32" s="136" t="s">
        <v>173</v>
      </c>
      <c r="B32" s="152">
        <v>1306.4044433079412</v>
      </c>
      <c r="C32" s="152">
        <v>1410.5205254535831</v>
      </c>
      <c r="D32" s="152">
        <v>1519.0324972627996</v>
      </c>
      <c r="E32" s="152">
        <v>1603.9468074621357</v>
      </c>
      <c r="F32" s="152">
        <v>1718.5516395641125</v>
      </c>
      <c r="G32" s="152">
        <v>1806.8438555276023</v>
      </c>
      <c r="H32" s="152">
        <v>1900.0686849315678</v>
      </c>
      <c r="I32" s="152">
        <v>1798.0479627235513</v>
      </c>
      <c r="J32" s="152">
        <v>1818.1297355622683</v>
      </c>
      <c r="K32" s="152">
        <v>1700.8194913273796</v>
      </c>
      <c r="L32" s="152">
        <v>1648.143239552938</v>
      </c>
      <c r="M32" s="152">
        <v>1613.4168297937176</v>
      </c>
      <c r="N32" s="152">
        <v>1632.1159439748396</v>
      </c>
      <c r="O32" s="152">
        <v>1605.7394388934881</v>
      </c>
      <c r="P32" s="152">
        <v>1579.6737119454078</v>
      </c>
      <c r="Q32" s="152">
        <v>1529.4237299723645</v>
      </c>
      <c r="R32" s="152">
        <v>1630.1438961220576</v>
      </c>
      <c r="S32" s="152">
        <v>1556.2029481229222</v>
      </c>
      <c r="T32" s="152">
        <v>1492.7717731159889</v>
      </c>
      <c r="U32" s="152">
        <v>1598.1988528735483</v>
      </c>
      <c r="V32" s="152">
        <v>1442.1041715389133</v>
      </c>
      <c r="W32" s="152">
        <v>1510.7942287398896</v>
      </c>
      <c r="X32" s="152">
        <v>1541.4424210995369</v>
      </c>
      <c r="Y32" s="152">
        <v>1691.8615970338201</v>
      </c>
      <c r="DA32" s="174" t="s">
        <v>476</v>
      </c>
    </row>
    <row r="33" spans="1:105" ht="11.45" customHeight="1" x14ac:dyDescent="0.25">
      <c r="A33" s="109" t="s">
        <v>20</v>
      </c>
      <c r="B33" s="116">
        <f t="shared" ref="B33" si="103">SUM(B34:B39)</f>
        <v>49460.011261683416</v>
      </c>
      <c r="C33" s="116">
        <f t="shared" ref="C33:V33" si="104">SUM(C34:C39)</f>
        <v>49951.704691635307</v>
      </c>
      <c r="D33" s="116">
        <f t="shared" si="104"/>
        <v>54250.741002990653</v>
      </c>
      <c r="E33" s="116">
        <f t="shared" si="104"/>
        <v>56347.243619966655</v>
      </c>
      <c r="F33" s="116">
        <f t="shared" si="104"/>
        <v>58208.213647411525</v>
      </c>
      <c r="G33" s="116">
        <f t="shared" si="104"/>
        <v>59311.884991189072</v>
      </c>
      <c r="H33" s="116">
        <f t="shared" si="104"/>
        <v>59971.763150525083</v>
      </c>
      <c r="I33" s="116">
        <f t="shared" si="104"/>
        <v>59982.430943567488</v>
      </c>
      <c r="J33" s="116">
        <f t="shared" si="104"/>
        <v>60967.787239782156</v>
      </c>
      <c r="K33" s="116">
        <f t="shared" si="104"/>
        <v>62372.721733515529</v>
      </c>
      <c r="L33" s="116">
        <f t="shared" si="104"/>
        <v>63724.985502404998</v>
      </c>
      <c r="M33" s="116">
        <f t="shared" si="104"/>
        <v>62133.653588240821</v>
      </c>
      <c r="N33" s="116">
        <f t="shared" si="104"/>
        <v>57475.667570864272</v>
      </c>
      <c r="O33" s="116">
        <f t="shared" si="104"/>
        <v>57892.565141986372</v>
      </c>
      <c r="P33" s="116">
        <f t="shared" si="104"/>
        <v>60193.735422299236</v>
      </c>
      <c r="Q33" s="116">
        <f t="shared" si="104"/>
        <v>59966.385048171316</v>
      </c>
      <c r="R33" s="116">
        <f t="shared" si="104"/>
        <v>61929.005310932473</v>
      </c>
      <c r="S33" s="116">
        <f t="shared" si="104"/>
        <v>64138.286458854214</v>
      </c>
      <c r="T33" s="116">
        <f t="shared" si="104"/>
        <v>64904.568528736891</v>
      </c>
      <c r="U33" s="116">
        <f t="shared" si="104"/>
        <v>66569.351877584762</v>
      </c>
      <c r="V33" s="116">
        <f t="shared" si="104"/>
        <v>58351.343213951601</v>
      </c>
      <c r="W33" s="116">
        <f t="shared" ref="W33:Y33" si="105">SUM(W34:W39)</f>
        <v>61397.785577479954</v>
      </c>
      <c r="X33" s="116">
        <f t="shared" si="105"/>
        <v>63655.287190123847</v>
      </c>
      <c r="Y33" s="116">
        <f t="shared" si="105"/>
        <v>68413.593369229231</v>
      </c>
      <c r="DA33" s="176" t="s">
        <v>477</v>
      </c>
    </row>
    <row r="34" spans="1:105" ht="11.45" customHeight="1" x14ac:dyDescent="0.25">
      <c r="A34" s="111" t="s">
        <v>110</v>
      </c>
      <c r="B34" s="87">
        <v>31826.589249535074</v>
      </c>
      <c r="C34" s="87">
        <v>30463.563359696771</v>
      </c>
      <c r="D34" s="87">
        <v>31909.115098192957</v>
      </c>
      <c r="E34" s="87">
        <v>30983.233462471009</v>
      </c>
      <c r="F34" s="87">
        <v>29781.874166393809</v>
      </c>
      <c r="G34" s="87">
        <v>27960.43232003813</v>
      </c>
      <c r="H34" s="87">
        <v>25809.153825697296</v>
      </c>
      <c r="I34" s="87">
        <v>24157.089582670516</v>
      </c>
      <c r="J34" s="87">
        <v>22695.101393256235</v>
      </c>
      <c r="K34" s="87">
        <v>22274.771117664066</v>
      </c>
      <c r="L34" s="87">
        <v>21482.928081296224</v>
      </c>
      <c r="M34" s="87">
        <v>19443.629786164485</v>
      </c>
      <c r="N34" s="87">
        <v>17860.639788115554</v>
      </c>
      <c r="O34" s="87">
        <v>17455.402843028314</v>
      </c>
      <c r="P34" s="87">
        <v>17453.644699120934</v>
      </c>
      <c r="Q34" s="87">
        <v>17252.511766715394</v>
      </c>
      <c r="R34" s="87">
        <v>16933.489900578654</v>
      </c>
      <c r="S34" s="87">
        <v>16763.304753621556</v>
      </c>
      <c r="T34" s="87">
        <v>16563.522593565704</v>
      </c>
      <c r="U34" s="87">
        <v>17134.868778544256</v>
      </c>
      <c r="V34" s="87">
        <v>14270.409479764628</v>
      </c>
      <c r="W34" s="87">
        <v>15745.738125427071</v>
      </c>
      <c r="X34" s="87">
        <v>16684.151070466585</v>
      </c>
      <c r="Y34" s="87">
        <v>18300.692573204495</v>
      </c>
      <c r="DA34" s="171" t="s">
        <v>478</v>
      </c>
    </row>
    <row r="35" spans="1:105" ht="11.45" customHeight="1" x14ac:dyDescent="0.25">
      <c r="A35" s="111" t="s">
        <v>111</v>
      </c>
      <c r="B35" s="87">
        <v>17343.331321427922</v>
      </c>
      <c r="C35" s="87">
        <v>19215.72984040733</v>
      </c>
      <c r="D35" s="87">
        <v>22090.27818311788</v>
      </c>
      <c r="E35" s="87">
        <v>25061.193510137364</v>
      </c>
      <c r="F35" s="87">
        <v>28114.517641019629</v>
      </c>
      <c r="G35" s="87">
        <v>31022.489832679938</v>
      </c>
      <c r="H35" s="87">
        <v>33881.74096787475</v>
      </c>
      <c r="I35" s="87">
        <v>35561.258462673111</v>
      </c>
      <c r="J35" s="87">
        <v>37928.804250750531</v>
      </c>
      <c r="K35" s="87">
        <v>39582.068850826799</v>
      </c>
      <c r="L35" s="87">
        <v>41730.689895835858</v>
      </c>
      <c r="M35" s="87">
        <v>42243.861020554359</v>
      </c>
      <c r="N35" s="87">
        <v>39057.449056087542</v>
      </c>
      <c r="O35" s="87">
        <v>39851.276271418392</v>
      </c>
      <c r="P35" s="87">
        <v>42095.839356635719</v>
      </c>
      <c r="Q35" s="87">
        <v>42043.099980755294</v>
      </c>
      <c r="R35" s="87">
        <v>44278.300355178544</v>
      </c>
      <c r="S35" s="87">
        <v>46535.65299890712</v>
      </c>
      <c r="T35" s="87">
        <v>47304.688917163789</v>
      </c>
      <c r="U35" s="87">
        <v>48161.565131721676</v>
      </c>
      <c r="V35" s="87">
        <v>42863.139527912637</v>
      </c>
      <c r="W35" s="87">
        <v>43965.425912077575</v>
      </c>
      <c r="X35" s="87">
        <v>44803.816583923093</v>
      </c>
      <c r="Y35" s="87">
        <v>47032.318786931195</v>
      </c>
      <c r="DA35" s="171" t="s">
        <v>479</v>
      </c>
    </row>
    <row r="36" spans="1:105" ht="11.45" customHeight="1" x14ac:dyDescent="0.25">
      <c r="A36" s="111" t="s">
        <v>112</v>
      </c>
      <c r="B36" s="87">
        <v>290.09069072042024</v>
      </c>
      <c r="C36" s="87">
        <v>272.41149153120432</v>
      </c>
      <c r="D36" s="87">
        <v>251.34772167981222</v>
      </c>
      <c r="E36" s="87">
        <v>302.81664735828087</v>
      </c>
      <c r="F36" s="87">
        <v>311.82183999808507</v>
      </c>
      <c r="G36" s="87">
        <v>328.96283847100989</v>
      </c>
      <c r="H36" s="87">
        <v>280.86835695303387</v>
      </c>
      <c r="I36" s="87">
        <v>264.08289822386308</v>
      </c>
      <c r="J36" s="87">
        <v>343.53444782649586</v>
      </c>
      <c r="K36" s="87">
        <v>515.52216603131535</v>
      </c>
      <c r="L36" s="87">
        <v>502.39343211553995</v>
      </c>
      <c r="M36" s="87">
        <v>442.4610000733515</v>
      </c>
      <c r="N36" s="87">
        <v>552.558924781374</v>
      </c>
      <c r="O36" s="87">
        <v>579.12013392032532</v>
      </c>
      <c r="P36" s="87">
        <v>635.97414978783354</v>
      </c>
      <c r="Q36" s="87">
        <v>651.54194076856356</v>
      </c>
      <c r="R36" s="87">
        <v>670.57407024695738</v>
      </c>
      <c r="S36" s="87">
        <v>706.36364079554414</v>
      </c>
      <c r="T36" s="87">
        <v>739.53152070246938</v>
      </c>
      <c r="U36" s="87">
        <v>753.18228874498413</v>
      </c>
      <c r="V36" s="87">
        <v>637.25790374510973</v>
      </c>
      <c r="W36" s="87">
        <v>717.5715172021296</v>
      </c>
      <c r="X36" s="87">
        <v>788.67386431565762</v>
      </c>
      <c r="Y36" s="87">
        <v>945.57331571677582</v>
      </c>
      <c r="DA36" s="171" t="s">
        <v>480</v>
      </c>
    </row>
    <row r="37" spans="1:105" ht="11.45" customHeight="1" x14ac:dyDescent="0.25">
      <c r="A37" s="111" t="s">
        <v>113</v>
      </c>
      <c r="B37" s="87">
        <v>0</v>
      </c>
      <c r="C37" s="87">
        <v>0</v>
      </c>
      <c r="D37" s="87">
        <v>0</v>
      </c>
      <c r="E37" s="87">
        <v>0</v>
      </c>
      <c r="F37" s="87">
        <v>0</v>
      </c>
      <c r="G37" s="87">
        <v>0</v>
      </c>
      <c r="H37" s="87">
        <v>0</v>
      </c>
      <c r="I37" s="87">
        <v>0</v>
      </c>
      <c r="J37" s="87">
        <v>0</v>
      </c>
      <c r="K37" s="87">
        <v>0</v>
      </c>
      <c r="L37" s="87">
        <v>2.4547104835209114E-2</v>
      </c>
      <c r="M37" s="87">
        <v>2.2766998792997768E-2</v>
      </c>
      <c r="N37" s="87">
        <v>8.3375298143835666E-2</v>
      </c>
      <c r="O37" s="87">
        <v>0.26451572549069752</v>
      </c>
      <c r="P37" s="87">
        <v>0.28854629684178129</v>
      </c>
      <c r="Q37" s="87">
        <v>0.36655488907752326</v>
      </c>
      <c r="R37" s="87">
        <v>0.4346504897104897</v>
      </c>
      <c r="S37" s="87">
        <v>0.51997744197565021</v>
      </c>
      <c r="T37" s="87">
        <v>0.59288048284387262</v>
      </c>
      <c r="U37" s="87">
        <v>1.0960512681718941</v>
      </c>
      <c r="V37" s="87">
        <v>1.17384253406838</v>
      </c>
      <c r="W37" s="87">
        <v>1.4896492235661598</v>
      </c>
      <c r="X37" s="87">
        <v>1.5924651794568125</v>
      </c>
      <c r="Y37" s="87">
        <v>1.7033822700142625</v>
      </c>
      <c r="DA37" s="171" t="s">
        <v>481</v>
      </c>
    </row>
    <row r="38" spans="1:105" ht="11.45" customHeight="1" x14ac:dyDescent="0.25">
      <c r="A38" s="111" t="s">
        <v>114</v>
      </c>
      <c r="B38" s="87">
        <v>0</v>
      </c>
      <c r="C38" s="87">
        <v>0</v>
      </c>
      <c r="D38" s="87">
        <v>0</v>
      </c>
      <c r="E38" s="87">
        <v>0</v>
      </c>
      <c r="F38" s="87">
        <v>0</v>
      </c>
      <c r="G38" s="87">
        <v>0</v>
      </c>
      <c r="H38" s="87">
        <v>0</v>
      </c>
      <c r="I38" s="87">
        <v>0</v>
      </c>
      <c r="J38" s="87">
        <v>0</v>
      </c>
      <c r="K38" s="87">
        <v>0</v>
      </c>
      <c r="L38" s="87">
        <v>0</v>
      </c>
      <c r="M38" s="87">
        <v>0.15745119379250949</v>
      </c>
      <c r="N38" s="87">
        <v>0.59112929094541289</v>
      </c>
      <c r="O38" s="87">
        <v>1.0222456076815465</v>
      </c>
      <c r="P38" s="87">
        <v>1.9089575934764738</v>
      </c>
      <c r="Q38" s="87">
        <v>6.6735324171120149</v>
      </c>
      <c r="R38" s="87">
        <v>16.592887581924998</v>
      </c>
      <c r="S38" s="87">
        <v>39.489706424727018</v>
      </c>
      <c r="T38" s="87">
        <v>86.04769902881516</v>
      </c>
      <c r="U38" s="87">
        <v>154.99630399389503</v>
      </c>
      <c r="V38" s="87">
        <v>202.80575481463504</v>
      </c>
      <c r="W38" s="87">
        <v>341.40279162176489</v>
      </c>
      <c r="X38" s="87">
        <v>522.09659806246782</v>
      </c>
      <c r="Y38" s="87">
        <v>805.20273292663444</v>
      </c>
      <c r="DA38" s="171" t="s">
        <v>482</v>
      </c>
    </row>
    <row r="39" spans="1:105" ht="11.45" customHeight="1" x14ac:dyDescent="0.25">
      <c r="A39" s="111" t="s">
        <v>115</v>
      </c>
      <c r="B39" s="87">
        <v>0</v>
      </c>
      <c r="C39" s="87">
        <v>0</v>
      </c>
      <c r="D39" s="87">
        <v>0</v>
      </c>
      <c r="E39" s="87">
        <v>0</v>
      </c>
      <c r="F39" s="87">
        <v>0</v>
      </c>
      <c r="G39" s="87">
        <v>0</v>
      </c>
      <c r="H39" s="87">
        <v>0</v>
      </c>
      <c r="I39" s="87">
        <v>0</v>
      </c>
      <c r="J39" s="87">
        <v>0.34714794889333611</v>
      </c>
      <c r="K39" s="87">
        <v>0.35959899334219098</v>
      </c>
      <c r="L39" s="87">
        <v>8.9495460525443882</v>
      </c>
      <c r="M39" s="87">
        <v>3.5215632560383416</v>
      </c>
      <c r="N39" s="87">
        <v>4.3452972907133285</v>
      </c>
      <c r="O39" s="87">
        <v>5.4791322861722636</v>
      </c>
      <c r="P39" s="87">
        <v>6.0797128644317668</v>
      </c>
      <c r="Q39" s="87">
        <v>12.191272625879254</v>
      </c>
      <c r="R39" s="87">
        <v>29.613446856691702</v>
      </c>
      <c r="S39" s="87">
        <v>92.95538166329851</v>
      </c>
      <c r="T39" s="87">
        <v>210.18491779326749</v>
      </c>
      <c r="U39" s="87">
        <v>363.64332331178844</v>
      </c>
      <c r="V39" s="87">
        <v>376.5567051805242</v>
      </c>
      <c r="W39" s="87">
        <v>626.15758192784199</v>
      </c>
      <c r="X39" s="87">
        <v>854.95660817658768</v>
      </c>
      <c r="Y39" s="87">
        <v>1328.1025781801341</v>
      </c>
      <c r="DA39" s="171" t="s">
        <v>483</v>
      </c>
    </row>
    <row r="40" spans="1:105" ht="11.45" customHeight="1" x14ac:dyDescent="0.25">
      <c r="A40" s="109" t="s">
        <v>21</v>
      </c>
      <c r="B40" s="116">
        <f t="shared" ref="B40" si="106">SUM(B41:B45)</f>
        <v>514.75706710567226</v>
      </c>
      <c r="C40" s="116">
        <f t="shared" ref="C40:V40" si="107">SUM(C41:C45)</f>
        <v>530.949554838881</v>
      </c>
      <c r="D40" s="116">
        <f t="shared" si="107"/>
        <v>537.05867434949118</v>
      </c>
      <c r="E40" s="116">
        <f t="shared" si="107"/>
        <v>533.40634883123721</v>
      </c>
      <c r="F40" s="116">
        <f t="shared" si="107"/>
        <v>526.67578032059839</v>
      </c>
      <c r="G40" s="116">
        <f t="shared" si="107"/>
        <v>340.75308610431745</v>
      </c>
      <c r="H40" s="116">
        <f t="shared" si="107"/>
        <v>341.8688315070105</v>
      </c>
      <c r="I40" s="116">
        <f t="shared" si="107"/>
        <v>351.2880727910665</v>
      </c>
      <c r="J40" s="116">
        <f t="shared" si="107"/>
        <v>365.9386579985333</v>
      </c>
      <c r="K40" s="116">
        <f t="shared" si="107"/>
        <v>375.95316174610747</v>
      </c>
      <c r="L40" s="116">
        <f t="shared" si="107"/>
        <v>390.25521087775434</v>
      </c>
      <c r="M40" s="116">
        <f t="shared" si="107"/>
        <v>391.26914743375352</v>
      </c>
      <c r="N40" s="116">
        <f t="shared" si="107"/>
        <v>323.69360414659661</v>
      </c>
      <c r="O40" s="116">
        <f t="shared" si="107"/>
        <v>309.55080043512368</v>
      </c>
      <c r="P40" s="116">
        <f t="shared" si="107"/>
        <v>375.45852666422684</v>
      </c>
      <c r="Q40" s="116">
        <f t="shared" si="107"/>
        <v>376.39000000000004</v>
      </c>
      <c r="R40" s="116">
        <f t="shared" si="107"/>
        <v>398.46</v>
      </c>
      <c r="S40" s="116">
        <f t="shared" si="107"/>
        <v>411.69</v>
      </c>
      <c r="T40" s="116">
        <f t="shared" si="107"/>
        <v>441.02999999999992</v>
      </c>
      <c r="U40" s="116">
        <f t="shared" si="107"/>
        <v>396.43</v>
      </c>
      <c r="V40" s="116">
        <f t="shared" si="107"/>
        <v>299.10000000000002</v>
      </c>
      <c r="W40" s="116">
        <f t="shared" ref="W40:Y40" si="108">SUM(W41:W45)</f>
        <v>387.93999999999994</v>
      </c>
      <c r="X40" s="116">
        <f t="shared" si="108"/>
        <v>454.7</v>
      </c>
      <c r="Y40" s="116">
        <f t="shared" si="108"/>
        <v>497.20000000000005</v>
      </c>
      <c r="DA40" s="176" t="s">
        <v>484</v>
      </c>
    </row>
    <row r="41" spans="1:105" ht="11.45" customHeight="1" x14ac:dyDescent="0.25">
      <c r="A41" s="111" t="s">
        <v>110</v>
      </c>
      <c r="B41" s="101">
        <v>0</v>
      </c>
      <c r="C41" s="101">
        <v>0</v>
      </c>
      <c r="D41" s="101">
        <v>0</v>
      </c>
      <c r="E41" s="101">
        <v>0</v>
      </c>
      <c r="F41" s="101">
        <v>0</v>
      </c>
      <c r="G41" s="101">
        <v>0</v>
      </c>
      <c r="H41" s="101">
        <v>0</v>
      </c>
      <c r="I41" s="101">
        <v>0</v>
      </c>
      <c r="J41" s="101">
        <v>0</v>
      </c>
      <c r="K41" s="101">
        <v>0</v>
      </c>
      <c r="L41" s="101">
        <v>7.0626190871697345E-2</v>
      </c>
      <c r="M41" s="101">
        <v>7.2804941655797928E-2</v>
      </c>
      <c r="N41" s="101">
        <v>7.4333145960324754E-2</v>
      </c>
      <c r="O41" s="101">
        <v>8.5688753944479362E-2</v>
      </c>
      <c r="P41" s="101">
        <v>8.5680099698228526E-2</v>
      </c>
      <c r="Q41" s="101">
        <v>0.10094026605671057</v>
      </c>
      <c r="R41" s="101">
        <v>0.1183375434873977</v>
      </c>
      <c r="S41" s="101">
        <v>0.10512717091327892</v>
      </c>
      <c r="T41" s="101">
        <v>0.1099429804720599</v>
      </c>
      <c r="U41" s="101">
        <v>9.5596584020063796E-2</v>
      </c>
      <c r="V41" s="101">
        <v>7.3967200025482571E-2</v>
      </c>
      <c r="W41" s="101">
        <v>9.4381231753588105E-2</v>
      </c>
      <c r="X41" s="101">
        <v>0.10408980137163326</v>
      </c>
      <c r="Y41" s="101">
        <v>0.11252116877760693</v>
      </c>
      <c r="DA41" s="175" t="s">
        <v>485</v>
      </c>
    </row>
    <row r="42" spans="1:105" ht="11.45" customHeight="1" x14ac:dyDescent="0.25">
      <c r="A42" s="111" t="s">
        <v>111</v>
      </c>
      <c r="B42" s="101">
        <v>513.01982137366451</v>
      </c>
      <c r="C42" s="101">
        <v>523.07715925002935</v>
      </c>
      <c r="D42" s="101">
        <v>525.0156363692472</v>
      </c>
      <c r="E42" s="101">
        <v>517.04725248072725</v>
      </c>
      <c r="F42" s="101">
        <v>509.64299765550754</v>
      </c>
      <c r="G42" s="101">
        <v>320.58782194467653</v>
      </c>
      <c r="H42" s="101">
        <v>323.06261771958992</v>
      </c>
      <c r="I42" s="101">
        <v>330.51890239219983</v>
      </c>
      <c r="J42" s="101">
        <v>343.77657183357564</v>
      </c>
      <c r="K42" s="101">
        <v>352.74617162281635</v>
      </c>
      <c r="L42" s="101">
        <v>365.28056933442042</v>
      </c>
      <c r="M42" s="101">
        <v>366.04460086589899</v>
      </c>
      <c r="N42" s="101">
        <v>298.19556748000434</v>
      </c>
      <c r="O42" s="101">
        <v>286.05327430862997</v>
      </c>
      <c r="P42" s="101">
        <v>353.60416140028065</v>
      </c>
      <c r="Q42" s="101">
        <v>354.79426607129568</v>
      </c>
      <c r="R42" s="101">
        <v>377.03407234023331</v>
      </c>
      <c r="S42" s="101">
        <v>390.80116182707167</v>
      </c>
      <c r="T42" s="101">
        <v>407.13933072916313</v>
      </c>
      <c r="U42" s="101">
        <v>376.23637378618355</v>
      </c>
      <c r="V42" s="101">
        <v>277.78500991341377</v>
      </c>
      <c r="W42" s="101">
        <v>353.29492323659565</v>
      </c>
      <c r="X42" s="101">
        <v>415.07537660312914</v>
      </c>
      <c r="Y42" s="101">
        <v>436.43255422403581</v>
      </c>
      <c r="DA42" s="175" t="s">
        <v>486</v>
      </c>
    </row>
    <row r="43" spans="1:105" ht="11.45" customHeight="1" x14ac:dyDescent="0.25">
      <c r="A43" s="111" t="s">
        <v>112</v>
      </c>
      <c r="B43" s="101">
        <v>0</v>
      </c>
      <c r="C43" s="101">
        <v>0</v>
      </c>
      <c r="D43" s="101">
        <v>0</v>
      </c>
      <c r="E43" s="101">
        <v>0</v>
      </c>
      <c r="F43" s="101">
        <v>0</v>
      </c>
      <c r="G43" s="101">
        <v>0</v>
      </c>
      <c r="H43" s="101">
        <v>0</v>
      </c>
      <c r="I43" s="101">
        <v>0</v>
      </c>
      <c r="J43" s="101">
        <v>0</v>
      </c>
      <c r="K43" s="101">
        <v>0</v>
      </c>
      <c r="L43" s="101">
        <v>5.150345144991824E-2</v>
      </c>
      <c r="M43" s="101">
        <v>5.3092283919083223E-2</v>
      </c>
      <c r="N43" s="101">
        <v>3.6137807866415433E-2</v>
      </c>
      <c r="O43" s="101">
        <v>3.5707243803007209E-2</v>
      </c>
      <c r="P43" s="101">
        <v>7.1407275007707535E-2</v>
      </c>
      <c r="Q43" s="101">
        <v>7.360969107958748E-2</v>
      </c>
      <c r="R43" s="101">
        <v>9.5884981831517307E-2</v>
      </c>
      <c r="S43" s="101">
        <v>9.5828687565696749E-2</v>
      </c>
      <c r="T43" s="101">
        <v>0.10021853945246552</v>
      </c>
      <c r="U43" s="101">
        <v>7.7458737538312145E-2</v>
      </c>
      <c r="V43" s="101">
        <v>5.3939849344550664E-2</v>
      </c>
      <c r="W43" s="101">
        <v>6.882658015968951E-2</v>
      </c>
      <c r="X43" s="101">
        <v>5.692984392767142E-2</v>
      </c>
      <c r="Y43" s="101">
        <v>6.1541212420970756E-2</v>
      </c>
      <c r="DA43" s="175" t="s">
        <v>487</v>
      </c>
    </row>
    <row r="44" spans="1:105" ht="11.45" customHeight="1" x14ac:dyDescent="0.25">
      <c r="A44" s="111" t="s">
        <v>113</v>
      </c>
      <c r="B44" s="101">
        <v>1.7372457320077046</v>
      </c>
      <c r="C44" s="101">
        <v>7.8723955888516839</v>
      </c>
      <c r="D44" s="101">
        <v>12.043037980244012</v>
      </c>
      <c r="E44" s="101">
        <v>16.359096350509983</v>
      </c>
      <c r="F44" s="101">
        <v>17.032782665090849</v>
      </c>
      <c r="G44" s="101">
        <v>20.165264159640909</v>
      </c>
      <c r="H44" s="101">
        <v>18.806213787420557</v>
      </c>
      <c r="I44" s="101">
        <v>20.769170398866692</v>
      </c>
      <c r="J44" s="101">
        <v>22.162086164957653</v>
      </c>
      <c r="K44" s="101">
        <v>23.206990123291131</v>
      </c>
      <c r="L44" s="101">
        <v>24.318081133875758</v>
      </c>
      <c r="M44" s="101">
        <v>24.604850763969601</v>
      </c>
      <c r="N44" s="101">
        <v>24.440635049573856</v>
      </c>
      <c r="O44" s="101">
        <v>22.428205280678529</v>
      </c>
      <c r="P44" s="101">
        <v>20.748894706363814</v>
      </c>
      <c r="Q44" s="101">
        <v>20.471882372654154</v>
      </c>
      <c r="R44" s="101">
        <v>20.264718787395296</v>
      </c>
      <c r="S44" s="101">
        <v>19.165155823918973</v>
      </c>
      <c r="T44" s="101">
        <v>29.73995402298851</v>
      </c>
      <c r="U44" s="101">
        <v>15.51770161064033</v>
      </c>
      <c r="V44" s="101">
        <v>16.709607159307758</v>
      </c>
      <c r="W44" s="101">
        <v>29.360534272239803</v>
      </c>
      <c r="X44" s="101">
        <v>32.081765424557126</v>
      </c>
      <c r="Y44" s="101">
        <v>38.100947636982134</v>
      </c>
      <c r="DA44" s="175" t="s">
        <v>488</v>
      </c>
    </row>
    <row r="45" spans="1:105" ht="11.45" customHeight="1" x14ac:dyDescent="0.25">
      <c r="A45" s="111" t="s">
        <v>115</v>
      </c>
      <c r="B45" s="101">
        <v>0</v>
      </c>
      <c r="C45" s="101">
        <v>0</v>
      </c>
      <c r="D45" s="101">
        <v>0</v>
      </c>
      <c r="E45" s="101">
        <v>0</v>
      </c>
      <c r="F45" s="101">
        <v>0</v>
      </c>
      <c r="G45" s="101">
        <v>0</v>
      </c>
      <c r="H45" s="101">
        <v>0</v>
      </c>
      <c r="I45" s="101">
        <v>0</v>
      </c>
      <c r="J45" s="101">
        <v>0</v>
      </c>
      <c r="K45" s="101">
        <v>0</v>
      </c>
      <c r="L45" s="101">
        <v>0.53443076713651505</v>
      </c>
      <c r="M45" s="101">
        <v>0.49379857831008606</v>
      </c>
      <c r="N45" s="101">
        <v>0.94693066319164976</v>
      </c>
      <c r="O45" s="101">
        <v>0.94792484806772903</v>
      </c>
      <c r="P45" s="101">
        <v>0.94838318287644063</v>
      </c>
      <c r="Q45" s="101">
        <v>0.94930159891387933</v>
      </c>
      <c r="R45" s="101">
        <v>0.94698634705245155</v>
      </c>
      <c r="S45" s="101">
        <v>1.5227264905303584</v>
      </c>
      <c r="T45" s="101">
        <v>3.9405537279237977</v>
      </c>
      <c r="U45" s="101">
        <v>4.5028692816177553</v>
      </c>
      <c r="V45" s="101">
        <v>4.4774758779084429</v>
      </c>
      <c r="W45" s="101">
        <v>5.1213346792512402</v>
      </c>
      <c r="X45" s="101">
        <v>7.3818383270144192</v>
      </c>
      <c r="Y45" s="101">
        <v>22.492435757783468</v>
      </c>
      <c r="DA45" s="175" t="s">
        <v>489</v>
      </c>
    </row>
    <row r="46" spans="1:105" ht="11.45" customHeight="1" x14ac:dyDescent="0.25">
      <c r="A46" s="27" t="s">
        <v>34</v>
      </c>
      <c r="B46" s="29">
        <f t="shared" ref="B46" si="109">B47+B53</f>
        <v>17149.016185818935</v>
      </c>
      <c r="C46" s="29">
        <f t="shared" ref="C46:V46" si="110">C47+C53</f>
        <v>17712.700386205997</v>
      </c>
      <c r="D46" s="29">
        <f t="shared" si="110"/>
        <v>17726.615690521052</v>
      </c>
      <c r="E46" s="29">
        <f t="shared" si="110"/>
        <v>17445.167179345262</v>
      </c>
      <c r="F46" s="29">
        <f t="shared" si="110"/>
        <v>17085.320579904699</v>
      </c>
      <c r="G46" s="29">
        <f t="shared" si="110"/>
        <v>16612.701852273993</v>
      </c>
      <c r="H46" s="29">
        <f t="shared" si="110"/>
        <v>16835.28276126138</v>
      </c>
      <c r="I46" s="29">
        <f t="shared" si="110"/>
        <v>16425.213631766328</v>
      </c>
      <c r="J46" s="29">
        <f t="shared" si="110"/>
        <v>16488.586245115905</v>
      </c>
      <c r="K46" s="29">
        <f t="shared" si="110"/>
        <v>16558.540993279825</v>
      </c>
      <c r="L46" s="29">
        <f t="shared" si="110"/>
        <v>16446.039167125065</v>
      </c>
      <c r="M46" s="29">
        <f t="shared" si="110"/>
        <v>14780.854557463406</v>
      </c>
      <c r="N46" s="29">
        <f t="shared" si="110"/>
        <v>12658.462508430741</v>
      </c>
      <c r="O46" s="29">
        <f t="shared" si="110"/>
        <v>12074.022766579687</v>
      </c>
      <c r="P46" s="29">
        <f t="shared" si="110"/>
        <v>12952.643489503465</v>
      </c>
      <c r="Q46" s="29">
        <f t="shared" si="110"/>
        <v>13242.396136691132</v>
      </c>
      <c r="R46" s="29">
        <f t="shared" si="110"/>
        <v>13635.212702914043</v>
      </c>
      <c r="S46" s="29">
        <f t="shared" si="110"/>
        <v>14206.761059688224</v>
      </c>
      <c r="T46" s="29">
        <f t="shared" si="110"/>
        <v>14582.436496210288</v>
      </c>
      <c r="U46" s="29">
        <f t="shared" si="110"/>
        <v>14955.738487027829</v>
      </c>
      <c r="V46" s="29">
        <f t="shared" si="110"/>
        <v>12696.9499859591</v>
      </c>
      <c r="W46" s="29">
        <f t="shared" ref="W46:Y46" si="111">W47+W53</f>
        <v>14098.856779538364</v>
      </c>
      <c r="X46" s="29">
        <f t="shared" si="111"/>
        <v>15805.875150282965</v>
      </c>
      <c r="Y46" s="29">
        <f t="shared" si="111"/>
        <v>17259.034679848439</v>
      </c>
      <c r="DA46" s="173" t="s">
        <v>490</v>
      </c>
    </row>
    <row r="47" spans="1:105" ht="11.45" customHeight="1" x14ac:dyDescent="0.25">
      <c r="A47" s="136" t="s">
        <v>153</v>
      </c>
      <c r="B47" s="152">
        <f t="shared" ref="B47" si="112">SUM(B48:B52)</f>
        <v>15324.149230373538</v>
      </c>
      <c r="C47" s="152">
        <f t="shared" ref="C47:V47" si="113">SUM(C48:C52)</f>
        <v>15626.389640664413</v>
      </c>
      <c r="D47" s="152">
        <f t="shared" si="113"/>
        <v>15766.20179897309</v>
      </c>
      <c r="E47" s="152">
        <f t="shared" si="113"/>
        <v>15514.658370087809</v>
      </c>
      <c r="F47" s="152">
        <f t="shared" si="113"/>
        <v>14710.509128295913</v>
      </c>
      <c r="G47" s="152">
        <f t="shared" si="113"/>
        <v>14141.389014136683</v>
      </c>
      <c r="H47" s="152">
        <f t="shared" si="113"/>
        <v>14340.909499457981</v>
      </c>
      <c r="I47" s="152">
        <f t="shared" si="113"/>
        <v>13831.741701774134</v>
      </c>
      <c r="J47" s="152">
        <f t="shared" si="113"/>
        <v>14030.038433267895</v>
      </c>
      <c r="K47" s="152">
        <f t="shared" si="113"/>
        <v>14356.374009638957</v>
      </c>
      <c r="L47" s="152">
        <f t="shared" si="113"/>
        <v>14209.045398046119</v>
      </c>
      <c r="M47" s="152">
        <f t="shared" si="113"/>
        <v>12600.188353847983</v>
      </c>
      <c r="N47" s="152">
        <f t="shared" si="113"/>
        <v>10922.667698548601</v>
      </c>
      <c r="O47" s="152">
        <f t="shared" si="113"/>
        <v>10426.592253875649</v>
      </c>
      <c r="P47" s="152">
        <f t="shared" si="113"/>
        <v>11369.483476069756</v>
      </c>
      <c r="Q47" s="152">
        <f t="shared" si="113"/>
        <v>11463.386761208285</v>
      </c>
      <c r="R47" s="152">
        <f t="shared" si="113"/>
        <v>11892.59264721466</v>
      </c>
      <c r="S47" s="152">
        <f t="shared" si="113"/>
        <v>12466.368345427541</v>
      </c>
      <c r="T47" s="152">
        <f t="shared" si="113"/>
        <v>12857.253742815346</v>
      </c>
      <c r="U47" s="152">
        <f t="shared" si="113"/>
        <v>13251.906215666482</v>
      </c>
      <c r="V47" s="152">
        <f t="shared" si="113"/>
        <v>11252.316351685546</v>
      </c>
      <c r="W47" s="152">
        <f t="shared" ref="W47:Y47" si="114">SUM(W48:W52)</f>
        <v>12495.466092047958</v>
      </c>
      <c r="X47" s="152">
        <f t="shared" si="114"/>
        <v>14227.51073205275</v>
      </c>
      <c r="Y47" s="152">
        <f t="shared" si="114"/>
        <v>15801.017541687663</v>
      </c>
      <c r="DA47" s="174" t="s">
        <v>491</v>
      </c>
    </row>
    <row r="48" spans="1:105" ht="11.45" customHeight="1" x14ac:dyDescent="0.25">
      <c r="A48" s="111" t="s">
        <v>110</v>
      </c>
      <c r="B48" s="87">
        <v>192.76384064344873</v>
      </c>
      <c r="C48" s="87">
        <v>173.14936507975628</v>
      </c>
      <c r="D48" s="87">
        <v>170.45284920279548</v>
      </c>
      <c r="E48" s="87">
        <v>189.51595341683438</v>
      </c>
      <c r="F48" s="87">
        <v>165.403466151245</v>
      </c>
      <c r="G48" s="87">
        <v>153.3123078801413</v>
      </c>
      <c r="H48" s="87">
        <v>151.37685501454069</v>
      </c>
      <c r="I48" s="87">
        <v>140.70466536076205</v>
      </c>
      <c r="J48" s="87">
        <v>139.28355185686488</v>
      </c>
      <c r="K48" s="87">
        <v>139.33807454425201</v>
      </c>
      <c r="L48" s="87">
        <v>134.50761081685999</v>
      </c>
      <c r="M48" s="87">
        <v>107.59133087014732</v>
      </c>
      <c r="N48" s="87">
        <v>93.363729460291594</v>
      </c>
      <c r="O48" s="87">
        <v>83.123727367459779</v>
      </c>
      <c r="P48" s="87">
        <v>80.060833981777307</v>
      </c>
      <c r="Q48" s="87">
        <v>89.777636619341735</v>
      </c>
      <c r="R48" s="87">
        <v>83.892566451961997</v>
      </c>
      <c r="S48" s="87">
        <v>87.043288330990734</v>
      </c>
      <c r="T48" s="87">
        <v>80.304968105418709</v>
      </c>
      <c r="U48" s="87">
        <v>98.406096062932903</v>
      </c>
      <c r="V48" s="87">
        <v>61.276800818915198</v>
      </c>
      <c r="W48" s="87">
        <v>65.537898128420082</v>
      </c>
      <c r="X48" s="87">
        <v>73.459931719870966</v>
      </c>
      <c r="Y48" s="87">
        <v>72.045058048824387</v>
      </c>
      <c r="DA48" s="171" t="s">
        <v>492</v>
      </c>
    </row>
    <row r="49" spans="1:105" ht="11.45" customHeight="1" x14ac:dyDescent="0.25">
      <c r="A49" s="111" t="s">
        <v>111</v>
      </c>
      <c r="B49" s="87">
        <v>15123.385136618139</v>
      </c>
      <c r="C49" s="87">
        <v>15445.864641753016</v>
      </c>
      <c r="D49" s="87">
        <v>15588.317955714663</v>
      </c>
      <c r="E49" s="87">
        <v>15316.913363915426</v>
      </c>
      <c r="F49" s="87">
        <v>14537.745004092101</v>
      </c>
      <c r="G49" s="87">
        <v>13981.039998949394</v>
      </c>
      <c r="H49" s="87">
        <v>14182.404928696114</v>
      </c>
      <c r="I49" s="87">
        <v>13684.168912922099</v>
      </c>
      <c r="J49" s="87">
        <v>13883.794054192189</v>
      </c>
      <c r="K49" s="87">
        <v>14209.910686141102</v>
      </c>
      <c r="L49" s="87">
        <v>14067.726404892497</v>
      </c>
      <c r="M49" s="87">
        <v>12486.674264134235</v>
      </c>
      <c r="N49" s="87">
        <v>10824.337352931369</v>
      </c>
      <c r="O49" s="87">
        <v>10338.269653811083</v>
      </c>
      <c r="P49" s="87">
        <v>11283.755341468957</v>
      </c>
      <c r="Q49" s="87">
        <v>11366.976847249172</v>
      </c>
      <c r="R49" s="87">
        <v>11802.133978025837</v>
      </c>
      <c r="S49" s="87">
        <v>12369.896757249102</v>
      </c>
      <c r="T49" s="87">
        <v>12763.85672088536</v>
      </c>
      <c r="U49" s="87">
        <v>13137.039236226401</v>
      </c>
      <c r="V49" s="87">
        <v>11173.970000172632</v>
      </c>
      <c r="W49" s="87">
        <v>12409.303511334188</v>
      </c>
      <c r="X49" s="87">
        <v>14126.327578670351</v>
      </c>
      <c r="Y49" s="87">
        <v>15685.231428070872</v>
      </c>
      <c r="DA49" s="171" t="s">
        <v>493</v>
      </c>
    </row>
    <row r="50" spans="1:105" ht="11.45" customHeight="1" x14ac:dyDescent="0.25">
      <c r="A50" s="111" t="s">
        <v>112</v>
      </c>
      <c r="B50" s="87">
        <v>8.0002531119503431</v>
      </c>
      <c r="C50" s="87">
        <v>7.3756338316389796</v>
      </c>
      <c r="D50" s="87">
        <v>7.4309940556317748</v>
      </c>
      <c r="E50" s="87">
        <v>8.2290527555487305</v>
      </c>
      <c r="F50" s="87">
        <v>7.3606580525660572</v>
      </c>
      <c r="G50" s="87">
        <v>7.0367073071460888</v>
      </c>
      <c r="H50" s="87">
        <v>7.1277157473242774</v>
      </c>
      <c r="I50" s="87">
        <v>6.8681234912722031</v>
      </c>
      <c r="J50" s="87">
        <v>6.9608272188422937</v>
      </c>
      <c r="K50" s="87">
        <v>7.1252489536038546</v>
      </c>
      <c r="L50" s="87">
        <v>6.8113823367622208</v>
      </c>
      <c r="M50" s="87">
        <v>5.8906299118706418</v>
      </c>
      <c r="N50" s="87">
        <v>4.8636832014812459</v>
      </c>
      <c r="O50" s="87">
        <v>4.7679800962208043</v>
      </c>
      <c r="P50" s="87">
        <v>4.9828913464967748</v>
      </c>
      <c r="Q50" s="87">
        <v>5.3676178224807876</v>
      </c>
      <c r="R50" s="87">
        <v>5.0602527207407206</v>
      </c>
      <c r="S50" s="87">
        <v>5.0782751969790185</v>
      </c>
      <c r="T50" s="87">
        <v>5.0590925396382582</v>
      </c>
      <c r="U50" s="87">
        <v>5.7777509525787245</v>
      </c>
      <c r="V50" s="87">
        <v>4.7371501534113083</v>
      </c>
      <c r="W50" s="87">
        <v>4.8611157674679335</v>
      </c>
      <c r="X50" s="87">
        <v>5.4540500823133646</v>
      </c>
      <c r="Y50" s="87">
        <v>5.8553974853872415</v>
      </c>
      <c r="DA50" s="171" t="s">
        <v>494</v>
      </c>
    </row>
    <row r="51" spans="1:105" ht="11.45" customHeight="1" x14ac:dyDescent="0.25">
      <c r="A51" s="111" t="s">
        <v>113</v>
      </c>
      <c r="B51" s="87">
        <v>0</v>
      </c>
      <c r="C51" s="87">
        <v>0</v>
      </c>
      <c r="D51" s="87">
        <v>0</v>
      </c>
      <c r="E51" s="87">
        <v>0</v>
      </c>
      <c r="F51" s="87">
        <v>0</v>
      </c>
      <c r="G51" s="87">
        <v>0</v>
      </c>
      <c r="H51" s="87">
        <v>0</v>
      </c>
      <c r="I51" s="87">
        <v>0</v>
      </c>
      <c r="J51" s="87">
        <v>0</v>
      </c>
      <c r="K51" s="87">
        <v>0</v>
      </c>
      <c r="L51" s="87">
        <v>0</v>
      </c>
      <c r="M51" s="87">
        <v>0</v>
      </c>
      <c r="N51" s="87">
        <v>0</v>
      </c>
      <c r="O51" s="87">
        <v>4.4126825477189921E-2</v>
      </c>
      <c r="P51" s="87">
        <v>0.11691465193257512</v>
      </c>
      <c r="Q51" s="87">
        <v>0.17929576620864462</v>
      </c>
      <c r="R51" s="87">
        <v>0.24707513472246867</v>
      </c>
      <c r="S51" s="87">
        <v>0.28531282939583913</v>
      </c>
      <c r="T51" s="87">
        <v>0.42932119115197481</v>
      </c>
      <c r="U51" s="87">
        <v>0.67736432931819535</v>
      </c>
      <c r="V51" s="87">
        <v>0.68369164881847733</v>
      </c>
      <c r="W51" s="87">
        <v>1.0627078858376942</v>
      </c>
      <c r="X51" s="87">
        <v>1.2705326441511138</v>
      </c>
      <c r="Y51" s="87">
        <v>1.4478700403360401</v>
      </c>
      <c r="DA51" s="171" t="s">
        <v>495</v>
      </c>
    </row>
    <row r="52" spans="1:105" ht="11.45" customHeight="1" x14ac:dyDescent="0.25">
      <c r="A52" s="111" t="s">
        <v>115</v>
      </c>
      <c r="B52" s="87">
        <v>0</v>
      </c>
      <c r="C52" s="87">
        <v>0</v>
      </c>
      <c r="D52" s="87">
        <v>0</v>
      </c>
      <c r="E52" s="87">
        <v>0</v>
      </c>
      <c r="F52" s="87">
        <v>0</v>
      </c>
      <c r="G52" s="87">
        <v>0</v>
      </c>
      <c r="H52" s="87">
        <v>0</v>
      </c>
      <c r="I52" s="87">
        <v>0</v>
      </c>
      <c r="J52" s="87">
        <v>0</v>
      </c>
      <c r="K52" s="87">
        <v>0</v>
      </c>
      <c r="L52" s="87">
        <v>0</v>
      </c>
      <c r="M52" s="87">
        <v>3.2128931730243913E-2</v>
      </c>
      <c r="N52" s="87">
        <v>0.10293295545790032</v>
      </c>
      <c r="O52" s="87">
        <v>0.38676577540733648</v>
      </c>
      <c r="P52" s="87">
        <v>0.56749462059135614</v>
      </c>
      <c r="Q52" s="87">
        <v>1.0853637510806036</v>
      </c>
      <c r="R52" s="87">
        <v>1.2587748813976154</v>
      </c>
      <c r="S52" s="87">
        <v>4.0647118210749928</v>
      </c>
      <c r="T52" s="87">
        <v>7.6036400937782522</v>
      </c>
      <c r="U52" s="87">
        <v>10.00576809525259</v>
      </c>
      <c r="V52" s="87">
        <v>11.648708891767955</v>
      </c>
      <c r="W52" s="87">
        <v>14.700858932045755</v>
      </c>
      <c r="X52" s="87">
        <v>20.998638936062541</v>
      </c>
      <c r="Y52" s="87">
        <v>36.437788042241493</v>
      </c>
      <c r="DA52" s="171" t="s">
        <v>496</v>
      </c>
    </row>
    <row r="53" spans="1:105" ht="11.45" customHeight="1" x14ac:dyDescent="0.25">
      <c r="A53" s="109" t="s">
        <v>154</v>
      </c>
      <c r="B53" s="116">
        <f t="shared" ref="B53" si="115">SUM(B54:B55)</f>
        <v>1824.8669554453973</v>
      </c>
      <c r="C53" s="116">
        <f t="shared" ref="C53:V53" si="116">SUM(C54:C55)</f>
        <v>2086.3107455415843</v>
      </c>
      <c r="D53" s="116">
        <f t="shared" si="116"/>
        <v>1960.4138915479605</v>
      </c>
      <c r="E53" s="116">
        <f t="shared" si="116"/>
        <v>1930.5088092574551</v>
      </c>
      <c r="F53" s="116">
        <f t="shared" si="116"/>
        <v>2374.8114516087844</v>
      </c>
      <c r="G53" s="116">
        <f t="shared" si="116"/>
        <v>2471.3128381373108</v>
      </c>
      <c r="H53" s="116">
        <f t="shared" si="116"/>
        <v>2494.3732618033991</v>
      </c>
      <c r="I53" s="116">
        <f t="shared" si="116"/>
        <v>2593.4719299921935</v>
      </c>
      <c r="J53" s="116">
        <f t="shared" si="116"/>
        <v>2458.547811848011</v>
      </c>
      <c r="K53" s="116">
        <f t="shared" si="116"/>
        <v>2202.1669836408664</v>
      </c>
      <c r="L53" s="116">
        <f t="shared" si="116"/>
        <v>2236.9937690789457</v>
      </c>
      <c r="M53" s="116">
        <f t="shared" si="116"/>
        <v>2180.6662036154235</v>
      </c>
      <c r="N53" s="116">
        <f t="shared" si="116"/>
        <v>1735.7948098821389</v>
      </c>
      <c r="O53" s="116">
        <f t="shared" si="116"/>
        <v>1647.4305127040377</v>
      </c>
      <c r="P53" s="116">
        <f t="shared" si="116"/>
        <v>1583.1600134337102</v>
      </c>
      <c r="Q53" s="116">
        <f t="shared" si="116"/>
        <v>1779.009375482847</v>
      </c>
      <c r="R53" s="116">
        <f t="shared" si="116"/>
        <v>1742.6200556993831</v>
      </c>
      <c r="S53" s="116">
        <f t="shared" si="116"/>
        <v>1740.3927142606826</v>
      </c>
      <c r="T53" s="116">
        <f t="shared" si="116"/>
        <v>1725.1827533949424</v>
      </c>
      <c r="U53" s="116">
        <f t="shared" si="116"/>
        <v>1703.8322713613468</v>
      </c>
      <c r="V53" s="116">
        <f t="shared" si="116"/>
        <v>1444.633634273554</v>
      </c>
      <c r="W53" s="116">
        <f t="shared" ref="W53:Y53" si="117">SUM(W54:W55)</f>
        <v>1603.3906874904055</v>
      </c>
      <c r="X53" s="116">
        <f t="shared" si="117"/>
        <v>1578.364418230216</v>
      </c>
      <c r="Y53" s="116">
        <f t="shared" si="117"/>
        <v>1458.0171381607765</v>
      </c>
      <c r="DA53" s="176" t="s">
        <v>497</v>
      </c>
    </row>
    <row r="54" spans="1:105" ht="11.45" customHeight="1" x14ac:dyDescent="0.25">
      <c r="A54" s="128" t="s">
        <v>27</v>
      </c>
      <c r="B54" s="101">
        <v>1500</v>
      </c>
      <c r="C54" s="101">
        <v>1738</v>
      </c>
      <c r="D54" s="101">
        <v>1594</v>
      </c>
      <c r="E54" s="101">
        <v>1556</v>
      </c>
      <c r="F54" s="101">
        <v>1932</v>
      </c>
      <c r="G54" s="101">
        <v>2013</v>
      </c>
      <c r="H54" s="101">
        <v>2005</v>
      </c>
      <c r="I54" s="101">
        <v>2058</v>
      </c>
      <c r="J54" s="101">
        <v>1987</v>
      </c>
      <c r="K54" s="101">
        <v>1729</v>
      </c>
      <c r="L54" s="101">
        <v>1809</v>
      </c>
      <c r="M54" s="101">
        <v>1729</v>
      </c>
      <c r="N54" s="101">
        <v>1361</v>
      </c>
      <c r="O54" s="101">
        <v>1223</v>
      </c>
      <c r="P54" s="101">
        <v>1146</v>
      </c>
      <c r="Q54" s="101">
        <v>1384</v>
      </c>
      <c r="R54" s="101">
        <v>1312</v>
      </c>
      <c r="S54" s="101">
        <v>1320</v>
      </c>
      <c r="T54" s="101">
        <v>1292</v>
      </c>
      <c r="U54" s="101">
        <v>1263</v>
      </c>
      <c r="V54" s="101">
        <v>1069</v>
      </c>
      <c r="W54" s="101">
        <v>1160</v>
      </c>
      <c r="X54" s="101">
        <v>1106</v>
      </c>
      <c r="Y54" s="101">
        <v>1014</v>
      </c>
      <c r="DA54" s="175" t="s">
        <v>498</v>
      </c>
    </row>
    <row r="55" spans="1:105" ht="11.45" customHeight="1" x14ac:dyDescent="0.25">
      <c r="A55" s="138" t="s">
        <v>116</v>
      </c>
      <c r="B55" s="88">
        <v>324.86695544539714</v>
      </c>
      <c r="C55" s="88">
        <v>348.31074554158448</v>
      </c>
      <c r="D55" s="88">
        <v>366.41389154796047</v>
      </c>
      <c r="E55" s="88">
        <v>374.50880925745503</v>
      </c>
      <c r="F55" s="88">
        <v>442.81145160878418</v>
      </c>
      <c r="G55" s="88">
        <v>458.31283813731102</v>
      </c>
      <c r="H55" s="88">
        <v>489.37326180339909</v>
      </c>
      <c r="I55" s="88">
        <v>535.47192999219374</v>
      </c>
      <c r="J55" s="88">
        <v>471.54781184801101</v>
      </c>
      <c r="K55" s="88">
        <v>473.16698364086619</v>
      </c>
      <c r="L55" s="88">
        <v>427.99376907894572</v>
      </c>
      <c r="M55" s="88">
        <v>451.66620361542334</v>
      </c>
      <c r="N55" s="88">
        <v>374.79480988213902</v>
      </c>
      <c r="O55" s="88">
        <v>424.43051270403771</v>
      </c>
      <c r="P55" s="88">
        <v>437.16001343371016</v>
      </c>
      <c r="Q55" s="88">
        <v>395.00937548284691</v>
      </c>
      <c r="R55" s="88">
        <v>430.62005569938304</v>
      </c>
      <c r="S55" s="88">
        <v>420.39271426068257</v>
      </c>
      <c r="T55" s="88">
        <v>433.18275339494249</v>
      </c>
      <c r="U55" s="88">
        <v>440.83227136134673</v>
      </c>
      <c r="V55" s="88">
        <v>375.63363427355409</v>
      </c>
      <c r="W55" s="88">
        <v>443.39068749040547</v>
      </c>
      <c r="X55" s="88">
        <v>472.36441823021596</v>
      </c>
      <c r="Y55" s="88">
        <v>444.01713816077665</v>
      </c>
      <c r="DA55" s="178" t="s">
        <v>499</v>
      </c>
    </row>
    <row r="56" spans="1:105" ht="11.45" customHeight="1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DA56" s="171"/>
    </row>
    <row r="57" spans="1:105" ht="11.45" customHeight="1" x14ac:dyDescent="0.25">
      <c r="A57" s="53" t="s">
        <v>109</v>
      </c>
      <c r="B57" s="54">
        <f t="shared" ref="B57:K57" si="118">B58+B73</f>
        <v>5401441</v>
      </c>
      <c r="C57" s="54">
        <f t="shared" si="118"/>
        <v>5698970</v>
      </c>
      <c r="D57" s="54">
        <f t="shared" si="118"/>
        <v>5969248</v>
      </c>
      <c r="E57" s="54">
        <f t="shared" si="118"/>
        <v>5945765</v>
      </c>
      <c r="F57" s="54">
        <f t="shared" si="118"/>
        <v>6076484</v>
      </c>
      <c r="G57" s="54">
        <f t="shared" si="118"/>
        <v>6188629</v>
      </c>
      <c r="H57" s="54">
        <f t="shared" si="118"/>
        <v>6266706</v>
      </c>
      <c r="I57" s="54">
        <f t="shared" si="118"/>
        <v>6353648</v>
      </c>
      <c r="J57" s="54">
        <f t="shared" si="118"/>
        <v>6388122</v>
      </c>
      <c r="K57" s="54">
        <f t="shared" si="118"/>
        <v>6439638</v>
      </c>
      <c r="L57" s="54">
        <f t="shared" ref="L57" si="119">L58+L73</f>
        <v>6638362</v>
      </c>
      <c r="M57" s="54">
        <f t="shared" ref="M57:V57" si="120">M58+M73</f>
        <v>6636687</v>
      </c>
      <c r="N57" s="54">
        <f t="shared" si="120"/>
        <v>6019150</v>
      </c>
      <c r="O57" s="54">
        <f t="shared" si="120"/>
        <v>6081257</v>
      </c>
      <c r="P57" s="54">
        <f t="shared" si="120"/>
        <v>6560825</v>
      </c>
      <c r="Q57" s="54">
        <f t="shared" si="120"/>
        <v>6566869</v>
      </c>
      <c r="R57" s="54">
        <f t="shared" si="120"/>
        <v>6714015</v>
      </c>
      <c r="S57" s="54">
        <f t="shared" si="120"/>
        <v>6992596</v>
      </c>
      <c r="T57" s="54">
        <f t="shared" si="120"/>
        <v>7273078</v>
      </c>
      <c r="U57" s="54">
        <f t="shared" si="120"/>
        <v>7676268</v>
      </c>
      <c r="V57" s="54">
        <f t="shared" si="120"/>
        <v>7581813</v>
      </c>
      <c r="W57" s="54">
        <f t="shared" ref="W57:Y57" si="121">W58+W73</f>
        <v>7645994</v>
      </c>
      <c r="X57" s="54">
        <f t="shared" si="121"/>
        <v>7836961</v>
      </c>
      <c r="Y57" s="54">
        <f t="shared" si="121"/>
        <v>7942248</v>
      </c>
      <c r="DA57" s="172" t="s">
        <v>500</v>
      </c>
    </row>
    <row r="58" spans="1:105" ht="11.45" customHeight="1" x14ac:dyDescent="0.25">
      <c r="A58" s="27" t="s">
        <v>33</v>
      </c>
      <c r="B58" s="28">
        <f t="shared" ref="B58:K58" si="122">B59+B60+B67</f>
        <v>3999848</v>
      </c>
      <c r="C58" s="28">
        <f t="shared" si="122"/>
        <v>4161243</v>
      </c>
      <c r="D58" s="28">
        <f t="shared" si="122"/>
        <v>4469344</v>
      </c>
      <c r="E58" s="28">
        <f t="shared" si="122"/>
        <v>4559007</v>
      </c>
      <c r="F58" s="28">
        <f t="shared" si="122"/>
        <v>4701874</v>
      </c>
      <c r="G58" s="28">
        <f t="shared" si="122"/>
        <v>4803094</v>
      </c>
      <c r="H58" s="28">
        <f t="shared" si="122"/>
        <v>4863720</v>
      </c>
      <c r="I58" s="28">
        <f t="shared" si="122"/>
        <v>4930745</v>
      </c>
      <c r="J58" s="28">
        <f t="shared" si="122"/>
        <v>4958400</v>
      </c>
      <c r="K58" s="28">
        <f t="shared" si="122"/>
        <v>5005770</v>
      </c>
      <c r="L58" s="28">
        <f t="shared" ref="L58" si="123">L59+L60+L67</f>
        <v>5205755</v>
      </c>
      <c r="M58" s="28">
        <f t="shared" ref="M58:V58" si="124">M59+M60+M67</f>
        <v>5224693</v>
      </c>
      <c r="N58" s="28">
        <f t="shared" si="124"/>
        <v>4772502</v>
      </c>
      <c r="O58" s="28">
        <f t="shared" si="124"/>
        <v>4848324</v>
      </c>
      <c r="P58" s="28">
        <f t="shared" si="124"/>
        <v>5224490</v>
      </c>
      <c r="Q58" s="28">
        <f t="shared" si="124"/>
        <v>5265466</v>
      </c>
      <c r="R58" s="28">
        <f t="shared" si="124"/>
        <v>5417368</v>
      </c>
      <c r="S58" s="28">
        <f t="shared" si="124"/>
        <v>5667391</v>
      </c>
      <c r="T58" s="28">
        <f t="shared" si="124"/>
        <v>5914834</v>
      </c>
      <c r="U58" s="28">
        <f t="shared" si="124"/>
        <v>6173799</v>
      </c>
      <c r="V58" s="28">
        <f t="shared" si="124"/>
        <v>6193238</v>
      </c>
      <c r="W58" s="28">
        <f t="shared" ref="W58:Y58" si="125">W59+W60+W67</f>
        <v>6260941</v>
      </c>
      <c r="X58" s="28">
        <f t="shared" si="125"/>
        <v>6444279</v>
      </c>
      <c r="Y58" s="28">
        <f t="shared" si="125"/>
        <v>6574327</v>
      </c>
      <c r="DA58" s="173" t="s">
        <v>501</v>
      </c>
    </row>
    <row r="59" spans="1:105" ht="11.45" customHeight="1" x14ac:dyDescent="0.25">
      <c r="A59" s="136" t="s">
        <v>173</v>
      </c>
      <c r="B59" s="137">
        <v>537068</v>
      </c>
      <c r="C59" s="137">
        <v>551483</v>
      </c>
      <c r="D59" s="137">
        <v>562957</v>
      </c>
      <c r="E59" s="137">
        <v>571354</v>
      </c>
      <c r="F59" s="137">
        <v>580074</v>
      </c>
      <c r="G59" s="137">
        <v>588420</v>
      </c>
      <c r="H59" s="137">
        <v>558720</v>
      </c>
      <c r="I59" s="137">
        <v>536645</v>
      </c>
      <c r="J59" s="137">
        <v>535000</v>
      </c>
      <c r="K59" s="137">
        <v>533270</v>
      </c>
      <c r="L59" s="137">
        <v>498000</v>
      </c>
      <c r="M59" s="137">
        <v>497000</v>
      </c>
      <c r="N59" s="137">
        <v>500815</v>
      </c>
      <c r="O59" s="137">
        <v>508456</v>
      </c>
      <c r="P59" s="137">
        <v>509671</v>
      </c>
      <c r="Q59" s="137">
        <v>527583</v>
      </c>
      <c r="R59" s="137">
        <v>552097</v>
      </c>
      <c r="S59" s="137">
        <v>592517</v>
      </c>
      <c r="T59" s="137">
        <v>616075</v>
      </c>
      <c r="U59" s="137">
        <v>660939</v>
      </c>
      <c r="V59" s="137">
        <v>612078</v>
      </c>
      <c r="W59" s="137">
        <v>612078</v>
      </c>
      <c r="X59" s="137">
        <v>649325</v>
      </c>
      <c r="Y59" s="137">
        <v>710255</v>
      </c>
      <c r="DA59" s="174" t="s">
        <v>502</v>
      </c>
    </row>
    <row r="60" spans="1:105" ht="11.45" customHeight="1" x14ac:dyDescent="0.25">
      <c r="A60" s="109" t="s">
        <v>20</v>
      </c>
      <c r="B60" s="110">
        <f t="shared" ref="B60:K60" si="126">SUM(B61:B66)</f>
        <v>3443000</v>
      </c>
      <c r="C60" s="110">
        <f t="shared" si="126"/>
        <v>3589000</v>
      </c>
      <c r="D60" s="110">
        <f t="shared" si="126"/>
        <v>3885000</v>
      </c>
      <c r="E60" s="110">
        <f t="shared" si="126"/>
        <v>3966000</v>
      </c>
      <c r="F60" s="110">
        <f t="shared" si="126"/>
        <v>4100000</v>
      </c>
      <c r="G60" s="110">
        <f t="shared" si="126"/>
        <v>4200000</v>
      </c>
      <c r="H60" s="110">
        <f t="shared" si="126"/>
        <v>4290000</v>
      </c>
      <c r="I60" s="110">
        <f t="shared" si="126"/>
        <v>4379000</v>
      </c>
      <c r="J60" s="110">
        <f t="shared" si="126"/>
        <v>4408000</v>
      </c>
      <c r="K60" s="110">
        <f t="shared" si="126"/>
        <v>4457000</v>
      </c>
      <c r="L60" s="110">
        <f t="shared" ref="L60" si="127">SUM(L61:L66)</f>
        <v>4692000</v>
      </c>
      <c r="M60" s="110">
        <f t="shared" ref="M60:V60" si="128">SUM(M61:M66)</f>
        <v>4712200</v>
      </c>
      <c r="N60" s="110">
        <f t="shared" si="128"/>
        <v>4259000</v>
      </c>
      <c r="O60" s="110">
        <f t="shared" si="128"/>
        <v>4327478</v>
      </c>
      <c r="P60" s="110">
        <f t="shared" si="128"/>
        <v>4699645</v>
      </c>
      <c r="Q60" s="110">
        <f t="shared" si="128"/>
        <v>4722963</v>
      </c>
      <c r="R60" s="110">
        <f t="shared" si="128"/>
        <v>4850229</v>
      </c>
      <c r="S60" s="110">
        <f t="shared" si="128"/>
        <v>5059472</v>
      </c>
      <c r="T60" s="110">
        <f t="shared" si="128"/>
        <v>5282970</v>
      </c>
      <c r="U60" s="110">
        <f t="shared" si="128"/>
        <v>5495041</v>
      </c>
      <c r="V60" s="110">
        <f t="shared" si="128"/>
        <v>5565963</v>
      </c>
      <c r="W60" s="110">
        <f t="shared" ref="W60:Y60" si="129">SUM(W61:W66)</f>
        <v>5633384</v>
      </c>
      <c r="X60" s="110">
        <f t="shared" si="129"/>
        <v>5778584</v>
      </c>
      <c r="Y60" s="110">
        <f t="shared" si="129"/>
        <v>5847610</v>
      </c>
      <c r="DA60" s="176" t="s">
        <v>503</v>
      </c>
    </row>
    <row r="61" spans="1:105" ht="11.45" customHeight="1" x14ac:dyDescent="0.25">
      <c r="A61" s="111" t="s">
        <v>110</v>
      </c>
      <c r="B61" s="84">
        <v>2348800</v>
      </c>
      <c r="C61" s="84">
        <v>2464048</v>
      </c>
      <c r="D61" s="84">
        <v>2653389</v>
      </c>
      <c r="E61" s="84">
        <v>2652347</v>
      </c>
      <c r="F61" s="84">
        <v>2696207</v>
      </c>
      <c r="G61" s="84">
        <v>2673683</v>
      </c>
      <c r="H61" s="84">
        <v>2651564</v>
      </c>
      <c r="I61" s="84">
        <v>2613214</v>
      </c>
      <c r="J61" s="84">
        <v>2533430</v>
      </c>
      <c r="K61" s="84">
        <v>2479203</v>
      </c>
      <c r="L61" s="84">
        <v>2580033</v>
      </c>
      <c r="M61" s="84">
        <v>2509195</v>
      </c>
      <c r="N61" s="84">
        <v>2169936</v>
      </c>
      <c r="O61" s="84">
        <v>2165172</v>
      </c>
      <c r="P61" s="84">
        <v>2283953</v>
      </c>
      <c r="Q61" s="84">
        <v>2197424</v>
      </c>
      <c r="R61" s="84">
        <v>2171534</v>
      </c>
      <c r="S61" s="84">
        <v>2187650</v>
      </c>
      <c r="T61" s="84">
        <v>2241105</v>
      </c>
      <c r="U61" s="84">
        <v>2337838</v>
      </c>
      <c r="V61" s="84">
        <v>2283494</v>
      </c>
      <c r="W61" s="84">
        <v>2277393</v>
      </c>
      <c r="X61" s="84">
        <v>2317328</v>
      </c>
      <c r="Y61" s="84">
        <v>2320427</v>
      </c>
      <c r="DA61" s="171" t="s">
        <v>504</v>
      </c>
    </row>
    <row r="62" spans="1:105" ht="11.45" customHeight="1" x14ac:dyDescent="0.25">
      <c r="A62" s="111" t="s">
        <v>111</v>
      </c>
      <c r="B62" s="84">
        <v>1077200</v>
      </c>
      <c r="C62" s="84">
        <v>1108213</v>
      </c>
      <c r="D62" s="84">
        <v>1216066</v>
      </c>
      <c r="E62" s="84">
        <v>1296664</v>
      </c>
      <c r="F62" s="84">
        <v>1386493</v>
      </c>
      <c r="G62" s="84">
        <v>1506310</v>
      </c>
      <c r="H62" s="84">
        <v>1620992</v>
      </c>
      <c r="I62" s="84">
        <v>1748571</v>
      </c>
      <c r="J62" s="84">
        <v>1853402</v>
      </c>
      <c r="K62" s="84">
        <v>1945817</v>
      </c>
      <c r="L62" s="84">
        <v>2079246</v>
      </c>
      <c r="M62" s="84">
        <v>2171703</v>
      </c>
      <c r="N62" s="84">
        <v>2051647</v>
      </c>
      <c r="O62" s="84">
        <v>2121295</v>
      </c>
      <c r="P62" s="84">
        <v>2368018</v>
      </c>
      <c r="Q62" s="84">
        <v>2475744</v>
      </c>
      <c r="R62" s="84">
        <v>2625189</v>
      </c>
      <c r="S62" s="84">
        <v>2807718</v>
      </c>
      <c r="T62" s="84">
        <v>2959124</v>
      </c>
      <c r="U62" s="84">
        <v>3053110</v>
      </c>
      <c r="V62" s="84">
        <v>3162028</v>
      </c>
      <c r="W62" s="84">
        <v>3200683</v>
      </c>
      <c r="X62" s="84">
        <v>3260085</v>
      </c>
      <c r="Y62" s="84">
        <v>3251632</v>
      </c>
      <c r="DA62" s="171" t="s">
        <v>505</v>
      </c>
    </row>
    <row r="63" spans="1:105" ht="11.45" customHeight="1" x14ac:dyDescent="0.25">
      <c r="A63" s="111" t="s">
        <v>112</v>
      </c>
      <c r="B63" s="84">
        <v>17000</v>
      </c>
      <c r="C63" s="84">
        <v>16739</v>
      </c>
      <c r="D63" s="84">
        <v>15545</v>
      </c>
      <c r="E63" s="84">
        <v>16989</v>
      </c>
      <c r="F63" s="84">
        <v>17300</v>
      </c>
      <c r="G63" s="84">
        <v>20007</v>
      </c>
      <c r="H63" s="84">
        <v>17444</v>
      </c>
      <c r="I63" s="84">
        <v>17215</v>
      </c>
      <c r="J63" s="84">
        <v>21140</v>
      </c>
      <c r="K63" s="84">
        <v>31951</v>
      </c>
      <c r="L63" s="84">
        <v>32000</v>
      </c>
      <c r="M63" s="84">
        <v>31000</v>
      </c>
      <c r="N63" s="84">
        <v>37000</v>
      </c>
      <c r="O63" s="84">
        <v>40443</v>
      </c>
      <c r="P63" s="84">
        <v>46955</v>
      </c>
      <c r="Q63" s="84">
        <v>48062</v>
      </c>
      <c r="R63" s="84">
        <v>49301</v>
      </c>
      <c r="S63" s="84">
        <v>52315</v>
      </c>
      <c r="T63" s="84">
        <v>56213</v>
      </c>
      <c r="U63" s="84">
        <v>57432</v>
      </c>
      <c r="V63" s="84">
        <v>58717</v>
      </c>
      <c r="W63" s="84">
        <v>61573</v>
      </c>
      <c r="X63" s="84">
        <v>66957</v>
      </c>
      <c r="Y63" s="84">
        <v>75505</v>
      </c>
      <c r="DA63" s="171" t="s">
        <v>506</v>
      </c>
    </row>
    <row r="64" spans="1:105" ht="11.45" customHeight="1" x14ac:dyDescent="0.25">
      <c r="A64" s="111" t="s">
        <v>113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0</v>
      </c>
      <c r="I64" s="84">
        <v>0</v>
      </c>
      <c r="J64" s="84">
        <v>0</v>
      </c>
      <c r="K64" s="84">
        <v>0</v>
      </c>
      <c r="L64" s="84">
        <v>2</v>
      </c>
      <c r="M64" s="84">
        <v>2</v>
      </c>
      <c r="N64" s="84">
        <v>7</v>
      </c>
      <c r="O64" s="84">
        <v>23</v>
      </c>
      <c r="P64" s="84">
        <v>26</v>
      </c>
      <c r="Q64" s="84">
        <v>33</v>
      </c>
      <c r="R64" s="84">
        <v>39</v>
      </c>
      <c r="S64" s="84">
        <v>47</v>
      </c>
      <c r="T64" s="84">
        <v>55</v>
      </c>
      <c r="U64" s="84">
        <v>102</v>
      </c>
      <c r="V64" s="84">
        <v>132</v>
      </c>
      <c r="W64" s="84">
        <v>156</v>
      </c>
      <c r="X64" s="84">
        <v>165</v>
      </c>
      <c r="Y64" s="84">
        <v>166</v>
      </c>
      <c r="DA64" s="171" t="s">
        <v>507</v>
      </c>
    </row>
    <row r="65" spans="1:105" ht="11.45" customHeight="1" x14ac:dyDescent="0.25">
      <c r="A65" s="111" t="s">
        <v>114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18</v>
      </c>
      <c r="N65" s="84">
        <v>63</v>
      </c>
      <c r="O65" s="84">
        <v>108</v>
      </c>
      <c r="P65" s="84">
        <v>209</v>
      </c>
      <c r="Q65" s="84">
        <v>730</v>
      </c>
      <c r="R65" s="84">
        <v>1809</v>
      </c>
      <c r="S65" s="84">
        <v>4337</v>
      </c>
      <c r="T65" s="84">
        <v>9699</v>
      </c>
      <c r="U65" s="84">
        <v>17526</v>
      </c>
      <c r="V65" s="84">
        <v>27710</v>
      </c>
      <c r="W65" s="84">
        <v>43441</v>
      </c>
      <c r="X65" s="84">
        <v>65729</v>
      </c>
      <c r="Y65" s="84">
        <v>93456</v>
      </c>
      <c r="DA65" s="171" t="s">
        <v>508</v>
      </c>
    </row>
    <row r="66" spans="1:105" ht="11.45" customHeight="1" x14ac:dyDescent="0.25">
      <c r="A66" s="111" t="s">
        <v>115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28</v>
      </c>
      <c r="K66" s="84">
        <v>29</v>
      </c>
      <c r="L66" s="84">
        <v>719</v>
      </c>
      <c r="M66" s="84">
        <v>282</v>
      </c>
      <c r="N66" s="84">
        <v>347</v>
      </c>
      <c r="O66" s="84">
        <v>437</v>
      </c>
      <c r="P66" s="84">
        <v>484</v>
      </c>
      <c r="Q66" s="84">
        <v>970</v>
      </c>
      <c r="R66" s="84">
        <v>2357</v>
      </c>
      <c r="S66" s="84">
        <v>7405</v>
      </c>
      <c r="T66" s="84">
        <v>16774</v>
      </c>
      <c r="U66" s="84">
        <v>29033</v>
      </c>
      <c r="V66" s="84">
        <v>33882</v>
      </c>
      <c r="W66" s="84">
        <v>50138</v>
      </c>
      <c r="X66" s="84">
        <v>68320</v>
      </c>
      <c r="Y66" s="84">
        <v>106424</v>
      </c>
      <c r="DA66" s="171" t="s">
        <v>509</v>
      </c>
    </row>
    <row r="67" spans="1:105" ht="11.45" customHeight="1" x14ac:dyDescent="0.25">
      <c r="A67" s="109" t="s">
        <v>21</v>
      </c>
      <c r="B67" s="110">
        <f t="shared" ref="B67:K67" si="130">SUM(B68:B72)</f>
        <v>19780</v>
      </c>
      <c r="C67" s="110">
        <f t="shared" si="130"/>
        <v>20760</v>
      </c>
      <c r="D67" s="110">
        <f t="shared" si="130"/>
        <v>21387</v>
      </c>
      <c r="E67" s="110">
        <f t="shared" si="130"/>
        <v>21653</v>
      </c>
      <c r="F67" s="110">
        <f t="shared" si="130"/>
        <v>21800</v>
      </c>
      <c r="G67" s="110">
        <f t="shared" si="130"/>
        <v>14674</v>
      </c>
      <c r="H67" s="110">
        <f t="shared" si="130"/>
        <v>15000</v>
      </c>
      <c r="I67" s="110">
        <f t="shared" si="130"/>
        <v>15100</v>
      </c>
      <c r="J67" s="110">
        <f t="shared" si="130"/>
        <v>15400</v>
      </c>
      <c r="K67" s="110">
        <f t="shared" si="130"/>
        <v>15500</v>
      </c>
      <c r="L67" s="110">
        <f t="shared" ref="L67" si="131">SUM(L68:L72)</f>
        <v>15755</v>
      </c>
      <c r="M67" s="110">
        <f t="shared" ref="M67:V67" si="132">SUM(M68:M72)</f>
        <v>15493</v>
      </c>
      <c r="N67" s="110">
        <f t="shared" si="132"/>
        <v>12687</v>
      </c>
      <c r="O67" s="110">
        <f t="shared" si="132"/>
        <v>12390</v>
      </c>
      <c r="P67" s="110">
        <f t="shared" si="132"/>
        <v>15174</v>
      </c>
      <c r="Q67" s="110">
        <f t="shared" si="132"/>
        <v>14920</v>
      </c>
      <c r="R67" s="110">
        <f t="shared" si="132"/>
        <v>15042</v>
      </c>
      <c r="S67" s="110">
        <f t="shared" si="132"/>
        <v>15402</v>
      </c>
      <c r="T67" s="110">
        <f t="shared" si="132"/>
        <v>15789</v>
      </c>
      <c r="U67" s="110">
        <f t="shared" si="132"/>
        <v>17819</v>
      </c>
      <c r="V67" s="110">
        <f t="shared" si="132"/>
        <v>15197</v>
      </c>
      <c r="W67" s="110">
        <f t="shared" ref="W67:Y67" si="133">SUM(W68:W72)</f>
        <v>15479</v>
      </c>
      <c r="X67" s="110">
        <f t="shared" si="133"/>
        <v>16370</v>
      </c>
      <c r="Y67" s="110">
        <f t="shared" si="133"/>
        <v>16462</v>
      </c>
      <c r="DA67" s="176" t="s">
        <v>510</v>
      </c>
    </row>
    <row r="68" spans="1:105" ht="11.45" customHeight="1" x14ac:dyDescent="0.25">
      <c r="A68" s="111" t="s">
        <v>110</v>
      </c>
      <c r="B68" s="102">
        <v>0</v>
      </c>
      <c r="C68" s="102">
        <v>0</v>
      </c>
      <c r="D68" s="102">
        <v>0</v>
      </c>
      <c r="E68" s="102">
        <v>0</v>
      </c>
      <c r="F68" s="102">
        <v>0</v>
      </c>
      <c r="G68" s="102">
        <v>0</v>
      </c>
      <c r="H68" s="102">
        <v>0</v>
      </c>
      <c r="I68" s="102">
        <v>0</v>
      </c>
      <c r="J68" s="102">
        <v>0</v>
      </c>
      <c r="K68" s="102">
        <v>0</v>
      </c>
      <c r="L68" s="102">
        <v>6</v>
      </c>
      <c r="M68" s="102">
        <v>6</v>
      </c>
      <c r="N68" s="102">
        <v>6</v>
      </c>
      <c r="O68" s="102">
        <v>7</v>
      </c>
      <c r="P68" s="102">
        <v>7</v>
      </c>
      <c r="Q68" s="102">
        <v>8</v>
      </c>
      <c r="R68" s="102">
        <v>9</v>
      </c>
      <c r="S68" s="102">
        <v>8</v>
      </c>
      <c r="T68" s="102">
        <v>8</v>
      </c>
      <c r="U68" s="102">
        <v>9</v>
      </c>
      <c r="V68" s="102">
        <v>8</v>
      </c>
      <c r="W68" s="102">
        <v>8</v>
      </c>
      <c r="X68" s="102">
        <v>8</v>
      </c>
      <c r="Y68" s="102">
        <v>8</v>
      </c>
      <c r="DA68" s="175" t="s">
        <v>511</v>
      </c>
    </row>
    <row r="69" spans="1:105" ht="11.45" customHeight="1" x14ac:dyDescent="0.25">
      <c r="A69" s="111" t="s">
        <v>111</v>
      </c>
      <c r="B69" s="102">
        <v>19739</v>
      </c>
      <c r="C69" s="102">
        <v>20567</v>
      </c>
      <c r="D69" s="102">
        <v>21080</v>
      </c>
      <c r="E69" s="102">
        <v>21236</v>
      </c>
      <c r="F69" s="102">
        <v>21348</v>
      </c>
      <c r="G69" s="102">
        <v>14105</v>
      </c>
      <c r="H69" s="102">
        <v>14448</v>
      </c>
      <c r="I69" s="102">
        <v>14495</v>
      </c>
      <c r="J69" s="102">
        <v>14756</v>
      </c>
      <c r="K69" s="102">
        <v>14834</v>
      </c>
      <c r="L69" s="102">
        <v>15064</v>
      </c>
      <c r="M69" s="102">
        <v>14822</v>
      </c>
      <c r="N69" s="102">
        <v>12030</v>
      </c>
      <c r="O69" s="102">
        <v>11759</v>
      </c>
      <c r="P69" s="102">
        <v>14569</v>
      </c>
      <c r="Q69" s="102">
        <v>14344</v>
      </c>
      <c r="R69" s="102">
        <v>14495</v>
      </c>
      <c r="S69" s="102">
        <v>14874</v>
      </c>
      <c r="T69" s="102">
        <v>14976</v>
      </c>
      <c r="U69" s="102">
        <v>17229</v>
      </c>
      <c r="V69" s="102">
        <v>14498</v>
      </c>
      <c r="W69" s="102">
        <v>14559</v>
      </c>
      <c r="X69" s="102">
        <v>15405</v>
      </c>
      <c r="Y69" s="102">
        <v>15047</v>
      </c>
      <c r="DA69" s="175" t="s">
        <v>512</v>
      </c>
    </row>
    <row r="70" spans="1:105" ht="11.45" customHeight="1" x14ac:dyDescent="0.25">
      <c r="A70" s="111" t="s">
        <v>112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3</v>
      </c>
      <c r="M70" s="102">
        <v>3</v>
      </c>
      <c r="N70" s="102">
        <v>2</v>
      </c>
      <c r="O70" s="102">
        <v>2</v>
      </c>
      <c r="P70" s="102">
        <v>4</v>
      </c>
      <c r="Q70" s="102">
        <v>4</v>
      </c>
      <c r="R70" s="102">
        <v>5</v>
      </c>
      <c r="S70" s="102">
        <v>5</v>
      </c>
      <c r="T70" s="102">
        <v>5</v>
      </c>
      <c r="U70" s="102">
        <v>5</v>
      </c>
      <c r="V70" s="102">
        <v>4</v>
      </c>
      <c r="W70" s="102">
        <v>4</v>
      </c>
      <c r="X70" s="102">
        <v>3</v>
      </c>
      <c r="Y70" s="102">
        <v>3</v>
      </c>
      <c r="DA70" s="175" t="s">
        <v>513</v>
      </c>
    </row>
    <row r="71" spans="1:105" ht="11.45" customHeight="1" x14ac:dyDescent="0.25">
      <c r="A71" s="111" t="s">
        <v>113</v>
      </c>
      <c r="B71" s="102">
        <v>41</v>
      </c>
      <c r="C71" s="102">
        <v>193</v>
      </c>
      <c r="D71" s="102">
        <v>307</v>
      </c>
      <c r="E71" s="102">
        <v>417</v>
      </c>
      <c r="F71" s="102">
        <v>452</v>
      </c>
      <c r="G71" s="102">
        <v>569</v>
      </c>
      <c r="H71" s="102">
        <v>552</v>
      </c>
      <c r="I71" s="102">
        <v>605</v>
      </c>
      <c r="J71" s="102">
        <v>644</v>
      </c>
      <c r="K71" s="102">
        <v>666</v>
      </c>
      <c r="L71" s="102">
        <v>669</v>
      </c>
      <c r="M71" s="102">
        <v>650</v>
      </c>
      <c r="N71" s="102">
        <v>626</v>
      </c>
      <c r="O71" s="102">
        <v>599</v>
      </c>
      <c r="P71" s="102">
        <v>571</v>
      </c>
      <c r="Q71" s="102">
        <v>541</v>
      </c>
      <c r="R71" s="102">
        <v>510</v>
      </c>
      <c r="S71" s="102">
        <v>478</v>
      </c>
      <c r="T71" s="102">
        <v>704</v>
      </c>
      <c r="U71" s="102">
        <v>465</v>
      </c>
      <c r="V71" s="102">
        <v>566</v>
      </c>
      <c r="W71" s="102">
        <v>781</v>
      </c>
      <c r="X71" s="102">
        <v>770</v>
      </c>
      <c r="Y71" s="102">
        <v>841</v>
      </c>
      <c r="DA71" s="175" t="s">
        <v>514</v>
      </c>
    </row>
    <row r="72" spans="1:105" ht="11.45" customHeight="1" x14ac:dyDescent="0.25">
      <c r="A72" s="111" t="s">
        <v>115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13</v>
      </c>
      <c r="M72" s="102">
        <v>12</v>
      </c>
      <c r="N72" s="102">
        <v>23</v>
      </c>
      <c r="O72" s="102">
        <v>23</v>
      </c>
      <c r="P72" s="102">
        <v>23</v>
      </c>
      <c r="Q72" s="102">
        <v>23</v>
      </c>
      <c r="R72" s="102">
        <v>23</v>
      </c>
      <c r="S72" s="102">
        <v>37</v>
      </c>
      <c r="T72" s="102">
        <v>96</v>
      </c>
      <c r="U72" s="102">
        <v>111</v>
      </c>
      <c r="V72" s="102">
        <v>121</v>
      </c>
      <c r="W72" s="102">
        <v>127</v>
      </c>
      <c r="X72" s="102">
        <v>184</v>
      </c>
      <c r="Y72" s="102">
        <v>563</v>
      </c>
      <c r="DA72" s="175" t="s">
        <v>515</v>
      </c>
    </row>
    <row r="73" spans="1:105" ht="11.45" customHeight="1" x14ac:dyDescent="0.25">
      <c r="A73" s="27" t="s">
        <v>34</v>
      </c>
      <c r="B73" s="28">
        <f t="shared" ref="B73:K73" si="134">B74+B80</f>
        <v>1401593</v>
      </c>
      <c r="C73" s="28">
        <f t="shared" si="134"/>
        <v>1537727</v>
      </c>
      <c r="D73" s="28">
        <f t="shared" si="134"/>
        <v>1499904</v>
      </c>
      <c r="E73" s="28">
        <f t="shared" si="134"/>
        <v>1386758</v>
      </c>
      <c r="F73" s="28">
        <f t="shared" si="134"/>
        <v>1374610</v>
      </c>
      <c r="G73" s="28">
        <f t="shared" si="134"/>
        <v>1385535</v>
      </c>
      <c r="H73" s="28">
        <f t="shared" si="134"/>
        <v>1402986</v>
      </c>
      <c r="I73" s="28">
        <f t="shared" si="134"/>
        <v>1422903</v>
      </c>
      <c r="J73" s="28">
        <f t="shared" si="134"/>
        <v>1429722</v>
      </c>
      <c r="K73" s="28">
        <f t="shared" si="134"/>
        <v>1433868</v>
      </c>
      <c r="L73" s="28">
        <f t="shared" ref="L73" si="135">L74+L80</f>
        <v>1432607</v>
      </c>
      <c r="M73" s="28">
        <f t="shared" ref="M73:V73" si="136">M74+M80</f>
        <v>1411994</v>
      </c>
      <c r="N73" s="28">
        <f t="shared" si="136"/>
        <v>1246648</v>
      </c>
      <c r="O73" s="28">
        <f t="shared" si="136"/>
        <v>1232933</v>
      </c>
      <c r="P73" s="28">
        <f t="shared" si="136"/>
        <v>1336335</v>
      </c>
      <c r="Q73" s="28">
        <f t="shared" si="136"/>
        <v>1301403</v>
      </c>
      <c r="R73" s="28">
        <f t="shared" si="136"/>
        <v>1296647</v>
      </c>
      <c r="S73" s="28">
        <f t="shared" si="136"/>
        <v>1325205</v>
      </c>
      <c r="T73" s="28">
        <f t="shared" si="136"/>
        <v>1358244</v>
      </c>
      <c r="U73" s="28">
        <f t="shared" si="136"/>
        <v>1502469</v>
      </c>
      <c r="V73" s="28">
        <f t="shared" si="136"/>
        <v>1388575</v>
      </c>
      <c r="W73" s="28">
        <f t="shared" ref="W73:Y73" si="137">W74+W80</f>
        <v>1385053</v>
      </c>
      <c r="X73" s="28">
        <f t="shared" si="137"/>
        <v>1392682</v>
      </c>
      <c r="Y73" s="28">
        <f t="shared" si="137"/>
        <v>1367921</v>
      </c>
      <c r="DA73" s="173" t="s">
        <v>516</v>
      </c>
    </row>
    <row r="74" spans="1:105" ht="11.45" customHeight="1" x14ac:dyDescent="0.25">
      <c r="A74" s="136" t="s">
        <v>153</v>
      </c>
      <c r="B74" s="137">
        <f t="shared" ref="B74:K74" si="138">SUM(B75:B79)</f>
        <v>1301857</v>
      </c>
      <c r="C74" s="137">
        <f t="shared" si="138"/>
        <v>1435008</v>
      </c>
      <c r="D74" s="137">
        <f t="shared" si="138"/>
        <v>1398347</v>
      </c>
      <c r="E74" s="137">
        <f t="shared" si="138"/>
        <v>1288947</v>
      </c>
      <c r="F74" s="137">
        <f t="shared" si="138"/>
        <v>1282243</v>
      </c>
      <c r="G74" s="137">
        <f t="shared" si="138"/>
        <v>1294098</v>
      </c>
      <c r="H74" s="137">
        <f t="shared" si="138"/>
        <v>1311947</v>
      </c>
      <c r="I74" s="137">
        <f t="shared" si="138"/>
        <v>1331376</v>
      </c>
      <c r="J74" s="137">
        <f t="shared" si="138"/>
        <v>1334373</v>
      </c>
      <c r="K74" s="137">
        <f t="shared" si="138"/>
        <v>1337373</v>
      </c>
      <c r="L74" s="137">
        <f t="shared" ref="L74" si="139">SUM(L75:L79)</f>
        <v>1337373</v>
      </c>
      <c r="M74" s="137">
        <f t="shared" ref="M74:V74" si="140">SUM(M75:M79)</f>
        <v>1321711</v>
      </c>
      <c r="N74" s="137">
        <f t="shared" si="140"/>
        <v>1172906</v>
      </c>
      <c r="O74" s="137">
        <f t="shared" si="140"/>
        <v>1164962</v>
      </c>
      <c r="P74" s="137">
        <f t="shared" si="140"/>
        <v>1259725</v>
      </c>
      <c r="Q74" s="137">
        <f t="shared" si="140"/>
        <v>1224823</v>
      </c>
      <c r="R74" s="137">
        <f t="shared" si="140"/>
        <v>1221913</v>
      </c>
      <c r="S74" s="137">
        <f t="shared" si="140"/>
        <v>1240914</v>
      </c>
      <c r="T74" s="137">
        <f t="shared" si="140"/>
        <v>1267647</v>
      </c>
      <c r="U74" s="137">
        <f t="shared" si="140"/>
        <v>1396685</v>
      </c>
      <c r="V74" s="137">
        <f t="shared" si="140"/>
        <v>1290390</v>
      </c>
      <c r="W74" s="137">
        <f t="shared" ref="W74:Y74" si="141">SUM(W75:W79)</f>
        <v>1289760</v>
      </c>
      <c r="X74" s="137">
        <f t="shared" si="141"/>
        <v>1295480</v>
      </c>
      <c r="Y74" s="137">
        <f t="shared" si="141"/>
        <v>1268331</v>
      </c>
      <c r="DA74" s="174" t="s">
        <v>517</v>
      </c>
    </row>
    <row r="75" spans="1:105" ht="11.45" customHeight="1" x14ac:dyDescent="0.25">
      <c r="A75" s="111" t="s">
        <v>110</v>
      </c>
      <c r="B75" s="84">
        <v>22987</v>
      </c>
      <c r="C75" s="84">
        <v>22668</v>
      </c>
      <c r="D75" s="84">
        <v>21402</v>
      </c>
      <c r="E75" s="84">
        <v>22001</v>
      </c>
      <c r="F75" s="84">
        <v>20340</v>
      </c>
      <c r="G75" s="84">
        <v>19986</v>
      </c>
      <c r="H75" s="84">
        <v>19726</v>
      </c>
      <c r="I75" s="84">
        <v>19489</v>
      </c>
      <c r="J75" s="84">
        <v>19016</v>
      </c>
      <c r="K75" s="84">
        <v>18555</v>
      </c>
      <c r="L75" s="84">
        <v>18056</v>
      </c>
      <c r="M75" s="84">
        <v>16120</v>
      </c>
      <c r="N75" s="84">
        <v>14099</v>
      </c>
      <c r="O75" s="84">
        <v>12902</v>
      </c>
      <c r="P75" s="84">
        <v>12056</v>
      </c>
      <c r="Q75" s="84">
        <v>12685</v>
      </c>
      <c r="R75" s="84">
        <v>11862</v>
      </c>
      <c r="S75" s="84">
        <v>12404</v>
      </c>
      <c r="T75" s="84">
        <v>11795</v>
      </c>
      <c r="U75" s="84">
        <v>16064</v>
      </c>
      <c r="V75" s="84">
        <v>11294</v>
      </c>
      <c r="W75" s="84">
        <v>10919</v>
      </c>
      <c r="X75" s="84">
        <v>10708</v>
      </c>
      <c r="Y75" s="84">
        <v>9323</v>
      </c>
      <c r="DA75" s="171" t="s">
        <v>518</v>
      </c>
    </row>
    <row r="76" spans="1:105" ht="11.45" customHeight="1" x14ac:dyDescent="0.25">
      <c r="A76" s="111" t="s">
        <v>111</v>
      </c>
      <c r="B76" s="84">
        <v>1278014</v>
      </c>
      <c r="C76" s="84">
        <v>1411487</v>
      </c>
      <c r="D76" s="84">
        <v>1376115</v>
      </c>
      <c r="E76" s="84">
        <v>1266085</v>
      </c>
      <c r="F76" s="84">
        <v>1261095</v>
      </c>
      <c r="G76" s="84">
        <v>1273305</v>
      </c>
      <c r="H76" s="84">
        <v>1291412</v>
      </c>
      <c r="I76" s="84">
        <v>1311075</v>
      </c>
      <c r="J76" s="84">
        <v>1314552</v>
      </c>
      <c r="K76" s="84">
        <v>1318019</v>
      </c>
      <c r="L76" s="84">
        <v>1318553</v>
      </c>
      <c r="M76" s="84">
        <v>1304857</v>
      </c>
      <c r="N76" s="84">
        <v>1158181</v>
      </c>
      <c r="O76" s="84">
        <v>1151379</v>
      </c>
      <c r="P76" s="84">
        <v>1246936</v>
      </c>
      <c r="Q76" s="84">
        <v>1211301</v>
      </c>
      <c r="R76" s="84">
        <v>1209221</v>
      </c>
      <c r="S76" s="84">
        <v>1227239</v>
      </c>
      <c r="T76" s="84">
        <v>1254007</v>
      </c>
      <c r="U76" s="84">
        <v>1378217</v>
      </c>
      <c r="V76" s="84">
        <v>1276385</v>
      </c>
      <c r="W76" s="84">
        <v>1275770</v>
      </c>
      <c r="X76" s="84">
        <v>1280697</v>
      </c>
      <c r="Y76" s="84">
        <v>1252498</v>
      </c>
      <c r="DA76" s="171" t="s">
        <v>519</v>
      </c>
    </row>
    <row r="77" spans="1:105" ht="11.45" customHeight="1" x14ac:dyDescent="0.25">
      <c r="A77" s="111" t="s">
        <v>112</v>
      </c>
      <c r="B77" s="84">
        <v>856</v>
      </c>
      <c r="C77" s="84">
        <v>853</v>
      </c>
      <c r="D77" s="84">
        <v>830</v>
      </c>
      <c r="E77" s="84">
        <v>861</v>
      </c>
      <c r="F77" s="84">
        <v>808</v>
      </c>
      <c r="G77" s="84">
        <v>807</v>
      </c>
      <c r="H77" s="84">
        <v>809</v>
      </c>
      <c r="I77" s="84">
        <v>812</v>
      </c>
      <c r="J77" s="84">
        <v>805</v>
      </c>
      <c r="K77" s="84">
        <v>799</v>
      </c>
      <c r="L77" s="84">
        <v>764</v>
      </c>
      <c r="M77" s="84">
        <v>729</v>
      </c>
      <c r="N77" s="84">
        <v>610</v>
      </c>
      <c r="O77" s="84">
        <v>616</v>
      </c>
      <c r="P77" s="84">
        <v>632</v>
      </c>
      <c r="Q77" s="84">
        <v>650</v>
      </c>
      <c r="R77" s="84">
        <v>609</v>
      </c>
      <c r="S77" s="84">
        <v>611</v>
      </c>
      <c r="T77" s="84">
        <v>620</v>
      </c>
      <c r="U77" s="84">
        <v>768</v>
      </c>
      <c r="V77" s="84">
        <v>692</v>
      </c>
      <c r="W77" s="84">
        <v>657</v>
      </c>
      <c r="X77" s="84">
        <v>655</v>
      </c>
      <c r="Y77" s="84">
        <v>639</v>
      </c>
      <c r="DA77" s="171" t="s">
        <v>520</v>
      </c>
    </row>
    <row r="78" spans="1:105" ht="11.45" customHeight="1" x14ac:dyDescent="0.25">
      <c r="A78" s="111" t="s">
        <v>113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5</v>
      </c>
      <c r="P78" s="84">
        <v>13</v>
      </c>
      <c r="Q78" s="84">
        <v>19</v>
      </c>
      <c r="R78" s="84">
        <v>26</v>
      </c>
      <c r="S78" s="84">
        <v>30</v>
      </c>
      <c r="T78" s="84">
        <v>46</v>
      </c>
      <c r="U78" s="84">
        <v>79</v>
      </c>
      <c r="V78" s="84">
        <v>88</v>
      </c>
      <c r="W78" s="84">
        <v>126</v>
      </c>
      <c r="X78" s="84">
        <v>133</v>
      </c>
      <c r="Y78" s="84">
        <v>137</v>
      </c>
      <c r="DA78" s="171" t="s">
        <v>521</v>
      </c>
    </row>
    <row r="79" spans="1:105" ht="11.45" customHeight="1" x14ac:dyDescent="0.25">
      <c r="A79" s="111" t="s">
        <v>115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5</v>
      </c>
      <c r="N79" s="84">
        <v>16</v>
      </c>
      <c r="O79" s="84">
        <v>60</v>
      </c>
      <c r="P79" s="84">
        <v>88</v>
      </c>
      <c r="Q79" s="84">
        <v>168</v>
      </c>
      <c r="R79" s="84">
        <v>195</v>
      </c>
      <c r="S79" s="84">
        <v>630</v>
      </c>
      <c r="T79" s="84">
        <v>1179</v>
      </c>
      <c r="U79" s="84">
        <v>1557</v>
      </c>
      <c r="V79" s="84">
        <v>1931</v>
      </c>
      <c r="W79" s="84">
        <v>2288</v>
      </c>
      <c r="X79" s="84">
        <v>3287</v>
      </c>
      <c r="Y79" s="84">
        <v>5734</v>
      </c>
      <c r="DA79" s="171" t="s">
        <v>522</v>
      </c>
    </row>
    <row r="80" spans="1:105" ht="11.45" customHeight="1" x14ac:dyDescent="0.25">
      <c r="A80" s="109" t="s">
        <v>154</v>
      </c>
      <c r="B80" s="110">
        <f t="shared" ref="B80:K80" si="142">SUM(B81:B82)</f>
        <v>99736</v>
      </c>
      <c r="C80" s="110">
        <f t="shared" si="142"/>
        <v>102719</v>
      </c>
      <c r="D80" s="110">
        <f t="shared" si="142"/>
        <v>101557</v>
      </c>
      <c r="E80" s="110">
        <f t="shared" si="142"/>
        <v>97811</v>
      </c>
      <c r="F80" s="110">
        <f t="shared" si="142"/>
        <v>92367</v>
      </c>
      <c r="G80" s="110">
        <f t="shared" si="142"/>
        <v>91437</v>
      </c>
      <c r="H80" s="110">
        <f t="shared" si="142"/>
        <v>91039</v>
      </c>
      <c r="I80" s="110">
        <f t="shared" si="142"/>
        <v>91527</v>
      </c>
      <c r="J80" s="110">
        <f t="shared" si="142"/>
        <v>95349</v>
      </c>
      <c r="K80" s="110">
        <f t="shared" si="142"/>
        <v>96495</v>
      </c>
      <c r="L80" s="110">
        <f t="shared" ref="L80" si="143">SUM(L81:L82)</f>
        <v>95234</v>
      </c>
      <c r="M80" s="110">
        <f t="shared" ref="M80:V80" si="144">SUM(M81:M82)</f>
        <v>90283</v>
      </c>
      <c r="N80" s="110">
        <f t="shared" si="144"/>
        <v>73742</v>
      </c>
      <c r="O80" s="110">
        <f t="shared" si="144"/>
        <v>67971</v>
      </c>
      <c r="P80" s="110">
        <f t="shared" si="144"/>
        <v>76610</v>
      </c>
      <c r="Q80" s="110">
        <f t="shared" si="144"/>
        <v>76580</v>
      </c>
      <c r="R80" s="110">
        <f t="shared" si="144"/>
        <v>74734</v>
      </c>
      <c r="S80" s="110">
        <f t="shared" si="144"/>
        <v>84291</v>
      </c>
      <c r="T80" s="110">
        <f t="shared" si="144"/>
        <v>90597</v>
      </c>
      <c r="U80" s="110">
        <f t="shared" si="144"/>
        <v>105784</v>
      </c>
      <c r="V80" s="110">
        <f t="shared" si="144"/>
        <v>98185</v>
      </c>
      <c r="W80" s="110">
        <f t="shared" ref="W80:Y80" si="145">SUM(W81:W82)</f>
        <v>95293</v>
      </c>
      <c r="X80" s="110">
        <f t="shared" si="145"/>
        <v>97202</v>
      </c>
      <c r="Y80" s="110">
        <f t="shared" si="145"/>
        <v>99590</v>
      </c>
      <c r="DA80" s="176" t="s">
        <v>523</v>
      </c>
    </row>
    <row r="81" spans="1:105" ht="11.45" customHeight="1" x14ac:dyDescent="0.25">
      <c r="A81" s="128" t="s">
        <v>27</v>
      </c>
      <c r="B81" s="102">
        <v>95914</v>
      </c>
      <c r="C81" s="102">
        <v>98621</v>
      </c>
      <c r="D81" s="102">
        <v>97246</v>
      </c>
      <c r="E81" s="102">
        <v>93405</v>
      </c>
      <c r="F81" s="102">
        <v>87157</v>
      </c>
      <c r="G81" s="102">
        <v>86045</v>
      </c>
      <c r="H81" s="102">
        <v>85282</v>
      </c>
      <c r="I81" s="102">
        <v>85227</v>
      </c>
      <c r="J81" s="102">
        <v>89801</v>
      </c>
      <c r="K81" s="102">
        <v>90928</v>
      </c>
      <c r="L81" s="102">
        <v>90199</v>
      </c>
      <c r="M81" s="102">
        <v>84969</v>
      </c>
      <c r="N81" s="102">
        <v>69333</v>
      </c>
      <c r="O81" s="102">
        <v>62978</v>
      </c>
      <c r="P81" s="102">
        <v>71467</v>
      </c>
      <c r="Q81" s="102">
        <v>71933</v>
      </c>
      <c r="R81" s="102">
        <v>69668</v>
      </c>
      <c r="S81" s="102">
        <v>79345</v>
      </c>
      <c r="T81" s="102">
        <v>85501</v>
      </c>
      <c r="U81" s="102">
        <v>100598</v>
      </c>
      <c r="V81" s="102">
        <v>93766</v>
      </c>
      <c r="W81" s="102">
        <v>90077</v>
      </c>
      <c r="X81" s="102">
        <v>91645</v>
      </c>
      <c r="Y81" s="102">
        <v>94366</v>
      </c>
      <c r="DA81" s="175" t="s">
        <v>524</v>
      </c>
    </row>
    <row r="82" spans="1:105" ht="11.45" customHeight="1" x14ac:dyDescent="0.25">
      <c r="A82" s="138" t="s">
        <v>116</v>
      </c>
      <c r="B82" s="86">
        <v>3822</v>
      </c>
      <c r="C82" s="86">
        <v>4098</v>
      </c>
      <c r="D82" s="86">
        <v>4311</v>
      </c>
      <c r="E82" s="86">
        <v>4406</v>
      </c>
      <c r="F82" s="86">
        <v>5210</v>
      </c>
      <c r="G82" s="86">
        <v>5392</v>
      </c>
      <c r="H82" s="86">
        <v>5757</v>
      </c>
      <c r="I82" s="86">
        <v>6300</v>
      </c>
      <c r="J82" s="86">
        <v>5548</v>
      </c>
      <c r="K82" s="86">
        <v>5567</v>
      </c>
      <c r="L82" s="86">
        <v>5035</v>
      </c>
      <c r="M82" s="86">
        <v>5314</v>
      </c>
      <c r="N82" s="86">
        <v>4409</v>
      </c>
      <c r="O82" s="86">
        <v>4993</v>
      </c>
      <c r="P82" s="86">
        <v>5143</v>
      </c>
      <c r="Q82" s="86">
        <v>4647</v>
      </c>
      <c r="R82" s="86">
        <v>5066</v>
      </c>
      <c r="S82" s="86">
        <v>4946</v>
      </c>
      <c r="T82" s="86">
        <v>5096</v>
      </c>
      <c r="U82" s="86">
        <v>5186</v>
      </c>
      <c r="V82" s="86">
        <v>4419</v>
      </c>
      <c r="W82" s="86">
        <v>5216</v>
      </c>
      <c r="X82" s="86">
        <v>5557</v>
      </c>
      <c r="Y82" s="86">
        <v>5224</v>
      </c>
      <c r="DA82" s="178" t="s">
        <v>525</v>
      </c>
    </row>
    <row r="83" spans="1:105" ht="11.45" hidden="1" customHeight="1" x14ac:dyDescent="0.25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DA83" s="171"/>
    </row>
    <row r="84" spans="1:105" ht="11.45" hidden="1" customHeight="1" x14ac:dyDescent="0.25">
      <c r="A84" s="53" t="s">
        <v>135</v>
      </c>
      <c r="B84" s="54">
        <f t="shared" ref="B84:C84" si="146">B85+B100</f>
        <v>5401441</v>
      </c>
      <c r="C84" s="54">
        <f t="shared" si="146"/>
        <v>5698970</v>
      </c>
      <c r="D84" s="54">
        <f t="shared" ref="D84:V84" si="147">D85+D100</f>
        <v>5969248</v>
      </c>
      <c r="E84" s="54">
        <f t="shared" si="147"/>
        <v>5945765</v>
      </c>
      <c r="F84" s="54">
        <f t="shared" si="147"/>
        <v>6076484</v>
      </c>
      <c r="G84" s="54">
        <f t="shared" si="147"/>
        <v>6188629</v>
      </c>
      <c r="H84" s="54">
        <f t="shared" si="147"/>
        <v>6266706</v>
      </c>
      <c r="I84" s="54">
        <f t="shared" si="147"/>
        <v>6353648</v>
      </c>
      <c r="J84" s="54">
        <f t="shared" si="147"/>
        <v>6388122</v>
      </c>
      <c r="K84" s="54">
        <f t="shared" si="147"/>
        <v>6439638</v>
      </c>
      <c r="L84" s="54">
        <f t="shared" si="147"/>
        <v>6638362</v>
      </c>
      <c r="M84" s="54">
        <f t="shared" si="147"/>
        <v>6636687</v>
      </c>
      <c r="N84" s="54">
        <f t="shared" si="147"/>
        <v>6019150</v>
      </c>
      <c r="O84" s="54">
        <f t="shared" si="147"/>
        <v>6081257</v>
      </c>
      <c r="P84" s="54">
        <f t="shared" si="147"/>
        <v>6560825</v>
      </c>
      <c r="Q84" s="54">
        <f t="shared" si="147"/>
        <v>6566869</v>
      </c>
      <c r="R84" s="54">
        <f t="shared" si="147"/>
        <v>6714015</v>
      </c>
      <c r="S84" s="54">
        <f t="shared" si="147"/>
        <v>6992596</v>
      </c>
      <c r="T84" s="54">
        <f t="shared" si="147"/>
        <v>7273078</v>
      </c>
      <c r="U84" s="54">
        <f t="shared" si="147"/>
        <v>7676268</v>
      </c>
      <c r="V84" s="54">
        <f t="shared" si="147"/>
        <v>7581813</v>
      </c>
      <c r="W84" s="54">
        <f t="shared" ref="W84:Y84" si="148">W85+W100</f>
        <v>7645994</v>
      </c>
      <c r="X84" s="54">
        <f t="shared" si="148"/>
        <v>7836961</v>
      </c>
      <c r="Y84" s="54">
        <f t="shared" si="148"/>
        <v>7942248</v>
      </c>
      <c r="DA84" s="172"/>
    </row>
    <row r="85" spans="1:105" ht="11.45" hidden="1" customHeight="1" x14ac:dyDescent="0.25">
      <c r="A85" s="27" t="s">
        <v>33</v>
      </c>
      <c r="B85" s="28">
        <f t="shared" ref="B85:C85" si="149">B86+B87+B94</f>
        <v>3999848</v>
      </c>
      <c r="C85" s="28">
        <f t="shared" si="149"/>
        <v>4161243</v>
      </c>
      <c r="D85" s="28">
        <f t="shared" ref="D85:V85" si="150">D86+D87+D94</f>
        <v>4469344</v>
      </c>
      <c r="E85" s="28">
        <f t="shared" si="150"/>
        <v>4559007</v>
      </c>
      <c r="F85" s="28">
        <f t="shared" si="150"/>
        <v>4701874</v>
      </c>
      <c r="G85" s="28">
        <f t="shared" si="150"/>
        <v>4803094</v>
      </c>
      <c r="H85" s="28">
        <f t="shared" si="150"/>
        <v>4863720</v>
      </c>
      <c r="I85" s="28">
        <f t="shared" si="150"/>
        <v>4930745</v>
      </c>
      <c r="J85" s="28">
        <f t="shared" si="150"/>
        <v>4958400</v>
      </c>
      <c r="K85" s="28">
        <f t="shared" si="150"/>
        <v>5005770</v>
      </c>
      <c r="L85" s="28">
        <f t="shared" si="150"/>
        <v>5205755</v>
      </c>
      <c r="M85" s="28">
        <f t="shared" si="150"/>
        <v>5224693</v>
      </c>
      <c r="N85" s="28">
        <f t="shared" si="150"/>
        <v>4772502</v>
      </c>
      <c r="O85" s="28">
        <f t="shared" si="150"/>
        <v>4848324</v>
      </c>
      <c r="P85" s="28">
        <f t="shared" si="150"/>
        <v>5224490</v>
      </c>
      <c r="Q85" s="28">
        <f t="shared" si="150"/>
        <v>5265466</v>
      </c>
      <c r="R85" s="28">
        <f t="shared" si="150"/>
        <v>5417368</v>
      </c>
      <c r="S85" s="28">
        <f t="shared" si="150"/>
        <v>5667391</v>
      </c>
      <c r="T85" s="28">
        <f t="shared" si="150"/>
        <v>5914834</v>
      </c>
      <c r="U85" s="28">
        <f t="shared" si="150"/>
        <v>6173799</v>
      </c>
      <c r="V85" s="28">
        <f t="shared" si="150"/>
        <v>6193238</v>
      </c>
      <c r="W85" s="28">
        <f t="shared" ref="W85:Y85" si="151">W86+W87+W94</f>
        <v>6260941</v>
      </c>
      <c r="X85" s="28">
        <f t="shared" si="151"/>
        <v>6444279</v>
      </c>
      <c r="Y85" s="28">
        <f t="shared" si="151"/>
        <v>6574327</v>
      </c>
      <c r="DA85" s="173"/>
    </row>
    <row r="86" spans="1:105" ht="11.45" hidden="1" customHeight="1" x14ac:dyDescent="0.25">
      <c r="A86" s="136" t="s">
        <v>173</v>
      </c>
      <c r="B86" s="137">
        <v>537068</v>
      </c>
      <c r="C86" s="137">
        <v>551483</v>
      </c>
      <c r="D86" s="137">
        <v>562957</v>
      </c>
      <c r="E86" s="137">
        <v>571354</v>
      </c>
      <c r="F86" s="137">
        <v>580074</v>
      </c>
      <c r="G86" s="137">
        <v>588420</v>
      </c>
      <c r="H86" s="137">
        <v>558720</v>
      </c>
      <c r="I86" s="137">
        <v>536645</v>
      </c>
      <c r="J86" s="137">
        <v>535000</v>
      </c>
      <c r="K86" s="137">
        <v>533270</v>
      </c>
      <c r="L86" s="137">
        <v>498000</v>
      </c>
      <c r="M86" s="137">
        <v>497000</v>
      </c>
      <c r="N86" s="137">
        <v>500815</v>
      </c>
      <c r="O86" s="137">
        <v>508456</v>
      </c>
      <c r="P86" s="137">
        <v>509671</v>
      </c>
      <c r="Q86" s="137">
        <v>527583</v>
      </c>
      <c r="R86" s="137">
        <v>552097</v>
      </c>
      <c r="S86" s="137">
        <v>592517</v>
      </c>
      <c r="T86" s="137">
        <v>616075</v>
      </c>
      <c r="U86" s="137">
        <v>660939</v>
      </c>
      <c r="V86" s="137">
        <v>612078</v>
      </c>
      <c r="W86" s="137">
        <v>612078</v>
      </c>
      <c r="X86" s="137">
        <v>649325</v>
      </c>
      <c r="Y86" s="137">
        <v>710255</v>
      </c>
      <c r="DA86" s="174"/>
    </row>
    <row r="87" spans="1:105" ht="11.45" hidden="1" customHeight="1" x14ac:dyDescent="0.25">
      <c r="A87" s="109" t="s">
        <v>20</v>
      </c>
      <c r="B87" s="110">
        <f t="shared" ref="B87:C87" si="152">SUM(B88:B93)</f>
        <v>3443000</v>
      </c>
      <c r="C87" s="110">
        <f t="shared" si="152"/>
        <v>3589000</v>
      </c>
      <c r="D87" s="110">
        <f t="shared" ref="D87:V87" si="153">SUM(D88:D93)</f>
        <v>3885000</v>
      </c>
      <c r="E87" s="110">
        <f t="shared" si="153"/>
        <v>3966000</v>
      </c>
      <c r="F87" s="110">
        <f t="shared" si="153"/>
        <v>4100000</v>
      </c>
      <c r="G87" s="110">
        <f t="shared" si="153"/>
        <v>4200000</v>
      </c>
      <c r="H87" s="110">
        <f t="shared" si="153"/>
        <v>4290000</v>
      </c>
      <c r="I87" s="110">
        <f t="shared" si="153"/>
        <v>4379000</v>
      </c>
      <c r="J87" s="110">
        <f t="shared" si="153"/>
        <v>4408000</v>
      </c>
      <c r="K87" s="110">
        <f t="shared" si="153"/>
        <v>4457000</v>
      </c>
      <c r="L87" s="110">
        <f t="shared" si="153"/>
        <v>4692000</v>
      </c>
      <c r="M87" s="110">
        <f t="shared" si="153"/>
        <v>4712200</v>
      </c>
      <c r="N87" s="110">
        <f t="shared" si="153"/>
        <v>4259000</v>
      </c>
      <c r="O87" s="110">
        <f t="shared" si="153"/>
        <v>4327478</v>
      </c>
      <c r="P87" s="110">
        <f t="shared" si="153"/>
        <v>4699645</v>
      </c>
      <c r="Q87" s="110">
        <f t="shared" si="153"/>
        <v>4722963</v>
      </c>
      <c r="R87" s="110">
        <f t="shared" si="153"/>
        <v>4850229</v>
      </c>
      <c r="S87" s="110">
        <f t="shared" si="153"/>
        <v>5059472</v>
      </c>
      <c r="T87" s="110">
        <f t="shared" si="153"/>
        <v>5282970</v>
      </c>
      <c r="U87" s="110">
        <f t="shared" si="153"/>
        <v>5495041</v>
      </c>
      <c r="V87" s="110">
        <f t="shared" si="153"/>
        <v>5565963</v>
      </c>
      <c r="W87" s="110">
        <f t="shared" ref="W87:Y87" si="154">SUM(W88:W93)</f>
        <v>5633384</v>
      </c>
      <c r="X87" s="110">
        <f t="shared" si="154"/>
        <v>5778584</v>
      </c>
      <c r="Y87" s="110">
        <f t="shared" si="154"/>
        <v>5847610</v>
      </c>
      <c r="DA87" s="176"/>
    </row>
    <row r="88" spans="1:105" ht="11.45" hidden="1" customHeight="1" x14ac:dyDescent="0.25">
      <c r="A88" s="111" t="s">
        <v>110</v>
      </c>
      <c r="B88" s="84">
        <v>2348800</v>
      </c>
      <c r="C88" s="84">
        <v>2464048</v>
      </c>
      <c r="D88" s="84">
        <v>2653389</v>
      </c>
      <c r="E88" s="84">
        <v>2652347</v>
      </c>
      <c r="F88" s="84">
        <v>2696207</v>
      </c>
      <c r="G88" s="84">
        <v>2673683</v>
      </c>
      <c r="H88" s="84">
        <v>2651564</v>
      </c>
      <c r="I88" s="84">
        <v>2613214</v>
      </c>
      <c r="J88" s="84">
        <v>2533430</v>
      </c>
      <c r="K88" s="84">
        <v>2479203</v>
      </c>
      <c r="L88" s="84">
        <v>2580033</v>
      </c>
      <c r="M88" s="84">
        <v>2509195</v>
      </c>
      <c r="N88" s="84">
        <v>2169936</v>
      </c>
      <c r="O88" s="84">
        <v>2165172</v>
      </c>
      <c r="P88" s="84">
        <v>2283953</v>
      </c>
      <c r="Q88" s="84">
        <v>2197424</v>
      </c>
      <c r="R88" s="84">
        <v>2171534</v>
      </c>
      <c r="S88" s="84">
        <v>2187650</v>
      </c>
      <c r="T88" s="84">
        <v>2241105</v>
      </c>
      <c r="U88" s="84">
        <v>2337838</v>
      </c>
      <c r="V88" s="84">
        <v>2283494</v>
      </c>
      <c r="W88" s="84">
        <v>2277393</v>
      </c>
      <c r="X88" s="84">
        <v>2317328</v>
      </c>
      <c r="Y88" s="84">
        <v>2320427</v>
      </c>
      <c r="DA88" s="171"/>
    </row>
    <row r="89" spans="1:105" ht="11.45" hidden="1" customHeight="1" x14ac:dyDescent="0.25">
      <c r="A89" s="111" t="s">
        <v>111</v>
      </c>
      <c r="B89" s="84">
        <v>1077200</v>
      </c>
      <c r="C89" s="84">
        <v>1108213</v>
      </c>
      <c r="D89" s="84">
        <v>1216066</v>
      </c>
      <c r="E89" s="84">
        <v>1296664</v>
      </c>
      <c r="F89" s="84">
        <v>1386493</v>
      </c>
      <c r="G89" s="84">
        <v>1506310</v>
      </c>
      <c r="H89" s="84">
        <v>1620992</v>
      </c>
      <c r="I89" s="84">
        <v>1748571</v>
      </c>
      <c r="J89" s="84">
        <v>1853402</v>
      </c>
      <c r="K89" s="84">
        <v>1945817</v>
      </c>
      <c r="L89" s="84">
        <v>2079246</v>
      </c>
      <c r="M89" s="84">
        <v>2171703</v>
      </c>
      <c r="N89" s="84">
        <v>2051647</v>
      </c>
      <c r="O89" s="84">
        <v>2121295</v>
      </c>
      <c r="P89" s="84">
        <v>2368018</v>
      </c>
      <c r="Q89" s="84">
        <v>2475744</v>
      </c>
      <c r="R89" s="84">
        <v>2625189</v>
      </c>
      <c r="S89" s="84">
        <v>2807718</v>
      </c>
      <c r="T89" s="84">
        <v>2959124</v>
      </c>
      <c r="U89" s="84">
        <v>3053110</v>
      </c>
      <c r="V89" s="84">
        <v>3162028</v>
      </c>
      <c r="W89" s="84">
        <v>3200683</v>
      </c>
      <c r="X89" s="84">
        <v>3260085</v>
      </c>
      <c r="Y89" s="84">
        <v>3251632</v>
      </c>
      <c r="DA89" s="171"/>
    </row>
    <row r="90" spans="1:105" ht="11.45" hidden="1" customHeight="1" x14ac:dyDescent="0.25">
      <c r="A90" s="111" t="s">
        <v>112</v>
      </c>
      <c r="B90" s="84">
        <v>17000</v>
      </c>
      <c r="C90" s="84">
        <v>16739</v>
      </c>
      <c r="D90" s="84">
        <v>15545</v>
      </c>
      <c r="E90" s="84">
        <v>16989</v>
      </c>
      <c r="F90" s="84">
        <v>17300</v>
      </c>
      <c r="G90" s="84">
        <v>20007</v>
      </c>
      <c r="H90" s="84">
        <v>17444</v>
      </c>
      <c r="I90" s="84">
        <v>17215</v>
      </c>
      <c r="J90" s="84">
        <v>21140</v>
      </c>
      <c r="K90" s="84">
        <v>31951</v>
      </c>
      <c r="L90" s="84">
        <v>32000</v>
      </c>
      <c r="M90" s="84">
        <v>31000</v>
      </c>
      <c r="N90" s="84">
        <v>37000</v>
      </c>
      <c r="O90" s="84">
        <v>40443</v>
      </c>
      <c r="P90" s="84">
        <v>46955</v>
      </c>
      <c r="Q90" s="84">
        <v>48062</v>
      </c>
      <c r="R90" s="84">
        <v>49301</v>
      </c>
      <c r="S90" s="84">
        <v>52315</v>
      </c>
      <c r="T90" s="84">
        <v>56213</v>
      </c>
      <c r="U90" s="84">
        <v>57432</v>
      </c>
      <c r="V90" s="84">
        <v>58717</v>
      </c>
      <c r="W90" s="84">
        <v>61573</v>
      </c>
      <c r="X90" s="84">
        <v>66957</v>
      </c>
      <c r="Y90" s="84">
        <v>75505</v>
      </c>
      <c r="DA90" s="171"/>
    </row>
    <row r="91" spans="1:105" ht="11.45" hidden="1" customHeight="1" x14ac:dyDescent="0.25">
      <c r="A91" s="111" t="s">
        <v>113</v>
      </c>
      <c r="B91" s="84">
        <v>0</v>
      </c>
      <c r="C91" s="84">
        <v>0</v>
      </c>
      <c r="D91" s="84">
        <v>0</v>
      </c>
      <c r="E91" s="84">
        <v>0</v>
      </c>
      <c r="F91" s="84">
        <v>0</v>
      </c>
      <c r="G91" s="84">
        <v>0</v>
      </c>
      <c r="H91" s="84">
        <v>0</v>
      </c>
      <c r="I91" s="84">
        <v>0</v>
      </c>
      <c r="J91" s="84">
        <v>0</v>
      </c>
      <c r="K91" s="84">
        <v>0</v>
      </c>
      <c r="L91" s="84">
        <v>2</v>
      </c>
      <c r="M91" s="84">
        <v>2</v>
      </c>
      <c r="N91" s="84">
        <v>7</v>
      </c>
      <c r="O91" s="84">
        <v>23</v>
      </c>
      <c r="P91" s="84">
        <v>26</v>
      </c>
      <c r="Q91" s="84">
        <v>33</v>
      </c>
      <c r="R91" s="84">
        <v>39</v>
      </c>
      <c r="S91" s="84">
        <v>47</v>
      </c>
      <c r="T91" s="84">
        <v>55</v>
      </c>
      <c r="U91" s="84">
        <v>102</v>
      </c>
      <c r="V91" s="84">
        <v>132</v>
      </c>
      <c r="W91" s="84">
        <v>156</v>
      </c>
      <c r="X91" s="84">
        <v>165</v>
      </c>
      <c r="Y91" s="84">
        <v>166</v>
      </c>
      <c r="DA91" s="171"/>
    </row>
    <row r="92" spans="1:105" ht="11.45" hidden="1" customHeight="1" x14ac:dyDescent="0.25">
      <c r="A92" s="111" t="s">
        <v>114</v>
      </c>
      <c r="B92" s="84">
        <v>0</v>
      </c>
      <c r="C92" s="84">
        <v>0</v>
      </c>
      <c r="D92" s="84">
        <v>0</v>
      </c>
      <c r="E92" s="84">
        <v>0</v>
      </c>
      <c r="F92" s="84">
        <v>0</v>
      </c>
      <c r="G92" s="84">
        <v>0</v>
      </c>
      <c r="H92" s="84">
        <v>0</v>
      </c>
      <c r="I92" s="84">
        <v>0</v>
      </c>
      <c r="J92" s="84">
        <v>0</v>
      </c>
      <c r="K92" s="84">
        <v>0</v>
      </c>
      <c r="L92" s="84">
        <v>0</v>
      </c>
      <c r="M92" s="84">
        <v>18</v>
      </c>
      <c r="N92" s="84">
        <v>63</v>
      </c>
      <c r="O92" s="84">
        <v>108</v>
      </c>
      <c r="P92" s="84">
        <v>209</v>
      </c>
      <c r="Q92" s="84">
        <v>730</v>
      </c>
      <c r="R92" s="84">
        <v>1809</v>
      </c>
      <c r="S92" s="84">
        <v>4337</v>
      </c>
      <c r="T92" s="84">
        <v>9699</v>
      </c>
      <c r="U92" s="84">
        <v>17526</v>
      </c>
      <c r="V92" s="84">
        <v>27710</v>
      </c>
      <c r="W92" s="84">
        <v>43441</v>
      </c>
      <c r="X92" s="84">
        <v>65729</v>
      </c>
      <c r="Y92" s="84">
        <v>93456</v>
      </c>
      <c r="DA92" s="171"/>
    </row>
    <row r="93" spans="1:105" ht="11.45" hidden="1" customHeight="1" x14ac:dyDescent="0.25">
      <c r="A93" s="111" t="s">
        <v>115</v>
      </c>
      <c r="B93" s="84">
        <v>0</v>
      </c>
      <c r="C93" s="84">
        <v>0</v>
      </c>
      <c r="D93" s="84">
        <v>0</v>
      </c>
      <c r="E93" s="84">
        <v>0</v>
      </c>
      <c r="F93" s="84">
        <v>0</v>
      </c>
      <c r="G93" s="84">
        <v>0</v>
      </c>
      <c r="H93" s="84">
        <v>0</v>
      </c>
      <c r="I93" s="84">
        <v>0</v>
      </c>
      <c r="J93" s="84">
        <v>28</v>
      </c>
      <c r="K93" s="84">
        <v>29</v>
      </c>
      <c r="L93" s="84">
        <v>719</v>
      </c>
      <c r="M93" s="84">
        <v>282</v>
      </c>
      <c r="N93" s="84">
        <v>347</v>
      </c>
      <c r="O93" s="84">
        <v>437</v>
      </c>
      <c r="P93" s="84">
        <v>484</v>
      </c>
      <c r="Q93" s="84">
        <v>970</v>
      </c>
      <c r="R93" s="84">
        <v>2357</v>
      </c>
      <c r="S93" s="84">
        <v>7405</v>
      </c>
      <c r="T93" s="84">
        <v>16774</v>
      </c>
      <c r="U93" s="84">
        <v>29033</v>
      </c>
      <c r="V93" s="84">
        <v>33882</v>
      </c>
      <c r="W93" s="84">
        <v>50138</v>
      </c>
      <c r="X93" s="84">
        <v>68320</v>
      </c>
      <c r="Y93" s="84">
        <v>106424</v>
      </c>
      <c r="DA93" s="171"/>
    </row>
    <row r="94" spans="1:105" ht="11.45" hidden="1" customHeight="1" x14ac:dyDescent="0.25">
      <c r="A94" s="109" t="s">
        <v>21</v>
      </c>
      <c r="B94" s="110">
        <f t="shared" ref="B94:C94" si="155">SUM(B95:B99)</f>
        <v>19780</v>
      </c>
      <c r="C94" s="110">
        <f t="shared" si="155"/>
        <v>20760</v>
      </c>
      <c r="D94" s="110">
        <f t="shared" ref="D94:V94" si="156">SUM(D95:D99)</f>
        <v>21387</v>
      </c>
      <c r="E94" s="110">
        <f t="shared" si="156"/>
        <v>21653</v>
      </c>
      <c r="F94" s="110">
        <f t="shared" si="156"/>
        <v>21800</v>
      </c>
      <c r="G94" s="110">
        <f t="shared" si="156"/>
        <v>14674</v>
      </c>
      <c r="H94" s="110">
        <f t="shared" si="156"/>
        <v>15000</v>
      </c>
      <c r="I94" s="110">
        <f t="shared" si="156"/>
        <v>15100</v>
      </c>
      <c r="J94" s="110">
        <f t="shared" si="156"/>
        <v>15400</v>
      </c>
      <c r="K94" s="110">
        <f t="shared" si="156"/>
        <v>15500</v>
      </c>
      <c r="L94" s="110">
        <f t="shared" si="156"/>
        <v>15755</v>
      </c>
      <c r="M94" s="110">
        <f t="shared" si="156"/>
        <v>15493</v>
      </c>
      <c r="N94" s="110">
        <f t="shared" si="156"/>
        <v>12687</v>
      </c>
      <c r="O94" s="110">
        <f t="shared" si="156"/>
        <v>12390</v>
      </c>
      <c r="P94" s="110">
        <f t="shared" si="156"/>
        <v>15174</v>
      </c>
      <c r="Q94" s="110">
        <f t="shared" si="156"/>
        <v>14920</v>
      </c>
      <c r="R94" s="110">
        <f t="shared" si="156"/>
        <v>15042</v>
      </c>
      <c r="S94" s="110">
        <f t="shared" si="156"/>
        <v>15402</v>
      </c>
      <c r="T94" s="110">
        <f t="shared" si="156"/>
        <v>15789</v>
      </c>
      <c r="U94" s="110">
        <f t="shared" si="156"/>
        <v>17819</v>
      </c>
      <c r="V94" s="110">
        <f t="shared" si="156"/>
        <v>15197</v>
      </c>
      <c r="W94" s="110">
        <f t="shared" ref="W94:Y94" si="157">SUM(W95:W99)</f>
        <v>15479</v>
      </c>
      <c r="X94" s="110">
        <f t="shared" si="157"/>
        <v>16370</v>
      </c>
      <c r="Y94" s="110">
        <f t="shared" si="157"/>
        <v>16462</v>
      </c>
      <c r="DA94" s="176"/>
    </row>
    <row r="95" spans="1:105" ht="11.45" hidden="1" customHeight="1" x14ac:dyDescent="0.25">
      <c r="A95" s="111" t="s">
        <v>110</v>
      </c>
      <c r="B95" s="102">
        <v>0</v>
      </c>
      <c r="C95" s="102">
        <v>0</v>
      </c>
      <c r="D95" s="102">
        <v>0</v>
      </c>
      <c r="E95" s="102">
        <v>0</v>
      </c>
      <c r="F95" s="102">
        <v>0</v>
      </c>
      <c r="G95" s="102">
        <v>0</v>
      </c>
      <c r="H95" s="102">
        <v>0</v>
      </c>
      <c r="I95" s="102">
        <v>0</v>
      </c>
      <c r="J95" s="102">
        <v>0</v>
      </c>
      <c r="K95" s="102">
        <v>0</v>
      </c>
      <c r="L95" s="102">
        <v>6</v>
      </c>
      <c r="M95" s="102">
        <v>6</v>
      </c>
      <c r="N95" s="102">
        <v>6</v>
      </c>
      <c r="O95" s="102">
        <v>7</v>
      </c>
      <c r="P95" s="102">
        <v>7</v>
      </c>
      <c r="Q95" s="102">
        <v>8</v>
      </c>
      <c r="R95" s="102">
        <v>9</v>
      </c>
      <c r="S95" s="102">
        <v>8</v>
      </c>
      <c r="T95" s="102">
        <v>8</v>
      </c>
      <c r="U95" s="102">
        <v>9</v>
      </c>
      <c r="V95" s="102">
        <v>8</v>
      </c>
      <c r="W95" s="102">
        <v>8</v>
      </c>
      <c r="X95" s="102">
        <v>8</v>
      </c>
      <c r="Y95" s="102">
        <v>8</v>
      </c>
      <c r="DA95" s="175"/>
    </row>
    <row r="96" spans="1:105" ht="11.45" hidden="1" customHeight="1" x14ac:dyDescent="0.25">
      <c r="A96" s="111" t="s">
        <v>111</v>
      </c>
      <c r="B96" s="102">
        <v>19739</v>
      </c>
      <c r="C96" s="102">
        <v>20567</v>
      </c>
      <c r="D96" s="102">
        <v>21080</v>
      </c>
      <c r="E96" s="102">
        <v>21236</v>
      </c>
      <c r="F96" s="102">
        <v>21348</v>
      </c>
      <c r="G96" s="102">
        <v>14105</v>
      </c>
      <c r="H96" s="102">
        <v>14448</v>
      </c>
      <c r="I96" s="102">
        <v>14495</v>
      </c>
      <c r="J96" s="102">
        <v>14756</v>
      </c>
      <c r="K96" s="102">
        <v>14834</v>
      </c>
      <c r="L96" s="102">
        <v>15064</v>
      </c>
      <c r="M96" s="102">
        <v>14822</v>
      </c>
      <c r="N96" s="102">
        <v>12030</v>
      </c>
      <c r="O96" s="102">
        <v>11759</v>
      </c>
      <c r="P96" s="102">
        <v>14569</v>
      </c>
      <c r="Q96" s="102">
        <v>14344</v>
      </c>
      <c r="R96" s="102">
        <v>14495</v>
      </c>
      <c r="S96" s="102">
        <v>14874</v>
      </c>
      <c r="T96" s="102">
        <v>14976</v>
      </c>
      <c r="U96" s="102">
        <v>17229</v>
      </c>
      <c r="V96" s="102">
        <v>14498</v>
      </c>
      <c r="W96" s="102">
        <v>14559</v>
      </c>
      <c r="X96" s="102">
        <v>15405</v>
      </c>
      <c r="Y96" s="102">
        <v>15047</v>
      </c>
      <c r="DA96" s="175"/>
    </row>
    <row r="97" spans="1:105" ht="11.45" hidden="1" customHeight="1" x14ac:dyDescent="0.25">
      <c r="A97" s="111" t="s">
        <v>112</v>
      </c>
      <c r="B97" s="102">
        <v>0</v>
      </c>
      <c r="C97" s="102">
        <v>0</v>
      </c>
      <c r="D97" s="102">
        <v>0</v>
      </c>
      <c r="E97" s="102">
        <v>0</v>
      </c>
      <c r="F97" s="102">
        <v>0</v>
      </c>
      <c r="G97" s="102">
        <v>0</v>
      </c>
      <c r="H97" s="102">
        <v>0</v>
      </c>
      <c r="I97" s="102">
        <v>0</v>
      </c>
      <c r="J97" s="102">
        <v>0</v>
      </c>
      <c r="K97" s="102">
        <v>0</v>
      </c>
      <c r="L97" s="102">
        <v>3</v>
      </c>
      <c r="M97" s="102">
        <v>3</v>
      </c>
      <c r="N97" s="102">
        <v>2</v>
      </c>
      <c r="O97" s="102">
        <v>2</v>
      </c>
      <c r="P97" s="102">
        <v>4</v>
      </c>
      <c r="Q97" s="102">
        <v>4</v>
      </c>
      <c r="R97" s="102">
        <v>5</v>
      </c>
      <c r="S97" s="102">
        <v>5</v>
      </c>
      <c r="T97" s="102">
        <v>5</v>
      </c>
      <c r="U97" s="102">
        <v>5</v>
      </c>
      <c r="V97" s="102">
        <v>4</v>
      </c>
      <c r="W97" s="102">
        <v>4</v>
      </c>
      <c r="X97" s="102">
        <v>3</v>
      </c>
      <c r="Y97" s="102">
        <v>3</v>
      </c>
      <c r="DA97" s="175"/>
    </row>
    <row r="98" spans="1:105" ht="11.45" hidden="1" customHeight="1" x14ac:dyDescent="0.25">
      <c r="A98" s="111" t="s">
        <v>113</v>
      </c>
      <c r="B98" s="102">
        <v>41</v>
      </c>
      <c r="C98" s="102">
        <v>193</v>
      </c>
      <c r="D98" s="102">
        <v>307</v>
      </c>
      <c r="E98" s="102">
        <v>417</v>
      </c>
      <c r="F98" s="102">
        <v>452</v>
      </c>
      <c r="G98" s="102">
        <v>569</v>
      </c>
      <c r="H98" s="102">
        <v>552</v>
      </c>
      <c r="I98" s="102">
        <v>605</v>
      </c>
      <c r="J98" s="102">
        <v>644</v>
      </c>
      <c r="K98" s="102">
        <v>666</v>
      </c>
      <c r="L98" s="102">
        <v>669</v>
      </c>
      <c r="M98" s="102">
        <v>650</v>
      </c>
      <c r="N98" s="102">
        <v>626</v>
      </c>
      <c r="O98" s="102">
        <v>599</v>
      </c>
      <c r="P98" s="102">
        <v>571</v>
      </c>
      <c r="Q98" s="102">
        <v>541</v>
      </c>
      <c r="R98" s="102">
        <v>510</v>
      </c>
      <c r="S98" s="102">
        <v>478</v>
      </c>
      <c r="T98" s="102">
        <v>704</v>
      </c>
      <c r="U98" s="102">
        <v>465</v>
      </c>
      <c r="V98" s="102">
        <v>566</v>
      </c>
      <c r="W98" s="102">
        <v>781</v>
      </c>
      <c r="X98" s="102">
        <v>770</v>
      </c>
      <c r="Y98" s="102">
        <v>841</v>
      </c>
      <c r="DA98" s="175"/>
    </row>
    <row r="99" spans="1:105" ht="11.45" hidden="1" customHeight="1" x14ac:dyDescent="0.25">
      <c r="A99" s="111" t="s">
        <v>115</v>
      </c>
      <c r="B99" s="102">
        <v>0</v>
      </c>
      <c r="C99" s="102">
        <v>0</v>
      </c>
      <c r="D99" s="102">
        <v>0</v>
      </c>
      <c r="E99" s="102">
        <v>0</v>
      </c>
      <c r="F99" s="102">
        <v>0</v>
      </c>
      <c r="G99" s="102">
        <v>0</v>
      </c>
      <c r="H99" s="102">
        <v>0</v>
      </c>
      <c r="I99" s="102">
        <v>0</v>
      </c>
      <c r="J99" s="102">
        <v>0</v>
      </c>
      <c r="K99" s="102">
        <v>0</v>
      </c>
      <c r="L99" s="102">
        <v>13</v>
      </c>
      <c r="M99" s="102">
        <v>12</v>
      </c>
      <c r="N99" s="102">
        <v>23</v>
      </c>
      <c r="O99" s="102">
        <v>23</v>
      </c>
      <c r="P99" s="102">
        <v>23</v>
      </c>
      <c r="Q99" s="102">
        <v>23</v>
      </c>
      <c r="R99" s="102">
        <v>23</v>
      </c>
      <c r="S99" s="102">
        <v>37</v>
      </c>
      <c r="T99" s="102">
        <v>96</v>
      </c>
      <c r="U99" s="102">
        <v>111</v>
      </c>
      <c r="V99" s="102">
        <v>121</v>
      </c>
      <c r="W99" s="102">
        <v>127</v>
      </c>
      <c r="X99" s="102">
        <v>184</v>
      </c>
      <c r="Y99" s="102">
        <v>563</v>
      </c>
      <c r="DA99" s="175"/>
    </row>
    <row r="100" spans="1:105" ht="11.45" hidden="1" customHeight="1" x14ac:dyDescent="0.25">
      <c r="A100" s="27" t="s">
        <v>34</v>
      </c>
      <c r="B100" s="28">
        <f t="shared" ref="B100:C100" si="158">B101+B107</f>
        <v>1401593</v>
      </c>
      <c r="C100" s="28">
        <f t="shared" si="158"/>
        <v>1537727</v>
      </c>
      <c r="D100" s="28">
        <f t="shared" ref="D100:V100" si="159">D101+D107</f>
        <v>1499904</v>
      </c>
      <c r="E100" s="28">
        <f t="shared" si="159"/>
        <v>1386758</v>
      </c>
      <c r="F100" s="28">
        <f t="shared" si="159"/>
        <v>1374610</v>
      </c>
      <c r="G100" s="28">
        <f t="shared" si="159"/>
        <v>1385535</v>
      </c>
      <c r="H100" s="28">
        <f t="shared" si="159"/>
        <v>1402986</v>
      </c>
      <c r="I100" s="28">
        <f t="shared" si="159"/>
        <v>1422903</v>
      </c>
      <c r="J100" s="28">
        <f t="shared" si="159"/>
        <v>1429722</v>
      </c>
      <c r="K100" s="28">
        <f t="shared" si="159"/>
        <v>1433868</v>
      </c>
      <c r="L100" s="28">
        <f t="shared" si="159"/>
        <v>1432607</v>
      </c>
      <c r="M100" s="28">
        <f t="shared" si="159"/>
        <v>1411994</v>
      </c>
      <c r="N100" s="28">
        <f t="shared" si="159"/>
        <v>1246648</v>
      </c>
      <c r="O100" s="28">
        <f t="shared" si="159"/>
        <v>1232933</v>
      </c>
      <c r="P100" s="28">
        <f t="shared" si="159"/>
        <v>1336335</v>
      </c>
      <c r="Q100" s="28">
        <f t="shared" si="159"/>
        <v>1301403</v>
      </c>
      <c r="R100" s="28">
        <f t="shared" si="159"/>
        <v>1296647</v>
      </c>
      <c r="S100" s="28">
        <f t="shared" si="159"/>
        <v>1325205</v>
      </c>
      <c r="T100" s="28">
        <f t="shared" si="159"/>
        <v>1358244</v>
      </c>
      <c r="U100" s="28">
        <f t="shared" si="159"/>
        <v>1502469</v>
      </c>
      <c r="V100" s="28">
        <f t="shared" si="159"/>
        <v>1388575</v>
      </c>
      <c r="W100" s="28">
        <f t="shared" ref="W100:Y100" si="160">W101+W107</f>
        <v>1385053</v>
      </c>
      <c r="X100" s="28">
        <f t="shared" si="160"/>
        <v>1392682</v>
      </c>
      <c r="Y100" s="28">
        <f t="shared" si="160"/>
        <v>1367921</v>
      </c>
      <c r="DA100" s="173"/>
    </row>
    <row r="101" spans="1:105" ht="11.45" hidden="1" customHeight="1" x14ac:dyDescent="0.25">
      <c r="A101" s="136" t="s">
        <v>153</v>
      </c>
      <c r="B101" s="137">
        <f t="shared" ref="B101:C101" si="161">SUM(B102:B106)</f>
        <v>1301857</v>
      </c>
      <c r="C101" s="137">
        <f t="shared" si="161"/>
        <v>1435008</v>
      </c>
      <c r="D101" s="137">
        <f t="shared" ref="D101:V101" si="162">SUM(D102:D106)</f>
        <v>1398347</v>
      </c>
      <c r="E101" s="137">
        <f t="shared" si="162"/>
        <v>1288947</v>
      </c>
      <c r="F101" s="137">
        <f t="shared" si="162"/>
        <v>1282243</v>
      </c>
      <c r="G101" s="137">
        <f t="shared" si="162"/>
        <v>1294098</v>
      </c>
      <c r="H101" s="137">
        <f t="shared" si="162"/>
        <v>1311947</v>
      </c>
      <c r="I101" s="137">
        <f t="shared" si="162"/>
        <v>1331376</v>
      </c>
      <c r="J101" s="137">
        <f t="shared" si="162"/>
        <v>1334373</v>
      </c>
      <c r="K101" s="137">
        <f t="shared" si="162"/>
        <v>1337373</v>
      </c>
      <c r="L101" s="137">
        <f t="shared" si="162"/>
        <v>1337373</v>
      </c>
      <c r="M101" s="137">
        <f t="shared" si="162"/>
        <v>1321711</v>
      </c>
      <c r="N101" s="137">
        <f t="shared" si="162"/>
        <v>1172906</v>
      </c>
      <c r="O101" s="137">
        <f t="shared" si="162"/>
        <v>1164962</v>
      </c>
      <c r="P101" s="137">
        <f t="shared" si="162"/>
        <v>1259725</v>
      </c>
      <c r="Q101" s="137">
        <f t="shared" si="162"/>
        <v>1224823</v>
      </c>
      <c r="R101" s="137">
        <f t="shared" si="162"/>
        <v>1221913</v>
      </c>
      <c r="S101" s="137">
        <f t="shared" si="162"/>
        <v>1240914</v>
      </c>
      <c r="T101" s="137">
        <f t="shared" si="162"/>
        <v>1267647</v>
      </c>
      <c r="U101" s="137">
        <f t="shared" si="162"/>
        <v>1396685</v>
      </c>
      <c r="V101" s="137">
        <f t="shared" si="162"/>
        <v>1290390</v>
      </c>
      <c r="W101" s="137">
        <f t="shared" ref="W101:Y101" si="163">SUM(W102:W106)</f>
        <v>1289760</v>
      </c>
      <c r="X101" s="137">
        <f t="shared" si="163"/>
        <v>1295480</v>
      </c>
      <c r="Y101" s="137">
        <f t="shared" si="163"/>
        <v>1268331</v>
      </c>
      <c r="DA101" s="174"/>
    </row>
    <row r="102" spans="1:105" ht="11.45" hidden="1" customHeight="1" x14ac:dyDescent="0.25">
      <c r="A102" s="111" t="s">
        <v>110</v>
      </c>
      <c r="B102" s="84">
        <v>22987</v>
      </c>
      <c r="C102" s="84">
        <v>22668</v>
      </c>
      <c r="D102" s="84">
        <v>21402</v>
      </c>
      <c r="E102" s="84">
        <v>22001</v>
      </c>
      <c r="F102" s="84">
        <v>20340</v>
      </c>
      <c r="G102" s="84">
        <v>19986</v>
      </c>
      <c r="H102" s="84">
        <v>19726</v>
      </c>
      <c r="I102" s="84">
        <v>19489</v>
      </c>
      <c r="J102" s="84">
        <v>19016</v>
      </c>
      <c r="K102" s="84">
        <v>18555</v>
      </c>
      <c r="L102" s="84">
        <v>18056</v>
      </c>
      <c r="M102" s="84">
        <v>16120</v>
      </c>
      <c r="N102" s="84">
        <v>14099</v>
      </c>
      <c r="O102" s="84">
        <v>12902</v>
      </c>
      <c r="P102" s="84">
        <v>12056</v>
      </c>
      <c r="Q102" s="84">
        <v>12685</v>
      </c>
      <c r="R102" s="84">
        <v>11862</v>
      </c>
      <c r="S102" s="84">
        <v>12404</v>
      </c>
      <c r="T102" s="84">
        <v>11795</v>
      </c>
      <c r="U102" s="84">
        <v>16064</v>
      </c>
      <c r="V102" s="84">
        <v>11294</v>
      </c>
      <c r="W102" s="84">
        <v>10919</v>
      </c>
      <c r="X102" s="84">
        <v>10708</v>
      </c>
      <c r="Y102" s="84">
        <v>9323</v>
      </c>
      <c r="DA102" s="171"/>
    </row>
    <row r="103" spans="1:105" ht="11.45" hidden="1" customHeight="1" x14ac:dyDescent="0.25">
      <c r="A103" s="111" t="s">
        <v>111</v>
      </c>
      <c r="B103" s="84">
        <v>1278014</v>
      </c>
      <c r="C103" s="84">
        <v>1411487</v>
      </c>
      <c r="D103" s="84">
        <v>1376115</v>
      </c>
      <c r="E103" s="84">
        <v>1266085</v>
      </c>
      <c r="F103" s="84">
        <v>1261095</v>
      </c>
      <c r="G103" s="84">
        <v>1273305</v>
      </c>
      <c r="H103" s="84">
        <v>1291412</v>
      </c>
      <c r="I103" s="84">
        <v>1311075</v>
      </c>
      <c r="J103" s="84">
        <v>1314552</v>
      </c>
      <c r="K103" s="84">
        <v>1318019</v>
      </c>
      <c r="L103" s="84">
        <v>1318553</v>
      </c>
      <c r="M103" s="84">
        <v>1304857</v>
      </c>
      <c r="N103" s="84">
        <v>1158181</v>
      </c>
      <c r="O103" s="84">
        <v>1151379</v>
      </c>
      <c r="P103" s="84">
        <v>1246936</v>
      </c>
      <c r="Q103" s="84">
        <v>1211301</v>
      </c>
      <c r="R103" s="84">
        <v>1209221</v>
      </c>
      <c r="S103" s="84">
        <v>1227239</v>
      </c>
      <c r="T103" s="84">
        <v>1254007</v>
      </c>
      <c r="U103" s="84">
        <v>1378217</v>
      </c>
      <c r="V103" s="84">
        <v>1276385</v>
      </c>
      <c r="W103" s="84">
        <v>1275770</v>
      </c>
      <c r="X103" s="84">
        <v>1280697</v>
      </c>
      <c r="Y103" s="84">
        <v>1252498</v>
      </c>
      <c r="DA103" s="171"/>
    </row>
    <row r="104" spans="1:105" ht="11.45" hidden="1" customHeight="1" x14ac:dyDescent="0.25">
      <c r="A104" s="111" t="s">
        <v>112</v>
      </c>
      <c r="B104" s="84">
        <v>856</v>
      </c>
      <c r="C104" s="84">
        <v>853</v>
      </c>
      <c r="D104" s="84">
        <v>830</v>
      </c>
      <c r="E104" s="84">
        <v>861</v>
      </c>
      <c r="F104" s="84">
        <v>808</v>
      </c>
      <c r="G104" s="84">
        <v>807</v>
      </c>
      <c r="H104" s="84">
        <v>809</v>
      </c>
      <c r="I104" s="84">
        <v>812</v>
      </c>
      <c r="J104" s="84">
        <v>805</v>
      </c>
      <c r="K104" s="84">
        <v>799</v>
      </c>
      <c r="L104" s="84">
        <v>764</v>
      </c>
      <c r="M104" s="84">
        <v>729</v>
      </c>
      <c r="N104" s="84">
        <v>610</v>
      </c>
      <c r="O104" s="84">
        <v>616</v>
      </c>
      <c r="P104" s="84">
        <v>632</v>
      </c>
      <c r="Q104" s="84">
        <v>650</v>
      </c>
      <c r="R104" s="84">
        <v>609</v>
      </c>
      <c r="S104" s="84">
        <v>611</v>
      </c>
      <c r="T104" s="84">
        <v>620</v>
      </c>
      <c r="U104" s="84">
        <v>768</v>
      </c>
      <c r="V104" s="84">
        <v>692</v>
      </c>
      <c r="W104" s="84">
        <v>657</v>
      </c>
      <c r="X104" s="84">
        <v>655</v>
      </c>
      <c r="Y104" s="84">
        <v>639</v>
      </c>
      <c r="DA104" s="171"/>
    </row>
    <row r="105" spans="1:105" ht="11.45" hidden="1" customHeight="1" x14ac:dyDescent="0.25">
      <c r="A105" s="111" t="s">
        <v>113</v>
      </c>
      <c r="B105" s="84">
        <v>0</v>
      </c>
      <c r="C105" s="84">
        <v>0</v>
      </c>
      <c r="D105" s="84">
        <v>0</v>
      </c>
      <c r="E105" s="84">
        <v>0</v>
      </c>
      <c r="F105" s="84">
        <v>0</v>
      </c>
      <c r="G105" s="84">
        <v>0</v>
      </c>
      <c r="H105" s="84">
        <v>0</v>
      </c>
      <c r="I105" s="84">
        <v>0</v>
      </c>
      <c r="J105" s="84">
        <v>0</v>
      </c>
      <c r="K105" s="84">
        <v>0</v>
      </c>
      <c r="L105" s="84">
        <v>0</v>
      </c>
      <c r="M105" s="84">
        <v>0</v>
      </c>
      <c r="N105" s="84">
        <v>0</v>
      </c>
      <c r="O105" s="84">
        <v>5</v>
      </c>
      <c r="P105" s="84">
        <v>13</v>
      </c>
      <c r="Q105" s="84">
        <v>19</v>
      </c>
      <c r="R105" s="84">
        <v>26</v>
      </c>
      <c r="S105" s="84">
        <v>30</v>
      </c>
      <c r="T105" s="84">
        <v>46</v>
      </c>
      <c r="U105" s="84">
        <v>79</v>
      </c>
      <c r="V105" s="84">
        <v>88</v>
      </c>
      <c r="W105" s="84">
        <v>126</v>
      </c>
      <c r="X105" s="84">
        <v>133</v>
      </c>
      <c r="Y105" s="84">
        <v>137</v>
      </c>
      <c r="DA105" s="171"/>
    </row>
    <row r="106" spans="1:105" ht="11.45" hidden="1" customHeight="1" x14ac:dyDescent="0.25">
      <c r="A106" s="111" t="s">
        <v>115</v>
      </c>
      <c r="B106" s="84">
        <v>0</v>
      </c>
      <c r="C106" s="84">
        <v>0</v>
      </c>
      <c r="D106" s="84">
        <v>0</v>
      </c>
      <c r="E106" s="84">
        <v>0</v>
      </c>
      <c r="F106" s="84">
        <v>0</v>
      </c>
      <c r="G106" s="84">
        <v>0</v>
      </c>
      <c r="H106" s="84">
        <v>0</v>
      </c>
      <c r="I106" s="84">
        <v>0</v>
      </c>
      <c r="J106" s="84">
        <v>0</v>
      </c>
      <c r="K106" s="84">
        <v>0</v>
      </c>
      <c r="L106" s="84">
        <v>0</v>
      </c>
      <c r="M106" s="84">
        <v>5</v>
      </c>
      <c r="N106" s="84">
        <v>16</v>
      </c>
      <c r="O106" s="84">
        <v>60</v>
      </c>
      <c r="P106" s="84">
        <v>88</v>
      </c>
      <c r="Q106" s="84">
        <v>168</v>
      </c>
      <c r="R106" s="84">
        <v>195</v>
      </c>
      <c r="S106" s="84">
        <v>630</v>
      </c>
      <c r="T106" s="84">
        <v>1179</v>
      </c>
      <c r="U106" s="84">
        <v>1557</v>
      </c>
      <c r="V106" s="84">
        <v>1931</v>
      </c>
      <c r="W106" s="84">
        <v>2288</v>
      </c>
      <c r="X106" s="84">
        <v>3287</v>
      </c>
      <c r="Y106" s="84">
        <v>5734</v>
      </c>
      <c r="DA106" s="171"/>
    </row>
    <row r="107" spans="1:105" ht="11.45" hidden="1" customHeight="1" x14ac:dyDescent="0.25">
      <c r="A107" s="109" t="s">
        <v>154</v>
      </c>
      <c r="B107" s="110">
        <f t="shared" ref="B107:C107" si="164">SUM(B108:B109)</f>
        <v>99736</v>
      </c>
      <c r="C107" s="110">
        <f t="shared" si="164"/>
        <v>102719</v>
      </c>
      <c r="D107" s="110">
        <f t="shared" ref="D107:V107" si="165">SUM(D108:D109)</f>
        <v>101557</v>
      </c>
      <c r="E107" s="110">
        <f t="shared" si="165"/>
        <v>97811</v>
      </c>
      <c r="F107" s="110">
        <f t="shared" si="165"/>
        <v>92367</v>
      </c>
      <c r="G107" s="110">
        <f t="shared" si="165"/>
        <v>91437</v>
      </c>
      <c r="H107" s="110">
        <f t="shared" si="165"/>
        <v>91039</v>
      </c>
      <c r="I107" s="110">
        <f t="shared" si="165"/>
        <v>91527</v>
      </c>
      <c r="J107" s="110">
        <f t="shared" si="165"/>
        <v>95349</v>
      </c>
      <c r="K107" s="110">
        <f t="shared" si="165"/>
        <v>96495</v>
      </c>
      <c r="L107" s="110">
        <f t="shared" si="165"/>
        <v>95234</v>
      </c>
      <c r="M107" s="110">
        <f t="shared" si="165"/>
        <v>90283</v>
      </c>
      <c r="N107" s="110">
        <f t="shared" si="165"/>
        <v>73742</v>
      </c>
      <c r="O107" s="110">
        <f t="shared" si="165"/>
        <v>67971</v>
      </c>
      <c r="P107" s="110">
        <f t="shared" si="165"/>
        <v>76610</v>
      </c>
      <c r="Q107" s="110">
        <f t="shared" si="165"/>
        <v>76580</v>
      </c>
      <c r="R107" s="110">
        <f t="shared" si="165"/>
        <v>74734</v>
      </c>
      <c r="S107" s="110">
        <f t="shared" si="165"/>
        <v>84291</v>
      </c>
      <c r="T107" s="110">
        <f t="shared" si="165"/>
        <v>90597</v>
      </c>
      <c r="U107" s="110">
        <f t="shared" si="165"/>
        <v>105784</v>
      </c>
      <c r="V107" s="110">
        <f t="shared" si="165"/>
        <v>98185</v>
      </c>
      <c r="W107" s="110">
        <f t="shared" ref="W107:Y107" si="166">SUM(W108:W109)</f>
        <v>95293</v>
      </c>
      <c r="X107" s="110">
        <f t="shared" si="166"/>
        <v>97202</v>
      </c>
      <c r="Y107" s="110">
        <f t="shared" si="166"/>
        <v>99590</v>
      </c>
      <c r="DA107" s="176"/>
    </row>
    <row r="108" spans="1:105" ht="11.45" hidden="1" customHeight="1" x14ac:dyDescent="0.25">
      <c r="A108" s="128" t="s">
        <v>27</v>
      </c>
      <c r="B108" s="102">
        <v>95914</v>
      </c>
      <c r="C108" s="102">
        <v>98621</v>
      </c>
      <c r="D108" s="102">
        <v>97246</v>
      </c>
      <c r="E108" s="102">
        <v>93405</v>
      </c>
      <c r="F108" s="102">
        <v>87157</v>
      </c>
      <c r="G108" s="102">
        <v>86045</v>
      </c>
      <c r="H108" s="102">
        <v>85282</v>
      </c>
      <c r="I108" s="102">
        <v>85227</v>
      </c>
      <c r="J108" s="102">
        <v>89801</v>
      </c>
      <c r="K108" s="102">
        <v>90928</v>
      </c>
      <c r="L108" s="102">
        <v>90199</v>
      </c>
      <c r="M108" s="102">
        <v>84969</v>
      </c>
      <c r="N108" s="102">
        <v>69333</v>
      </c>
      <c r="O108" s="102">
        <v>62978</v>
      </c>
      <c r="P108" s="102">
        <v>71467</v>
      </c>
      <c r="Q108" s="102">
        <v>71933</v>
      </c>
      <c r="R108" s="102">
        <v>69668</v>
      </c>
      <c r="S108" s="102">
        <v>79345</v>
      </c>
      <c r="T108" s="102">
        <v>85501</v>
      </c>
      <c r="U108" s="102">
        <v>100598</v>
      </c>
      <c r="V108" s="102">
        <v>93766</v>
      </c>
      <c r="W108" s="102">
        <v>90077</v>
      </c>
      <c r="X108" s="102">
        <v>91645</v>
      </c>
      <c r="Y108" s="102">
        <v>94366</v>
      </c>
      <c r="DA108" s="175"/>
    </row>
    <row r="109" spans="1:105" ht="11.45" hidden="1" customHeight="1" x14ac:dyDescent="0.25">
      <c r="A109" s="138" t="s">
        <v>116</v>
      </c>
      <c r="B109" s="86">
        <v>3822</v>
      </c>
      <c r="C109" s="86">
        <v>4098</v>
      </c>
      <c r="D109" s="86">
        <v>4311</v>
      </c>
      <c r="E109" s="86">
        <v>4406</v>
      </c>
      <c r="F109" s="86">
        <v>5210</v>
      </c>
      <c r="G109" s="86">
        <v>5392</v>
      </c>
      <c r="H109" s="86">
        <v>5757</v>
      </c>
      <c r="I109" s="86">
        <v>6300</v>
      </c>
      <c r="J109" s="86">
        <v>5548</v>
      </c>
      <c r="K109" s="86">
        <v>5567</v>
      </c>
      <c r="L109" s="86">
        <v>5035</v>
      </c>
      <c r="M109" s="86">
        <v>5314</v>
      </c>
      <c r="N109" s="86">
        <v>4409</v>
      </c>
      <c r="O109" s="86">
        <v>4993</v>
      </c>
      <c r="P109" s="86">
        <v>5143</v>
      </c>
      <c r="Q109" s="86">
        <v>4647</v>
      </c>
      <c r="R109" s="86">
        <v>5066</v>
      </c>
      <c r="S109" s="86">
        <v>4946</v>
      </c>
      <c r="T109" s="86">
        <v>5096</v>
      </c>
      <c r="U109" s="86">
        <v>5186</v>
      </c>
      <c r="V109" s="86">
        <v>4419</v>
      </c>
      <c r="W109" s="86">
        <v>5216</v>
      </c>
      <c r="X109" s="86">
        <v>5557</v>
      </c>
      <c r="Y109" s="86">
        <v>5224</v>
      </c>
      <c r="DA109" s="178"/>
    </row>
    <row r="110" spans="1:105" ht="11.45" customHeight="1" x14ac:dyDescent="0.25">
      <c r="A110" s="106"/>
      <c r="B110" s="106"/>
      <c r="C110" s="106"/>
      <c r="L110" s="106"/>
      <c r="M110" s="106"/>
      <c r="N110" s="106"/>
    </row>
    <row r="111" spans="1:105" ht="11.45" customHeight="1" x14ac:dyDescent="0.25">
      <c r="A111" s="53" t="s">
        <v>117</v>
      </c>
      <c r="B111" s="54">
        <f t="shared" ref="B111:K111" si="167">B112+B127</f>
        <v>420483</v>
      </c>
      <c r="C111" s="54">
        <f t="shared" si="167"/>
        <v>627802</v>
      </c>
      <c r="D111" s="54">
        <f t="shared" si="167"/>
        <v>600744</v>
      </c>
      <c r="E111" s="54">
        <f t="shared" si="167"/>
        <v>319468</v>
      </c>
      <c r="F111" s="54">
        <f t="shared" si="167"/>
        <v>388780</v>
      </c>
      <c r="G111" s="54">
        <f t="shared" si="167"/>
        <v>455242</v>
      </c>
      <c r="H111" s="54">
        <f t="shared" si="167"/>
        <v>439276</v>
      </c>
      <c r="I111" s="54">
        <f t="shared" si="167"/>
        <v>457174</v>
      </c>
      <c r="J111" s="54">
        <f t="shared" si="167"/>
        <v>458110</v>
      </c>
      <c r="K111" s="54">
        <f t="shared" si="167"/>
        <v>386530</v>
      </c>
      <c r="L111" s="54">
        <f t="shared" ref="L111" si="168">L112+L127</f>
        <v>667245</v>
      </c>
      <c r="M111" s="54">
        <f t="shared" ref="M111:V111" si="169">M112+M127</f>
        <v>362165</v>
      </c>
      <c r="N111" s="54">
        <f t="shared" si="169"/>
        <v>188210</v>
      </c>
      <c r="O111" s="54">
        <f t="shared" si="169"/>
        <v>230527</v>
      </c>
      <c r="P111" s="54">
        <f t="shared" si="169"/>
        <v>642703</v>
      </c>
      <c r="Q111" s="54">
        <f t="shared" si="169"/>
        <v>381012</v>
      </c>
      <c r="R111" s="54">
        <f t="shared" si="169"/>
        <v>453168</v>
      </c>
      <c r="S111" s="54">
        <f t="shared" si="169"/>
        <v>596027</v>
      </c>
      <c r="T111" s="54">
        <f t="shared" si="169"/>
        <v>534212</v>
      </c>
      <c r="U111" s="54">
        <f t="shared" si="169"/>
        <v>577069</v>
      </c>
      <c r="V111" s="54">
        <f t="shared" si="169"/>
        <v>250729</v>
      </c>
      <c r="W111" s="54">
        <f t="shared" ref="W111:Y111" si="170">W112+W127</f>
        <v>266919</v>
      </c>
      <c r="X111" s="54">
        <f t="shared" si="170"/>
        <v>357909</v>
      </c>
      <c r="Y111" s="54">
        <f t="shared" si="170"/>
        <v>400078</v>
      </c>
      <c r="DA111" s="172" t="s">
        <v>526</v>
      </c>
    </row>
    <row r="112" spans="1:105" ht="11.45" customHeight="1" x14ac:dyDescent="0.25">
      <c r="A112" s="27" t="s">
        <v>33</v>
      </c>
      <c r="B112" s="28">
        <f t="shared" ref="B112:K112" si="171">B113+B114+B121</f>
        <v>420101</v>
      </c>
      <c r="C112" s="28">
        <f t="shared" si="171"/>
        <v>424528</v>
      </c>
      <c r="D112" s="28">
        <f t="shared" si="171"/>
        <v>561314</v>
      </c>
      <c r="E112" s="28">
        <f t="shared" si="171"/>
        <v>316070</v>
      </c>
      <c r="F112" s="28">
        <f t="shared" si="171"/>
        <v>328624</v>
      </c>
      <c r="G112" s="28">
        <f t="shared" si="171"/>
        <v>341443</v>
      </c>
      <c r="H112" s="28">
        <f t="shared" si="171"/>
        <v>313355</v>
      </c>
      <c r="I112" s="28">
        <f t="shared" si="171"/>
        <v>325035</v>
      </c>
      <c r="J112" s="28">
        <f t="shared" si="171"/>
        <v>340252</v>
      </c>
      <c r="K112" s="28">
        <f t="shared" si="171"/>
        <v>266404</v>
      </c>
      <c r="L112" s="28">
        <f t="shared" ref="L112" si="172">L113+L114+L121</f>
        <v>550246</v>
      </c>
      <c r="M112" s="28">
        <f t="shared" ref="M112:V112" si="173">M113+M114+M121</f>
        <v>264904</v>
      </c>
      <c r="N112" s="28">
        <f t="shared" si="173"/>
        <v>174438</v>
      </c>
      <c r="O112" s="28">
        <f t="shared" si="173"/>
        <v>186392</v>
      </c>
      <c r="P112" s="28">
        <f t="shared" si="173"/>
        <v>436194</v>
      </c>
      <c r="Q112" s="28">
        <f t="shared" si="173"/>
        <v>311880</v>
      </c>
      <c r="R112" s="28">
        <f t="shared" si="173"/>
        <v>354056</v>
      </c>
      <c r="S112" s="28">
        <f t="shared" si="173"/>
        <v>472154</v>
      </c>
      <c r="T112" s="28">
        <f t="shared" si="173"/>
        <v>405277</v>
      </c>
      <c r="U112" s="28">
        <f t="shared" si="173"/>
        <v>339798</v>
      </c>
      <c r="V112" s="28">
        <f t="shared" si="173"/>
        <v>224791</v>
      </c>
      <c r="W112" s="28">
        <f t="shared" ref="W112:Y112" si="174">W113+W114+W121</f>
        <v>232121</v>
      </c>
      <c r="X112" s="28">
        <f t="shared" si="174"/>
        <v>247134</v>
      </c>
      <c r="Y112" s="28">
        <f t="shared" si="174"/>
        <v>323925</v>
      </c>
      <c r="DA112" s="173" t="s">
        <v>527</v>
      </c>
    </row>
    <row r="113" spans="1:105" ht="11.45" customHeight="1" x14ac:dyDescent="0.25">
      <c r="A113" s="136" t="s">
        <v>173</v>
      </c>
      <c r="B113" s="137">
        <v>31889</v>
      </c>
      <c r="C113" s="137">
        <v>40448</v>
      </c>
      <c r="D113" s="137">
        <v>35545</v>
      </c>
      <c r="E113" s="137">
        <v>30316</v>
      </c>
      <c r="F113" s="137">
        <v>31122</v>
      </c>
      <c r="G113" s="137">
        <v>30685</v>
      </c>
      <c r="H113" s="137">
        <v>20583</v>
      </c>
      <c r="I113" s="137">
        <v>21584</v>
      </c>
      <c r="J113" s="137">
        <v>19372</v>
      </c>
      <c r="K113" s="137">
        <v>24255</v>
      </c>
      <c r="L113" s="137">
        <v>34013</v>
      </c>
      <c r="M113" s="137">
        <v>34087</v>
      </c>
      <c r="N113" s="137">
        <v>30924</v>
      </c>
      <c r="O113" s="137">
        <v>27275</v>
      </c>
      <c r="P113" s="137">
        <v>27763</v>
      </c>
      <c r="Q113" s="137">
        <v>43447</v>
      </c>
      <c r="R113" s="137">
        <v>42156</v>
      </c>
      <c r="S113" s="137">
        <v>48701</v>
      </c>
      <c r="T113" s="137">
        <v>42180</v>
      </c>
      <c r="U113" s="137">
        <v>54105</v>
      </c>
      <c r="V113" s="137">
        <v>40315</v>
      </c>
      <c r="W113" s="137">
        <v>46531</v>
      </c>
      <c r="X113" s="137">
        <v>48160</v>
      </c>
      <c r="Y113" s="137">
        <v>72401</v>
      </c>
      <c r="DA113" s="174" t="s">
        <v>528</v>
      </c>
    </row>
    <row r="114" spans="1:105" ht="11.45" customHeight="1" x14ac:dyDescent="0.25">
      <c r="A114" s="109" t="s">
        <v>20</v>
      </c>
      <c r="B114" s="110">
        <f t="shared" ref="B114:K114" si="175">SUM(B115:B120)</f>
        <v>386754</v>
      </c>
      <c r="C114" s="110">
        <f t="shared" si="175"/>
        <v>382815</v>
      </c>
      <c r="D114" s="110">
        <f t="shared" si="175"/>
        <v>524753</v>
      </c>
      <c r="E114" s="110">
        <f t="shared" si="175"/>
        <v>284688</v>
      </c>
      <c r="F114" s="110">
        <f t="shared" si="175"/>
        <v>296468</v>
      </c>
      <c r="G114" s="110">
        <f t="shared" si="175"/>
        <v>309732</v>
      </c>
      <c r="H114" s="110">
        <f t="shared" si="175"/>
        <v>292053</v>
      </c>
      <c r="I114" s="110">
        <f t="shared" si="175"/>
        <v>302724</v>
      </c>
      <c r="J114" s="110">
        <f t="shared" si="175"/>
        <v>320084</v>
      </c>
      <c r="K114" s="110">
        <f t="shared" si="175"/>
        <v>241520</v>
      </c>
      <c r="L114" s="110">
        <f t="shared" ref="L114" si="176">SUM(L115:L120)</f>
        <v>515196</v>
      </c>
      <c r="M114" s="110">
        <f t="shared" ref="M114:V114" si="177">SUM(M115:M120)</f>
        <v>230106</v>
      </c>
      <c r="N114" s="110">
        <f t="shared" si="177"/>
        <v>142935</v>
      </c>
      <c r="O114" s="110">
        <f t="shared" si="177"/>
        <v>158882</v>
      </c>
      <c r="P114" s="110">
        <f t="shared" si="177"/>
        <v>405619</v>
      </c>
      <c r="Q114" s="110">
        <f t="shared" si="177"/>
        <v>267743</v>
      </c>
      <c r="R114" s="110">
        <f t="shared" si="177"/>
        <v>310995</v>
      </c>
      <c r="S114" s="110">
        <f t="shared" si="177"/>
        <v>422994</v>
      </c>
      <c r="T114" s="110">
        <f t="shared" si="177"/>
        <v>362454</v>
      </c>
      <c r="U114" s="110">
        <f t="shared" si="177"/>
        <v>283198</v>
      </c>
      <c r="V114" s="110">
        <f t="shared" si="177"/>
        <v>184012</v>
      </c>
      <c r="W114" s="110">
        <f t="shared" ref="W114:Y114" si="178">SUM(W115:W120)</f>
        <v>184921</v>
      </c>
      <c r="X114" s="110">
        <f t="shared" si="178"/>
        <v>197465</v>
      </c>
      <c r="Y114" s="110">
        <f t="shared" si="178"/>
        <v>250528</v>
      </c>
      <c r="DA114" s="176" t="s">
        <v>529</v>
      </c>
    </row>
    <row r="115" spans="1:105" ht="11.45" customHeight="1" x14ac:dyDescent="0.25">
      <c r="A115" s="111" t="s">
        <v>110</v>
      </c>
      <c r="B115" s="84">
        <v>276160</v>
      </c>
      <c r="C115" s="84">
        <v>273942</v>
      </c>
      <c r="D115" s="84">
        <v>343189</v>
      </c>
      <c r="E115" s="84">
        <v>155391</v>
      </c>
      <c r="F115" s="84">
        <v>128356</v>
      </c>
      <c r="G115" s="84">
        <v>110996</v>
      </c>
      <c r="H115" s="84">
        <v>101605</v>
      </c>
      <c r="I115" s="84">
        <v>92936</v>
      </c>
      <c r="J115" s="84">
        <v>97226</v>
      </c>
      <c r="K115" s="84">
        <v>69880</v>
      </c>
      <c r="L115" s="84">
        <v>283769</v>
      </c>
      <c r="M115" s="84">
        <v>69073</v>
      </c>
      <c r="N115" s="84">
        <v>35801</v>
      </c>
      <c r="O115" s="84">
        <v>39699</v>
      </c>
      <c r="P115" s="84">
        <v>130412</v>
      </c>
      <c r="Q115" s="84">
        <v>79791</v>
      </c>
      <c r="R115" s="84">
        <v>101300</v>
      </c>
      <c r="S115" s="84">
        <v>147054</v>
      </c>
      <c r="T115" s="84">
        <v>134201</v>
      </c>
      <c r="U115" s="84">
        <v>127650</v>
      </c>
      <c r="V115" s="84">
        <v>33417</v>
      </c>
      <c r="W115" s="84">
        <v>52600</v>
      </c>
      <c r="X115" s="84">
        <v>64167</v>
      </c>
      <c r="Y115" s="84">
        <v>99674</v>
      </c>
      <c r="DA115" s="171" t="s">
        <v>530</v>
      </c>
    </row>
    <row r="116" spans="1:105" ht="11.45" customHeight="1" x14ac:dyDescent="0.25">
      <c r="A116" s="111" t="s">
        <v>111</v>
      </c>
      <c r="B116" s="84">
        <v>93594</v>
      </c>
      <c r="C116" s="84">
        <v>108873</v>
      </c>
      <c r="D116" s="84">
        <v>181564</v>
      </c>
      <c r="E116" s="84">
        <v>127853</v>
      </c>
      <c r="F116" s="84">
        <v>167801</v>
      </c>
      <c r="G116" s="84">
        <v>196029</v>
      </c>
      <c r="H116" s="84">
        <v>190448</v>
      </c>
      <c r="I116" s="84">
        <v>209788</v>
      </c>
      <c r="J116" s="84">
        <v>218905</v>
      </c>
      <c r="K116" s="84">
        <v>160828</v>
      </c>
      <c r="L116" s="84">
        <v>229782</v>
      </c>
      <c r="M116" s="84">
        <v>160039</v>
      </c>
      <c r="N116" s="84">
        <v>101018</v>
      </c>
      <c r="O116" s="84">
        <v>115512</v>
      </c>
      <c r="P116" s="84">
        <v>267522</v>
      </c>
      <c r="Q116" s="84">
        <v>184199</v>
      </c>
      <c r="R116" s="84">
        <v>204400</v>
      </c>
      <c r="S116" s="84">
        <v>263598</v>
      </c>
      <c r="T116" s="84">
        <v>207690</v>
      </c>
      <c r="U116" s="84">
        <v>132106</v>
      </c>
      <c r="V116" s="84">
        <v>127296</v>
      </c>
      <c r="W116" s="84">
        <v>94949</v>
      </c>
      <c r="X116" s="84">
        <v>84582</v>
      </c>
      <c r="Y116" s="84">
        <v>73386</v>
      </c>
      <c r="DA116" s="171" t="s">
        <v>531</v>
      </c>
    </row>
    <row r="117" spans="1:105" ht="11.45" customHeight="1" x14ac:dyDescent="0.25">
      <c r="A117" s="111" t="s">
        <v>112</v>
      </c>
      <c r="B117" s="84">
        <v>17000</v>
      </c>
      <c r="C117" s="84">
        <v>0</v>
      </c>
      <c r="D117" s="84">
        <v>0</v>
      </c>
      <c r="E117" s="84">
        <v>1444</v>
      </c>
      <c r="F117" s="84">
        <v>311</v>
      </c>
      <c r="G117" s="84">
        <v>2707</v>
      </c>
      <c r="H117" s="84">
        <v>0</v>
      </c>
      <c r="I117" s="84">
        <v>0</v>
      </c>
      <c r="J117" s="84">
        <v>3925</v>
      </c>
      <c r="K117" s="84">
        <v>10811</v>
      </c>
      <c r="L117" s="84">
        <v>924</v>
      </c>
      <c r="M117" s="84">
        <v>773</v>
      </c>
      <c r="N117" s="84">
        <v>6000</v>
      </c>
      <c r="O117" s="84">
        <v>3443</v>
      </c>
      <c r="P117" s="84">
        <v>7382</v>
      </c>
      <c r="Q117" s="84">
        <v>2523</v>
      </c>
      <c r="R117" s="84">
        <v>2814</v>
      </c>
      <c r="S117" s="84">
        <v>4747</v>
      </c>
      <c r="T117" s="84">
        <v>5790</v>
      </c>
      <c r="U117" s="84">
        <v>3272</v>
      </c>
      <c r="V117" s="84">
        <v>3502</v>
      </c>
      <c r="W117" s="84">
        <v>5230</v>
      </c>
      <c r="X117" s="84">
        <v>7913</v>
      </c>
      <c r="Y117" s="84">
        <v>11321</v>
      </c>
      <c r="DA117" s="171" t="s">
        <v>532</v>
      </c>
    </row>
    <row r="118" spans="1:105" ht="11.45" customHeight="1" x14ac:dyDescent="0.25">
      <c r="A118" s="111" t="s">
        <v>113</v>
      </c>
      <c r="B118" s="84">
        <v>0</v>
      </c>
      <c r="C118" s="84">
        <v>0</v>
      </c>
      <c r="D118" s="84">
        <v>0</v>
      </c>
      <c r="E118" s="84">
        <v>0</v>
      </c>
      <c r="F118" s="84">
        <v>0</v>
      </c>
      <c r="G118" s="84">
        <v>0</v>
      </c>
      <c r="H118" s="84">
        <v>0</v>
      </c>
      <c r="I118" s="84">
        <v>0</v>
      </c>
      <c r="J118" s="84">
        <v>0</v>
      </c>
      <c r="K118" s="84">
        <v>0</v>
      </c>
      <c r="L118" s="84">
        <v>2</v>
      </c>
      <c r="M118" s="84">
        <v>0</v>
      </c>
      <c r="N118" s="84">
        <v>5</v>
      </c>
      <c r="O118" s="84">
        <v>16</v>
      </c>
      <c r="P118" s="84">
        <v>4</v>
      </c>
      <c r="Q118" s="84">
        <v>7</v>
      </c>
      <c r="R118" s="84">
        <v>8</v>
      </c>
      <c r="S118" s="84">
        <v>8</v>
      </c>
      <c r="T118" s="84">
        <v>23</v>
      </c>
      <c r="U118" s="84">
        <v>47</v>
      </c>
      <c r="V118" s="84">
        <v>31</v>
      </c>
      <c r="W118" s="84">
        <v>31</v>
      </c>
      <c r="X118" s="84">
        <v>10</v>
      </c>
      <c r="Y118" s="84">
        <v>4</v>
      </c>
      <c r="DA118" s="171" t="s">
        <v>533</v>
      </c>
    </row>
    <row r="119" spans="1:105" ht="11.45" customHeight="1" x14ac:dyDescent="0.25">
      <c r="A119" s="111" t="s">
        <v>114</v>
      </c>
      <c r="B119" s="84">
        <v>0</v>
      </c>
      <c r="C119" s="84">
        <v>0</v>
      </c>
      <c r="D119" s="84">
        <v>0</v>
      </c>
      <c r="E119" s="84">
        <v>0</v>
      </c>
      <c r="F119" s="84">
        <v>0</v>
      </c>
      <c r="G119" s="84">
        <v>0</v>
      </c>
      <c r="H119" s="84">
        <v>0</v>
      </c>
      <c r="I119" s="84">
        <v>0</v>
      </c>
      <c r="J119" s="84">
        <v>0</v>
      </c>
      <c r="K119" s="84">
        <v>0</v>
      </c>
      <c r="L119" s="84">
        <v>0</v>
      </c>
      <c r="M119" s="84">
        <v>18</v>
      </c>
      <c r="N119" s="84">
        <v>45</v>
      </c>
      <c r="O119" s="84">
        <v>45</v>
      </c>
      <c r="P119" s="84">
        <v>101</v>
      </c>
      <c r="Q119" s="84">
        <v>531</v>
      </c>
      <c r="R119" s="84">
        <v>1080</v>
      </c>
      <c r="S119" s="84">
        <v>2530</v>
      </c>
      <c r="T119" s="84">
        <v>5367</v>
      </c>
      <c r="U119" s="84">
        <v>7838</v>
      </c>
      <c r="V119" s="84">
        <v>11858</v>
      </c>
      <c r="W119" s="84">
        <v>15776</v>
      </c>
      <c r="X119" s="84">
        <v>22367</v>
      </c>
      <c r="Y119" s="84">
        <v>27858</v>
      </c>
      <c r="DA119" s="171" t="s">
        <v>534</v>
      </c>
    </row>
    <row r="120" spans="1:105" ht="11.45" customHeight="1" x14ac:dyDescent="0.25">
      <c r="A120" s="111" t="s">
        <v>115</v>
      </c>
      <c r="B120" s="84">
        <v>0</v>
      </c>
      <c r="C120" s="84">
        <v>0</v>
      </c>
      <c r="D120" s="84">
        <v>0</v>
      </c>
      <c r="E120" s="84">
        <v>0</v>
      </c>
      <c r="F120" s="84">
        <v>0</v>
      </c>
      <c r="G120" s="84">
        <v>0</v>
      </c>
      <c r="H120" s="84">
        <v>0</v>
      </c>
      <c r="I120" s="84">
        <v>0</v>
      </c>
      <c r="J120" s="84">
        <v>28</v>
      </c>
      <c r="K120" s="84">
        <v>1</v>
      </c>
      <c r="L120" s="84">
        <v>719</v>
      </c>
      <c r="M120" s="84">
        <v>203</v>
      </c>
      <c r="N120" s="84">
        <v>66</v>
      </c>
      <c r="O120" s="84">
        <v>167</v>
      </c>
      <c r="P120" s="84">
        <v>198</v>
      </c>
      <c r="Q120" s="84">
        <v>692</v>
      </c>
      <c r="R120" s="84">
        <v>1393</v>
      </c>
      <c r="S120" s="84">
        <v>5057</v>
      </c>
      <c r="T120" s="84">
        <v>9383</v>
      </c>
      <c r="U120" s="84">
        <v>12285</v>
      </c>
      <c r="V120" s="84">
        <v>7908</v>
      </c>
      <c r="W120" s="84">
        <v>16335</v>
      </c>
      <c r="X120" s="84">
        <v>18426</v>
      </c>
      <c r="Y120" s="84">
        <v>38285</v>
      </c>
      <c r="DA120" s="171" t="s">
        <v>535</v>
      </c>
    </row>
    <row r="121" spans="1:105" ht="11.45" customHeight="1" x14ac:dyDescent="0.25">
      <c r="A121" s="109" t="s">
        <v>21</v>
      </c>
      <c r="B121" s="110">
        <f t="shared" ref="B121:K121" si="179">SUM(B122:B126)</f>
        <v>1458</v>
      </c>
      <c r="C121" s="110">
        <f t="shared" si="179"/>
        <v>1265</v>
      </c>
      <c r="D121" s="110">
        <f t="shared" si="179"/>
        <v>1016</v>
      </c>
      <c r="E121" s="110">
        <f t="shared" si="179"/>
        <v>1066</v>
      </c>
      <c r="F121" s="110">
        <f t="shared" si="179"/>
        <v>1034</v>
      </c>
      <c r="G121" s="110">
        <f t="shared" si="179"/>
        <v>1026</v>
      </c>
      <c r="H121" s="110">
        <f t="shared" si="179"/>
        <v>719</v>
      </c>
      <c r="I121" s="110">
        <f t="shared" si="179"/>
        <v>727</v>
      </c>
      <c r="J121" s="110">
        <f t="shared" si="179"/>
        <v>796</v>
      </c>
      <c r="K121" s="110">
        <f t="shared" si="179"/>
        <v>629</v>
      </c>
      <c r="L121" s="110">
        <f t="shared" ref="L121" si="180">SUM(L122:L126)</f>
        <v>1037</v>
      </c>
      <c r="M121" s="110">
        <f t="shared" ref="M121:V121" si="181">SUM(M122:M126)</f>
        <v>711</v>
      </c>
      <c r="N121" s="110">
        <f t="shared" si="181"/>
        <v>579</v>
      </c>
      <c r="O121" s="110">
        <f t="shared" si="181"/>
        <v>235</v>
      </c>
      <c r="P121" s="110">
        <f t="shared" si="181"/>
        <v>2812</v>
      </c>
      <c r="Q121" s="110">
        <f t="shared" si="181"/>
        <v>690</v>
      </c>
      <c r="R121" s="110">
        <f t="shared" si="181"/>
        <v>905</v>
      </c>
      <c r="S121" s="110">
        <f t="shared" si="181"/>
        <v>459</v>
      </c>
      <c r="T121" s="110">
        <f t="shared" si="181"/>
        <v>643</v>
      </c>
      <c r="U121" s="110">
        <f t="shared" si="181"/>
        <v>2495</v>
      </c>
      <c r="V121" s="110">
        <f t="shared" si="181"/>
        <v>464</v>
      </c>
      <c r="W121" s="110">
        <f t="shared" ref="W121:Y121" si="182">SUM(W122:W126)</f>
        <v>669</v>
      </c>
      <c r="X121" s="110">
        <f t="shared" si="182"/>
        <v>1509</v>
      </c>
      <c r="Y121" s="110">
        <f t="shared" si="182"/>
        <v>996</v>
      </c>
      <c r="DA121" s="176" t="s">
        <v>536</v>
      </c>
    </row>
    <row r="122" spans="1:105" ht="11.45" customHeight="1" x14ac:dyDescent="0.25">
      <c r="A122" s="111" t="s">
        <v>110</v>
      </c>
      <c r="B122" s="102">
        <v>0</v>
      </c>
      <c r="C122" s="102">
        <v>0</v>
      </c>
      <c r="D122" s="102">
        <v>0</v>
      </c>
      <c r="E122" s="102">
        <v>0</v>
      </c>
      <c r="F122" s="102">
        <v>0</v>
      </c>
      <c r="G122" s="102">
        <v>0</v>
      </c>
      <c r="H122" s="102">
        <v>0</v>
      </c>
      <c r="I122" s="102">
        <v>0</v>
      </c>
      <c r="J122" s="102">
        <v>0</v>
      </c>
      <c r="K122" s="102">
        <v>0</v>
      </c>
      <c r="L122" s="102">
        <v>6</v>
      </c>
      <c r="M122" s="102">
        <v>0</v>
      </c>
      <c r="N122" s="102">
        <v>0</v>
      </c>
      <c r="O122" s="102">
        <v>1</v>
      </c>
      <c r="P122" s="102">
        <v>0</v>
      </c>
      <c r="Q122" s="102">
        <v>1</v>
      </c>
      <c r="R122" s="102">
        <v>1</v>
      </c>
      <c r="S122" s="102">
        <v>0</v>
      </c>
      <c r="T122" s="102">
        <v>0</v>
      </c>
      <c r="U122" s="102">
        <v>1</v>
      </c>
      <c r="V122" s="102">
        <v>0</v>
      </c>
      <c r="W122" s="102">
        <v>0</v>
      </c>
      <c r="X122" s="102">
        <v>0</v>
      </c>
      <c r="Y122" s="102">
        <v>0</v>
      </c>
      <c r="DA122" s="175" t="s">
        <v>537</v>
      </c>
    </row>
    <row r="123" spans="1:105" ht="11.45" customHeight="1" x14ac:dyDescent="0.25">
      <c r="A123" s="111" t="s">
        <v>111</v>
      </c>
      <c r="B123" s="102">
        <v>1458</v>
      </c>
      <c r="C123" s="102">
        <v>1113</v>
      </c>
      <c r="D123" s="102">
        <v>902</v>
      </c>
      <c r="E123" s="102">
        <v>956</v>
      </c>
      <c r="F123" s="102">
        <v>999</v>
      </c>
      <c r="G123" s="102">
        <v>909</v>
      </c>
      <c r="H123" s="102">
        <v>719</v>
      </c>
      <c r="I123" s="102">
        <v>674</v>
      </c>
      <c r="J123" s="102">
        <v>757</v>
      </c>
      <c r="K123" s="102">
        <v>607</v>
      </c>
      <c r="L123" s="102">
        <v>1012</v>
      </c>
      <c r="M123" s="102">
        <v>711</v>
      </c>
      <c r="N123" s="102">
        <v>568</v>
      </c>
      <c r="O123" s="102">
        <v>234</v>
      </c>
      <c r="P123" s="102">
        <v>2810</v>
      </c>
      <c r="Q123" s="102">
        <v>689</v>
      </c>
      <c r="R123" s="102">
        <v>903</v>
      </c>
      <c r="S123" s="102">
        <v>445</v>
      </c>
      <c r="T123" s="102">
        <v>326</v>
      </c>
      <c r="U123" s="102">
        <v>2253</v>
      </c>
      <c r="V123" s="102">
        <v>329</v>
      </c>
      <c r="W123" s="102">
        <v>407</v>
      </c>
      <c r="X123" s="102">
        <v>1397</v>
      </c>
      <c r="Y123" s="102">
        <v>529</v>
      </c>
      <c r="DA123" s="175" t="s">
        <v>538</v>
      </c>
    </row>
    <row r="124" spans="1:105" ht="11.45" customHeight="1" x14ac:dyDescent="0.25">
      <c r="A124" s="111" t="s">
        <v>112</v>
      </c>
      <c r="B124" s="102">
        <v>0</v>
      </c>
      <c r="C124" s="102">
        <v>0</v>
      </c>
      <c r="D124" s="102">
        <v>0</v>
      </c>
      <c r="E124" s="102">
        <v>0</v>
      </c>
      <c r="F124" s="102">
        <v>0</v>
      </c>
      <c r="G124" s="102">
        <v>0</v>
      </c>
      <c r="H124" s="102">
        <v>0</v>
      </c>
      <c r="I124" s="102">
        <v>0</v>
      </c>
      <c r="J124" s="102">
        <v>0</v>
      </c>
      <c r="K124" s="102">
        <v>0</v>
      </c>
      <c r="L124" s="102">
        <v>3</v>
      </c>
      <c r="M124" s="102">
        <v>0</v>
      </c>
      <c r="N124" s="102">
        <v>0</v>
      </c>
      <c r="O124" s="102">
        <v>0</v>
      </c>
      <c r="P124" s="102">
        <v>2</v>
      </c>
      <c r="Q124" s="102">
        <v>0</v>
      </c>
      <c r="R124" s="102">
        <v>1</v>
      </c>
      <c r="S124" s="102">
        <v>0</v>
      </c>
      <c r="T124" s="102">
        <v>0</v>
      </c>
      <c r="U124" s="102">
        <v>0</v>
      </c>
      <c r="V124" s="102">
        <v>0</v>
      </c>
      <c r="W124" s="102">
        <v>0</v>
      </c>
      <c r="X124" s="102">
        <v>0</v>
      </c>
      <c r="Y124" s="102">
        <v>0</v>
      </c>
      <c r="DA124" s="175" t="s">
        <v>539</v>
      </c>
    </row>
    <row r="125" spans="1:105" ht="11.45" customHeight="1" x14ac:dyDescent="0.25">
      <c r="A125" s="111" t="s">
        <v>113</v>
      </c>
      <c r="B125" s="102">
        <v>0</v>
      </c>
      <c r="C125" s="102">
        <v>152</v>
      </c>
      <c r="D125" s="102">
        <v>114</v>
      </c>
      <c r="E125" s="102">
        <v>110</v>
      </c>
      <c r="F125" s="102">
        <v>35</v>
      </c>
      <c r="G125" s="102">
        <v>117</v>
      </c>
      <c r="H125" s="102">
        <v>0</v>
      </c>
      <c r="I125" s="102">
        <v>53</v>
      </c>
      <c r="J125" s="102">
        <v>39</v>
      </c>
      <c r="K125" s="102">
        <v>22</v>
      </c>
      <c r="L125" s="102">
        <v>3</v>
      </c>
      <c r="M125" s="102">
        <v>0</v>
      </c>
      <c r="N125" s="102">
        <v>0</v>
      </c>
      <c r="O125" s="102">
        <v>0</v>
      </c>
      <c r="P125" s="102">
        <v>0</v>
      </c>
      <c r="Q125" s="102">
        <v>0</v>
      </c>
      <c r="R125" s="102">
        <v>0</v>
      </c>
      <c r="S125" s="102">
        <v>0</v>
      </c>
      <c r="T125" s="102">
        <v>258</v>
      </c>
      <c r="U125" s="102">
        <v>207</v>
      </c>
      <c r="V125" s="102">
        <v>110</v>
      </c>
      <c r="W125" s="102">
        <v>224</v>
      </c>
      <c r="X125" s="102">
        <v>48</v>
      </c>
      <c r="Y125" s="102">
        <v>81</v>
      </c>
      <c r="DA125" s="175" t="s">
        <v>540</v>
      </c>
    </row>
    <row r="126" spans="1:105" ht="11.45" customHeight="1" x14ac:dyDescent="0.25">
      <c r="A126" s="111" t="s">
        <v>115</v>
      </c>
      <c r="B126" s="102">
        <v>0</v>
      </c>
      <c r="C126" s="102">
        <v>0</v>
      </c>
      <c r="D126" s="102">
        <v>0</v>
      </c>
      <c r="E126" s="102">
        <v>0</v>
      </c>
      <c r="F126" s="102">
        <v>0</v>
      </c>
      <c r="G126" s="102">
        <v>0</v>
      </c>
      <c r="H126" s="102">
        <v>0</v>
      </c>
      <c r="I126" s="102">
        <v>0</v>
      </c>
      <c r="J126" s="102">
        <v>0</v>
      </c>
      <c r="K126" s="102">
        <v>0</v>
      </c>
      <c r="L126" s="102">
        <v>13</v>
      </c>
      <c r="M126" s="102">
        <v>0</v>
      </c>
      <c r="N126" s="102">
        <v>11</v>
      </c>
      <c r="O126" s="102">
        <v>0</v>
      </c>
      <c r="P126" s="102">
        <v>0</v>
      </c>
      <c r="Q126" s="102">
        <v>0</v>
      </c>
      <c r="R126" s="102">
        <v>0</v>
      </c>
      <c r="S126" s="102">
        <v>14</v>
      </c>
      <c r="T126" s="102">
        <v>59</v>
      </c>
      <c r="U126" s="102">
        <v>34</v>
      </c>
      <c r="V126" s="102">
        <v>25</v>
      </c>
      <c r="W126" s="102">
        <v>38</v>
      </c>
      <c r="X126" s="102">
        <v>64</v>
      </c>
      <c r="Y126" s="102">
        <v>386</v>
      </c>
      <c r="DA126" s="175" t="s">
        <v>541</v>
      </c>
    </row>
    <row r="127" spans="1:105" ht="11.45" customHeight="1" x14ac:dyDescent="0.25">
      <c r="A127" s="27" t="s">
        <v>34</v>
      </c>
      <c r="B127" s="28">
        <f t="shared" ref="B127:K127" si="183">B128+B134</f>
        <v>382</v>
      </c>
      <c r="C127" s="28">
        <f t="shared" si="183"/>
        <v>203274</v>
      </c>
      <c r="D127" s="28">
        <f t="shared" si="183"/>
        <v>39430</v>
      </c>
      <c r="E127" s="28">
        <f t="shared" si="183"/>
        <v>3398</v>
      </c>
      <c r="F127" s="28">
        <f t="shared" si="183"/>
        <v>60156</v>
      </c>
      <c r="G127" s="28">
        <f t="shared" si="183"/>
        <v>113799</v>
      </c>
      <c r="H127" s="28">
        <f t="shared" si="183"/>
        <v>125921</v>
      </c>
      <c r="I127" s="28">
        <f t="shared" si="183"/>
        <v>132139</v>
      </c>
      <c r="J127" s="28">
        <f t="shared" si="183"/>
        <v>117858</v>
      </c>
      <c r="K127" s="28">
        <f t="shared" si="183"/>
        <v>120126</v>
      </c>
      <c r="L127" s="28">
        <f t="shared" ref="L127" si="184">L128+L134</f>
        <v>116999</v>
      </c>
      <c r="M127" s="28">
        <f t="shared" ref="M127:V127" si="185">M128+M134</f>
        <v>97261</v>
      </c>
      <c r="N127" s="28">
        <f t="shared" si="185"/>
        <v>13772</v>
      </c>
      <c r="O127" s="28">
        <f t="shared" si="185"/>
        <v>44135</v>
      </c>
      <c r="P127" s="28">
        <f t="shared" si="185"/>
        <v>206509</v>
      </c>
      <c r="Q127" s="28">
        <f t="shared" si="185"/>
        <v>69132</v>
      </c>
      <c r="R127" s="28">
        <f t="shared" si="185"/>
        <v>99112</v>
      </c>
      <c r="S127" s="28">
        <f t="shared" si="185"/>
        <v>123873</v>
      </c>
      <c r="T127" s="28">
        <f t="shared" si="185"/>
        <v>128935</v>
      </c>
      <c r="U127" s="28">
        <f t="shared" si="185"/>
        <v>237271</v>
      </c>
      <c r="V127" s="28">
        <f t="shared" si="185"/>
        <v>25938</v>
      </c>
      <c r="W127" s="28">
        <f t="shared" ref="W127:Y127" si="186">W128+W134</f>
        <v>34798</v>
      </c>
      <c r="X127" s="28">
        <f t="shared" si="186"/>
        <v>110775</v>
      </c>
      <c r="Y127" s="28">
        <f t="shared" si="186"/>
        <v>76153</v>
      </c>
      <c r="DA127" s="173" t="s">
        <v>542</v>
      </c>
    </row>
    <row r="128" spans="1:105" ht="11.45" customHeight="1" x14ac:dyDescent="0.25">
      <c r="A128" s="136" t="s">
        <v>153</v>
      </c>
      <c r="B128" s="137">
        <f t="shared" ref="B128:K128" si="187">SUM(B129:B133)</f>
        <v>0</v>
      </c>
      <c r="C128" s="137">
        <f t="shared" si="187"/>
        <v>196092</v>
      </c>
      <c r="D128" s="137">
        <f t="shared" si="187"/>
        <v>35629</v>
      </c>
      <c r="E128" s="137">
        <f t="shared" si="187"/>
        <v>2092</v>
      </c>
      <c r="F128" s="137">
        <f t="shared" si="187"/>
        <v>52576</v>
      </c>
      <c r="G128" s="137">
        <f t="shared" si="187"/>
        <v>107592</v>
      </c>
      <c r="H128" s="137">
        <f t="shared" si="187"/>
        <v>119012</v>
      </c>
      <c r="I128" s="137">
        <f t="shared" si="187"/>
        <v>124659</v>
      </c>
      <c r="J128" s="137">
        <f t="shared" si="187"/>
        <v>111033</v>
      </c>
      <c r="K128" s="137">
        <f t="shared" si="187"/>
        <v>112563</v>
      </c>
      <c r="L128" s="137">
        <f t="shared" ref="L128" si="188">SUM(L129:L133)</f>
        <v>109854</v>
      </c>
      <c r="M128" s="137">
        <f t="shared" ref="M128:V128" si="189">SUM(M129:M133)</f>
        <v>93629</v>
      </c>
      <c r="N128" s="137">
        <f t="shared" si="189"/>
        <v>12922</v>
      </c>
      <c r="O128" s="137">
        <f t="shared" si="189"/>
        <v>42502</v>
      </c>
      <c r="P128" s="137">
        <f t="shared" si="189"/>
        <v>195905</v>
      </c>
      <c r="Q128" s="137">
        <f t="shared" si="189"/>
        <v>63146</v>
      </c>
      <c r="R128" s="137">
        <f t="shared" si="189"/>
        <v>92263</v>
      </c>
      <c r="S128" s="137">
        <f t="shared" si="189"/>
        <v>111573</v>
      </c>
      <c r="T128" s="137">
        <f t="shared" si="189"/>
        <v>117375</v>
      </c>
      <c r="U128" s="137">
        <f t="shared" si="189"/>
        <v>218526</v>
      </c>
      <c r="V128" s="137">
        <f t="shared" si="189"/>
        <v>24932</v>
      </c>
      <c r="W128" s="137">
        <f t="shared" ref="W128:Y128" si="190">SUM(W129:W133)</f>
        <v>32542</v>
      </c>
      <c r="X128" s="137">
        <f t="shared" si="190"/>
        <v>102240</v>
      </c>
      <c r="Y128" s="137">
        <f t="shared" si="190"/>
        <v>69703</v>
      </c>
      <c r="DA128" s="174" t="s">
        <v>543</v>
      </c>
    </row>
    <row r="129" spans="1:105" ht="11.45" customHeight="1" x14ac:dyDescent="0.25">
      <c r="A129" s="111" t="s">
        <v>110</v>
      </c>
      <c r="B129" s="84">
        <v>0</v>
      </c>
      <c r="C129" s="84">
        <v>792</v>
      </c>
      <c r="D129" s="84">
        <v>3</v>
      </c>
      <c r="E129" s="84">
        <v>2009</v>
      </c>
      <c r="F129" s="84">
        <v>0</v>
      </c>
      <c r="G129" s="84">
        <v>1157</v>
      </c>
      <c r="H129" s="84">
        <v>1453</v>
      </c>
      <c r="I129" s="84">
        <v>1527</v>
      </c>
      <c r="J129" s="84">
        <v>1315</v>
      </c>
      <c r="K129" s="84">
        <v>1326</v>
      </c>
      <c r="L129" s="84">
        <v>1261</v>
      </c>
      <c r="M129" s="84">
        <v>0</v>
      </c>
      <c r="N129" s="84">
        <v>2</v>
      </c>
      <c r="O129" s="84">
        <v>0</v>
      </c>
      <c r="P129" s="84">
        <v>370</v>
      </c>
      <c r="Q129" s="84">
        <v>1978</v>
      </c>
      <c r="R129" s="84">
        <v>424</v>
      </c>
      <c r="S129" s="84">
        <v>1696</v>
      </c>
      <c r="T129" s="84">
        <v>467</v>
      </c>
      <c r="U129" s="84">
        <v>5280</v>
      </c>
      <c r="V129" s="84">
        <v>81</v>
      </c>
      <c r="W129" s="84">
        <v>83</v>
      </c>
      <c r="X129" s="84">
        <v>63</v>
      </c>
      <c r="Y129" s="84">
        <v>134</v>
      </c>
      <c r="DA129" s="171" t="s">
        <v>544</v>
      </c>
    </row>
    <row r="130" spans="1:105" ht="11.45" customHeight="1" x14ac:dyDescent="0.25">
      <c r="A130" s="111" t="s">
        <v>111</v>
      </c>
      <c r="B130" s="84">
        <v>0</v>
      </c>
      <c r="C130" s="84">
        <v>195262</v>
      </c>
      <c r="D130" s="84">
        <v>35601</v>
      </c>
      <c r="E130" s="84">
        <v>0</v>
      </c>
      <c r="F130" s="84">
        <v>52571</v>
      </c>
      <c r="G130" s="84">
        <v>106375</v>
      </c>
      <c r="H130" s="84">
        <v>117492</v>
      </c>
      <c r="I130" s="84">
        <v>123061</v>
      </c>
      <c r="J130" s="84">
        <v>109657</v>
      </c>
      <c r="K130" s="84">
        <v>111174</v>
      </c>
      <c r="L130" s="84">
        <v>108559</v>
      </c>
      <c r="M130" s="84">
        <v>93591</v>
      </c>
      <c r="N130" s="84">
        <v>12900</v>
      </c>
      <c r="O130" s="84">
        <v>42440</v>
      </c>
      <c r="P130" s="84">
        <v>195423</v>
      </c>
      <c r="Q130" s="84">
        <v>61006</v>
      </c>
      <c r="R130" s="84">
        <v>91756</v>
      </c>
      <c r="S130" s="84">
        <v>109383</v>
      </c>
      <c r="T130" s="84">
        <v>116282</v>
      </c>
      <c r="U130" s="84">
        <v>212636</v>
      </c>
      <c r="V130" s="84">
        <v>24463</v>
      </c>
      <c r="W130" s="84">
        <v>32050</v>
      </c>
      <c r="X130" s="84">
        <v>101099</v>
      </c>
      <c r="Y130" s="84">
        <v>67063</v>
      </c>
      <c r="DA130" s="171" t="s">
        <v>545</v>
      </c>
    </row>
    <row r="131" spans="1:105" ht="11.45" customHeight="1" x14ac:dyDescent="0.25">
      <c r="A131" s="111" t="s">
        <v>112</v>
      </c>
      <c r="B131" s="84">
        <v>0</v>
      </c>
      <c r="C131" s="84">
        <v>38</v>
      </c>
      <c r="D131" s="84">
        <v>25</v>
      </c>
      <c r="E131" s="84">
        <v>83</v>
      </c>
      <c r="F131" s="84">
        <v>5</v>
      </c>
      <c r="G131" s="84">
        <v>60</v>
      </c>
      <c r="H131" s="84">
        <v>67</v>
      </c>
      <c r="I131" s="84">
        <v>71</v>
      </c>
      <c r="J131" s="84">
        <v>61</v>
      </c>
      <c r="K131" s="84">
        <v>63</v>
      </c>
      <c r="L131" s="84">
        <v>34</v>
      </c>
      <c r="M131" s="84">
        <v>33</v>
      </c>
      <c r="N131" s="84">
        <v>4</v>
      </c>
      <c r="O131" s="84">
        <v>13</v>
      </c>
      <c r="P131" s="84">
        <v>76</v>
      </c>
      <c r="Q131" s="84">
        <v>75</v>
      </c>
      <c r="R131" s="84">
        <v>14</v>
      </c>
      <c r="S131" s="84">
        <v>54</v>
      </c>
      <c r="T131" s="84">
        <v>58</v>
      </c>
      <c r="U131" s="84">
        <v>196</v>
      </c>
      <c r="V131" s="84">
        <v>0</v>
      </c>
      <c r="W131" s="84">
        <v>5</v>
      </c>
      <c r="X131" s="84">
        <v>47</v>
      </c>
      <c r="Y131" s="84">
        <v>33</v>
      </c>
      <c r="DA131" s="171" t="s">
        <v>546</v>
      </c>
    </row>
    <row r="132" spans="1:105" ht="11.45" customHeight="1" x14ac:dyDescent="0.25">
      <c r="A132" s="111" t="s">
        <v>113</v>
      </c>
      <c r="B132" s="84">
        <v>0</v>
      </c>
      <c r="C132" s="84">
        <v>0</v>
      </c>
      <c r="D132" s="84">
        <v>0</v>
      </c>
      <c r="E132" s="84">
        <v>0</v>
      </c>
      <c r="F132" s="84">
        <v>0</v>
      </c>
      <c r="G132" s="84">
        <v>0</v>
      </c>
      <c r="H132" s="84">
        <v>0</v>
      </c>
      <c r="I132" s="84">
        <v>0</v>
      </c>
      <c r="J132" s="84">
        <v>0</v>
      </c>
      <c r="K132" s="84">
        <v>0</v>
      </c>
      <c r="L132" s="84">
        <v>0</v>
      </c>
      <c r="M132" s="84">
        <v>0</v>
      </c>
      <c r="N132" s="84">
        <v>0</v>
      </c>
      <c r="O132" s="84">
        <v>5</v>
      </c>
      <c r="P132" s="84">
        <v>8</v>
      </c>
      <c r="Q132" s="84">
        <v>7</v>
      </c>
      <c r="R132" s="84">
        <v>14</v>
      </c>
      <c r="S132" s="84">
        <v>4</v>
      </c>
      <c r="T132" s="84">
        <v>17</v>
      </c>
      <c r="U132" s="84">
        <v>33</v>
      </c>
      <c r="V132" s="84">
        <v>9</v>
      </c>
      <c r="W132" s="84">
        <v>39</v>
      </c>
      <c r="X132" s="84">
        <v>8</v>
      </c>
      <c r="Y132" s="84">
        <v>10</v>
      </c>
      <c r="DA132" s="171" t="s">
        <v>547</v>
      </c>
    </row>
    <row r="133" spans="1:105" ht="11.45" customHeight="1" x14ac:dyDescent="0.25">
      <c r="A133" s="111" t="s">
        <v>115</v>
      </c>
      <c r="B133" s="84">
        <v>0</v>
      </c>
      <c r="C133" s="84">
        <v>0</v>
      </c>
      <c r="D133" s="84">
        <v>0</v>
      </c>
      <c r="E133" s="84">
        <v>0</v>
      </c>
      <c r="F133" s="84">
        <v>0</v>
      </c>
      <c r="G133" s="84">
        <v>0</v>
      </c>
      <c r="H133" s="84">
        <v>0</v>
      </c>
      <c r="I133" s="84">
        <v>0</v>
      </c>
      <c r="J133" s="84">
        <v>0</v>
      </c>
      <c r="K133" s="84">
        <v>0</v>
      </c>
      <c r="L133" s="84">
        <v>0</v>
      </c>
      <c r="M133" s="84">
        <v>5</v>
      </c>
      <c r="N133" s="84">
        <v>16</v>
      </c>
      <c r="O133" s="84">
        <v>44</v>
      </c>
      <c r="P133" s="84">
        <v>28</v>
      </c>
      <c r="Q133" s="84">
        <v>80</v>
      </c>
      <c r="R133" s="84">
        <v>55</v>
      </c>
      <c r="S133" s="84">
        <v>436</v>
      </c>
      <c r="T133" s="84">
        <v>551</v>
      </c>
      <c r="U133" s="84">
        <v>381</v>
      </c>
      <c r="V133" s="84">
        <v>379</v>
      </c>
      <c r="W133" s="84">
        <v>365</v>
      </c>
      <c r="X133" s="84">
        <v>1023</v>
      </c>
      <c r="Y133" s="84">
        <v>2463</v>
      </c>
      <c r="DA133" s="171" t="s">
        <v>548</v>
      </c>
    </row>
    <row r="134" spans="1:105" ht="11.45" customHeight="1" x14ac:dyDescent="0.25">
      <c r="A134" s="109" t="s">
        <v>154</v>
      </c>
      <c r="B134" s="110">
        <f t="shared" ref="B134:K134" si="191">SUM(B135:B136)</f>
        <v>382</v>
      </c>
      <c r="C134" s="110">
        <f t="shared" si="191"/>
        <v>7182</v>
      </c>
      <c r="D134" s="110">
        <f t="shared" si="191"/>
        <v>3801</v>
      </c>
      <c r="E134" s="110">
        <f t="shared" si="191"/>
        <v>1306</v>
      </c>
      <c r="F134" s="110">
        <f t="shared" si="191"/>
        <v>7580</v>
      </c>
      <c r="G134" s="110">
        <f t="shared" si="191"/>
        <v>6207</v>
      </c>
      <c r="H134" s="110">
        <f t="shared" si="191"/>
        <v>6909</v>
      </c>
      <c r="I134" s="110">
        <f t="shared" si="191"/>
        <v>7480</v>
      </c>
      <c r="J134" s="110">
        <f t="shared" si="191"/>
        <v>6825</v>
      </c>
      <c r="K134" s="110">
        <f t="shared" si="191"/>
        <v>7563</v>
      </c>
      <c r="L134" s="110">
        <f t="shared" ref="L134" si="192">SUM(L135:L136)</f>
        <v>7145</v>
      </c>
      <c r="M134" s="110">
        <f t="shared" ref="M134:V134" si="193">SUM(M135:M136)</f>
        <v>3632</v>
      </c>
      <c r="N134" s="110">
        <f t="shared" si="193"/>
        <v>850</v>
      </c>
      <c r="O134" s="110">
        <f t="shared" si="193"/>
        <v>1633</v>
      </c>
      <c r="P134" s="110">
        <f t="shared" si="193"/>
        <v>10604</v>
      </c>
      <c r="Q134" s="110">
        <f t="shared" si="193"/>
        <v>5986</v>
      </c>
      <c r="R134" s="110">
        <f t="shared" si="193"/>
        <v>6849</v>
      </c>
      <c r="S134" s="110">
        <f t="shared" si="193"/>
        <v>12300</v>
      </c>
      <c r="T134" s="110">
        <f t="shared" si="193"/>
        <v>11560</v>
      </c>
      <c r="U134" s="110">
        <f t="shared" si="193"/>
        <v>18745</v>
      </c>
      <c r="V134" s="110">
        <f t="shared" si="193"/>
        <v>1006</v>
      </c>
      <c r="W134" s="110">
        <f t="shared" ref="W134:Y134" si="194">SUM(W135:W136)</f>
        <v>2256</v>
      </c>
      <c r="X134" s="110">
        <f t="shared" si="194"/>
        <v>8535</v>
      </c>
      <c r="Y134" s="110">
        <f t="shared" si="194"/>
        <v>6450</v>
      </c>
      <c r="DA134" s="176" t="s">
        <v>549</v>
      </c>
    </row>
    <row r="135" spans="1:105" ht="11.45" customHeight="1" x14ac:dyDescent="0.25">
      <c r="A135" s="128" t="s">
        <v>27</v>
      </c>
      <c r="B135" s="102">
        <v>0</v>
      </c>
      <c r="C135" s="102">
        <v>6739</v>
      </c>
      <c r="D135" s="102">
        <v>3385</v>
      </c>
      <c r="E135" s="102">
        <v>972</v>
      </c>
      <c r="F135" s="102">
        <v>6501</v>
      </c>
      <c r="G135" s="102">
        <v>5711</v>
      </c>
      <c r="H135" s="102">
        <v>6191</v>
      </c>
      <c r="I135" s="102">
        <v>6548</v>
      </c>
      <c r="J135" s="102">
        <v>6825</v>
      </c>
      <c r="K135" s="102">
        <v>7130</v>
      </c>
      <c r="L135" s="102">
        <v>7145</v>
      </c>
      <c r="M135" s="102">
        <v>2924</v>
      </c>
      <c r="N135" s="102">
        <v>850</v>
      </c>
      <c r="O135" s="102">
        <v>693</v>
      </c>
      <c r="P135" s="102">
        <v>10087</v>
      </c>
      <c r="Q135" s="102">
        <v>5986</v>
      </c>
      <c r="R135" s="102">
        <v>6048</v>
      </c>
      <c r="S135" s="102">
        <v>12023</v>
      </c>
      <c r="T135" s="102">
        <v>10999</v>
      </c>
      <c r="U135" s="102">
        <v>18234</v>
      </c>
      <c r="V135" s="102">
        <v>1006</v>
      </c>
      <c r="W135" s="102">
        <v>1082</v>
      </c>
      <c r="X135" s="102">
        <v>7807</v>
      </c>
      <c r="Y135" s="102">
        <v>6386</v>
      </c>
      <c r="DA135" s="175" t="s">
        <v>550</v>
      </c>
    </row>
    <row r="136" spans="1:105" ht="11.45" customHeight="1" x14ac:dyDescent="0.25">
      <c r="A136" s="138" t="s">
        <v>116</v>
      </c>
      <c r="B136" s="86">
        <v>382</v>
      </c>
      <c r="C136" s="86">
        <v>443</v>
      </c>
      <c r="D136" s="86">
        <v>416</v>
      </c>
      <c r="E136" s="86">
        <v>334</v>
      </c>
      <c r="F136" s="86">
        <v>1079</v>
      </c>
      <c r="G136" s="86">
        <v>496</v>
      </c>
      <c r="H136" s="86">
        <v>718</v>
      </c>
      <c r="I136" s="86">
        <v>932</v>
      </c>
      <c r="J136" s="86">
        <v>0</v>
      </c>
      <c r="K136" s="86">
        <v>433</v>
      </c>
      <c r="L136" s="86">
        <v>0</v>
      </c>
      <c r="M136" s="86">
        <v>708</v>
      </c>
      <c r="N136" s="86">
        <v>0</v>
      </c>
      <c r="O136" s="86">
        <v>940</v>
      </c>
      <c r="P136" s="86">
        <v>517</v>
      </c>
      <c r="Q136" s="86">
        <v>0</v>
      </c>
      <c r="R136" s="86">
        <v>801</v>
      </c>
      <c r="S136" s="86">
        <v>277</v>
      </c>
      <c r="T136" s="86">
        <v>561</v>
      </c>
      <c r="U136" s="86">
        <v>511</v>
      </c>
      <c r="V136" s="86">
        <v>0</v>
      </c>
      <c r="W136" s="86">
        <v>1174</v>
      </c>
      <c r="X136" s="86">
        <v>728</v>
      </c>
      <c r="Y136" s="86">
        <v>64</v>
      </c>
      <c r="DA136" s="178" t="s">
        <v>551</v>
      </c>
    </row>
    <row r="137" spans="1:105" ht="11.45" customHeight="1" x14ac:dyDescent="0.25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DA137" s="171"/>
    </row>
    <row r="138" spans="1:105" ht="11.45" customHeight="1" x14ac:dyDescent="0.25">
      <c r="A138" s="143" t="s">
        <v>36</v>
      </c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DA138" s="179"/>
    </row>
    <row r="139" spans="1:105" ht="11.45" customHeight="1" x14ac:dyDescent="0.25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DA139" s="171"/>
    </row>
    <row r="140" spans="1:105" ht="11.45" customHeight="1" x14ac:dyDescent="0.25">
      <c r="A140" s="53" t="s">
        <v>99</v>
      </c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DA140" s="172"/>
    </row>
    <row r="141" spans="1:105" ht="11.45" customHeight="1" x14ac:dyDescent="0.25">
      <c r="A141" s="27" t="s">
        <v>100</v>
      </c>
      <c r="B141" s="32">
        <f t="shared" ref="B141:K141" si="195">IF(B4=0,0,B4/B31)</f>
        <v>1.6457390677568997</v>
      </c>
      <c r="C141" s="32">
        <f t="shared" si="195"/>
        <v>1.658385212103461</v>
      </c>
      <c r="D141" s="32">
        <f t="shared" si="195"/>
        <v>1.5889071385017384</v>
      </c>
      <c r="E141" s="32">
        <f t="shared" si="195"/>
        <v>1.6067556280835069</v>
      </c>
      <c r="F141" s="32">
        <f t="shared" si="195"/>
        <v>1.5860285127766951</v>
      </c>
      <c r="G141" s="32">
        <f t="shared" si="195"/>
        <v>1.5221836204649046</v>
      </c>
      <c r="H141" s="32">
        <f t="shared" si="195"/>
        <v>1.5166052500175105</v>
      </c>
      <c r="I141" s="32">
        <f t="shared" si="195"/>
        <v>1.5293075130821332</v>
      </c>
      <c r="J141" s="32">
        <f t="shared" si="195"/>
        <v>1.5118773282714442</v>
      </c>
      <c r="K141" s="32">
        <f t="shared" si="195"/>
        <v>1.459358739252707</v>
      </c>
      <c r="L141" s="32">
        <f t="shared" ref="L141" si="196">IF(L4=0,0,L4/L31)</f>
        <v>1.3953825048762141</v>
      </c>
      <c r="M141" s="32">
        <f t="shared" ref="M141:V141" si="197">IF(M4=0,0,M4/M31)</f>
        <v>1.4185590671342287</v>
      </c>
      <c r="N141" s="32">
        <f t="shared" si="197"/>
        <v>1.5132571077280288</v>
      </c>
      <c r="O141" s="32">
        <f t="shared" si="197"/>
        <v>1.5016538463698772</v>
      </c>
      <c r="P141" s="32">
        <f t="shared" si="197"/>
        <v>1.4624170034254156</v>
      </c>
      <c r="Q141" s="32">
        <f t="shared" si="197"/>
        <v>1.4831932243804673</v>
      </c>
      <c r="R141" s="32">
        <f t="shared" si="197"/>
        <v>1.5279626441625929</v>
      </c>
      <c r="S141" s="32">
        <f t="shared" si="197"/>
        <v>1.5170046004863706</v>
      </c>
      <c r="T141" s="32">
        <f t="shared" si="197"/>
        <v>1.5550121832949999</v>
      </c>
      <c r="U141" s="32">
        <f t="shared" si="197"/>
        <v>1.5549424367424527</v>
      </c>
      <c r="V141" s="32">
        <f t="shared" si="197"/>
        <v>1.5096069768755007</v>
      </c>
      <c r="W141" s="32">
        <f t="shared" ref="W141:Y141" si="198">IF(W4=0,0,W4/W31)</f>
        <v>1.5497489938230959</v>
      </c>
      <c r="X141" s="32">
        <f t="shared" si="198"/>
        <v>1.6248479871627175</v>
      </c>
      <c r="Y141" s="32">
        <f t="shared" si="198"/>
        <v>1.5733464106537109</v>
      </c>
      <c r="DA141" s="173" t="s">
        <v>552</v>
      </c>
    </row>
    <row r="142" spans="1:105" ht="11.45" customHeight="1" x14ac:dyDescent="0.25">
      <c r="A142" s="136" t="s">
        <v>173</v>
      </c>
      <c r="B142" s="141">
        <v>1.2051623672106277</v>
      </c>
      <c r="C142" s="141">
        <v>1.205139251921753</v>
      </c>
      <c r="D142" s="141">
        <v>1.2049298431364222</v>
      </c>
      <c r="E142" s="141">
        <v>1.2054358769600169</v>
      </c>
      <c r="F142" s="141">
        <v>1.2055973067663737</v>
      </c>
      <c r="G142" s="141">
        <v>1.2045056063339166</v>
      </c>
      <c r="H142" s="141">
        <v>1.2048415969901545</v>
      </c>
      <c r="I142" s="141">
        <v>1.2067754497377052</v>
      </c>
      <c r="J142" s="141">
        <v>1.2074105465672289</v>
      </c>
      <c r="K142" s="141">
        <v>1.2079899717478593</v>
      </c>
      <c r="L142" s="141">
        <v>1.2059146553065256</v>
      </c>
      <c r="M142" s="141">
        <v>1.2048582714100036</v>
      </c>
      <c r="N142" s="141">
        <v>1.1974221301460339</v>
      </c>
      <c r="O142" s="141">
        <v>1.1968061309351141</v>
      </c>
      <c r="P142" s="141">
        <v>1.199404729284766</v>
      </c>
      <c r="Q142" s="141">
        <v>1.2014776903379956</v>
      </c>
      <c r="R142" s="141">
        <v>1.2022519495150421</v>
      </c>
      <c r="S142" s="141">
        <v>1.2016883658227133</v>
      </c>
      <c r="T142" s="141">
        <v>1.201183347675584</v>
      </c>
      <c r="U142" s="141">
        <v>1.2020116322899146</v>
      </c>
      <c r="V142" s="141">
        <v>1.2007644459832048</v>
      </c>
      <c r="W142" s="141">
        <v>1.2013289647911634</v>
      </c>
      <c r="X142" s="141">
        <v>1.2014065636150912</v>
      </c>
      <c r="Y142" s="141">
        <v>1.2030111759294311</v>
      </c>
      <c r="DA142" s="174" t="s">
        <v>553</v>
      </c>
    </row>
    <row r="143" spans="1:105" ht="11.45" customHeight="1" x14ac:dyDescent="0.25">
      <c r="A143" s="109" t="s">
        <v>20</v>
      </c>
      <c r="B143" s="130">
        <f t="shared" ref="B143:K143" si="199">IF(B6=0,0,B6/B33)</f>
        <v>1.4355031102672549</v>
      </c>
      <c r="C143" s="130">
        <f t="shared" si="199"/>
        <v>1.4654154538244968</v>
      </c>
      <c r="D143" s="130">
        <f t="shared" si="199"/>
        <v>1.432238501511282</v>
      </c>
      <c r="E143" s="130">
        <f t="shared" si="199"/>
        <v>1.446388408094561</v>
      </c>
      <c r="F143" s="130">
        <f t="shared" si="199"/>
        <v>1.4259156019245223</v>
      </c>
      <c r="G143" s="130">
        <f t="shared" si="199"/>
        <v>1.4331023202622368</v>
      </c>
      <c r="H143" s="130">
        <f t="shared" si="199"/>
        <v>1.4340081978938288</v>
      </c>
      <c r="I143" s="130">
        <f t="shared" si="199"/>
        <v>1.4437560905371574</v>
      </c>
      <c r="J143" s="130">
        <f t="shared" si="199"/>
        <v>1.4269830666124546</v>
      </c>
      <c r="K143" s="130">
        <f t="shared" si="199"/>
        <v>1.3788078764212164</v>
      </c>
      <c r="L143" s="130">
        <f t="shared" ref="L143" si="200">IF(L6=0,0,L6/L33)</f>
        <v>1.3134565561704388</v>
      </c>
      <c r="M143" s="130">
        <f t="shared" ref="M143:V143" si="201">IF(M6=0,0,M6/M33)</f>
        <v>1.3388893091692304</v>
      </c>
      <c r="N143" s="130">
        <f t="shared" si="201"/>
        <v>1.4289659762809808</v>
      </c>
      <c r="O143" s="130">
        <f t="shared" si="201"/>
        <v>1.4141010520185084</v>
      </c>
      <c r="P143" s="130">
        <f t="shared" si="201"/>
        <v>1.3844612251666721</v>
      </c>
      <c r="Q143" s="130">
        <f t="shared" si="201"/>
        <v>1.4085867848591396</v>
      </c>
      <c r="R143" s="130">
        <f t="shared" si="201"/>
        <v>1.4607370737998364</v>
      </c>
      <c r="S143" s="130">
        <f t="shared" si="201"/>
        <v>1.4373865033404933</v>
      </c>
      <c r="T143" s="130">
        <f t="shared" si="201"/>
        <v>1.4707820989974094</v>
      </c>
      <c r="U143" s="130">
        <f t="shared" si="201"/>
        <v>1.472720507151676</v>
      </c>
      <c r="V143" s="130">
        <f t="shared" si="201"/>
        <v>1.4598572489142423</v>
      </c>
      <c r="W143" s="130">
        <f t="shared" ref="W143:Y143" si="202">IF(W6=0,0,W6/W33)</f>
        <v>1.4757121313606696</v>
      </c>
      <c r="X143" s="130">
        <f t="shared" si="202"/>
        <v>1.5168338480293262</v>
      </c>
      <c r="Y143" s="130">
        <f t="shared" si="202"/>
        <v>1.4688178242897487</v>
      </c>
      <c r="DA143" s="176" t="s">
        <v>554</v>
      </c>
    </row>
    <row r="144" spans="1:105" ht="11.45" customHeight="1" x14ac:dyDescent="0.25">
      <c r="A144" s="111" t="s">
        <v>110</v>
      </c>
      <c r="B144" s="96">
        <v>1.413071875624178</v>
      </c>
      <c r="C144" s="96">
        <v>1.4403004448380885</v>
      </c>
      <c r="D144" s="96">
        <v>1.4062552287238119</v>
      </c>
      <c r="E144" s="96">
        <v>1.4177678087685806</v>
      </c>
      <c r="F144" s="96">
        <v>1.3953072703277427</v>
      </c>
      <c r="G144" s="96">
        <v>1.3998321558113158</v>
      </c>
      <c r="H144" s="96">
        <v>1.3980912220343757</v>
      </c>
      <c r="I144" s="96">
        <v>1.4058450600994974</v>
      </c>
      <c r="J144" s="96">
        <v>1.3877105986846545</v>
      </c>
      <c r="K144" s="96">
        <v>1.3401230261450301</v>
      </c>
      <c r="L144" s="96">
        <v>1.2754652016699233</v>
      </c>
      <c r="M144" s="96">
        <v>1.2987066178141164</v>
      </c>
      <c r="N144" s="96">
        <v>1.3861026864359951</v>
      </c>
      <c r="O144" s="96">
        <v>1.3711463843539184</v>
      </c>
      <c r="P144" s="96">
        <v>1.3417506280729488</v>
      </c>
      <c r="Q144" s="96">
        <v>1.3650333711562279</v>
      </c>
      <c r="R144" s="96">
        <v>1.4147226724971582</v>
      </c>
      <c r="S144" s="96">
        <v>1.3915438349136957</v>
      </c>
      <c r="T144" s="96">
        <v>1.4238383955845577</v>
      </c>
      <c r="U144" s="96">
        <v>1.4262750769492809</v>
      </c>
      <c r="V144" s="96">
        <v>1.4132087970070986</v>
      </c>
      <c r="W144" s="96">
        <v>1.4301194100926868</v>
      </c>
      <c r="X144" s="96">
        <v>1.4711251552674511</v>
      </c>
      <c r="Y144" s="96">
        <v>1.4262543185694607</v>
      </c>
      <c r="DA144" s="171" t="s">
        <v>555</v>
      </c>
    </row>
    <row r="145" spans="1:105" ht="11.45" customHeight="1" x14ac:dyDescent="0.25">
      <c r="A145" s="111" t="s">
        <v>111</v>
      </c>
      <c r="B145" s="96">
        <v>1.4773867865083543</v>
      </c>
      <c r="C145" s="96">
        <v>1.5058546437108702</v>
      </c>
      <c r="D145" s="96">
        <v>1.4702598850162087</v>
      </c>
      <c r="E145" s="96">
        <v>1.4822964515420611</v>
      </c>
      <c r="F145" s="96">
        <v>1.458813638471637</v>
      </c>
      <c r="G145" s="96">
        <v>1.4635444707380008</v>
      </c>
      <c r="H145" s="96">
        <v>1.4617242996606434</v>
      </c>
      <c r="I145" s="96">
        <v>1.4698310478733467</v>
      </c>
      <c r="J145" s="96">
        <v>1.4508712099932664</v>
      </c>
      <c r="K145" s="96">
        <v>1.4011177246364133</v>
      </c>
      <c r="L145" s="96">
        <v>1.3335170475783515</v>
      </c>
      <c r="M145" s="96">
        <v>1.3578162794175002</v>
      </c>
      <c r="N145" s="96">
        <v>1.4491901148196864</v>
      </c>
      <c r="O145" s="96">
        <v>1.4335530878203853</v>
      </c>
      <c r="P145" s="96">
        <v>1.4028194056502967</v>
      </c>
      <c r="Q145" s="96">
        <v>1.4271618453932933</v>
      </c>
      <c r="R145" s="96">
        <v>1.4791127181678976</v>
      </c>
      <c r="S145" s="96">
        <v>1.4548789131059261</v>
      </c>
      <c r="T145" s="96">
        <v>1.488643336582367</v>
      </c>
      <c r="U145" s="96">
        <v>1.4911909216792558</v>
      </c>
      <c r="V145" s="96">
        <v>1.4775299397657409</v>
      </c>
      <c r="W145" s="96">
        <v>1.4952102267740486</v>
      </c>
      <c r="X145" s="96">
        <v>1.5380823178100163</v>
      </c>
      <c r="Y145" s="96">
        <v>1.4911692184972849</v>
      </c>
      <c r="DA145" s="171" t="s">
        <v>556</v>
      </c>
    </row>
    <row r="146" spans="1:105" ht="11.45" customHeight="1" x14ac:dyDescent="0.25">
      <c r="A146" s="111" t="s">
        <v>112</v>
      </c>
      <c r="B146" s="96">
        <v>1.3924380169592372</v>
      </c>
      <c r="C146" s="96">
        <v>1.4214529902097619</v>
      </c>
      <c r="D146" s="96">
        <v>1.3892713464659434</v>
      </c>
      <c r="E146" s="96">
        <v>1.4029967558517245</v>
      </c>
      <c r="F146" s="96">
        <v>1.3831381338667865</v>
      </c>
      <c r="G146" s="96">
        <v>1.3901092506543697</v>
      </c>
      <c r="H146" s="96">
        <v>1.3909879519570139</v>
      </c>
      <c r="I146" s="96">
        <v>1.4004434078210424</v>
      </c>
      <c r="J146" s="96">
        <v>1.3841735746140806</v>
      </c>
      <c r="K146" s="96">
        <v>1.3374436401285799</v>
      </c>
      <c r="L146" s="96">
        <v>1.2740528594853255</v>
      </c>
      <c r="M146" s="96">
        <v>1.2987226298941534</v>
      </c>
      <c r="N146" s="96">
        <v>1.3860969969925514</v>
      </c>
      <c r="O146" s="96">
        <v>1.3716780204579528</v>
      </c>
      <c r="P146" s="96">
        <v>1.3429273884116719</v>
      </c>
      <c r="Q146" s="96">
        <v>1.3663291813133653</v>
      </c>
      <c r="R146" s="96">
        <v>1.416914961585841</v>
      </c>
      <c r="S146" s="96">
        <v>1.394264908240278</v>
      </c>
      <c r="T146" s="96">
        <v>1.4266586360274873</v>
      </c>
      <c r="U146" s="96">
        <v>1.4285388919371256</v>
      </c>
      <c r="V146" s="96">
        <v>1.4160615314468148</v>
      </c>
      <c r="W146" s="96">
        <v>1.4314407674198495</v>
      </c>
      <c r="X146" s="96">
        <v>1.4713288325884464</v>
      </c>
      <c r="Y146" s="96">
        <v>1.424753289561056</v>
      </c>
      <c r="DA146" s="171" t="s">
        <v>557</v>
      </c>
    </row>
    <row r="147" spans="1:105" ht="11.45" customHeight="1" x14ac:dyDescent="0.25">
      <c r="A147" s="111" t="s">
        <v>113</v>
      </c>
      <c r="B147" s="96">
        <v>0</v>
      </c>
      <c r="C147" s="96">
        <v>0</v>
      </c>
      <c r="D147" s="96">
        <v>0</v>
      </c>
      <c r="E147" s="96">
        <v>0</v>
      </c>
      <c r="F147" s="96">
        <v>0</v>
      </c>
      <c r="G147" s="96">
        <v>0</v>
      </c>
      <c r="H147" s="96">
        <v>0</v>
      </c>
      <c r="I147" s="96">
        <v>0</v>
      </c>
      <c r="J147" s="96">
        <v>0</v>
      </c>
      <c r="K147" s="96">
        <v>0</v>
      </c>
      <c r="L147" s="96">
        <v>1.2740528594853255</v>
      </c>
      <c r="M147" s="96">
        <v>1.2987226298941534</v>
      </c>
      <c r="N147" s="96">
        <v>1.3860969969925514</v>
      </c>
      <c r="O147" s="96">
        <v>1.3716780204579528</v>
      </c>
      <c r="P147" s="96">
        <v>1.3429273884116719</v>
      </c>
      <c r="Q147" s="96">
        <v>1.3663291813133653</v>
      </c>
      <c r="R147" s="96">
        <v>1.416914961585841</v>
      </c>
      <c r="S147" s="96">
        <v>1.394264908240278</v>
      </c>
      <c r="T147" s="96">
        <v>1.4266586360274873</v>
      </c>
      <c r="U147" s="96">
        <v>1.4285388919371254</v>
      </c>
      <c r="V147" s="96">
        <v>1.4160615314468148</v>
      </c>
      <c r="W147" s="96">
        <v>1.4314407674198495</v>
      </c>
      <c r="X147" s="96">
        <v>1.4713288325884464</v>
      </c>
      <c r="Y147" s="96">
        <v>1.424753289561056</v>
      </c>
      <c r="DA147" s="171" t="s">
        <v>558</v>
      </c>
    </row>
    <row r="148" spans="1:105" ht="11.45" customHeight="1" x14ac:dyDescent="0.25">
      <c r="A148" s="111" t="s">
        <v>114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0</v>
      </c>
      <c r="M148" s="96">
        <v>1.2987226298941534</v>
      </c>
      <c r="N148" s="96">
        <v>1.3860969969925514</v>
      </c>
      <c r="O148" s="96">
        <v>1.3716780204579528</v>
      </c>
      <c r="P148" s="96">
        <v>1.3429273884116719</v>
      </c>
      <c r="Q148" s="96">
        <v>1.3663291813133653</v>
      </c>
      <c r="R148" s="96">
        <v>1.416914961585841</v>
      </c>
      <c r="S148" s="96">
        <v>1.394264908240278</v>
      </c>
      <c r="T148" s="96">
        <v>1.4266586360274873</v>
      </c>
      <c r="U148" s="96">
        <v>1.4285388919371254</v>
      </c>
      <c r="V148" s="96">
        <v>1.4160615314468148</v>
      </c>
      <c r="W148" s="96">
        <v>1.4314407674198495</v>
      </c>
      <c r="X148" s="96">
        <v>1.4713288325884464</v>
      </c>
      <c r="Y148" s="96">
        <v>1.424753289561056</v>
      </c>
      <c r="DA148" s="171" t="s">
        <v>559</v>
      </c>
    </row>
    <row r="149" spans="1:105" ht="11.45" customHeight="1" x14ac:dyDescent="0.25">
      <c r="A149" s="111" t="s">
        <v>115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1.2842847599512088</v>
      </c>
      <c r="K149" s="96">
        <v>1.2409270887790949</v>
      </c>
      <c r="L149" s="96">
        <v>1.182110900553395</v>
      </c>
      <c r="M149" s="96">
        <v>1.2050003782523073</v>
      </c>
      <c r="N149" s="96">
        <v>1.2860693786528827</v>
      </c>
      <c r="O149" s="96">
        <v>1.2726909468166574</v>
      </c>
      <c r="P149" s="96">
        <v>1.246015102650005</v>
      </c>
      <c r="Q149" s="96">
        <v>1.2677281063732257</v>
      </c>
      <c r="R149" s="96">
        <v>1.3146633664198524</v>
      </c>
      <c r="S149" s="96">
        <v>1.2936478530064437</v>
      </c>
      <c r="T149" s="96">
        <v>1.3237038890976687</v>
      </c>
      <c r="U149" s="96">
        <v>1.3254484564365081</v>
      </c>
      <c r="V149" s="96">
        <v>1.3138715240228178</v>
      </c>
      <c r="W149" s="96">
        <v>1.3281409182246027</v>
      </c>
      <c r="X149" s="96">
        <v>1.3651504632263936</v>
      </c>
      <c r="Y149" s="96">
        <v>1.3219360418607737</v>
      </c>
      <c r="DA149" s="171" t="s">
        <v>560</v>
      </c>
    </row>
    <row r="150" spans="1:105" ht="11.45" customHeight="1" x14ac:dyDescent="0.25">
      <c r="A150" s="109" t="s">
        <v>21</v>
      </c>
      <c r="B150" s="130">
        <f t="shared" ref="B150:K150" si="203">IF(B13=0,0,B13/B40)</f>
        <v>22.964230615552321</v>
      </c>
      <c r="C150" s="130">
        <f t="shared" si="203"/>
        <v>21.01706254068948</v>
      </c>
      <c r="D150" s="130">
        <f t="shared" si="203"/>
        <v>18.500771842173325</v>
      </c>
      <c r="E150" s="130">
        <f t="shared" si="203"/>
        <v>19.754170573874756</v>
      </c>
      <c r="F150" s="130">
        <f t="shared" si="203"/>
        <v>20.52306258210761</v>
      </c>
      <c r="G150" s="130">
        <f t="shared" si="203"/>
        <v>18.712268286526587</v>
      </c>
      <c r="H150" s="130">
        <f t="shared" si="203"/>
        <v>17.738801279597453</v>
      </c>
      <c r="I150" s="130">
        <f t="shared" si="203"/>
        <v>17.788073058288806</v>
      </c>
      <c r="J150" s="130">
        <f t="shared" si="203"/>
        <v>17.168532526569795</v>
      </c>
      <c r="K150" s="130">
        <f t="shared" si="203"/>
        <v>15.960392396599701</v>
      </c>
      <c r="L150" s="130">
        <f t="shared" ref="L150" si="204">IF(L13=0,0,L13/L40)</f>
        <v>15.573284284797415</v>
      </c>
      <c r="M150" s="130">
        <f t="shared" ref="M150:V150" si="205">IF(M13=0,0,M13/M40)</f>
        <v>14.95134497153388</v>
      </c>
      <c r="N150" s="130">
        <f t="shared" si="205"/>
        <v>18.072646246512214</v>
      </c>
      <c r="O150" s="130">
        <f t="shared" si="205"/>
        <v>19.457226379430132</v>
      </c>
      <c r="P150" s="130">
        <f t="shared" si="205"/>
        <v>15.066910452826294</v>
      </c>
      <c r="Q150" s="130">
        <f t="shared" si="205"/>
        <v>14.514200696086501</v>
      </c>
      <c r="R150" s="130">
        <f t="shared" si="205"/>
        <v>13.308738643778545</v>
      </c>
      <c r="S150" s="130">
        <f t="shared" si="205"/>
        <v>15.11282761300979</v>
      </c>
      <c r="T150" s="130">
        <f t="shared" si="205"/>
        <v>15.148425277192031</v>
      </c>
      <c r="U150" s="130">
        <f t="shared" si="205"/>
        <v>16.784653028277376</v>
      </c>
      <c r="V150" s="130">
        <f t="shared" si="205"/>
        <v>12.704346372450685</v>
      </c>
      <c r="W150" s="130">
        <f t="shared" ref="W150:Y150" si="206">IF(W13=0,0,W13/W40)</f>
        <v>14.62416868587926</v>
      </c>
      <c r="X150" s="130">
        <f t="shared" si="206"/>
        <v>18.181658236199695</v>
      </c>
      <c r="Y150" s="130">
        <f t="shared" si="206"/>
        <v>17.216411906677394</v>
      </c>
      <c r="DA150" s="176" t="s">
        <v>561</v>
      </c>
    </row>
    <row r="151" spans="1:105" ht="11.45" customHeight="1" x14ac:dyDescent="0.25">
      <c r="A151" s="111" t="s">
        <v>110</v>
      </c>
      <c r="B151" s="97">
        <v>0</v>
      </c>
      <c r="C151" s="97">
        <v>0</v>
      </c>
      <c r="D151" s="97">
        <v>0</v>
      </c>
      <c r="E151" s="97">
        <v>0</v>
      </c>
      <c r="F151" s="97">
        <v>0</v>
      </c>
      <c r="G151" s="97">
        <v>0</v>
      </c>
      <c r="H151" s="97">
        <v>0</v>
      </c>
      <c r="I151" s="97">
        <v>0</v>
      </c>
      <c r="J151" s="97">
        <v>0</v>
      </c>
      <c r="K151" s="97">
        <v>0</v>
      </c>
      <c r="L151" s="97">
        <v>6.5989724724922088</v>
      </c>
      <c r="M151" s="97">
        <v>6.5750517296743798</v>
      </c>
      <c r="N151" s="97">
        <v>6.9510177871200831</v>
      </c>
      <c r="O151" s="97">
        <v>7.4835486074731259</v>
      </c>
      <c r="P151" s="97">
        <v>6.5794965558779337</v>
      </c>
      <c r="Q151" s="97">
        <v>6.5582384883110194</v>
      </c>
      <c r="R151" s="97">
        <v>6.5118745632222517</v>
      </c>
      <c r="S151" s="97">
        <v>6.5812626005003763</v>
      </c>
      <c r="T151" s="97">
        <v>6.5826317414304629</v>
      </c>
      <c r="U151" s="97">
        <v>6.6455635780106688</v>
      </c>
      <c r="V151" s="97">
        <v>6.4886287066327188</v>
      </c>
      <c r="W151" s="97">
        <v>6.562468026379972</v>
      </c>
      <c r="X151" s="97">
        <v>6.992945475461422</v>
      </c>
      <c r="Y151" s="97">
        <v>6.662169688718361</v>
      </c>
      <c r="DA151" s="175" t="s">
        <v>562</v>
      </c>
    </row>
    <row r="152" spans="1:105" ht="11.45" customHeight="1" x14ac:dyDescent="0.25">
      <c r="A152" s="111" t="s">
        <v>111</v>
      </c>
      <c r="B152" s="97">
        <v>22.964230615552324</v>
      </c>
      <c r="C152" s="97">
        <v>21.017062540689476</v>
      </c>
      <c r="D152" s="97">
        <v>18.500771842173325</v>
      </c>
      <c r="E152" s="97">
        <v>19.754170573874756</v>
      </c>
      <c r="F152" s="97">
        <v>20.52306258210761</v>
      </c>
      <c r="G152" s="97">
        <v>18.712268286526587</v>
      </c>
      <c r="H152" s="97">
        <v>17.738801279597457</v>
      </c>
      <c r="I152" s="97">
        <v>17.788073058288806</v>
      </c>
      <c r="J152" s="97">
        <v>17.168532526569795</v>
      </c>
      <c r="K152" s="97">
        <v>15.960392396599701</v>
      </c>
      <c r="L152" s="97">
        <v>15.574908699199913</v>
      </c>
      <c r="M152" s="97">
        <v>14.952903870415399</v>
      </c>
      <c r="N152" s="97">
        <v>18.075200808943041</v>
      </c>
      <c r="O152" s="97">
        <v>19.460541808180199</v>
      </c>
      <c r="P152" s="97">
        <v>15.068847733254346</v>
      </c>
      <c r="Q152" s="97">
        <v>14.516334898294133</v>
      </c>
      <c r="R152" s="97">
        <v>13.310757825487412</v>
      </c>
      <c r="S152" s="97">
        <v>15.115006748717725</v>
      </c>
      <c r="T152" s="97">
        <v>15.150561149344899</v>
      </c>
      <c r="U152" s="97">
        <v>16.787098595223281</v>
      </c>
      <c r="V152" s="97">
        <v>12.705883894878363</v>
      </c>
      <c r="W152" s="97">
        <v>14.626130479957762</v>
      </c>
      <c r="X152" s="97">
        <v>18.184220139777668</v>
      </c>
      <c r="Y152" s="97">
        <v>17.2188009744381</v>
      </c>
      <c r="DA152" s="175" t="s">
        <v>563</v>
      </c>
    </row>
    <row r="153" spans="1:105" ht="11.45" customHeight="1" x14ac:dyDescent="0.25">
      <c r="A153" s="111" t="s">
        <v>112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0</v>
      </c>
      <c r="K153" s="97">
        <v>0</v>
      </c>
      <c r="L153" s="97">
        <v>15.574908699199911</v>
      </c>
      <c r="M153" s="97">
        <v>14.952903870415401</v>
      </c>
      <c r="N153" s="97">
        <v>18.075200808943038</v>
      </c>
      <c r="O153" s="97">
        <v>19.460541808180196</v>
      </c>
      <c r="P153" s="97">
        <v>15.068847733254346</v>
      </c>
      <c r="Q153" s="97">
        <v>14.516334898294133</v>
      </c>
      <c r="R153" s="97">
        <v>13.310757825487412</v>
      </c>
      <c r="S153" s="97">
        <v>15.115006748717727</v>
      </c>
      <c r="T153" s="97">
        <v>15.150561149344897</v>
      </c>
      <c r="U153" s="97">
        <v>16.787098595223281</v>
      </c>
      <c r="V153" s="97">
        <v>12.705883894878362</v>
      </c>
      <c r="W153" s="97">
        <v>14.62613047995776</v>
      </c>
      <c r="X153" s="97">
        <v>18.184220139777668</v>
      </c>
      <c r="Y153" s="97">
        <v>17.2188009744381</v>
      </c>
      <c r="DA153" s="175" t="s">
        <v>564</v>
      </c>
    </row>
    <row r="154" spans="1:105" ht="11.45" customHeight="1" x14ac:dyDescent="0.25">
      <c r="A154" s="111" t="s">
        <v>113</v>
      </c>
      <c r="B154" s="97">
        <v>22.964230615552321</v>
      </c>
      <c r="C154" s="97">
        <v>21.01706254068948</v>
      </c>
      <c r="D154" s="97">
        <v>18.500771842173325</v>
      </c>
      <c r="E154" s="97">
        <v>19.754170573874756</v>
      </c>
      <c r="F154" s="97">
        <v>20.52306258210761</v>
      </c>
      <c r="G154" s="97">
        <v>18.712268286526587</v>
      </c>
      <c r="H154" s="97">
        <v>17.738801279597453</v>
      </c>
      <c r="I154" s="97">
        <v>17.788073058288802</v>
      </c>
      <c r="J154" s="97">
        <v>17.168532526569795</v>
      </c>
      <c r="K154" s="97">
        <v>15.960392396599703</v>
      </c>
      <c r="L154" s="97">
        <v>15.574908699199911</v>
      </c>
      <c r="M154" s="97">
        <v>14.952903870415399</v>
      </c>
      <c r="N154" s="97">
        <v>18.075200808943038</v>
      </c>
      <c r="O154" s="97">
        <v>19.460541808180196</v>
      </c>
      <c r="P154" s="97">
        <v>15.068847733254346</v>
      </c>
      <c r="Q154" s="97">
        <v>14.516334898294135</v>
      </c>
      <c r="R154" s="97">
        <v>13.310757825487412</v>
      </c>
      <c r="S154" s="97">
        <v>15.115006748717727</v>
      </c>
      <c r="T154" s="97">
        <v>15.150561149344897</v>
      </c>
      <c r="U154" s="97">
        <v>16.787098595223281</v>
      </c>
      <c r="V154" s="97">
        <v>12.705883894878362</v>
      </c>
      <c r="W154" s="97">
        <v>14.62613047995776</v>
      </c>
      <c r="X154" s="97">
        <v>18.184220139777668</v>
      </c>
      <c r="Y154" s="97">
        <v>17.2188009744381</v>
      </c>
      <c r="DA154" s="175" t="s">
        <v>565</v>
      </c>
    </row>
    <row r="155" spans="1:105" ht="11.45" customHeight="1" x14ac:dyDescent="0.25">
      <c r="A155" s="111" t="s">
        <v>115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15.574908699199913</v>
      </c>
      <c r="M155" s="97">
        <v>14.952903870415401</v>
      </c>
      <c r="N155" s="97">
        <v>18.075200808943038</v>
      </c>
      <c r="O155" s="97">
        <v>19.460541808180196</v>
      </c>
      <c r="P155" s="97">
        <v>15.068847733254344</v>
      </c>
      <c r="Q155" s="97">
        <v>14.516334898294135</v>
      </c>
      <c r="R155" s="97">
        <v>13.310757825487412</v>
      </c>
      <c r="S155" s="97">
        <v>15.115006748717727</v>
      </c>
      <c r="T155" s="97">
        <v>15.150561149344897</v>
      </c>
      <c r="U155" s="97">
        <v>16.787098595223281</v>
      </c>
      <c r="V155" s="97">
        <v>12.705883894878362</v>
      </c>
      <c r="W155" s="97">
        <v>14.62613047995776</v>
      </c>
      <c r="X155" s="97">
        <v>18.184220139777665</v>
      </c>
      <c r="Y155" s="97">
        <v>17.2188009744381</v>
      </c>
      <c r="DA155" s="175" t="s">
        <v>566</v>
      </c>
    </row>
    <row r="156" spans="1:105" ht="11.45" customHeight="1" x14ac:dyDescent="0.25">
      <c r="A156" s="27" t="s">
        <v>101</v>
      </c>
      <c r="B156" s="32">
        <f t="shared" ref="B156:K156" si="207">IF(B19=0,0,B19/B46)</f>
        <v>1.2397058420084599</v>
      </c>
      <c r="C156" s="32">
        <f t="shared" si="207"/>
        <v>1.3441035030139454</v>
      </c>
      <c r="D156" s="32">
        <f t="shared" si="207"/>
        <v>1.2788644740451198</v>
      </c>
      <c r="E156" s="32">
        <f t="shared" si="207"/>
        <v>1.2590653908246106</v>
      </c>
      <c r="F156" s="32">
        <f t="shared" si="207"/>
        <v>1.5191766905199446</v>
      </c>
      <c r="G156" s="32">
        <f t="shared" si="207"/>
        <v>1.5721438087400508</v>
      </c>
      <c r="H156" s="32">
        <f t="shared" si="207"/>
        <v>1.5873229978282635</v>
      </c>
      <c r="I156" s="32">
        <f t="shared" si="207"/>
        <v>1.711221277886275</v>
      </c>
      <c r="J156" s="32">
        <f t="shared" si="207"/>
        <v>1.5727461956114608</v>
      </c>
      <c r="K156" s="32">
        <f t="shared" si="207"/>
        <v>1.4023624906445094</v>
      </c>
      <c r="L156" s="32">
        <f t="shared" ref="L156" si="208">IF(L19=0,0,L19/L46)</f>
        <v>1.2909068717511383</v>
      </c>
      <c r="M156" s="32">
        <f t="shared" ref="M156:V156" si="209">IF(M19=0,0,M19/M46)</f>
        <v>1.4291456923418084</v>
      </c>
      <c r="N156" s="32">
        <f t="shared" si="209"/>
        <v>1.44253056054919</v>
      </c>
      <c r="O156" s="32">
        <f t="shared" si="209"/>
        <v>1.4487766086645699</v>
      </c>
      <c r="P156" s="32">
        <f t="shared" si="209"/>
        <v>1.4311074888859017</v>
      </c>
      <c r="Q156" s="32">
        <f t="shared" si="209"/>
        <v>1.375258963945869</v>
      </c>
      <c r="R156" s="32">
        <f t="shared" si="209"/>
        <v>1.3440299682076515</v>
      </c>
      <c r="S156" s="32">
        <f t="shared" si="209"/>
        <v>1.3211742633774379</v>
      </c>
      <c r="T156" s="32">
        <f t="shared" si="209"/>
        <v>1.2853039808357136</v>
      </c>
      <c r="U156" s="32">
        <f t="shared" si="209"/>
        <v>1.2562973866409055</v>
      </c>
      <c r="V156" s="32">
        <f t="shared" si="209"/>
        <v>1.2451677880962091</v>
      </c>
      <c r="W156" s="32">
        <f t="shared" ref="W156:Y156" si="210">IF(W19=0,0,W19/W46)</f>
        <v>1.2527393105179303</v>
      </c>
      <c r="X156" s="32">
        <f t="shared" si="210"/>
        <v>1.1347664232837036</v>
      </c>
      <c r="Y156" s="32">
        <f t="shared" si="210"/>
        <v>0.94144581952387463</v>
      </c>
      <c r="DA156" s="173" t="s">
        <v>567</v>
      </c>
    </row>
    <row r="157" spans="1:105" ht="11.45" customHeight="1" x14ac:dyDescent="0.25">
      <c r="A157" s="136" t="s">
        <v>153</v>
      </c>
      <c r="B157" s="141">
        <f t="shared" ref="B157:K157" si="211">IF(B20=0,0,B20/B47)</f>
        <v>0.15713565859314946</v>
      </c>
      <c r="C157" s="141">
        <f t="shared" si="211"/>
        <v>0.15966552652084842</v>
      </c>
      <c r="D157" s="141">
        <f t="shared" si="211"/>
        <v>0.15857183018761617</v>
      </c>
      <c r="E157" s="141">
        <f t="shared" si="211"/>
        <v>0.15645207887815826</v>
      </c>
      <c r="F157" s="141">
        <f t="shared" si="211"/>
        <v>0.15800262564209916</v>
      </c>
      <c r="G157" s="141">
        <f t="shared" si="211"/>
        <v>0.15956352750735583</v>
      </c>
      <c r="H157" s="141">
        <f t="shared" si="211"/>
        <v>0.15956627318337727</v>
      </c>
      <c r="I157" s="141">
        <f t="shared" si="211"/>
        <v>0.16121241122529464</v>
      </c>
      <c r="J157" s="141">
        <f t="shared" si="211"/>
        <v>0.16083792195701319</v>
      </c>
      <c r="K157" s="141">
        <f t="shared" si="211"/>
        <v>0.16018262446418183</v>
      </c>
      <c r="L157" s="141">
        <f t="shared" ref="L157" si="212">IF(L20=0,0,L20/L47)</f>
        <v>0.16052518506267277</v>
      </c>
      <c r="M157" s="141">
        <f t="shared" ref="M157:V157" si="213">IF(M20=0,0,M20/M47)</f>
        <v>0.16408517992823674</v>
      </c>
      <c r="N157" s="141">
        <f t="shared" si="213"/>
        <v>0.16485895619519014</v>
      </c>
      <c r="O157" s="141">
        <f t="shared" si="213"/>
        <v>0.1661999206471643</v>
      </c>
      <c r="P157" s="141">
        <f t="shared" si="213"/>
        <v>0.16596746387684705</v>
      </c>
      <c r="Q157" s="141">
        <f t="shared" si="213"/>
        <v>0.16473298651467944</v>
      </c>
      <c r="R157" s="141">
        <f t="shared" si="213"/>
        <v>0.16347856471157657</v>
      </c>
      <c r="S157" s="141">
        <f t="shared" si="213"/>
        <v>0.16244091999191415</v>
      </c>
      <c r="T157" s="141">
        <f t="shared" si="213"/>
        <v>0.16215466541819659</v>
      </c>
      <c r="U157" s="141">
        <f t="shared" si="213"/>
        <v>0.16426732434646879</v>
      </c>
      <c r="V157" s="141">
        <f t="shared" si="213"/>
        <v>0.1671507510809668</v>
      </c>
      <c r="W157" s="141">
        <f t="shared" ref="W157:Y157" si="214">IF(W20=0,0,W20/W47)</f>
        <v>0.16367473658237425</v>
      </c>
      <c r="X157" s="141">
        <f t="shared" si="214"/>
        <v>0.15961867496885127</v>
      </c>
      <c r="Y157" s="141">
        <f t="shared" si="214"/>
        <v>0.15565111815566027</v>
      </c>
      <c r="DA157" s="174" t="s">
        <v>568</v>
      </c>
    </row>
    <row r="158" spans="1:105" ht="11.45" customHeight="1" x14ac:dyDescent="0.25">
      <c r="A158" s="111" t="s">
        <v>110</v>
      </c>
      <c r="B158" s="96">
        <v>0.12734338433757805</v>
      </c>
      <c r="C158" s="96">
        <v>0.12974287065364962</v>
      </c>
      <c r="D158" s="96">
        <v>0.12866341122968467</v>
      </c>
      <c r="E158" s="96">
        <v>0.12666142564047167</v>
      </c>
      <c r="F158" s="96">
        <v>0.12812866793775685</v>
      </c>
      <c r="G158" s="96">
        <v>0.12963277413399818</v>
      </c>
      <c r="H158" s="96">
        <v>0.12962266697649741</v>
      </c>
      <c r="I158" s="96">
        <v>0.13121432608705103</v>
      </c>
      <c r="J158" s="96">
        <v>0.13083649757490623</v>
      </c>
      <c r="K158" s="96">
        <v>0.13018569724556095</v>
      </c>
      <c r="L158" s="96">
        <v>0.13039471220427576</v>
      </c>
      <c r="M158" s="96">
        <v>0.13329154262771098</v>
      </c>
      <c r="N158" s="96">
        <v>0.13350178313895533</v>
      </c>
      <c r="O158" s="96">
        <v>0.13423675599253382</v>
      </c>
      <c r="P158" s="96">
        <v>0.13342636932451662</v>
      </c>
      <c r="Q158" s="96">
        <v>0.13173752601156072</v>
      </c>
      <c r="R158" s="96">
        <v>0.13175646384596743</v>
      </c>
      <c r="S158" s="96">
        <v>0.13196243974857624</v>
      </c>
      <c r="T158" s="96">
        <v>0.13276272226180544</v>
      </c>
      <c r="U158" s="96">
        <v>0.13559740589789154</v>
      </c>
      <c r="V158" s="96">
        <v>0.13892979109689052</v>
      </c>
      <c r="W158" s="96">
        <v>0.13615171433282414</v>
      </c>
      <c r="X158" s="96">
        <v>0.13256125623824841</v>
      </c>
      <c r="Y158" s="96">
        <v>0.12944203749540001</v>
      </c>
      <c r="DA158" s="171" t="s">
        <v>569</v>
      </c>
    </row>
    <row r="159" spans="1:105" ht="11.45" customHeight="1" x14ac:dyDescent="0.25">
      <c r="A159" s="111" t="s">
        <v>111</v>
      </c>
      <c r="B159" s="96">
        <v>0.15753053300573225</v>
      </c>
      <c r="C159" s="96">
        <v>0.16001487412123844</v>
      </c>
      <c r="D159" s="96">
        <v>0.15891266731959874</v>
      </c>
      <c r="E159" s="96">
        <v>0.15683599522075134</v>
      </c>
      <c r="F159" s="96">
        <v>0.15835711242902528</v>
      </c>
      <c r="G159" s="96">
        <v>0.15990646252988172</v>
      </c>
      <c r="H159" s="96">
        <v>0.15990071656048843</v>
      </c>
      <c r="I159" s="96">
        <v>0.16153597025662411</v>
      </c>
      <c r="J159" s="96">
        <v>0.16115409443289586</v>
      </c>
      <c r="K159" s="96">
        <v>0.16049203622397235</v>
      </c>
      <c r="L159" s="96">
        <v>0.16082818402454496</v>
      </c>
      <c r="M159" s="96">
        <v>0.16436549426497174</v>
      </c>
      <c r="N159" s="96">
        <v>0.16514386555948588</v>
      </c>
      <c r="O159" s="96">
        <v>0.16647212078294155</v>
      </c>
      <c r="P159" s="96">
        <v>0.16621320471979276</v>
      </c>
      <c r="Q159" s="96">
        <v>0.16500945986196658</v>
      </c>
      <c r="R159" s="96">
        <v>0.16371800756664875</v>
      </c>
      <c r="S159" s="96">
        <v>0.16266721725347397</v>
      </c>
      <c r="T159" s="96">
        <v>0.16234952813106479</v>
      </c>
      <c r="U159" s="96">
        <v>0.16449452354471381</v>
      </c>
      <c r="V159" s="96">
        <v>0.16731784437910663</v>
      </c>
      <c r="W159" s="96">
        <v>0.16382961789327435</v>
      </c>
      <c r="X159" s="96">
        <v>0.15976102802654807</v>
      </c>
      <c r="Y159" s="96">
        <v>0.15575594950173696</v>
      </c>
      <c r="DA159" s="171" t="s">
        <v>570</v>
      </c>
    </row>
    <row r="160" spans="1:105" ht="11.45" customHeight="1" x14ac:dyDescent="0.25">
      <c r="A160" s="111" t="s">
        <v>112</v>
      </c>
      <c r="B160" s="96">
        <v>0.12851598720586677</v>
      </c>
      <c r="C160" s="96">
        <v>0.13053082589106671</v>
      </c>
      <c r="D160" s="96">
        <v>0.12962518370701562</v>
      </c>
      <c r="E160" s="96">
        <v>0.12794219879739904</v>
      </c>
      <c r="F160" s="96">
        <v>0.12917607750163068</v>
      </c>
      <c r="G160" s="96">
        <v>0.13031186451648244</v>
      </c>
      <c r="H160" s="96">
        <v>0.13004174218639689</v>
      </c>
      <c r="I160" s="96">
        <v>0.13110725842254195</v>
      </c>
      <c r="J160" s="96">
        <v>0.13052994484143554</v>
      </c>
      <c r="K160" s="96">
        <v>0.12972763371347373</v>
      </c>
      <c r="L160" s="96">
        <v>0.1297342869380112</v>
      </c>
      <c r="M160" s="96">
        <v>0.13231110826190404</v>
      </c>
      <c r="N160" s="96">
        <v>0.13266490805160069</v>
      </c>
      <c r="O160" s="96">
        <v>0.13345424874885639</v>
      </c>
      <c r="P160" s="96">
        <v>0.13296283956842969</v>
      </c>
      <c r="Q160" s="96">
        <v>0.13173752601156072</v>
      </c>
      <c r="R160" s="96">
        <v>0.13157463269387709</v>
      </c>
      <c r="S160" s="96">
        <v>0.13156735530590666</v>
      </c>
      <c r="T160" s="96">
        <v>0.13205260179042955</v>
      </c>
      <c r="U160" s="96">
        <v>0.13421579544629275</v>
      </c>
      <c r="V160" s="96">
        <v>0.13677317794244812</v>
      </c>
      <c r="W160" s="96">
        <v>0.13466323098553123</v>
      </c>
      <c r="X160" s="96">
        <v>0.1315187234551875</v>
      </c>
      <c r="Y160" s="96">
        <v>0.12902445831659623</v>
      </c>
      <c r="DA160" s="171" t="s">
        <v>571</v>
      </c>
    </row>
    <row r="161" spans="1:105" ht="11.45" customHeight="1" x14ac:dyDescent="0.25">
      <c r="A161" s="111" t="s">
        <v>113</v>
      </c>
      <c r="B161" s="96">
        <v>0</v>
      </c>
      <c r="C161" s="96">
        <v>0</v>
      </c>
      <c r="D161" s="96">
        <v>0</v>
      </c>
      <c r="E161" s="96">
        <v>0</v>
      </c>
      <c r="F161" s="96">
        <v>0</v>
      </c>
      <c r="G161" s="96">
        <v>0</v>
      </c>
      <c r="H161" s="96">
        <v>0</v>
      </c>
      <c r="I161" s="96">
        <v>0</v>
      </c>
      <c r="J161" s="96">
        <v>0</v>
      </c>
      <c r="K161" s="96">
        <v>0</v>
      </c>
      <c r="L161" s="96">
        <v>0</v>
      </c>
      <c r="M161" s="96">
        <v>0</v>
      </c>
      <c r="N161" s="96">
        <v>0</v>
      </c>
      <c r="O161" s="96">
        <v>0.13351382984971219</v>
      </c>
      <c r="P161" s="96">
        <v>0.13301103480898735</v>
      </c>
      <c r="Q161" s="96">
        <v>0.13173752601156072</v>
      </c>
      <c r="R161" s="96">
        <v>0.13155327110727211</v>
      </c>
      <c r="S161" s="96">
        <v>0.13153241098766927</v>
      </c>
      <c r="T161" s="96">
        <v>0.13202856140210037</v>
      </c>
      <c r="U161" s="96">
        <v>0.13428692950914387</v>
      </c>
      <c r="V161" s="96">
        <v>0.13696111072757786</v>
      </c>
      <c r="W161" s="96">
        <v>0.13472994061151991</v>
      </c>
      <c r="X161" s="96">
        <v>0.13141530658482092</v>
      </c>
      <c r="Y161" s="96">
        <v>0.12878669169427831</v>
      </c>
      <c r="DA161" s="171" t="s">
        <v>572</v>
      </c>
    </row>
    <row r="162" spans="1:105" ht="11.45" customHeight="1" x14ac:dyDescent="0.25">
      <c r="A162" s="111" t="s">
        <v>115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0.16731909070875461</v>
      </c>
      <c r="N162" s="96">
        <v>0.16727993846064845</v>
      </c>
      <c r="O162" s="96">
        <v>0.1672135221120141</v>
      </c>
      <c r="P162" s="96">
        <v>0.16719948547306002</v>
      </c>
      <c r="Q162" s="96">
        <v>0.16713890238358126</v>
      </c>
      <c r="R162" s="96">
        <v>0.16716604235591553</v>
      </c>
      <c r="S162" s="96">
        <v>0.16718330630616493</v>
      </c>
      <c r="T162" s="96">
        <v>0.16719727795008835</v>
      </c>
      <c r="U162" s="96">
        <v>0.16731635233357442</v>
      </c>
      <c r="V162" s="96">
        <v>0.16944612765112224</v>
      </c>
      <c r="W162" s="96">
        <v>0.16732214138091489</v>
      </c>
      <c r="X162" s="96">
        <v>0.16751452246607623</v>
      </c>
      <c r="Y162" s="96">
        <v>0.16769182403571442</v>
      </c>
      <c r="DA162" s="171" t="s">
        <v>573</v>
      </c>
    </row>
    <row r="163" spans="1:105" ht="11.45" customHeight="1" x14ac:dyDescent="0.25">
      <c r="A163" s="109" t="s">
        <v>154</v>
      </c>
      <c r="B163" s="130">
        <f t="shared" ref="B163:K163" si="215">IF(B26=0,0,B26/B53)</f>
        <v>10.330487497901869</v>
      </c>
      <c r="C163" s="130">
        <f t="shared" si="215"/>
        <v>10.215499753756372</v>
      </c>
      <c r="D163" s="130">
        <f t="shared" si="215"/>
        <v>10.288574093586645</v>
      </c>
      <c r="E163" s="130">
        <f t="shared" si="215"/>
        <v>10.120288280421327</v>
      </c>
      <c r="F163" s="130">
        <f t="shared" si="215"/>
        <v>9.9508201765830187</v>
      </c>
      <c r="G163" s="130">
        <f t="shared" si="215"/>
        <v>9.6552350962301539</v>
      </c>
      <c r="H163" s="130">
        <f t="shared" si="215"/>
        <v>9.795930061139817</v>
      </c>
      <c r="I163" s="130">
        <f t="shared" si="215"/>
        <v>9.9778703328382132</v>
      </c>
      <c r="J163" s="130">
        <f t="shared" si="215"/>
        <v>9.6299933429552986</v>
      </c>
      <c r="K163" s="130">
        <f t="shared" si="215"/>
        <v>9.5003854283257532</v>
      </c>
      <c r="L163" s="130">
        <f t="shared" ref="L163" si="216">IF(L26=0,0,L26/L53)</f>
        <v>8.4709200328470367</v>
      </c>
      <c r="M163" s="130">
        <f t="shared" ref="M163:V163" si="217">IF(M26=0,0,M26/M53)</f>
        <v>8.738838807683722</v>
      </c>
      <c r="N163" s="130">
        <f t="shared" si="217"/>
        <v>9.4824107830149966</v>
      </c>
      <c r="O163" s="130">
        <f t="shared" si="217"/>
        <v>9.5662080008596337</v>
      </c>
      <c r="P163" s="130">
        <f t="shared" si="217"/>
        <v>10.516726432771138</v>
      </c>
      <c r="Q163" s="130">
        <f t="shared" si="217"/>
        <v>9.1755143504679832</v>
      </c>
      <c r="R163" s="130">
        <f t="shared" si="217"/>
        <v>9.400758625127434</v>
      </c>
      <c r="S163" s="130">
        <f t="shared" si="217"/>
        <v>9.6211381476258389</v>
      </c>
      <c r="T163" s="130">
        <f t="shared" si="217"/>
        <v>9.6557886213615074</v>
      </c>
      <c r="U163" s="130">
        <f t="shared" si="217"/>
        <v>9.7497859849356878</v>
      </c>
      <c r="V163" s="130">
        <f t="shared" si="217"/>
        <v>9.6418909746652233</v>
      </c>
      <c r="W163" s="130">
        <f t="shared" ref="W163:Y163" si="218">IF(W26=0,0,W26/W53)</f>
        <v>9.7399842233357425</v>
      </c>
      <c r="X163" s="130">
        <f t="shared" si="218"/>
        <v>9.9248309319876888</v>
      </c>
      <c r="Y163" s="130">
        <f t="shared" si="218"/>
        <v>9.4573648272709647</v>
      </c>
      <c r="DA163" s="176" t="s">
        <v>574</v>
      </c>
    </row>
    <row r="164" spans="1:105" ht="11.45" customHeight="1" x14ac:dyDescent="0.25">
      <c r="A164" s="128" t="s">
        <v>27</v>
      </c>
      <c r="B164" s="97">
        <v>9.48</v>
      </c>
      <c r="C164" s="97">
        <v>9.4079401611047189</v>
      </c>
      <c r="D164" s="97">
        <v>9.3575909661229613</v>
      </c>
      <c r="E164" s="97">
        <v>9.1253213367609263</v>
      </c>
      <c r="F164" s="97">
        <v>9.0243271221532098</v>
      </c>
      <c r="G164" s="97">
        <v>8.6661698956780917</v>
      </c>
      <c r="H164" s="97">
        <v>8.748129675810473</v>
      </c>
      <c r="I164" s="97">
        <v>8.9013605442176864</v>
      </c>
      <c r="J164" s="97">
        <v>8.6129843985908412</v>
      </c>
      <c r="K164" s="97">
        <v>8.3423944476576057</v>
      </c>
      <c r="L164" s="97">
        <v>7.120508568269762</v>
      </c>
      <c r="M164" s="97">
        <v>7.3296703296703294</v>
      </c>
      <c r="N164" s="97">
        <v>8.2145481263776627</v>
      </c>
      <c r="O164" s="97">
        <v>7.9910057236304173</v>
      </c>
      <c r="P164" s="97">
        <v>9.1352530541012218</v>
      </c>
      <c r="Q164" s="97">
        <v>7.7969653179190752</v>
      </c>
      <c r="R164" s="97">
        <v>7.913109756097561</v>
      </c>
      <c r="S164" s="97">
        <v>8.2227272727272727</v>
      </c>
      <c r="T164" s="97">
        <v>8.1501547987616103</v>
      </c>
      <c r="U164" s="97">
        <v>8.2446555819477432</v>
      </c>
      <c r="V164" s="97">
        <v>8.159027128157156</v>
      </c>
      <c r="W164" s="97">
        <v>8.0939655172413794</v>
      </c>
      <c r="X164" s="97">
        <v>8.1871609403254979</v>
      </c>
      <c r="Y164" s="97">
        <v>7.5394477317554243</v>
      </c>
      <c r="DA164" s="175" t="s">
        <v>575</v>
      </c>
    </row>
    <row r="165" spans="1:105" ht="11.45" customHeight="1" x14ac:dyDescent="0.25">
      <c r="A165" s="138" t="s">
        <v>116</v>
      </c>
      <c r="B165" s="98">
        <v>14.257421972058399</v>
      </c>
      <c r="C165" s="98">
        <v>14.245058387803748</v>
      </c>
      <c r="D165" s="98">
        <v>14.338603689647607</v>
      </c>
      <c r="E165" s="98">
        <v>14.254152494203543</v>
      </c>
      <c r="F165" s="98">
        <v>13.993137904941619</v>
      </c>
      <c r="G165" s="98">
        <v>13.999403714336369</v>
      </c>
      <c r="H165" s="98">
        <v>14.088849058887034</v>
      </c>
      <c r="I165" s="98">
        <v>14.115262081857326</v>
      </c>
      <c r="J165" s="98">
        <v>13.915448013039786</v>
      </c>
      <c r="K165" s="98">
        <v>13.731801555818866</v>
      </c>
      <c r="L165" s="98">
        <v>14.178700182725073</v>
      </c>
      <c r="M165" s="98">
        <v>14.133203670456812</v>
      </c>
      <c r="N165" s="98">
        <v>14.086426180736332</v>
      </c>
      <c r="O165" s="98">
        <v>14.105166269382361</v>
      </c>
      <c r="P165" s="98">
        <v>14.138211571635042</v>
      </c>
      <c r="Q165" s="98">
        <v>14.005556317739059</v>
      </c>
      <c r="R165" s="98">
        <v>13.933281647068958</v>
      </c>
      <c r="S165" s="98">
        <v>14.0120381138928</v>
      </c>
      <c r="T165" s="98">
        <v>14.146454243557947</v>
      </c>
      <c r="U165" s="98">
        <v>14.062037656310167</v>
      </c>
      <c r="V165" s="98">
        <v>13.861910981613583</v>
      </c>
      <c r="W165" s="98">
        <v>14.046303126595927</v>
      </c>
      <c r="X165" s="98">
        <v>13.993433342768185</v>
      </c>
      <c r="Y165" s="98">
        <v>13.837303725369457</v>
      </c>
      <c r="DA165" s="178" t="s">
        <v>576</v>
      </c>
    </row>
    <row r="166" spans="1:105" ht="11.45" customHeight="1" x14ac:dyDescent="0.25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DA166" s="171"/>
    </row>
    <row r="167" spans="1:105" ht="11.45" customHeight="1" x14ac:dyDescent="0.25">
      <c r="A167" s="53" t="s">
        <v>136</v>
      </c>
      <c r="B167" s="54">
        <f t="shared" ref="B167:V180" si="219">IF(B30=0,0,B30*1000000/B57)</f>
        <v>12668.876501273635</v>
      </c>
      <c r="C167" s="54">
        <f t="shared" si="219"/>
        <v>12213.764093886048</v>
      </c>
      <c r="D167" s="54">
        <f t="shared" si="219"/>
        <v>12402.474795003325</v>
      </c>
      <c r="E167" s="54">
        <f t="shared" si="219"/>
        <v>12770.394382489938</v>
      </c>
      <c r="F167" s="54">
        <f t="shared" si="219"/>
        <v>12760.465039848857</v>
      </c>
      <c r="G167" s="54">
        <f t="shared" si="219"/>
        <v>12615.424803311846</v>
      </c>
      <c r="H167" s="54">
        <f t="shared" si="219"/>
        <v>12614.120309493543</v>
      </c>
      <c r="I167" s="54">
        <f t="shared" si="219"/>
        <v>12364.075033877929</v>
      </c>
      <c r="J167" s="54">
        <f t="shared" si="219"/>
        <v>12466.956936398345</v>
      </c>
      <c r="K167" s="54">
        <f t="shared" si="219"/>
        <v>12579.594595203776</v>
      </c>
      <c r="L167" s="54">
        <f t="shared" si="219"/>
        <v>12383.992183608058</v>
      </c>
      <c r="M167" s="54">
        <f>IF(M30=0,0,M30*1000000/M57)</f>
        <v>11891.353942551714</v>
      </c>
      <c r="N167" s="54">
        <f t="shared" ref="N167:V167" si="220">IF(N30=0,0,N30*1000000/N57)</f>
        <v>11976.764099152944</v>
      </c>
      <c r="O167" s="54">
        <f t="shared" si="220"/>
        <v>11820.233571430164</v>
      </c>
      <c r="P167" s="54">
        <f t="shared" si="220"/>
        <v>11446.961494996793</v>
      </c>
      <c r="Q167" s="54">
        <f t="shared" si="220"/>
        <v>11438.418356576751</v>
      </c>
      <c r="R167" s="54">
        <f t="shared" si="220"/>
        <v>11556.843693374019</v>
      </c>
      <c r="S167" s="54">
        <f t="shared" si="220"/>
        <v>11485.425508161114</v>
      </c>
      <c r="T167" s="54">
        <f t="shared" si="220"/>
        <v>11194.821064487849</v>
      </c>
      <c r="U167" s="54">
        <f t="shared" si="220"/>
        <v>10880.250561534087</v>
      </c>
      <c r="V167" s="54">
        <f t="shared" si="220"/>
        <v>9600.5397879701886</v>
      </c>
      <c r="W167" s="54">
        <f t="shared" ref="W167:Y191" si="221">IF(W30=0,0,W30*1000000/W57)</f>
        <v>10122.34335859513</v>
      </c>
      <c r="X167" s="54">
        <f t="shared" si="221"/>
        <v>10393.991339437103</v>
      </c>
      <c r="Y167" s="54">
        <f t="shared" si="221"/>
        <v>11062.571912399548</v>
      </c>
      <c r="DA167" s="172" t="s">
        <v>577</v>
      </c>
    </row>
    <row r="168" spans="1:105" ht="11.45" customHeight="1" x14ac:dyDescent="0.25">
      <c r="A168" s="27" t="s">
        <v>33</v>
      </c>
      <c r="B168" s="28">
        <f t="shared" si="219"/>
        <v>12820.780382678799</v>
      </c>
      <c r="C168" s="28">
        <f t="shared" si="219"/>
        <v>12470.59466893132</v>
      </c>
      <c r="D168" s="28">
        <f t="shared" si="219"/>
        <v>12598.45565134457</v>
      </c>
      <c r="E168" s="28">
        <f t="shared" si="219"/>
        <v>12828.363013318476</v>
      </c>
      <c r="F168" s="28">
        <f t="shared" si="219"/>
        <v>12857.307760117825</v>
      </c>
      <c r="G168" s="28">
        <f t="shared" si="219"/>
        <v>12795.810769645772</v>
      </c>
      <c r="H168" s="28">
        <f t="shared" si="219"/>
        <v>12791.382042338717</v>
      </c>
      <c r="I168" s="28">
        <f t="shared" si="219"/>
        <v>12600.888299654942</v>
      </c>
      <c r="J168" s="28">
        <f t="shared" si="219"/>
        <v>12736.33745428827</v>
      </c>
      <c r="K168" s="28">
        <f t="shared" si="219"/>
        <v>12875.041079911585</v>
      </c>
      <c r="L168" s="28">
        <f t="shared" si="219"/>
        <v>12632.82347187597</v>
      </c>
      <c r="M168" s="28">
        <f t="shared" ref="M168:M192" si="222">IF(M31=0,0,M31*1000000/M58)</f>
        <v>12276.00158812552</v>
      </c>
      <c r="N168" s="28">
        <f t="shared" si="219"/>
        <v>12452.89726834807</v>
      </c>
      <c r="O168" s="28">
        <f t="shared" si="219"/>
        <v>12335.779411878206</v>
      </c>
      <c r="P168" s="28">
        <f t="shared" si="219"/>
        <v>11895.68123604579</v>
      </c>
      <c r="Q168" s="28">
        <f t="shared" si="219"/>
        <v>11750.564675214629</v>
      </c>
      <c r="R168" s="28">
        <f t="shared" si="219"/>
        <v>11806.030014400818</v>
      </c>
      <c r="S168" s="28">
        <f t="shared" si="219"/>
        <v>11664.30539325364</v>
      </c>
      <c r="T168" s="28">
        <f t="shared" si="219"/>
        <v>11300.12614079328</v>
      </c>
      <c r="U168" s="28">
        <f t="shared" si="219"/>
        <v>11105.638640075309</v>
      </c>
      <c r="V168" s="28">
        <f t="shared" si="219"/>
        <v>9702.9288048498238</v>
      </c>
      <c r="W168" s="28">
        <f t="shared" si="221"/>
        <v>10109.745452994981</v>
      </c>
      <c r="X168" s="28">
        <f t="shared" si="221"/>
        <v>10187.552340800792</v>
      </c>
      <c r="Y168" s="28">
        <f t="shared" si="221"/>
        <v>10739.145613880028</v>
      </c>
      <c r="DA168" s="173" t="s">
        <v>578</v>
      </c>
    </row>
    <row r="169" spans="1:105" ht="11.45" customHeight="1" x14ac:dyDescent="0.25">
      <c r="A169" s="136" t="s">
        <v>173</v>
      </c>
      <c r="B169" s="137">
        <f t="shared" si="219"/>
        <v>2432.4749255363217</v>
      </c>
      <c r="C169" s="137">
        <f t="shared" si="219"/>
        <v>2557.6863211623622</v>
      </c>
      <c r="D169" s="137">
        <f t="shared" si="219"/>
        <v>2698.3099903950028</v>
      </c>
      <c r="E169" s="137">
        <f t="shared" si="219"/>
        <v>2807.2732622194567</v>
      </c>
      <c r="F169" s="137">
        <f t="shared" si="219"/>
        <v>2962.6420759491243</v>
      </c>
      <c r="G169" s="137">
        <f t="shared" si="219"/>
        <v>3070.6703639026582</v>
      </c>
      <c r="H169" s="137">
        <f t="shared" si="219"/>
        <v>3400.7529441071874</v>
      </c>
      <c r="I169" s="137">
        <f t="shared" si="219"/>
        <v>3350.535200595461</v>
      </c>
      <c r="J169" s="137">
        <f t="shared" si="219"/>
        <v>3398.3733374995668</v>
      </c>
      <c r="K169" s="137">
        <f t="shared" si="219"/>
        <v>3189.415289304442</v>
      </c>
      <c r="L169" s="137">
        <f t="shared" si="219"/>
        <v>3309.5245774155383</v>
      </c>
      <c r="M169" s="137">
        <f t="shared" si="222"/>
        <v>3246.3115287599953</v>
      </c>
      <c r="N169" s="137">
        <f t="shared" si="219"/>
        <v>3258.9198485964671</v>
      </c>
      <c r="O169" s="137">
        <f t="shared" si="219"/>
        <v>3158.069604633416</v>
      </c>
      <c r="P169" s="137">
        <f t="shared" si="219"/>
        <v>3099.3988513088011</v>
      </c>
      <c r="Q169" s="137">
        <f t="shared" si="219"/>
        <v>2898.9253443957905</v>
      </c>
      <c r="R169" s="137">
        <f t="shared" si="219"/>
        <v>2952.6403804441206</v>
      </c>
      <c r="S169" s="137">
        <f t="shared" si="219"/>
        <v>2626.4275086164989</v>
      </c>
      <c r="T169" s="137">
        <f t="shared" si="219"/>
        <v>2423.035788038776</v>
      </c>
      <c r="U169" s="137">
        <f t="shared" si="219"/>
        <v>2418.0731548199583</v>
      </c>
      <c r="V169" s="137">
        <f t="shared" si="219"/>
        <v>2356.0790806709492</v>
      </c>
      <c r="W169" s="137">
        <f t="shared" si="221"/>
        <v>2468.3034331243562</v>
      </c>
      <c r="X169" s="137">
        <f t="shared" si="221"/>
        <v>2373.9150981396633</v>
      </c>
      <c r="Y169" s="137">
        <f t="shared" si="221"/>
        <v>2382.0481334644883</v>
      </c>
      <c r="DA169" s="174" t="s">
        <v>579</v>
      </c>
    </row>
    <row r="170" spans="1:105" ht="11.45" customHeight="1" x14ac:dyDescent="0.25">
      <c r="A170" s="109" t="s">
        <v>20</v>
      </c>
      <c r="B170" s="110">
        <f t="shared" si="219"/>
        <v>14365.382300808427</v>
      </c>
      <c r="C170" s="110">
        <f t="shared" si="219"/>
        <v>13918.000749968043</v>
      </c>
      <c r="D170" s="110">
        <f t="shared" si="219"/>
        <v>13964.154698324493</v>
      </c>
      <c r="E170" s="110">
        <f t="shared" si="219"/>
        <v>14207.575294999157</v>
      </c>
      <c r="F170" s="110">
        <f t="shared" si="219"/>
        <v>14197.125279856469</v>
      </c>
      <c r="G170" s="110">
        <f t="shared" si="219"/>
        <v>14121.87737885454</v>
      </c>
      <c r="H170" s="110">
        <f t="shared" si="219"/>
        <v>13979.431969819367</v>
      </c>
      <c r="I170" s="110">
        <f t="shared" si="219"/>
        <v>13697.746276220025</v>
      </c>
      <c r="J170" s="110">
        <f t="shared" si="219"/>
        <v>13831.167704124809</v>
      </c>
      <c r="K170" s="110">
        <f t="shared" si="219"/>
        <v>13994.328412276313</v>
      </c>
      <c r="L170" s="110">
        <f t="shared" si="219"/>
        <v>13581.625213641304</v>
      </c>
      <c r="M170" s="110">
        <f t="shared" si="222"/>
        <v>13185.699585807228</v>
      </c>
      <c r="N170" s="110">
        <f t="shared" si="219"/>
        <v>13495.108610205276</v>
      </c>
      <c r="O170" s="110">
        <f t="shared" si="219"/>
        <v>13377.899354308993</v>
      </c>
      <c r="P170" s="110">
        <f t="shared" si="219"/>
        <v>12808.145173156532</v>
      </c>
      <c r="Q170" s="110">
        <f t="shared" si="219"/>
        <v>12696.772142439253</v>
      </c>
      <c r="R170" s="110">
        <f t="shared" si="219"/>
        <v>12768.2642017382</v>
      </c>
      <c r="S170" s="110">
        <f t="shared" si="219"/>
        <v>12676.873487758054</v>
      </c>
      <c r="T170" s="110">
        <f t="shared" si="219"/>
        <v>12285.621256364677</v>
      </c>
      <c r="U170" s="110">
        <f t="shared" si="219"/>
        <v>12114.441344038154</v>
      </c>
      <c r="V170" s="110">
        <f t="shared" si="219"/>
        <v>10483.602426741176</v>
      </c>
      <c r="W170" s="110">
        <f t="shared" si="221"/>
        <v>10898.917165504774</v>
      </c>
      <c r="X170" s="110">
        <f t="shared" si="221"/>
        <v>11015.724127247064</v>
      </c>
      <c r="Y170" s="110">
        <f t="shared" si="221"/>
        <v>11699.411104575925</v>
      </c>
      <c r="DA170" s="176" t="s">
        <v>580</v>
      </c>
    </row>
    <row r="171" spans="1:105" ht="11.45" customHeight="1" x14ac:dyDescent="0.25">
      <c r="A171" s="111" t="s">
        <v>110</v>
      </c>
      <c r="B171" s="84">
        <f t="shared" si="219"/>
        <v>13550.148692751651</v>
      </c>
      <c r="C171" s="84">
        <f t="shared" si="219"/>
        <v>12363.218313805888</v>
      </c>
      <c r="D171" s="84">
        <f t="shared" si="219"/>
        <v>12025.79610384793</v>
      </c>
      <c r="E171" s="84">
        <f t="shared" si="219"/>
        <v>11681.440423319802</v>
      </c>
      <c r="F171" s="84">
        <f t="shared" si="219"/>
        <v>11045.841126587762</v>
      </c>
      <c r="G171" s="84">
        <f t="shared" si="219"/>
        <v>10457.646744224401</v>
      </c>
      <c r="H171" s="84">
        <f t="shared" si="219"/>
        <v>9733.5586943016642</v>
      </c>
      <c r="I171" s="84">
        <f t="shared" si="219"/>
        <v>9244.2063997324822</v>
      </c>
      <c r="J171" s="84">
        <f t="shared" si="219"/>
        <v>8958.2508272406321</v>
      </c>
      <c r="K171" s="84">
        <f t="shared" si="219"/>
        <v>8984.649953095437</v>
      </c>
      <c r="L171" s="84">
        <f t="shared" si="219"/>
        <v>8326.6098074312322</v>
      </c>
      <c r="M171" s="84">
        <f t="shared" si="222"/>
        <v>7748.9512716885238</v>
      </c>
      <c r="N171" s="84">
        <f t="shared" si="219"/>
        <v>8230.95233597468</v>
      </c>
      <c r="O171" s="84">
        <f t="shared" si="219"/>
        <v>8061.9012452721136</v>
      </c>
      <c r="P171" s="84">
        <f t="shared" si="219"/>
        <v>7641.8580851361357</v>
      </c>
      <c r="Q171" s="84">
        <f t="shared" si="219"/>
        <v>7851.2438959051115</v>
      </c>
      <c r="R171" s="84">
        <f t="shared" si="219"/>
        <v>7797.9391069072153</v>
      </c>
      <c r="S171" s="84">
        <f t="shared" si="219"/>
        <v>7662.6995879695369</v>
      </c>
      <c r="T171" s="84">
        <f t="shared" si="219"/>
        <v>7390.7838292117967</v>
      </c>
      <c r="U171" s="84">
        <f t="shared" si="219"/>
        <v>7329.3653275138213</v>
      </c>
      <c r="V171" s="84">
        <f t="shared" si="219"/>
        <v>6249.3746336818176</v>
      </c>
      <c r="W171" s="84">
        <f t="shared" si="221"/>
        <v>6913.9310279021101</v>
      </c>
      <c r="X171" s="84">
        <f t="shared" si="221"/>
        <v>7199.7365372819841</v>
      </c>
      <c r="Y171" s="84">
        <f t="shared" si="221"/>
        <v>7886.7779823301898</v>
      </c>
      <c r="DA171" s="171" t="s">
        <v>581</v>
      </c>
    </row>
    <row r="172" spans="1:105" ht="11.45" customHeight="1" x14ac:dyDescent="0.25">
      <c r="A172" s="111" t="s">
        <v>111</v>
      </c>
      <c r="B172" s="84">
        <f t="shared" si="219"/>
        <v>16100.381843137691</v>
      </c>
      <c r="C172" s="84">
        <f t="shared" si="219"/>
        <v>17339.38316948757</v>
      </c>
      <c r="D172" s="84">
        <f t="shared" si="219"/>
        <v>18165.36124118089</v>
      </c>
      <c r="E172" s="84">
        <f t="shared" si="219"/>
        <v>19327.438341881447</v>
      </c>
      <c r="F172" s="84">
        <f t="shared" si="219"/>
        <v>20277.432082974548</v>
      </c>
      <c r="G172" s="84">
        <f t="shared" si="219"/>
        <v>20595.023489640207</v>
      </c>
      <c r="H172" s="84">
        <f t="shared" si="219"/>
        <v>20901.85575738483</v>
      </c>
      <c r="I172" s="84">
        <f t="shared" si="219"/>
        <v>20337.326000873349</v>
      </c>
      <c r="J172" s="84">
        <f t="shared" si="219"/>
        <v>20464.423935417428</v>
      </c>
      <c r="K172" s="84">
        <f t="shared" si="219"/>
        <v>20342.133330537661</v>
      </c>
      <c r="L172" s="84">
        <f t="shared" si="219"/>
        <v>20070.107094512077</v>
      </c>
      <c r="M172" s="84">
        <f t="shared" si="222"/>
        <v>19451.951312198013</v>
      </c>
      <c r="N172" s="84">
        <f t="shared" si="219"/>
        <v>19037.119473324379</v>
      </c>
      <c r="O172" s="84">
        <f t="shared" si="219"/>
        <v>18786.296234808637</v>
      </c>
      <c r="P172" s="84">
        <f t="shared" si="219"/>
        <v>17776.824059882871</v>
      </c>
      <c r="Q172" s="84">
        <f t="shared" si="219"/>
        <v>16982.006209347692</v>
      </c>
      <c r="R172" s="84">
        <f t="shared" si="219"/>
        <v>16866.709541742915</v>
      </c>
      <c r="S172" s="84">
        <f t="shared" si="219"/>
        <v>16574.190498799067</v>
      </c>
      <c r="T172" s="84">
        <f t="shared" si="219"/>
        <v>15986.044828524857</v>
      </c>
      <c r="U172" s="84">
        <f t="shared" si="219"/>
        <v>15774.592180341251</v>
      </c>
      <c r="V172" s="84">
        <f t="shared" si="219"/>
        <v>13555.585063735247</v>
      </c>
      <c r="W172" s="84">
        <f t="shared" si="221"/>
        <v>13736.263763727173</v>
      </c>
      <c r="X172" s="84">
        <f t="shared" si="221"/>
        <v>13743.143686107293</v>
      </c>
      <c r="Y172" s="84">
        <f t="shared" si="221"/>
        <v>14464.219440247603</v>
      </c>
      <c r="DA172" s="171" t="s">
        <v>582</v>
      </c>
    </row>
    <row r="173" spans="1:105" ht="11.45" customHeight="1" x14ac:dyDescent="0.25">
      <c r="A173" s="111" t="s">
        <v>112</v>
      </c>
      <c r="B173" s="84">
        <f t="shared" si="219"/>
        <v>17064.158277671781</v>
      </c>
      <c r="C173" s="84">
        <f t="shared" si="219"/>
        <v>16274.060071163411</v>
      </c>
      <c r="D173" s="84">
        <f t="shared" si="219"/>
        <v>16169.039670621565</v>
      </c>
      <c r="E173" s="84">
        <f t="shared" si="219"/>
        <v>17824.277318163571</v>
      </c>
      <c r="F173" s="84">
        <f t="shared" si="219"/>
        <v>18024.383814918212</v>
      </c>
      <c r="G173" s="84">
        <f t="shared" si="219"/>
        <v>16442.38708806967</v>
      </c>
      <c r="H173" s="84">
        <f t="shared" si="219"/>
        <v>16101.144058302791</v>
      </c>
      <c r="I173" s="84">
        <f t="shared" si="219"/>
        <v>15340.278723430909</v>
      </c>
      <c r="J173" s="84">
        <f t="shared" si="219"/>
        <v>16250.446917052786</v>
      </c>
      <c r="K173" s="84">
        <f t="shared" si="219"/>
        <v>16134.774061259908</v>
      </c>
      <c r="L173" s="84">
        <f t="shared" si="219"/>
        <v>15699.794753610624</v>
      </c>
      <c r="M173" s="84">
        <f t="shared" si="222"/>
        <v>14272.935486237146</v>
      </c>
      <c r="N173" s="84">
        <f t="shared" si="219"/>
        <v>14934.024994091189</v>
      </c>
      <c r="O173" s="84">
        <f t="shared" si="219"/>
        <v>14319.415817825713</v>
      </c>
      <c r="P173" s="84">
        <f t="shared" si="219"/>
        <v>13544.332867380121</v>
      </c>
      <c r="Q173" s="84">
        <f t="shared" si="219"/>
        <v>13556.2802373718</v>
      </c>
      <c r="R173" s="84">
        <f t="shared" si="219"/>
        <v>13601.632223422595</v>
      </c>
      <c r="S173" s="84">
        <f t="shared" si="219"/>
        <v>13502.124453704371</v>
      </c>
      <c r="T173" s="84">
        <f t="shared" si="219"/>
        <v>13155.880680669407</v>
      </c>
      <c r="U173" s="84">
        <f t="shared" si="219"/>
        <v>13114.331535467756</v>
      </c>
      <c r="V173" s="84">
        <f t="shared" si="219"/>
        <v>10853.0392176901</v>
      </c>
      <c r="W173" s="84">
        <f t="shared" si="221"/>
        <v>11653.996349083684</v>
      </c>
      <c r="X173" s="84">
        <f t="shared" si="221"/>
        <v>11778.811241776926</v>
      </c>
      <c r="Y173" s="84">
        <f t="shared" si="221"/>
        <v>12523.320518068682</v>
      </c>
      <c r="DA173" s="171" t="s">
        <v>583</v>
      </c>
    </row>
    <row r="174" spans="1:105" ht="11.45" customHeight="1" x14ac:dyDescent="0.25">
      <c r="A174" s="111" t="s">
        <v>113</v>
      </c>
      <c r="B174" s="84">
        <f t="shared" si="219"/>
        <v>0</v>
      </c>
      <c r="C174" s="84">
        <f t="shared" si="219"/>
        <v>0</v>
      </c>
      <c r="D174" s="84">
        <f t="shared" si="219"/>
        <v>0</v>
      </c>
      <c r="E174" s="84">
        <f t="shared" si="219"/>
        <v>0</v>
      </c>
      <c r="F174" s="84">
        <f t="shared" si="219"/>
        <v>0</v>
      </c>
      <c r="G174" s="84">
        <f t="shared" si="219"/>
        <v>0</v>
      </c>
      <c r="H174" s="84">
        <f t="shared" si="219"/>
        <v>0</v>
      </c>
      <c r="I174" s="84">
        <f t="shared" si="219"/>
        <v>0</v>
      </c>
      <c r="J174" s="84">
        <f t="shared" si="219"/>
        <v>0</v>
      </c>
      <c r="K174" s="84">
        <f t="shared" si="219"/>
        <v>0</v>
      </c>
      <c r="L174" s="84">
        <f t="shared" si="219"/>
        <v>12273.552417604556</v>
      </c>
      <c r="M174" s="84">
        <f t="shared" si="222"/>
        <v>11383.499396498884</v>
      </c>
      <c r="N174" s="84">
        <f t="shared" si="219"/>
        <v>11910.75687769081</v>
      </c>
      <c r="O174" s="84">
        <f t="shared" si="219"/>
        <v>11500.68371698685</v>
      </c>
      <c r="P174" s="84">
        <f t="shared" si="219"/>
        <v>11097.934493914665</v>
      </c>
      <c r="Q174" s="84">
        <f t="shared" si="219"/>
        <v>11107.723911440098</v>
      </c>
      <c r="R174" s="84">
        <f t="shared" si="219"/>
        <v>11144.884351551018</v>
      </c>
      <c r="S174" s="84">
        <f t="shared" si="219"/>
        <v>11063.349829269153</v>
      </c>
      <c r="T174" s="84">
        <f t="shared" si="219"/>
        <v>10779.645142615866</v>
      </c>
      <c r="U174" s="84">
        <f t="shared" si="219"/>
        <v>10745.600668351903</v>
      </c>
      <c r="V174" s="84">
        <f t="shared" si="219"/>
        <v>8892.746470215001</v>
      </c>
      <c r="W174" s="84">
        <f t="shared" si="221"/>
        <v>9549.0334843984601</v>
      </c>
      <c r="X174" s="84">
        <f t="shared" si="221"/>
        <v>9651.3041179200754</v>
      </c>
      <c r="Y174" s="84">
        <f t="shared" si="221"/>
        <v>10261.338975989533</v>
      </c>
      <c r="DA174" s="171" t="s">
        <v>584</v>
      </c>
    </row>
    <row r="175" spans="1:105" ht="11.45" customHeight="1" x14ac:dyDescent="0.25">
      <c r="A175" s="111" t="s">
        <v>114</v>
      </c>
      <c r="B175" s="84">
        <f t="shared" si="219"/>
        <v>0</v>
      </c>
      <c r="C175" s="84">
        <f t="shared" si="219"/>
        <v>0</v>
      </c>
      <c r="D175" s="84">
        <f t="shared" si="219"/>
        <v>0</v>
      </c>
      <c r="E175" s="84">
        <f t="shared" si="219"/>
        <v>0</v>
      </c>
      <c r="F175" s="84">
        <f t="shared" si="219"/>
        <v>0</v>
      </c>
      <c r="G175" s="84">
        <f t="shared" si="219"/>
        <v>0</v>
      </c>
      <c r="H175" s="84">
        <f t="shared" si="219"/>
        <v>0</v>
      </c>
      <c r="I175" s="84">
        <f t="shared" si="219"/>
        <v>0</v>
      </c>
      <c r="J175" s="84">
        <f t="shared" si="219"/>
        <v>0</v>
      </c>
      <c r="K175" s="84">
        <f t="shared" si="219"/>
        <v>0</v>
      </c>
      <c r="L175" s="84">
        <f t="shared" si="219"/>
        <v>0</v>
      </c>
      <c r="M175" s="84">
        <f t="shared" si="222"/>
        <v>8747.2885440283062</v>
      </c>
      <c r="N175" s="84">
        <f t="shared" si="219"/>
        <v>9383.0046181811576</v>
      </c>
      <c r="O175" s="84">
        <f t="shared" si="219"/>
        <v>9465.2371081624678</v>
      </c>
      <c r="P175" s="84">
        <f t="shared" si="219"/>
        <v>9133.7683898395881</v>
      </c>
      <c r="Q175" s="84">
        <f t="shared" si="219"/>
        <v>9141.8252289205684</v>
      </c>
      <c r="R175" s="84">
        <f t="shared" si="219"/>
        <v>9172.4088346738517</v>
      </c>
      <c r="S175" s="84">
        <f t="shared" si="219"/>
        <v>9105.3046863562413</v>
      </c>
      <c r="T175" s="84">
        <f t="shared" si="219"/>
        <v>8871.8114268290719</v>
      </c>
      <c r="U175" s="84">
        <f t="shared" si="219"/>
        <v>8843.7923082217858</v>
      </c>
      <c r="V175" s="84">
        <f t="shared" si="219"/>
        <v>7318.8652044256596</v>
      </c>
      <c r="W175" s="84">
        <f t="shared" si="221"/>
        <v>7858.9993697604777</v>
      </c>
      <c r="X175" s="84">
        <f t="shared" si="221"/>
        <v>7943.1696520937157</v>
      </c>
      <c r="Y175" s="84">
        <f t="shared" si="221"/>
        <v>8615.8484519627891</v>
      </c>
      <c r="DA175" s="171" t="s">
        <v>585</v>
      </c>
    </row>
    <row r="176" spans="1:105" ht="11.45" customHeight="1" x14ac:dyDescent="0.25">
      <c r="A176" s="111" t="s">
        <v>115</v>
      </c>
      <c r="B176" s="84">
        <f t="shared" si="219"/>
        <v>0</v>
      </c>
      <c r="C176" s="84">
        <f t="shared" si="219"/>
        <v>0</v>
      </c>
      <c r="D176" s="84">
        <f t="shared" si="219"/>
        <v>0</v>
      </c>
      <c r="E176" s="84">
        <f t="shared" si="219"/>
        <v>0</v>
      </c>
      <c r="F176" s="84">
        <f t="shared" si="219"/>
        <v>0</v>
      </c>
      <c r="G176" s="84">
        <f t="shared" si="219"/>
        <v>0</v>
      </c>
      <c r="H176" s="84">
        <f t="shared" si="219"/>
        <v>0</v>
      </c>
      <c r="I176" s="84">
        <f t="shared" si="219"/>
        <v>0</v>
      </c>
      <c r="J176" s="84">
        <f t="shared" si="219"/>
        <v>12398.141031904861</v>
      </c>
      <c r="K176" s="84">
        <f t="shared" si="219"/>
        <v>12399.965287661758</v>
      </c>
      <c r="L176" s="84">
        <f t="shared" si="219"/>
        <v>12447.212868629193</v>
      </c>
      <c r="M176" s="84">
        <f t="shared" si="222"/>
        <v>12487.812964674971</v>
      </c>
      <c r="N176" s="84">
        <f t="shared" si="219"/>
        <v>12522.470578424578</v>
      </c>
      <c r="O176" s="84">
        <f t="shared" si="219"/>
        <v>12538.060151423944</v>
      </c>
      <c r="P176" s="84">
        <f t="shared" si="219"/>
        <v>12561.390215768113</v>
      </c>
      <c r="Q176" s="84">
        <f t="shared" si="219"/>
        <v>12568.322294720881</v>
      </c>
      <c r="R176" s="84">
        <f t="shared" si="219"/>
        <v>12564.041941744465</v>
      </c>
      <c r="S176" s="84">
        <f t="shared" si="219"/>
        <v>12553.056267832346</v>
      </c>
      <c r="T176" s="84">
        <f t="shared" si="219"/>
        <v>12530.399296128979</v>
      </c>
      <c r="U176" s="84">
        <f t="shared" si="219"/>
        <v>12525.172159673077</v>
      </c>
      <c r="V176" s="84">
        <f t="shared" si="219"/>
        <v>11113.768525486224</v>
      </c>
      <c r="W176" s="84">
        <f t="shared" si="221"/>
        <v>12488.682873825082</v>
      </c>
      <c r="X176" s="84">
        <f t="shared" si="221"/>
        <v>12514.001876121014</v>
      </c>
      <c r="Y176" s="84">
        <f t="shared" si="221"/>
        <v>12479.352196686217</v>
      </c>
      <c r="DA176" s="171" t="s">
        <v>586</v>
      </c>
    </row>
    <row r="177" spans="1:105" ht="11.45" customHeight="1" x14ac:dyDescent="0.25">
      <c r="A177" s="109" t="s">
        <v>21</v>
      </c>
      <c r="B177" s="110">
        <f t="shared" si="219"/>
        <v>26024.118660549659</v>
      </c>
      <c r="C177" s="110">
        <f t="shared" si="219"/>
        <v>25575.604761025097</v>
      </c>
      <c r="D177" s="110">
        <f t="shared" si="219"/>
        <v>25111.454357763654</v>
      </c>
      <c r="E177" s="110">
        <f t="shared" si="219"/>
        <v>24634.293115560762</v>
      </c>
      <c r="F177" s="110">
        <f t="shared" si="219"/>
        <v>24159.439464247633</v>
      </c>
      <c r="G177" s="110">
        <f t="shared" si="219"/>
        <v>23221.554184565724</v>
      </c>
      <c r="H177" s="110">
        <f t="shared" si="219"/>
        <v>22791.255433800703</v>
      </c>
      <c r="I177" s="110">
        <f t="shared" si="219"/>
        <v>23264.110780865329</v>
      </c>
      <c r="J177" s="110">
        <f t="shared" si="219"/>
        <v>23762.250519385281</v>
      </c>
      <c r="K177" s="110">
        <f t="shared" si="219"/>
        <v>24255.042693297255</v>
      </c>
      <c r="L177" s="110">
        <f t="shared" si="219"/>
        <v>24770.245057299544</v>
      </c>
      <c r="M177" s="110">
        <f t="shared" si="222"/>
        <v>25254.576094607466</v>
      </c>
      <c r="N177" s="110">
        <f t="shared" si="219"/>
        <v>25513.801855962531</v>
      </c>
      <c r="O177" s="110">
        <f t="shared" si="219"/>
        <v>24983.922553278746</v>
      </c>
      <c r="P177" s="110">
        <f t="shared" si="219"/>
        <v>24743.543341520155</v>
      </c>
      <c r="Q177" s="110">
        <f t="shared" si="219"/>
        <v>25227.211796246655</v>
      </c>
      <c r="R177" s="110">
        <f t="shared" si="219"/>
        <v>26489.828480255284</v>
      </c>
      <c r="S177" s="110">
        <f t="shared" si="219"/>
        <v>26729.645500584338</v>
      </c>
      <c r="T177" s="110">
        <f t="shared" si="219"/>
        <v>27932.737982139461</v>
      </c>
      <c r="U177" s="110">
        <f t="shared" si="219"/>
        <v>22247.600875470005</v>
      </c>
      <c r="V177" s="110">
        <f t="shared" si="219"/>
        <v>19681.516088701719</v>
      </c>
      <c r="W177" s="110">
        <f t="shared" si="221"/>
        <v>25062.342528587113</v>
      </c>
      <c r="X177" s="110">
        <f t="shared" si="221"/>
        <v>27776.420281001832</v>
      </c>
      <c r="Y177" s="110">
        <f t="shared" si="221"/>
        <v>30202.891507714739</v>
      </c>
      <c r="DA177" s="176" t="s">
        <v>587</v>
      </c>
    </row>
    <row r="178" spans="1:105" ht="11.45" customHeight="1" x14ac:dyDescent="0.25">
      <c r="A178" s="111" t="s">
        <v>110</v>
      </c>
      <c r="B178" s="102">
        <f t="shared" si="219"/>
        <v>0</v>
      </c>
      <c r="C178" s="102">
        <f t="shared" si="219"/>
        <v>0</v>
      </c>
      <c r="D178" s="102">
        <f t="shared" si="219"/>
        <v>0</v>
      </c>
      <c r="E178" s="102">
        <f t="shared" si="219"/>
        <v>0</v>
      </c>
      <c r="F178" s="102">
        <f t="shared" si="219"/>
        <v>0</v>
      </c>
      <c r="G178" s="102">
        <f t="shared" si="219"/>
        <v>0</v>
      </c>
      <c r="H178" s="102">
        <f t="shared" si="219"/>
        <v>0</v>
      </c>
      <c r="I178" s="102">
        <f t="shared" si="219"/>
        <v>0</v>
      </c>
      <c r="J178" s="102">
        <f t="shared" si="219"/>
        <v>0</v>
      </c>
      <c r="K178" s="102">
        <f t="shared" si="219"/>
        <v>0</v>
      </c>
      <c r="L178" s="102">
        <f t="shared" si="219"/>
        <v>11771.031811949557</v>
      </c>
      <c r="M178" s="102">
        <f t="shared" si="222"/>
        <v>12134.156942632988</v>
      </c>
      <c r="N178" s="102">
        <f t="shared" si="219"/>
        <v>12388.857660054126</v>
      </c>
      <c r="O178" s="102">
        <f t="shared" si="219"/>
        <v>12241.250563497053</v>
      </c>
      <c r="P178" s="102">
        <f t="shared" si="219"/>
        <v>12240.014242604075</v>
      </c>
      <c r="Q178" s="102">
        <f t="shared" si="219"/>
        <v>12617.53325708882</v>
      </c>
      <c r="R178" s="102">
        <f t="shared" si="219"/>
        <v>13148.615943044188</v>
      </c>
      <c r="S178" s="102">
        <f t="shared" si="219"/>
        <v>13140.896364159864</v>
      </c>
      <c r="T178" s="102">
        <f t="shared" si="219"/>
        <v>13742.872559007488</v>
      </c>
      <c r="U178" s="102">
        <f t="shared" si="219"/>
        <v>10621.842668895977</v>
      </c>
      <c r="V178" s="102">
        <f t="shared" si="219"/>
        <v>9245.9000031853211</v>
      </c>
      <c r="W178" s="102">
        <f t="shared" si="221"/>
        <v>11797.653969198513</v>
      </c>
      <c r="X178" s="102">
        <f t="shared" si="221"/>
        <v>13011.225171454158</v>
      </c>
      <c r="Y178" s="102">
        <f t="shared" si="221"/>
        <v>14065.146097200866</v>
      </c>
      <c r="DA178" s="175" t="s">
        <v>588</v>
      </c>
    </row>
    <row r="179" spans="1:105" ht="11.45" customHeight="1" x14ac:dyDescent="0.25">
      <c r="A179" s="111" t="s">
        <v>111</v>
      </c>
      <c r="B179" s="102">
        <f t="shared" si="219"/>
        <v>25990.162691811362</v>
      </c>
      <c r="C179" s="102">
        <f t="shared" si="219"/>
        <v>25432.837032626503</v>
      </c>
      <c r="D179" s="102">
        <f t="shared" si="219"/>
        <v>24905.865102905464</v>
      </c>
      <c r="E179" s="102">
        <f t="shared" si="219"/>
        <v>24347.676232846454</v>
      </c>
      <c r="F179" s="102">
        <f t="shared" si="219"/>
        <v>23873.102756956509</v>
      </c>
      <c r="G179" s="102">
        <f t="shared" si="219"/>
        <v>22728.665150278379</v>
      </c>
      <c r="H179" s="102">
        <f t="shared" si="219"/>
        <v>22360.369443493215</v>
      </c>
      <c r="I179" s="102">
        <f t="shared" si="219"/>
        <v>22802.269913225238</v>
      </c>
      <c r="J179" s="102">
        <f t="shared" si="219"/>
        <v>23297.409313741911</v>
      </c>
      <c r="K179" s="102">
        <f t="shared" si="219"/>
        <v>23779.57203874992</v>
      </c>
      <c r="L179" s="102">
        <f t="shared" si="219"/>
        <v>24248.577358896735</v>
      </c>
      <c r="M179" s="102">
        <f t="shared" si="222"/>
        <v>24696.032982451692</v>
      </c>
      <c r="N179" s="102">
        <f t="shared" si="219"/>
        <v>24787.66146965955</v>
      </c>
      <c r="O179" s="102">
        <f t="shared" si="219"/>
        <v>24326.326584627092</v>
      </c>
      <c r="P179" s="102">
        <f t="shared" si="219"/>
        <v>24270.99741919697</v>
      </c>
      <c r="Q179" s="102">
        <f t="shared" si="219"/>
        <v>24734.681125996631</v>
      </c>
      <c r="R179" s="102">
        <f t="shared" si="219"/>
        <v>26011.319236994364</v>
      </c>
      <c r="S179" s="102">
        <f t="shared" si="219"/>
        <v>26274.113340531912</v>
      </c>
      <c r="T179" s="102">
        <f t="shared" si="219"/>
        <v>27186.119840355444</v>
      </c>
      <c r="U179" s="102">
        <f t="shared" si="219"/>
        <v>21837.388924846684</v>
      </c>
      <c r="V179" s="102">
        <f t="shared" si="219"/>
        <v>19160.229680881072</v>
      </c>
      <c r="W179" s="102">
        <f t="shared" si="221"/>
        <v>24266.427861569864</v>
      </c>
      <c r="X179" s="102">
        <f t="shared" si="221"/>
        <v>26944.198416301795</v>
      </c>
      <c r="Y179" s="102">
        <f t="shared" si="221"/>
        <v>29004.622464546806</v>
      </c>
      <c r="DA179" s="175" t="s">
        <v>589</v>
      </c>
    </row>
    <row r="180" spans="1:105" ht="11.45" customHeight="1" x14ac:dyDescent="0.25">
      <c r="A180" s="111" t="s">
        <v>112</v>
      </c>
      <c r="B180" s="102">
        <f t="shared" si="219"/>
        <v>0</v>
      </c>
      <c r="C180" s="102">
        <f t="shared" si="219"/>
        <v>0</v>
      </c>
      <c r="D180" s="102">
        <f t="shared" si="219"/>
        <v>0</v>
      </c>
      <c r="E180" s="102">
        <f t="shared" si="219"/>
        <v>0</v>
      </c>
      <c r="F180" s="102">
        <f t="shared" ref="B180:V192" si="223">IF(F43=0,0,F43*1000000/F70)</f>
        <v>0</v>
      </c>
      <c r="G180" s="102">
        <f t="shared" si="223"/>
        <v>0</v>
      </c>
      <c r="H180" s="102">
        <f t="shared" si="223"/>
        <v>0</v>
      </c>
      <c r="I180" s="102">
        <f t="shared" si="223"/>
        <v>0</v>
      </c>
      <c r="J180" s="102">
        <f t="shared" si="223"/>
        <v>0</v>
      </c>
      <c r="K180" s="102">
        <f t="shared" si="223"/>
        <v>0</v>
      </c>
      <c r="L180" s="102">
        <f t="shared" si="223"/>
        <v>17167.817149972747</v>
      </c>
      <c r="M180" s="102">
        <f t="shared" si="222"/>
        <v>17697.427973027741</v>
      </c>
      <c r="N180" s="102">
        <f t="shared" si="223"/>
        <v>18068.903933207715</v>
      </c>
      <c r="O180" s="102">
        <f t="shared" si="223"/>
        <v>17853.621901503604</v>
      </c>
      <c r="P180" s="102">
        <f t="shared" si="223"/>
        <v>17851.818751926883</v>
      </c>
      <c r="Q180" s="102">
        <f t="shared" si="223"/>
        <v>18402.422769896872</v>
      </c>
      <c r="R180" s="102">
        <f t="shared" si="223"/>
        <v>19176.996366303461</v>
      </c>
      <c r="S180" s="102">
        <f t="shared" si="223"/>
        <v>19165.737513139349</v>
      </c>
      <c r="T180" s="102">
        <f t="shared" si="223"/>
        <v>20043.707890493104</v>
      </c>
      <c r="U180" s="102">
        <f t="shared" si="223"/>
        <v>15491.747507662429</v>
      </c>
      <c r="V180" s="102">
        <f t="shared" si="223"/>
        <v>13484.962336137665</v>
      </c>
      <c r="W180" s="102">
        <f t="shared" si="221"/>
        <v>17206.645039922376</v>
      </c>
      <c r="X180" s="102">
        <f t="shared" si="221"/>
        <v>18976.614642557139</v>
      </c>
      <c r="Y180" s="102">
        <f t="shared" si="221"/>
        <v>20513.737473656918</v>
      </c>
      <c r="DA180" s="175" t="s">
        <v>590</v>
      </c>
    </row>
    <row r="181" spans="1:105" ht="11.45" customHeight="1" x14ac:dyDescent="0.25">
      <c r="A181" s="111" t="s">
        <v>113</v>
      </c>
      <c r="B181" s="102">
        <f t="shared" si="223"/>
        <v>42371.847122139137</v>
      </c>
      <c r="C181" s="102">
        <f t="shared" si="223"/>
        <v>40789.614450008725</v>
      </c>
      <c r="D181" s="102">
        <f t="shared" si="223"/>
        <v>39228.136743465839</v>
      </c>
      <c r="E181" s="102">
        <f t="shared" si="223"/>
        <v>39230.446883716984</v>
      </c>
      <c r="F181" s="102">
        <f t="shared" si="223"/>
        <v>37683.147489139046</v>
      </c>
      <c r="G181" s="102">
        <f t="shared" si="223"/>
        <v>35439.831563516535</v>
      </c>
      <c r="H181" s="102">
        <f t="shared" si="223"/>
        <v>34069.227875761877</v>
      </c>
      <c r="I181" s="102">
        <f t="shared" si="223"/>
        <v>34329.207270854036</v>
      </c>
      <c r="J181" s="102">
        <f t="shared" si="223"/>
        <v>34413.177274778966</v>
      </c>
      <c r="K181" s="102">
        <f t="shared" si="223"/>
        <v>34845.330515452151</v>
      </c>
      <c r="L181" s="102">
        <f t="shared" si="223"/>
        <v>36349.897061099786</v>
      </c>
      <c r="M181" s="102">
        <f t="shared" si="222"/>
        <v>37853.616559953232</v>
      </c>
      <c r="N181" s="102">
        <f t="shared" si="223"/>
        <v>39042.548002514151</v>
      </c>
      <c r="O181" s="102">
        <f t="shared" si="223"/>
        <v>37442.746712318076</v>
      </c>
      <c r="P181" s="102">
        <f t="shared" si="223"/>
        <v>36337.819100462017</v>
      </c>
      <c r="Q181" s="102">
        <f t="shared" si="223"/>
        <v>37840.817694369973</v>
      </c>
      <c r="R181" s="102">
        <f t="shared" si="223"/>
        <v>39734.742720382928</v>
      </c>
      <c r="S181" s="102">
        <f t="shared" si="223"/>
        <v>40094.468250876511</v>
      </c>
      <c r="T181" s="102">
        <f t="shared" si="223"/>
        <v>42244.252873563222</v>
      </c>
      <c r="U181" s="102">
        <f t="shared" si="223"/>
        <v>33371.40131320501</v>
      </c>
      <c r="V181" s="102">
        <f t="shared" si="223"/>
        <v>29522.274133052575</v>
      </c>
      <c r="W181" s="102">
        <f t="shared" si="221"/>
        <v>37593.513792880673</v>
      </c>
      <c r="X181" s="102">
        <f t="shared" si="221"/>
        <v>41664.630421502763</v>
      </c>
      <c r="Y181" s="102">
        <f t="shared" si="221"/>
        <v>45304.337261572102</v>
      </c>
      <c r="DA181" s="175" t="s">
        <v>591</v>
      </c>
    </row>
    <row r="182" spans="1:105" ht="11.45" customHeight="1" x14ac:dyDescent="0.25">
      <c r="A182" s="111" t="s">
        <v>115</v>
      </c>
      <c r="B182" s="102">
        <f t="shared" si="223"/>
        <v>0</v>
      </c>
      <c r="C182" s="102">
        <f t="shared" si="223"/>
        <v>0</v>
      </c>
      <c r="D182" s="102">
        <f t="shared" si="223"/>
        <v>0</v>
      </c>
      <c r="E182" s="102">
        <f t="shared" si="223"/>
        <v>0</v>
      </c>
      <c r="F182" s="102">
        <f t="shared" si="223"/>
        <v>0</v>
      </c>
      <c r="G182" s="102">
        <f t="shared" si="223"/>
        <v>0</v>
      </c>
      <c r="H182" s="102">
        <f t="shared" si="223"/>
        <v>0</v>
      </c>
      <c r="I182" s="102">
        <f t="shared" si="223"/>
        <v>0</v>
      </c>
      <c r="J182" s="102">
        <f t="shared" si="223"/>
        <v>0</v>
      </c>
      <c r="K182" s="102">
        <f t="shared" si="223"/>
        <v>0</v>
      </c>
      <c r="L182" s="102">
        <f t="shared" si="223"/>
        <v>41110.059010501151</v>
      </c>
      <c r="M182" s="102">
        <f t="shared" si="222"/>
        <v>41149.881525840501</v>
      </c>
      <c r="N182" s="102">
        <f t="shared" si="223"/>
        <v>41170.898399636942</v>
      </c>
      <c r="O182" s="102">
        <f t="shared" si="223"/>
        <v>41214.123829031698</v>
      </c>
      <c r="P182" s="102">
        <f t="shared" si="223"/>
        <v>41234.051429410458</v>
      </c>
      <c r="Q182" s="102">
        <f t="shared" si="223"/>
        <v>41273.982561473014</v>
      </c>
      <c r="R182" s="102">
        <f t="shared" si="223"/>
        <v>41173.31943706311</v>
      </c>
      <c r="S182" s="102">
        <f t="shared" si="223"/>
        <v>41154.770014334012</v>
      </c>
      <c r="T182" s="102">
        <f t="shared" si="223"/>
        <v>41047.43466587289</v>
      </c>
      <c r="U182" s="102">
        <f t="shared" si="223"/>
        <v>40566.389924484283</v>
      </c>
      <c r="V182" s="102">
        <f t="shared" si="223"/>
        <v>37003.93287527639</v>
      </c>
      <c r="W182" s="102">
        <f t="shared" si="221"/>
        <v>40325.469915364098</v>
      </c>
      <c r="X182" s="102">
        <f t="shared" si="221"/>
        <v>40118.686559860973</v>
      </c>
      <c r="Y182" s="102">
        <f t="shared" si="221"/>
        <v>39951.040422350743</v>
      </c>
      <c r="DA182" s="175" t="s">
        <v>592</v>
      </c>
    </row>
    <row r="183" spans="1:105" ht="11.45" customHeight="1" x14ac:dyDescent="0.25">
      <c r="A183" s="27" t="s">
        <v>34</v>
      </c>
      <c r="B183" s="28">
        <f t="shared" si="223"/>
        <v>12235.37516655615</v>
      </c>
      <c r="C183" s="28">
        <f t="shared" si="223"/>
        <v>11518.754880551618</v>
      </c>
      <c r="D183" s="28">
        <f t="shared" si="223"/>
        <v>11818.500177692074</v>
      </c>
      <c r="E183" s="28">
        <f t="shared" si="223"/>
        <v>12579.820833444091</v>
      </c>
      <c r="F183" s="28">
        <f t="shared" si="223"/>
        <v>12429.213071274542</v>
      </c>
      <c r="G183" s="28">
        <f t="shared" si="223"/>
        <v>11990.09902476227</v>
      </c>
      <c r="H183" s="28">
        <f t="shared" si="223"/>
        <v>11999.60852158281</v>
      </c>
      <c r="I183" s="28">
        <f t="shared" si="223"/>
        <v>11543.452808635817</v>
      </c>
      <c r="J183" s="28">
        <f t="shared" si="223"/>
        <v>11532.721917348899</v>
      </c>
      <c r="K183" s="28">
        <f t="shared" si="223"/>
        <v>11548.162727168627</v>
      </c>
      <c r="L183" s="28">
        <f t="shared" si="223"/>
        <v>11479.79813523532</v>
      </c>
      <c r="M183" s="28">
        <f t="shared" si="222"/>
        <v>10468.071788876869</v>
      </c>
      <c r="N183" s="28">
        <f t="shared" si="223"/>
        <v>10153.998970383573</v>
      </c>
      <c r="O183" s="28">
        <f t="shared" si="223"/>
        <v>9792.9269202622418</v>
      </c>
      <c r="P183" s="28">
        <f t="shared" si="223"/>
        <v>9692.6620117735947</v>
      </c>
      <c r="Q183" s="28">
        <f t="shared" si="223"/>
        <v>10175.47687894613</v>
      </c>
      <c r="R183" s="28">
        <f t="shared" si="223"/>
        <v>10515.747696106993</v>
      </c>
      <c r="S183" s="28">
        <f t="shared" si="223"/>
        <v>10720.425186811266</v>
      </c>
      <c r="T183" s="28">
        <f t="shared" si="223"/>
        <v>10736.242159884592</v>
      </c>
      <c r="U183" s="28">
        <f t="shared" si="223"/>
        <v>9954.107863142488</v>
      </c>
      <c r="V183" s="28">
        <f t="shared" si="223"/>
        <v>9143.8705046245959</v>
      </c>
      <c r="W183" s="28">
        <f t="shared" si="221"/>
        <v>10179.290452811816</v>
      </c>
      <c r="X183" s="28">
        <f t="shared" si="221"/>
        <v>11349.234893739536</v>
      </c>
      <c r="Y183" s="28">
        <f t="shared" si="221"/>
        <v>12616.982033208378</v>
      </c>
      <c r="DA183" s="173" t="s">
        <v>593</v>
      </c>
    </row>
    <row r="184" spans="1:105" ht="11.45" customHeight="1" x14ac:dyDescent="0.25">
      <c r="A184" s="136" t="s">
        <v>153</v>
      </c>
      <c r="B184" s="137">
        <f t="shared" si="223"/>
        <v>11770.992689960216</v>
      </c>
      <c r="C184" s="137">
        <f t="shared" si="223"/>
        <v>10889.409425358195</v>
      </c>
      <c r="D184" s="137">
        <f t="shared" si="223"/>
        <v>11274.885131496754</v>
      </c>
      <c r="E184" s="137">
        <f t="shared" si="223"/>
        <v>12036.692253512214</v>
      </c>
      <c r="F184" s="137">
        <f t="shared" si="223"/>
        <v>11472.481525183537</v>
      </c>
      <c r="G184" s="137">
        <f t="shared" si="223"/>
        <v>10927.602866349134</v>
      </c>
      <c r="H184" s="137">
        <f t="shared" si="223"/>
        <v>10931.012837757913</v>
      </c>
      <c r="I184" s="137">
        <f t="shared" si="223"/>
        <v>10389.057412612316</v>
      </c>
      <c r="J184" s="137">
        <f t="shared" si="223"/>
        <v>10514.330275918273</v>
      </c>
      <c r="K184" s="137">
        <f t="shared" si="223"/>
        <v>10734.756877579372</v>
      </c>
      <c r="L184" s="137">
        <f t="shared" si="223"/>
        <v>10624.594184304693</v>
      </c>
      <c r="M184" s="137">
        <f t="shared" si="222"/>
        <v>9533.2401363444678</v>
      </c>
      <c r="N184" s="137">
        <f t="shared" si="223"/>
        <v>9312.4834373330868</v>
      </c>
      <c r="O184" s="137">
        <f t="shared" si="223"/>
        <v>8950.156532037654</v>
      </c>
      <c r="P184" s="137">
        <f t="shared" si="223"/>
        <v>9025.3694068703535</v>
      </c>
      <c r="Q184" s="137">
        <f t="shared" si="223"/>
        <v>9359.2190554947811</v>
      </c>
      <c r="R184" s="137">
        <f t="shared" si="223"/>
        <v>9732.7654646563715</v>
      </c>
      <c r="S184" s="137">
        <f t="shared" si="223"/>
        <v>10046.117898119886</v>
      </c>
      <c r="T184" s="137">
        <f t="shared" si="223"/>
        <v>10142.61363204058</v>
      </c>
      <c r="U184" s="137">
        <f t="shared" si="223"/>
        <v>9488.1137949261883</v>
      </c>
      <c r="V184" s="137">
        <f t="shared" si="223"/>
        <v>8720.08954787742</v>
      </c>
      <c r="W184" s="137">
        <f t="shared" si="221"/>
        <v>9688.210281019692</v>
      </c>
      <c r="X184" s="137">
        <f t="shared" si="221"/>
        <v>10982.424068339727</v>
      </c>
      <c r="Y184" s="137">
        <f t="shared" si="221"/>
        <v>12458.11822125901</v>
      </c>
      <c r="DA184" s="174" t="s">
        <v>594</v>
      </c>
    </row>
    <row r="185" spans="1:105" ht="11.45" customHeight="1" x14ac:dyDescent="0.25">
      <c r="A185" s="111" t="s">
        <v>110</v>
      </c>
      <c r="B185" s="84">
        <f t="shared" si="223"/>
        <v>8385.77633634005</v>
      </c>
      <c r="C185" s="84">
        <f t="shared" si="223"/>
        <v>7638.4932539154879</v>
      </c>
      <c r="D185" s="84">
        <f t="shared" si="223"/>
        <v>7964.3420803100398</v>
      </c>
      <c r="E185" s="84">
        <f t="shared" si="223"/>
        <v>8613.9699748572511</v>
      </c>
      <c r="F185" s="84">
        <f t="shared" si="223"/>
        <v>8131.9304892450837</v>
      </c>
      <c r="G185" s="84">
        <f t="shared" si="223"/>
        <v>7670.9850835655616</v>
      </c>
      <c r="H185" s="84">
        <f t="shared" si="223"/>
        <v>7673.9762250096674</v>
      </c>
      <c r="I185" s="84">
        <f t="shared" si="223"/>
        <v>7219.6965139700378</v>
      </c>
      <c r="J185" s="84">
        <f t="shared" si="223"/>
        <v>7324.5452175465325</v>
      </c>
      <c r="K185" s="84">
        <f t="shared" si="223"/>
        <v>7509.4623844921589</v>
      </c>
      <c r="L185" s="84">
        <f t="shared" si="223"/>
        <v>7449.4689198526803</v>
      </c>
      <c r="M185" s="84">
        <f t="shared" si="222"/>
        <v>6674.4001780488406</v>
      </c>
      <c r="N185" s="84">
        <f t="shared" si="223"/>
        <v>6622.0107426265404</v>
      </c>
      <c r="O185" s="84">
        <f t="shared" si="223"/>
        <v>6442.7009275662513</v>
      </c>
      <c r="P185" s="84">
        <f t="shared" si="223"/>
        <v>6640.7460170684562</v>
      </c>
      <c r="Q185" s="84">
        <f t="shared" si="223"/>
        <v>7077.4644556043932</v>
      </c>
      <c r="R185" s="84">
        <f t="shared" si="223"/>
        <v>7072.379569378013</v>
      </c>
      <c r="S185" s="84">
        <f t="shared" si="223"/>
        <v>7017.3563633497852</v>
      </c>
      <c r="T185" s="84">
        <f t="shared" si="223"/>
        <v>6808.3906829519892</v>
      </c>
      <c r="U185" s="84">
        <f t="shared" si="223"/>
        <v>6125.8774939574769</v>
      </c>
      <c r="V185" s="84">
        <f t="shared" si="223"/>
        <v>5425.6065892434208</v>
      </c>
      <c r="W185" s="84">
        <f t="shared" si="221"/>
        <v>6002.1886737265395</v>
      </c>
      <c r="X185" s="84">
        <f t="shared" si="221"/>
        <v>6860.2849943846632</v>
      </c>
      <c r="Y185" s="84">
        <f t="shared" si="221"/>
        <v>7727.6689959052219</v>
      </c>
      <c r="DA185" s="171" t="s">
        <v>595</v>
      </c>
    </row>
    <row r="186" spans="1:105" ht="11.45" customHeight="1" x14ac:dyDescent="0.25">
      <c r="A186" s="111" t="s">
        <v>111</v>
      </c>
      <c r="B186" s="84">
        <f t="shared" si="223"/>
        <v>11833.50506067863</v>
      </c>
      <c r="C186" s="84">
        <f t="shared" si="223"/>
        <v>10942.973361960128</v>
      </c>
      <c r="D186" s="84">
        <f t="shared" si="223"/>
        <v>11327.772719369139</v>
      </c>
      <c r="E186" s="84">
        <f t="shared" si="223"/>
        <v>12097.855486729111</v>
      </c>
      <c r="F186" s="84">
        <f t="shared" si="223"/>
        <v>11527.874588426805</v>
      </c>
      <c r="G186" s="84">
        <f t="shared" si="223"/>
        <v>10980.118666736873</v>
      </c>
      <c r="H186" s="84">
        <f t="shared" si="223"/>
        <v>10982.091639768032</v>
      </c>
      <c r="I186" s="84">
        <f t="shared" si="223"/>
        <v>10437.365454243351</v>
      </c>
      <c r="J186" s="84">
        <f t="shared" si="223"/>
        <v>10561.616470243998</v>
      </c>
      <c r="K186" s="84">
        <f t="shared" si="223"/>
        <v>10781.263916636331</v>
      </c>
      <c r="L186" s="84">
        <f t="shared" si="223"/>
        <v>10669.06404588401</v>
      </c>
      <c r="M186" s="84">
        <f t="shared" si="222"/>
        <v>9569.3813683294302</v>
      </c>
      <c r="N186" s="84">
        <f t="shared" si="223"/>
        <v>9345.9807689224472</v>
      </c>
      <c r="O186" s="84">
        <f t="shared" si="223"/>
        <v>8979.0326676195091</v>
      </c>
      <c r="P186" s="84">
        <f t="shared" si="223"/>
        <v>9049.1856370086025</v>
      </c>
      <c r="Q186" s="84">
        <f t="shared" si="223"/>
        <v>9384.1058888328935</v>
      </c>
      <c r="R186" s="84">
        <f t="shared" si="223"/>
        <v>9760.1133109876828</v>
      </c>
      <c r="S186" s="84">
        <f t="shared" si="223"/>
        <v>10079.452133813464</v>
      </c>
      <c r="T186" s="84">
        <f t="shared" si="223"/>
        <v>10178.457313942714</v>
      </c>
      <c r="U186" s="84">
        <f t="shared" si="223"/>
        <v>9531.9091523514799</v>
      </c>
      <c r="V186" s="84">
        <f t="shared" si="223"/>
        <v>8754.3883704153777</v>
      </c>
      <c r="W186" s="84">
        <f t="shared" si="221"/>
        <v>9726.9127752919321</v>
      </c>
      <c r="X186" s="84">
        <f t="shared" si="221"/>
        <v>11030.187139245545</v>
      </c>
      <c r="Y186" s="84">
        <f t="shared" si="221"/>
        <v>12523.158861787302</v>
      </c>
      <c r="DA186" s="171" t="s">
        <v>596</v>
      </c>
    </row>
    <row r="187" spans="1:105" ht="11.45" customHeight="1" x14ac:dyDescent="0.25">
      <c r="A187" s="111" t="s">
        <v>112</v>
      </c>
      <c r="B187" s="84">
        <f t="shared" si="223"/>
        <v>9346.0900840541399</v>
      </c>
      <c r="C187" s="84">
        <f t="shared" si="223"/>
        <v>8646.6985130585927</v>
      </c>
      <c r="D187" s="84">
        <f t="shared" si="223"/>
        <v>8953.0048863033426</v>
      </c>
      <c r="E187" s="84">
        <f t="shared" si="223"/>
        <v>9557.5525616129271</v>
      </c>
      <c r="F187" s="84">
        <f t="shared" si="223"/>
        <v>9109.7253125817533</v>
      </c>
      <c r="G187" s="84">
        <f t="shared" si="223"/>
        <v>8719.587741197136</v>
      </c>
      <c r="H187" s="84">
        <f t="shared" si="223"/>
        <v>8810.5262636888474</v>
      </c>
      <c r="I187" s="84">
        <f t="shared" si="223"/>
        <v>8458.2801616652741</v>
      </c>
      <c r="J187" s="84">
        <f t="shared" si="223"/>
        <v>8646.990333965583</v>
      </c>
      <c r="K187" s="84">
        <f t="shared" si="223"/>
        <v>8917.7083274140859</v>
      </c>
      <c r="L187" s="84">
        <f t="shared" si="223"/>
        <v>8915.4219067568338</v>
      </c>
      <c r="M187" s="84">
        <f t="shared" si="222"/>
        <v>8080.4251191641179</v>
      </c>
      <c r="N187" s="84">
        <f t="shared" si="223"/>
        <v>7973.2511499692546</v>
      </c>
      <c r="O187" s="84">
        <f t="shared" si="223"/>
        <v>7740.2274289298775</v>
      </c>
      <c r="P187" s="84">
        <f t="shared" si="223"/>
        <v>7884.3217507860363</v>
      </c>
      <c r="Q187" s="84">
        <f t="shared" si="223"/>
        <v>8257.8735730473654</v>
      </c>
      <c r="R187" s="84">
        <f t="shared" si="223"/>
        <v>8309.117768047161</v>
      </c>
      <c r="S187" s="84">
        <f t="shared" si="223"/>
        <v>8311.416034335547</v>
      </c>
      <c r="T187" s="84">
        <f t="shared" si="223"/>
        <v>8159.8266768359008</v>
      </c>
      <c r="U187" s="84">
        <f t="shared" si="223"/>
        <v>7523.113219503547</v>
      </c>
      <c r="V187" s="84">
        <f t="shared" si="223"/>
        <v>6845.5927072417753</v>
      </c>
      <c r="W187" s="84">
        <f t="shared" si="221"/>
        <v>7398.9585501795036</v>
      </c>
      <c r="X187" s="84">
        <f t="shared" si="221"/>
        <v>8326.7940187990298</v>
      </c>
      <c r="Y187" s="84">
        <f t="shared" si="221"/>
        <v>9163.3763464589065</v>
      </c>
      <c r="DA187" s="171" t="s">
        <v>597</v>
      </c>
    </row>
    <row r="188" spans="1:105" ht="11.45" customHeight="1" x14ac:dyDescent="0.25">
      <c r="A188" s="111" t="s">
        <v>113</v>
      </c>
      <c r="B188" s="84">
        <f t="shared" si="223"/>
        <v>0</v>
      </c>
      <c r="C188" s="84">
        <f t="shared" si="223"/>
        <v>0</v>
      </c>
      <c r="D188" s="84">
        <f t="shared" si="223"/>
        <v>0</v>
      </c>
      <c r="E188" s="84">
        <f t="shared" si="223"/>
        <v>0</v>
      </c>
      <c r="F188" s="84">
        <f t="shared" si="223"/>
        <v>0</v>
      </c>
      <c r="G188" s="84">
        <f t="shared" si="223"/>
        <v>0</v>
      </c>
      <c r="H188" s="84">
        <f t="shared" si="223"/>
        <v>0</v>
      </c>
      <c r="I188" s="84">
        <f t="shared" si="223"/>
        <v>0</v>
      </c>
      <c r="J188" s="84">
        <f t="shared" si="223"/>
        <v>0</v>
      </c>
      <c r="K188" s="84">
        <f t="shared" si="223"/>
        <v>0</v>
      </c>
      <c r="L188" s="84">
        <f t="shared" si="223"/>
        <v>0</v>
      </c>
      <c r="M188" s="84">
        <f t="shared" si="222"/>
        <v>0</v>
      </c>
      <c r="N188" s="84">
        <f t="shared" si="223"/>
        <v>0</v>
      </c>
      <c r="O188" s="84">
        <f t="shared" si="223"/>
        <v>8825.3650954379846</v>
      </c>
      <c r="P188" s="84">
        <f t="shared" si="223"/>
        <v>8993.4347640442411</v>
      </c>
      <c r="Q188" s="84">
        <f t="shared" si="223"/>
        <v>9436.6192741391915</v>
      </c>
      <c r="R188" s="84">
        <f t="shared" si="223"/>
        <v>9502.889797018026</v>
      </c>
      <c r="S188" s="84">
        <f t="shared" si="223"/>
        <v>9510.4276465279709</v>
      </c>
      <c r="T188" s="84">
        <f t="shared" si="223"/>
        <v>9333.0693728690185</v>
      </c>
      <c r="U188" s="84">
        <f t="shared" si="223"/>
        <v>8574.2320166860172</v>
      </c>
      <c r="V188" s="84">
        <f t="shared" si="223"/>
        <v>7769.2232820281506</v>
      </c>
      <c r="W188" s="84">
        <f t="shared" si="221"/>
        <v>8434.1895701404301</v>
      </c>
      <c r="X188" s="84">
        <f t="shared" si="221"/>
        <v>9552.8770236925848</v>
      </c>
      <c r="Y188" s="84">
        <f t="shared" si="221"/>
        <v>10568.394455007592</v>
      </c>
      <c r="DA188" s="171" t="s">
        <v>598</v>
      </c>
    </row>
    <row r="189" spans="1:105" ht="11.45" customHeight="1" x14ac:dyDescent="0.25">
      <c r="A189" s="111" t="s">
        <v>115</v>
      </c>
      <c r="B189" s="84">
        <f t="shared" si="223"/>
        <v>0</v>
      </c>
      <c r="C189" s="84">
        <f t="shared" si="223"/>
        <v>0</v>
      </c>
      <c r="D189" s="84">
        <f t="shared" si="223"/>
        <v>0</v>
      </c>
      <c r="E189" s="84">
        <f t="shared" si="223"/>
        <v>0</v>
      </c>
      <c r="F189" s="84">
        <f t="shared" si="223"/>
        <v>0</v>
      </c>
      <c r="G189" s="84">
        <f t="shared" si="223"/>
        <v>0</v>
      </c>
      <c r="H189" s="84">
        <f t="shared" si="223"/>
        <v>0</v>
      </c>
      <c r="I189" s="84">
        <f t="shared" si="223"/>
        <v>0</v>
      </c>
      <c r="J189" s="84">
        <f t="shared" si="223"/>
        <v>0</v>
      </c>
      <c r="K189" s="84">
        <f t="shared" si="223"/>
        <v>0</v>
      </c>
      <c r="L189" s="84">
        <f t="shared" si="223"/>
        <v>0</v>
      </c>
      <c r="M189" s="84">
        <f t="shared" si="222"/>
        <v>6425.7863460487824</v>
      </c>
      <c r="N189" s="84">
        <f t="shared" si="223"/>
        <v>6433.3097161187698</v>
      </c>
      <c r="O189" s="84">
        <f t="shared" si="223"/>
        <v>6446.096256788941</v>
      </c>
      <c r="P189" s="84">
        <f t="shared" si="223"/>
        <v>6448.8025067199569</v>
      </c>
      <c r="Q189" s="84">
        <f t="shared" si="223"/>
        <v>6460.4985183369263</v>
      </c>
      <c r="R189" s="84">
        <f t="shared" si="223"/>
        <v>6455.2558020390534</v>
      </c>
      <c r="S189" s="84">
        <f t="shared" si="223"/>
        <v>6451.9235255158619</v>
      </c>
      <c r="T189" s="84">
        <f t="shared" si="223"/>
        <v>6449.2282389976699</v>
      </c>
      <c r="U189" s="84">
        <f t="shared" si="223"/>
        <v>6426.3121999053246</v>
      </c>
      <c r="V189" s="84">
        <f t="shared" si="223"/>
        <v>6032.4748274303238</v>
      </c>
      <c r="W189" s="84">
        <f t="shared" si="221"/>
        <v>6425.2005821878292</v>
      </c>
      <c r="X189" s="84">
        <f t="shared" si="221"/>
        <v>6388.3903060731791</v>
      </c>
      <c r="Y189" s="84">
        <f t="shared" si="221"/>
        <v>6354.6892295503121</v>
      </c>
      <c r="DA189" s="171" t="s">
        <v>599</v>
      </c>
    </row>
    <row r="190" spans="1:105" ht="11.45" customHeight="1" x14ac:dyDescent="0.25">
      <c r="A190" s="109" t="s">
        <v>154</v>
      </c>
      <c r="B190" s="110">
        <f t="shared" si="223"/>
        <v>18296.973564664688</v>
      </c>
      <c r="C190" s="110">
        <f t="shared" si="223"/>
        <v>20310.855299813902</v>
      </c>
      <c r="D190" s="110">
        <f t="shared" si="223"/>
        <v>19303.582141535891</v>
      </c>
      <c r="E190" s="110">
        <f t="shared" si="223"/>
        <v>19737.133954846133</v>
      </c>
      <c r="F190" s="110">
        <f t="shared" si="223"/>
        <v>25710.604995385627</v>
      </c>
      <c r="G190" s="110">
        <f t="shared" si="223"/>
        <v>27027.492570155529</v>
      </c>
      <c r="H190" s="110">
        <f t="shared" si="223"/>
        <v>27398.952776320028</v>
      </c>
      <c r="I190" s="110">
        <f t="shared" si="223"/>
        <v>28335.594196162812</v>
      </c>
      <c r="J190" s="110">
        <f t="shared" si="223"/>
        <v>25784.725711313291</v>
      </c>
      <c r="K190" s="110">
        <f t="shared" si="223"/>
        <v>22821.565714709221</v>
      </c>
      <c r="L190" s="110">
        <f t="shared" si="223"/>
        <v>23489.444621447652</v>
      </c>
      <c r="M190" s="110">
        <f t="shared" si="222"/>
        <v>24153.674596717254</v>
      </c>
      <c r="N190" s="110">
        <f t="shared" si="223"/>
        <v>23538.754168345567</v>
      </c>
      <c r="O190" s="110">
        <f t="shared" si="223"/>
        <v>24237.255781201362</v>
      </c>
      <c r="P190" s="110">
        <f t="shared" si="223"/>
        <v>20665.187487713229</v>
      </c>
      <c r="Q190" s="110">
        <f t="shared" si="223"/>
        <v>23230.730941275098</v>
      </c>
      <c r="R190" s="110">
        <f t="shared" si="223"/>
        <v>23317.633951071573</v>
      </c>
      <c r="S190" s="110">
        <f t="shared" si="223"/>
        <v>20647.432279373628</v>
      </c>
      <c r="T190" s="110">
        <f t="shared" si="223"/>
        <v>19042.382787453695</v>
      </c>
      <c r="U190" s="110">
        <f t="shared" si="223"/>
        <v>16106.710574012579</v>
      </c>
      <c r="V190" s="110">
        <f t="shared" si="223"/>
        <v>14713.384267184947</v>
      </c>
      <c r="W190" s="110">
        <f t="shared" si="221"/>
        <v>16825.902086096623</v>
      </c>
      <c r="X190" s="110">
        <f t="shared" si="221"/>
        <v>16237.982945106232</v>
      </c>
      <c r="Y190" s="110">
        <f t="shared" si="221"/>
        <v>14640.196185970244</v>
      </c>
      <c r="DA190" s="176" t="s">
        <v>600</v>
      </c>
    </row>
    <row r="191" spans="1:105" ht="11.45" customHeight="1" x14ac:dyDescent="0.25">
      <c r="A191" s="128" t="s">
        <v>27</v>
      </c>
      <c r="B191" s="102">
        <f t="shared" si="223"/>
        <v>15639.009946410326</v>
      </c>
      <c r="C191" s="102">
        <f t="shared" si="223"/>
        <v>17623.021466016366</v>
      </c>
      <c r="D191" s="102">
        <f t="shared" si="223"/>
        <v>16391.419698496597</v>
      </c>
      <c r="E191" s="102">
        <f t="shared" si="223"/>
        <v>16658.637117927305</v>
      </c>
      <c r="F191" s="102">
        <f t="shared" si="223"/>
        <v>22166.894225363423</v>
      </c>
      <c r="G191" s="102">
        <f t="shared" si="223"/>
        <v>23394.735312917659</v>
      </c>
      <c r="H191" s="102">
        <f t="shared" si="223"/>
        <v>23510.236626720762</v>
      </c>
      <c r="I191" s="102">
        <f t="shared" si="223"/>
        <v>24147.277271287268</v>
      </c>
      <c r="J191" s="102">
        <f t="shared" si="223"/>
        <v>22126.702375251945</v>
      </c>
      <c r="K191" s="102">
        <f t="shared" si="223"/>
        <v>19015.044870666901</v>
      </c>
      <c r="L191" s="102">
        <f t="shared" si="223"/>
        <v>20055.654719010188</v>
      </c>
      <c r="M191" s="102">
        <f t="shared" si="222"/>
        <v>20348.597723875766</v>
      </c>
      <c r="N191" s="102">
        <f t="shared" si="223"/>
        <v>19629.902066836861</v>
      </c>
      <c r="O191" s="102">
        <f t="shared" si="223"/>
        <v>19419.479818349264</v>
      </c>
      <c r="P191" s="102">
        <f t="shared" si="223"/>
        <v>16035.372969342494</v>
      </c>
      <c r="Q191" s="102">
        <f t="shared" si="223"/>
        <v>19240.126228573812</v>
      </c>
      <c r="R191" s="102">
        <f t="shared" si="223"/>
        <v>18832.175460756731</v>
      </c>
      <c r="S191" s="102">
        <f t="shared" si="223"/>
        <v>16636.208960867098</v>
      </c>
      <c r="T191" s="102">
        <f t="shared" si="223"/>
        <v>15110.93437503655</v>
      </c>
      <c r="U191" s="102">
        <f t="shared" si="223"/>
        <v>12554.921569017277</v>
      </c>
      <c r="V191" s="102">
        <f t="shared" si="223"/>
        <v>11400.720943625622</v>
      </c>
      <c r="W191" s="102">
        <f t="shared" si="221"/>
        <v>12877.871154678774</v>
      </c>
      <c r="X191" s="102">
        <f t="shared" si="221"/>
        <v>12068.307054394674</v>
      </c>
      <c r="Y191" s="102">
        <f t="shared" si="221"/>
        <v>10745.395587393765</v>
      </c>
      <c r="DA191" s="175" t="s">
        <v>601</v>
      </c>
    </row>
    <row r="192" spans="1:105" ht="11.45" customHeight="1" x14ac:dyDescent="0.25">
      <c r="A192" s="138" t="s">
        <v>116</v>
      </c>
      <c r="B192" s="86">
        <f t="shared" si="223"/>
        <v>84999.2034132384</v>
      </c>
      <c r="C192" s="86">
        <f t="shared" si="223"/>
        <v>84995.301498678498</v>
      </c>
      <c r="D192" s="86">
        <f t="shared" si="223"/>
        <v>84995.103583382152</v>
      </c>
      <c r="E192" s="86">
        <f t="shared" si="223"/>
        <v>84999.729745223565</v>
      </c>
      <c r="F192" s="86">
        <f t="shared" si="223"/>
        <v>84992.60107654208</v>
      </c>
      <c r="G192" s="86">
        <f t="shared" si="223"/>
        <v>84998.671761370744</v>
      </c>
      <c r="H192" s="86">
        <f t="shared" si="223"/>
        <v>85004.90911992341</v>
      </c>
      <c r="I192" s="86">
        <f t="shared" si="223"/>
        <v>84995.544443205363</v>
      </c>
      <c r="J192" s="86">
        <f t="shared" si="223"/>
        <v>84994.198242251441</v>
      </c>
      <c r="K192" s="86">
        <f t="shared" si="223"/>
        <v>84994.967422465634</v>
      </c>
      <c r="L192" s="86">
        <f t="shared" si="223"/>
        <v>85003.727721736985</v>
      </c>
      <c r="M192" s="86">
        <f t="shared" si="222"/>
        <v>84995.521944942288</v>
      </c>
      <c r="N192" s="86">
        <f t="shared" si="223"/>
        <v>85006.761143601499</v>
      </c>
      <c r="O192" s="86">
        <f t="shared" si="223"/>
        <v>85005.109694379673</v>
      </c>
      <c r="P192" s="86">
        <f t="shared" si="223"/>
        <v>85000.974807254548</v>
      </c>
      <c r="Q192" s="86">
        <f t="shared" si="223"/>
        <v>85003.093497492344</v>
      </c>
      <c r="R192" s="86">
        <f t="shared" si="223"/>
        <v>85001.984938685942</v>
      </c>
      <c r="S192" s="86">
        <f t="shared" si="223"/>
        <v>84996.505107295307</v>
      </c>
      <c r="T192" s="86">
        <f t="shared" si="223"/>
        <v>85004.464951911796</v>
      </c>
      <c r="U192" s="86">
        <f t="shared" si="223"/>
        <v>85004.294516264315</v>
      </c>
      <c r="V192" s="86">
        <f t="shared" ref="V192:W192" si="224">IF(V55=0,0,V55*1000000/V82)</f>
        <v>85004.216853033286</v>
      </c>
      <c r="W192" s="86">
        <f t="shared" si="224"/>
        <v>85005.883337884472</v>
      </c>
      <c r="X192" s="86">
        <f t="shared" ref="X192:Y192" si="225">IF(X55=0,0,X55*1000000/X82)</f>
        <v>85003.494372901914</v>
      </c>
      <c r="Y192" s="86">
        <f t="shared" si="225"/>
        <v>84995.623690807173</v>
      </c>
      <c r="DA192" s="178" t="s">
        <v>602</v>
      </c>
    </row>
    <row r="193" spans="1:105" ht="11.45" customHeight="1" x14ac:dyDescent="0.25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DA193" s="171"/>
    </row>
    <row r="194" spans="1:105" ht="11.45" customHeight="1" x14ac:dyDescent="0.25">
      <c r="A194" s="53" t="s">
        <v>137</v>
      </c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DA194" s="172"/>
    </row>
    <row r="195" spans="1:105" ht="11.45" customHeight="1" x14ac:dyDescent="0.25">
      <c r="A195" s="27" t="s">
        <v>107</v>
      </c>
      <c r="B195" s="28">
        <f t="shared" ref="B195:L195" si="226">IF(B4=0,0,B4*1000000/B58)</f>
        <v>21099.659154905756</v>
      </c>
      <c r="C195" s="28">
        <f t="shared" si="226"/>
        <v>20681.04978509196</v>
      </c>
      <c r="D195" s="28">
        <f t="shared" si="226"/>
        <v>20017.776118518959</v>
      </c>
      <c r="E195" s="28">
        <f t="shared" si="226"/>
        <v>20612.044470747758</v>
      </c>
      <c r="F195" s="28">
        <f t="shared" si="226"/>
        <v>20392.056705091931</v>
      </c>
      <c r="G195" s="28">
        <f t="shared" si="226"/>
        <v>19477.573564123224</v>
      </c>
      <c r="H195" s="28">
        <f t="shared" si="226"/>
        <v>19399.477160390601</v>
      </c>
      <c r="I195" s="28">
        <f t="shared" si="226"/>
        <v>19270.633148171051</v>
      </c>
      <c r="J195" s="28">
        <f t="shared" si="226"/>
        <v>19255.779842352877</v>
      </c>
      <c r="K195" s="28">
        <f t="shared" si="226"/>
        <v>18789.303718206582</v>
      </c>
      <c r="L195" s="28">
        <f t="shared" si="226"/>
        <v>17627.62085984532</v>
      </c>
      <c r="M195" s="28">
        <f>IF(M4=0,0,M4*1000000/M58)</f>
        <v>17414.233360989649</v>
      </c>
      <c r="N195" s="28">
        <f t="shared" ref="N195:V195" si="227">IF(N4=0,0,N4*1000000/N58)</f>
        <v>18844.435303134673</v>
      </c>
      <c r="O195" s="28">
        <f t="shared" si="227"/>
        <v>18524.070601817246</v>
      </c>
      <c r="P195" s="28">
        <f t="shared" si="227"/>
        <v>17396.446506922024</v>
      </c>
      <c r="Q195" s="28">
        <f t="shared" si="227"/>
        <v>17428.357908922804</v>
      </c>
      <c r="R195" s="28">
        <f t="shared" si="227"/>
        <v>18039.172837866805</v>
      </c>
      <c r="S195" s="28">
        <f t="shared" si="227"/>
        <v>17694.804943043757</v>
      </c>
      <c r="T195" s="28">
        <f t="shared" si="227"/>
        <v>17571.833821703858</v>
      </c>
      <c r="U195" s="28">
        <f t="shared" si="227"/>
        <v>17268.628808579841</v>
      </c>
      <c r="V195" s="28">
        <f t="shared" si="227"/>
        <v>14647.609019927559</v>
      </c>
      <c r="W195" s="28">
        <f t="shared" ref="W195:Y195" si="228">IF(W4=0,0,W4*1000000/W58)</f>
        <v>15667.56784358659</v>
      </c>
      <c r="X195" s="28">
        <f t="shared" si="228"/>
        <v>16553.223915064995</v>
      </c>
      <c r="Y195" s="28">
        <f t="shared" si="228"/>
        <v>16896.396205085686</v>
      </c>
      <c r="DA195" s="173" t="s">
        <v>603</v>
      </c>
    </row>
    <row r="196" spans="1:105" ht="11.45" customHeight="1" x14ac:dyDescent="0.25">
      <c r="A196" s="136" t="s">
        <v>173</v>
      </c>
      <c r="B196" s="137">
        <f t="shared" ref="B196:L196" si="229">IF(B5=0,0,B5*1000000/B59)</f>
        <v>2931.5272394398489</v>
      </c>
      <c r="C196" s="137">
        <f t="shared" si="229"/>
        <v>3082.3681797361096</v>
      </c>
      <c r="D196" s="137">
        <f t="shared" si="229"/>
        <v>3251.2742334600912</v>
      </c>
      <c r="E196" s="137">
        <f t="shared" si="229"/>
        <v>3383.9879067099187</v>
      </c>
      <c r="F196" s="137">
        <f t="shared" si="229"/>
        <v>3571.7533076770028</v>
      </c>
      <c r="G196" s="137">
        <f t="shared" si="229"/>
        <v>3698.6396685241593</v>
      </c>
      <c r="H196" s="137">
        <f t="shared" si="229"/>
        <v>4097.3686081470732</v>
      </c>
      <c r="I196" s="137">
        <f t="shared" si="229"/>
        <v>4043.3436235606</v>
      </c>
      <c r="J196" s="137">
        <f t="shared" si="229"/>
        <v>4103.2318088698503</v>
      </c>
      <c r="K196" s="137">
        <f t="shared" si="229"/>
        <v>3852.7816852190626</v>
      </c>
      <c r="L196" s="137">
        <f t="shared" si="229"/>
        <v>3991.004190002534</v>
      </c>
      <c r="M196" s="137">
        <f>IF(M5=0,0,M5*1000000/M59)</f>
        <v>3911.345297000134</v>
      </c>
      <c r="N196" s="137">
        <f t="shared" ref="N196:V196" si="230">IF(N5=0,0,N5*1000000/N59)</f>
        <v>3902.3027470815719</v>
      </c>
      <c r="O196" s="137">
        <f t="shared" si="230"/>
        <v>3779.5970647451036</v>
      </c>
      <c r="P196" s="137">
        <f t="shared" si="230"/>
        <v>3717.433640199547</v>
      </c>
      <c r="Q196" s="137">
        <f t="shared" si="230"/>
        <v>3482.9941272469332</v>
      </c>
      <c r="R196" s="137">
        <f t="shared" si="230"/>
        <v>3549.8176536057795</v>
      </c>
      <c r="S196" s="137">
        <f t="shared" si="230"/>
        <v>3156.1473807811813</v>
      </c>
      <c r="T196" s="137">
        <f t="shared" si="230"/>
        <v>2910.5102394141636</v>
      </c>
      <c r="U196" s="137">
        <f t="shared" si="230"/>
        <v>2906.5520598215612</v>
      </c>
      <c r="V196" s="137">
        <f t="shared" si="230"/>
        <v>2829.0959919944708</v>
      </c>
      <c r="W196" s="137">
        <f t="shared" ref="W196:Y196" si="231">IF(W5=0,0,W5*1000000/W59)</f>
        <v>2965.244408105757</v>
      </c>
      <c r="X196" s="137">
        <f t="shared" si="231"/>
        <v>2852.037180369955</v>
      </c>
      <c r="Y196" s="137">
        <f t="shared" si="231"/>
        <v>2865.6305261596203</v>
      </c>
      <c r="DA196" s="174" t="s">
        <v>604</v>
      </c>
    </row>
    <row r="197" spans="1:105" ht="11.45" customHeight="1" x14ac:dyDescent="0.25">
      <c r="A197" s="109" t="s">
        <v>20</v>
      </c>
      <c r="B197" s="110">
        <f t="shared" ref="B197:V210" si="232">IF(B6=0,0,B6*1000000/B60)</f>
        <v>20621.550972988673</v>
      </c>
      <c r="C197" s="110">
        <f t="shared" si="232"/>
        <v>20395.653385344107</v>
      </c>
      <c r="D197" s="110">
        <f t="shared" si="232"/>
        <v>20000</v>
      </c>
      <c r="E197" s="110">
        <f t="shared" si="232"/>
        <v>20549.672213817445</v>
      </c>
      <c r="F197" s="110">
        <f t="shared" si="232"/>
        <v>20243.90243902439</v>
      </c>
      <c r="G197" s="110">
        <f t="shared" si="232"/>
        <v>20238.095238095237</v>
      </c>
      <c r="H197" s="110">
        <f t="shared" si="232"/>
        <v>20046.620046620046</v>
      </c>
      <c r="I197" s="110">
        <f t="shared" si="232"/>
        <v>19776.204612925329</v>
      </c>
      <c r="J197" s="110">
        <f t="shared" si="232"/>
        <v>19736.84210526316</v>
      </c>
      <c r="K197" s="110">
        <f t="shared" si="232"/>
        <v>19295.490240071798</v>
      </c>
      <c r="L197" s="110">
        <f t="shared" si="232"/>
        <v>17838.874680306904</v>
      </c>
      <c r="M197" s="110">
        <f>IF(M6=0,0,M6*1000000/M60)</f>
        <v>17654.192209354449</v>
      </c>
      <c r="N197" s="110">
        <f t="shared" ref="N197:V197" si="233">IF(N6=0,0,N6*1000000/N60)</f>
        <v>19284.051050199851</v>
      </c>
      <c r="O197" s="110">
        <f t="shared" si="233"/>
        <v>18917.701550726073</v>
      </c>
      <c r="P197" s="110">
        <f t="shared" si="233"/>
        <v>17732.380358540893</v>
      </c>
      <c r="Q197" s="110">
        <f t="shared" si="233"/>
        <v>17884.505450207595</v>
      </c>
      <c r="R197" s="110">
        <f t="shared" si="233"/>
        <v>18651.076887550265</v>
      </c>
      <c r="S197" s="110">
        <f t="shared" si="233"/>
        <v>18221.566855858353</v>
      </c>
      <c r="T197" s="110">
        <f t="shared" si="233"/>
        <v>18069.47181892323</v>
      </c>
      <c r="U197" s="110">
        <f t="shared" si="233"/>
        <v>17841.186200051103</v>
      </c>
      <c r="V197" s="110">
        <f t="shared" si="233"/>
        <v>15304.56299741305</v>
      </c>
      <c r="W197" s="110">
        <f t="shared" ref="W197:Y209" si="234">IF(W6=0,0,W6*1000000/W60)</f>
        <v>16083.664279830438</v>
      </c>
      <c r="X197" s="110">
        <f t="shared" si="234"/>
        <v>16709.023216761656</v>
      </c>
      <c r="Y197" s="110">
        <f t="shared" si="234"/>
        <v>17184.303564094538</v>
      </c>
      <c r="DA197" s="176" t="s">
        <v>605</v>
      </c>
    </row>
    <row r="198" spans="1:105" ht="11.45" customHeight="1" x14ac:dyDescent="0.25">
      <c r="A198" s="111" t="s">
        <v>110</v>
      </c>
      <c r="B198" s="84">
        <f t="shared" si="232"/>
        <v>19147.334028253077</v>
      </c>
      <c r="C198" s="84">
        <f t="shared" si="232"/>
        <v>17806.748837005023</v>
      </c>
      <c r="D198" s="84">
        <f t="shared" si="232"/>
        <v>16911.338650602596</v>
      </c>
      <c r="E198" s="84">
        <f t="shared" si="232"/>
        <v>16561.570192230836</v>
      </c>
      <c r="F198" s="84">
        <f t="shared" si="232"/>
        <v>15412.342430813087</v>
      </c>
      <c r="G198" s="84">
        <f t="shared" si="232"/>
        <v>14638.950186680831</v>
      </c>
      <c r="H198" s="84">
        <f t="shared" si="232"/>
        <v>13608.402969659535</v>
      </c>
      <c r="I198" s="84">
        <f t="shared" si="232"/>
        <v>12995.92190160407</v>
      </c>
      <c r="J198" s="84">
        <f t="shared" si="232"/>
        <v>12431.4596186374</v>
      </c>
      <c r="K198" s="84">
        <f t="shared" si="232"/>
        <v>12040.53628399606</v>
      </c>
      <c r="L198" s="84">
        <f t="shared" si="232"/>
        <v>10620.301057262037</v>
      </c>
      <c r="M198" s="84">
        <f t="shared" ref="M198:M219" si="235">IF(M7=0,0,M7*1000000/M61)</f>
        <v>10063.614297660997</v>
      </c>
      <c r="N198" s="84">
        <f t="shared" si="232"/>
        <v>11408.945144821135</v>
      </c>
      <c r="O198" s="84">
        <f t="shared" si="232"/>
        <v>11054.046743473213</v>
      </c>
      <c r="P198" s="84">
        <f t="shared" si="232"/>
        <v>10253.46788537575</v>
      </c>
      <c r="Q198" s="84">
        <f t="shared" si="232"/>
        <v>10717.20992299711</v>
      </c>
      <c r="R198" s="84">
        <f t="shared" si="232"/>
        <v>11031.921253293878</v>
      </c>
      <c r="S198" s="84">
        <f t="shared" si="232"/>
        <v>10662.982370434725</v>
      </c>
      <c r="T198" s="84">
        <f t="shared" si="232"/>
        <v>10523.281789497218</v>
      </c>
      <c r="U198" s="84">
        <f t="shared" si="232"/>
        <v>10453.691096489167</v>
      </c>
      <c r="V198" s="84">
        <f t="shared" si="232"/>
        <v>8831.6712081121586</v>
      </c>
      <c r="W198" s="84">
        <f t="shared" si="234"/>
        <v>9887.7469630448904</v>
      </c>
      <c r="X198" s="84">
        <f t="shared" si="234"/>
        <v>10591.713531293701</v>
      </c>
      <c r="Y198" s="84">
        <f t="shared" si="234"/>
        <v>11248.55115689697</v>
      </c>
      <c r="DA198" s="171" t="s">
        <v>606</v>
      </c>
    </row>
    <row r="199" spans="1:105" ht="11.45" customHeight="1" x14ac:dyDescent="0.25">
      <c r="A199" s="111" t="s">
        <v>111</v>
      </c>
      <c r="B199" s="84">
        <f t="shared" si="232"/>
        <v>23786.491392790653</v>
      </c>
      <c r="C199" s="84">
        <f t="shared" si="232"/>
        <v>26110.590664854968</v>
      </c>
      <c r="D199" s="84">
        <f t="shared" si="232"/>
        <v>26707.80192973651</v>
      </c>
      <c r="E199" s="84">
        <f t="shared" si="232"/>
        <v>28648.993271568848</v>
      </c>
      <c r="F199" s="84">
        <f t="shared" si="232"/>
        <v>29580.994475825606</v>
      </c>
      <c r="G199" s="84">
        <f t="shared" si="232"/>
        <v>30141.732752982167</v>
      </c>
      <c r="H199" s="84">
        <f t="shared" si="232"/>
        <v>30552.750468571128</v>
      </c>
      <c r="I199" s="84">
        <f t="shared" si="232"/>
        <v>29892.433186805534</v>
      </c>
      <c r="J199" s="84">
        <f t="shared" si="232"/>
        <v>29691.243516994247</v>
      </c>
      <c r="K199" s="84">
        <f t="shared" si="232"/>
        <v>28501.723566333472</v>
      </c>
      <c r="L199" s="84">
        <f t="shared" si="232"/>
        <v>26763.829957255071</v>
      </c>
      <c r="M199" s="84">
        <f t="shared" si="235"/>
        <v>26412.176158139064</v>
      </c>
      <c r="N199" s="84">
        <f t="shared" si="232"/>
        <v>27588.405355383049</v>
      </c>
      <c r="O199" s="84">
        <f t="shared" si="232"/>
        <v>26931.152976118399</v>
      </c>
      <c r="P199" s="84">
        <f t="shared" si="232"/>
        <v>24937.673762034785</v>
      </c>
      <c r="Q199" s="84">
        <f t="shared" si="232"/>
        <v>24236.071320213021</v>
      </c>
      <c r="R199" s="84">
        <f t="shared" si="232"/>
        <v>24947.764596835783</v>
      </c>
      <c r="S199" s="84">
        <f t="shared" si="232"/>
        <v>24113.440258503357</v>
      </c>
      <c r="T199" s="84">
        <f t="shared" si="232"/>
        <v>23797.519112290534</v>
      </c>
      <c r="U199" s="84">
        <f t="shared" si="232"/>
        <v>23522.92865251745</v>
      </c>
      <c r="V199" s="84">
        <f t="shared" si="232"/>
        <v>20028.782782710117</v>
      </c>
      <c r="W199" s="84">
        <f t="shared" si="234"/>
        <v>20538.602057190652</v>
      </c>
      <c r="X199" s="84">
        <f t="shared" si="234"/>
        <v>21138.086294723998</v>
      </c>
      <c r="Y199" s="84">
        <f t="shared" si="234"/>
        <v>21568.598798887255</v>
      </c>
      <c r="DA199" s="171" t="s">
        <v>607</v>
      </c>
    </row>
    <row r="200" spans="1:105" ht="11.45" customHeight="1" x14ac:dyDescent="0.25">
      <c r="A200" s="111" t="s">
        <v>112</v>
      </c>
      <c r="B200" s="84">
        <f t="shared" si="232"/>
        <v>23760.782713239845</v>
      </c>
      <c r="C200" s="84">
        <f t="shared" si="232"/>
        <v>23132.81135100852</v>
      </c>
      <c r="D200" s="84">
        <f t="shared" si="232"/>
        <v>22463.183514265678</v>
      </c>
      <c r="E200" s="84">
        <f t="shared" si="232"/>
        <v>25007.403252784959</v>
      </c>
      <c r="F200" s="84">
        <f t="shared" si="232"/>
        <v>24930.212593864686</v>
      </c>
      <c r="G200" s="84">
        <f t="shared" si="232"/>
        <v>22856.714393965613</v>
      </c>
      <c r="H200" s="84">
        <f t="shared" si="232"/>
        <v>22396.497397823441</v>
      </c>
      <c r="I200" s="84">
        <f t="shared" si="232"/>
        <v>21483.192212366208</v>
      </c>
      <c r="J200" s="84">
        <f t="shared" si="232"/>
        <v>22493.43919825332</v>
      </c>
      <c r="K200" s="84">
        <f t="shared" si="232"/>
        <v>21579.350953143647</v>
      </c>
      <c r="L200" s="84">
        <f t="shared" si="232"/>
        <v>20002.368399170326</v>
      </c>
      <c r="M200" s="84">
        <f t="shared" si="235"/>
        <v>18536.584310995495</v>
      </c>
      <c r="N200" s="84">
        <f t="shared" si="232"/>
        <v>20700.007197321502</v>
      </c>
      <c r="O200" s="84">
        <f t="shared" si="232"/>
        <v>19641.627943109474</v>
      </c>
      <c r="P200" s="84">
        <f t="shared" si="232"/>
        <v>18189.055565369155</v>
      </c>
      <c r="Q200" s="84">
        <f t="shared" si="232"/>
        <v>18522.34127838277</v>
      </c>
      <c r="R200" s="84">
        <f t="shared" si="232"/>
        <v>19272.356199355563</v>
      </c>
      <c r="S200" s="84">
        <f t="shared" si="232"/>
        <v>18825.538312492936</v>
      </c>
      <c r="T200" s="84">
        <f t="shared" si="232"/>
        <v>18768.950787624188</v>
      </c>
      <c r="U200" s="84">
        <f t="shared" si="232"/>
        <v>18734.332640173208</v>
      </c>
      <c r="V200" s="84">
        <f t="shared" si="232"/>
        <v>15368.571335454586</v>
      </c>
      <c r="W200" s="84">
        <f t="shared" si="234"/>
        <v>16682.005477440471</v>
      </c>
      <c r="X200" s="84">
        <f t="shared" si="234"/>
        <v>17330.504593643313</v>
      </c>
      <c r="Y200" s="84">
        <f t="shared" si="234"/>
        <v>17842.642104345825</v>
      </c>
      <c r="DA200" s="171" t="s">
        <v>608</v>
      </c>
    </row>
    <row r="201" spans="1:105" ht="11.45" customHeight="1" x14ac:dyDescent="0.25">
      <c r="A201" s="111" t="s">
        <v>113</v>
      </c>
      <c r="B201" s="84">
        <f t="shared" si="232"/>
        <v>0</v>
      </c>
      <c r="C201" s="84">
        <f t="shared" si="232"/>
        <v>0</v>
      </c>
      <c r="D201" s="84">
        <f t="shared" si="232"/>
        <v>0</v>
      </c>
      <c r="E201" s="84">
        <f t="shared" si="232"/>
        <v>0</v>
      </c>
      <c r="F201" s="84">
        <f t="shared" si="232"/>
        <v>0</v>
      </c>
      <c r="G201" s="84">
        <f t="shared" si="232"/>
        <v>0</v>
      </c>
      <c r="H201" s="84">
        <f t="shared" si="232"/>
        <v>0</v>
      </c>
      <c r="I201" s="84">
        <f t="shared" si="232"/>
        <v>0</v>
      </c>
      <c r="J201" s="84">
        <f t="shared" si="232"/>
        <v>0</v>
      </c>
      <c r="K201" s="84">
        <f t="shared" si="232"/>
        <v>0</v>
      </c>
      <c r="L201" s="84">
        <f t="shared" si="232"/>
        <v>15637.154553692117</v>
      </c>
      <c r="M201" s="84">
        <f t="shared" si="235"/>
        <v>14784.00827361954</v>
      </c>
      <c r="N201" s="84">
        <f t="shared" si="232"/>
        <v>16509.464340075607</v>
      </c>
      <c r="O201" s="84">
        <f t="shared" si="232"/>
        <v>15775.235074829532</v>
      </c>
      <c r="P201" s="84">
        <f t="shared" si="232"/>
        <v>14903.720186676634</v>
      </c>
      <c r="Q201" s="84">
        <f t="shared" si="232"/>
        <v>15176.807318172843</v>
      </c>
      <c r="R201" s="84">
        <f t="shared" si="232"/>
        <v>15791.353382856549</v>
      </c>
      <c r="S201" s="84">
        <f t="shared" si="232"/>
        <v>15425.240434536052</v>
      </c>
      <c r="T201" s="84">
        <f t="shared" si="232"/>
        <v>15378.873836024679</v>
      </c>
      <c r="U201" s="84">
        <f t="shared" si="232"/>
        <v>15350.508471966263</v>
      </c>
      <c r="V201" s="84">
        <f t="shared" si="232"/>
        <v>12592.676185380909</v>
      </c>
      <c r="W201" s="84">
        <f t="shared" si="234"/>
        <v>13668.87581902517</v>
      </c>
      <c r="X201" s="84">
        <f t="shared" si="234"/>
        <v>14200.242020775409</v>
      </c>
      <c r="Y201" s="84">
        <f t="shared" si="234"/>
        <v>14619.876461342163</v>
      </c>
      <c r="DA201" s="171" t="s">
        <v>609</v>
      </c>
    </row>
    <row r="202" spans="1:105" ht="11.45" customHeight="1" x14ac:dyDescent="0.25">
      <c r="A202" s="111" t="s">
        <v>114</v>
      </c>
      <c r="B202" s="84">
        <f t="shared" si="232"/>
        <v>0</v>
      </c>
      <c r="C202" s="84">
        <f t="shared" si="232"/>
        <v>0</v>
      </c>
      <c r="D202" s="84">
        <f t="shared" si="232"/>
        <v>0</v>
      </c>
      <c r="E202" s="84">
        <f t="shared" si="232"/>
        <v>0</v>
      </c>
      <c r="F202" s="84">
        <f t="shared" si="232"/>
        <v>0</v>
      </c>
      <c r="G202" s="84">
        <f t="shared" si="232"/>
        <v>0</v>
      </c>
      <c r="H202" s="84">
        <f t="shared" si="232"/>
        <v>0</v>
      </c>
      <c r="I202" s="84">
        <f t="shared" si="232"/>
        <v>0</v>
      </c>
      <c r="J202" s="84">
        <f t="shared" si="232"/>
        <v>0</v>
      </c>
      <c r="K202" s="84">
        <f t="shared" si="232"/>
        <v>0</v>
      </c>
      <c r="L202" s="84">
        <f t="shared" si="232"/>
        <v>0</v>
      </c>
      <c r="M202" s="84">
        <f t="shared" si="235"/>
        <v>11360.30158234344</v>
      </c>
      <c r="N202" s="84">
        <f t="shared" si="232"/>
        <v>13005.754524028143</v>
      </c>
      <c r="O202" s="84">
        <f t="shared" si="232"/>
        <v>12983.257699689451</v>
      </c>
      <c r="P202" s="84">
        <f t="shared" si="232"/>
        <v>12265.98773012436</v>
      </c>
      <c r="Q202" s="84">
        <f t="shared" si="232"/>
        <v>12490.742580740909</v>
      </c>
      <c r="R202" s="84">
        <f t="shared" si="232"/>
        <v>12996.523311631528</v>
      </c>
      <c r="S202" s="84">
        <f t="shared" si="232"/>
        <v>12695.206803022258</v>
      </c>
      <c r="T202" s="84">
        <f t="shared" si="232"/>
        <v>12657.046389293037</v>
      </c>
      <c r="U202" s="84">
        <f t="shared" si="232"/>
        <v>12633.701264509222</v>
      </c>
      <c r="V202" s="84">
        <f t="shared" si="232"/>
        <v>10363.963469831804</v>
      </c>
      <c r="W202" s="84">
        <f t="shared" si="234"/>
        <v>11249.692089002052</v>
      </c>
      <c r="X202" s="84">
        <f t="shared" si="234"/>
        <v>11687.014531267023</v>
      </c>
      <c r="Y202" s="84">
        <f t="shared" si="234"/>
        <v>12275.458424293516</v>
      </c>
      <c r="DA202" s="171" t="s">
        <v>610</v>
      </c>
    </row>
    <row r="203" spans="1:105" ht="11.45" customHeight="1" x14ac:dyDescent="0.25">
      <c r="A203" s="111" t="s">
        <v>115</v>
      </c>
      <c r="B203" s="84">
        <f t="shared" si="232"/>
        <v>0</v>
      </c>
      <c r="C203" s="84">
        <f t="shared" si="232"/>
        <v>0</v>
      </c>
      <c r="D203" s="84">
        <f t="shared" si="232"/>
        <v>0</v>
      </c>
      <c r="E203" s="84">
        <f t="shared" si="232"/>
        <v>0</v>
      </c>
      <c r="F203" s="84">
        <f t="shared" si="232"/>
        <v>0</v>
      </c>
      <c r="G203" s="84">
        <f t="shared" si="232"/>
        <v>0</v>
      </c>
      <c r="H203" s="84">
        <f t="shared" si="232"/>
        <v>0</v>
      </c>
      <c r="I203" s="84">
        <f t="shared" si="232"/>
        <v>0</v>
      </c>
      <c r="J203" s="84">
        <f t="shared" si="232"/>
        <v>15922.743579001168</v>
      </c>
      <c r="K203" s="84">
        <f t="shared" si="232"/>
        <v>15387.452825379938</v>
      </c>
      <c r="L203" s="84">
        <f t="shared" si="232"/>
        <v>14713.986013515061</v>
      </c>
      <c r="M203" s="84">
        <f t="shared" si="235"/>
        <v>15047.819345977405</v>
      </c>
      <c r="N203" s="84">
        <f t="shared" si="232"/>
        <v>16104.7659559935</v>
      </c>
      <c r="O203" s="84">
        <f t="shared" si="232"/>
        <v>15957.075645359941</v>
      </c>
      <c r="P203" s="84">
        <f t="shared" si="232"/>
        <v>15651.681919127075</v>
      </c>
      <c r="Q203" s="84">
        <f t="shared" si="232"/>
        <v>15933.215422974898</v>
      </c>
      <c r="R203" s="84">
        <f t="shared" si="232"/>
        <v>16517.485674973996</v>
      </c>
      <c r="S203" s="84">
        <f t="shared" si="232"/>
        <v>16239.234289550395</v>
      </c>
      <c r="T203" s="84">
        <f t="shared" si="232"/>
        <v>16586.53828023262</v>
      </c>
      <c r="U203" s="84">
        <f t="shared" si="232"/>
        <v>16601.470105640205</v>
      </c>
      <c r="V203" s="84">
        <f t="shared" si="232"/>
        <v>14602.06399021741</v>
      </c>
      <c r="W203" s="84">
        <f t="shared" si="234"/>
        <v>16586.730739457915</v>
      </c>
      <c r="X203" s="84">
        <f t="shared" si="234"/>
        <v>17083.495458002559</v>
      </c>
      <c r="Y203" s="84">
        <f t="shared" si="234"/>
        <v>16496.905447873931</v>
      </c>
      <c r="DA203" s="171" t="s">
        <v>611</v>
      </c>
    </row>
    <row r="204" spans="1:105" ht="11.45" customHeight="1" x14ac:dyDescent="0.25">
      <c r="A204" s="109" t="s">
        <v>21</v>
      </c>
      <c r="B204" s="110">
        <f t="shared" si="232"/>
        <v>597623.86248736095</v>
      </c>
      <c r="C204" s="110">
        <f t="shared" si="232"/>
        <v>537524.08477842005</v>
      </c>
      <c r="D204" s="110">
        <f t="shared" si="232"/>
        <v>464581.28769813437</v>
      </c>
      <c r="E204" s="110">
        <f t="shared" si="232"/>
        <v>486630.02817161597</v>
      </c>
      <c r="F204" s="110">
        <f t="shared" si="232"/>
        <v>495825.68807339447</v>
      </c>
      <c r="G204" s="110">
        <f t="shared" si="232"/>
        <v>434527.95193170797</v>
      </c>
      <c r="H204" s="110">
        <f t="shared" si="232"/>
        <v>404289.55105273629</v>
      </c>
      <c r="I204" s="110">
        <f t="shared" si="232"/>
        <v>413823.7022061568</v>
      </c>
      <c r="J204" s="110">
        <f t="shared" si="232"/>
        <v>407962.97094656614</v>
      </c>
      <c r="K204" s="110">
        <f t="shared" si="232"/>
        <v>387119.9989813026</v>
      </c>
      <c r="L204" s="110">
        <f t="shared" si="232"/>
        <v>385754.06808142381</v>
      </c>
      <c r="M204" s="110">
        <f t="shared" si="235"/>
        <v>377589.87930032914</v>
      </c>
      <c r="N204" s="110">
        <f t="shared" si="232"/>
        <v>461101.91534641758</v>
      </c>
      <c r="O204" s="110">
        <f t="shared" si="232"/>
        <v>486117.83696529467</v>
      </c>
      <c r="P204" s="110">
        <f t="shared" si="232"/>
        <v>372808.75181231048</v>
      </c>
      <c r="Q204" s="110">
        <f t="shared" si="232"/>
        <v>366152.81501340476</v>
      </c>
      <c r="R204" s="110">
        <f t="shared" si="232"/>
        <v>352546.20396223903</v>
      </c>
      <c r="S204" s="110">
        <f t="shared" si="232"/>
        <v>403960.52460719389</v>
      </c>
      <c r="T204" s="110">
        <f t="shared" si="232"/>
        <v>423136.99410982331</v>
      </c>
      <c r="U204" s="110">
        <f t="shared" si="232"/>
        <v>373418.26140636398</v>
      </c>
      <c r="V204" s="110">
        <f t="shared" si="232"/>
        <v>250040.79752582745</v>
      </c>
      <c r="W204" s="110">
        <f t="shared" si="234"/>
        <v>366515.9248013437</v>
      </c>
      <c r="X204" s="110">
        <f t="shared" si="234"/>
        <v>505021.3805742212</v>
      </c>
      <c r="Y204" s="110">
        <f t="shared" si="234"/>
        <v>519985.4209695055</v>
      </c>
      <c r="DA204" s="176" t="s">
        <v>612</v>
      </c>
    </row>
    <row r="205" spans="1:105" ht="11.45" customHeight="1" x14ac:dyDescent="0.25">
      <c r="A205" s="111" t="s">
        <v>110</v>
      </c>
      <c r="B205" s="102">
        <f t="shared" si="232"/>
        <v>0</v>
      </c>
      <c r="C205" s="102">
        <f t="shared" si="232"/>
        <v>0</v>
      </c>
      <c r="D205" s="102">
        <f t="shared" si="232"/>
        <v>0</v>
      </c>
      <c r="E205" s="102">
        <f t="shared" si="232"/>
        <v>0</v>
      </c>
      <c r="F205" s="102">
        <f t="shared" si="232"/>
        <v>0</v>
      </c>
      <c r="G205" s="102">
        <f t="shared" si="232"/>
        <v>0</v>
      </c>
      <c r="H205" s="102">
        <f t="shared" si="232"/>
        <v>0</v>
      </c>
      <c r="I205" s="102">
        <f t="shared" si="232"/>
        <v>0</v>
      </c>
      <c r="J205" s="102">
        <f t="shared" si="232"/>
        <v>0</v>
      </c>
      <c r="K205" s="102">
        <f t="shared" si="232"/>
        <v>0</v>
      </c>
      <c r="L205" s="102">
        <f t="shared" si="232"/>
        <v>77676.714899885221</v>
      </c>
      <c r="M205" s="102">
        <f t="shared" si="235"/>
        <v>79782.709593799416</v>
      </c>
      <c r="N205" s="102">
        <f t="shared" si="232"/>
        <v>86115.16995713512</v>
      </c>
      <c r="O205" s="102">
        <f t="shared" si="232"/>
        <v>91607.993608187971</v>
      </c>
      <c r="P205" s="102">
        <f t="shared" si="232"/>
        <v>80533.131553110361</v>
      </c>
      <c r="Q205" s="102">
        <f t="shared" si="232"/>
        <v>82748.792234184206</v>
      </c>
      <c r="R205" s="102">
        <f t="shared" si="232"/>
        <v>85622.137701088024</v>
      </c>
      <c r="S205" s="102">
        <f t="shared" si="232"/>
        <v>86483.689778496686</v>
      </c>
      <c r="T205" s="102">
        <f t="shared" si="232"/>
        <v>90464.269125356383</v>
      </c>
      <c r="U205" s="102">
        <f t="shared" si="232"/>
        <v>70588.13077177474</v>
      </c>
      <c r="V205" s="102">
        <f t="shared" si="232"/>
        <v>59993.212179323826</v>
      </c>
      <c r="W205" s="102">
        <f t="shared" si="234"/>
        <v>77421.726959160005</v>
      </c>
      <c r="X205" s="102">
        <f t="shared" si="234"/>
        <v>90986.788192930122</v>
      </c>
      <c r="Y205" s="102">
        <f t="shared" si="234"/>
        <v>93704.389996166967</v>
      </c>
      <c r="DA205" s="175" t="s">
        <v>613</v>
      </c>
    </row>
    <row r="206" spans="1:105" ht="11.45" customHeight="1" x14ac:dyDescent="0.25">
      <c r="A206" s="111" t="s">
        <v>111</v>
      </c>
      <c r="B206" s="102">
        <f t="shared" si="232"/>
        <v>596844.08979048033</v>
      </c>
      <c r="C206" s="102">
        <f t="shared" si="232"/>
        <v>534523.52650187456</v>
      </c>
      <c r="D206" s="102">
        <f t="shared" si="232"/>
        <v>460777.7278008007</v>
      </c>
      <c r="E206" s="102">
        <f t="shared" si="232"/>
        <v>480968.14938112517</v>
      </c>
      <c r="F206" s="102">
        <f t="shared" si="232"/>
        <v>489949.18191010412</v>
      </c>
      <c r="G206" s="102">
        <f t="shared" si="232"/>
        <v>425304.88008663611</v>
      </c>
      <c r="H206" s="102">
        <f t="shared" si="232"/>
        <v>396646.1500965092</v>
      </c>
      <c r="I206" s="102">
        <f t="shared" si="232"/>
        <v>405608.44311127131</v>
      </c>
      <c r="J206" s="102">
        <f t="shared" si="232"/>
        <v>399982.32958778809</v>
      </c>
      <c r="K206" s="102">
        <f t="shared" si="232"/>
        <v>379531.30076165911</v>
      </c>
      <c r="L206" s="102">
        <f t="shared" si="232"/>
        <v>377669.37845030281</v>
      </c>
      <c r="M206" s="102">
        <f t="shared" si="235"/>
        <v>369277.40716720826</v>
      </c>
      <c r="N206" s="102">
        <f t="shared" si="232"/>
        <v>448041.95864819648</v>
      </c>
      <c r="O206" s="102">
        <f t="shared" si="232"/>
        <v>473403.49553958094</v>
      </c>
      <c r="P206" s="102">
        <f t="shared" si="232"/>
        <v>365735.96444408834</v>
      </c>
      <c r="Q206" s="102">
        <f t="shared" si="232"/>
        <v>359056.91482748208</v>
      </c>
      <c r="R206" s="102">
        <f t="shared" si="232"/>
        <v>346230.37108507397</v>
      </c>
      <c r="S206" s="102">
        <f t="shared" si="232"/>
        <v>397133.40045871428</v>
      </c>
      <c r="T206" s="102">
        <f t="shared" si="232"/>
        <v>411884.97105472378</v>
      </c>
      <c r="U206" s="102">
        <f t="shared" si="232"/>
        <v>366586.40094363817</v>
      </c>
      <c r="V206" s="102">
        <f t="shared" si="232"/>
        <v>243447.65372447719</v>
      </c>
      <c r="W206" s="102">
        <f t="shared" si="234"/>
        <v>354923.94018580328</v>
      </c>
      <c r="X206" s="102">
        <f t="shared" si="234"/>
        <v>489959.23549188062</v>
      </c>
      <c r="Y206" s="102">
        <f t="shared" si="234"/>
        <v>499424.82155574777</v>
      </c>
      <c r="DA206" s="175" t="s">
        <v>614</v>
      </c>
    </row>
    <row r="207" spans="1:105" ht="11.45" customHeight="1" x14ac:dyDescent="0.25">
      <c r="A207" s="111" t="s">
        <v>112</v>
      </c>
      <c r="B207" s="102">
        <f t="shared" si="232"/>
        <v>0</v>
      </c>
      <c r="C207" s="102">
        <f t="shared" si="232"/>
        <v>0</v>
      </c>
      <c r="D207" s="102">
        <f t="shared" si="232"/>
        <v>0</v>
      </c>
      <c r="E207" s="102">
        <f t="shared" si="232"/>
        <v>0</v>
      </c>
      <c r="F207" s="102">
        <f t="shared" si="232"/>
        <v>0</v>
      </c>
      <c r="G207" s="102">
        <f t="shared" si="232"/>
        <v>0</v>
      </c>
      <c r="H207" s="102">
        <f t="shared" si="232"/>
        <v>0</v>
      </c>
      <c r="I207" s="102">
        <f t="shared" si="232"/>
        <v>0</v>
      </c>
      <c r="J207" s="102">
        <f t="shared" si="232"/>
        <v>0</v>
      </c>
      <c r="K207" s="102">
        <f t="shared" si="232"/>
        <v>0</v>
      </c>
      <c r="L207" s="102">
        <f t="shared" si="232"/>
        <v>267387.18467538396</v>
      </c>
      <c r="M207" s="102">
        <f t="shared" si="235"/>
        <v>264627.93923428428</v>
      </c>
      <c r="N207" s="102">
        <f t="shared" si="232"/>
        <v>326599.06699023017</v>
      </c>
      <c r="O207" s="102">
        <f t="shared" si="232"/>
        <v>347441.15544165252</v>
      </c>
      <c r="P207" s="102">
        <f t="shared" si="232"/>
        <v>269006.33853444085</v>
      </c>
      <c r="Q207" s="102">
        <f t="shared" si="232"/>
        <v>267135.73186781653</v>
      </c>
      <c r="R207" s="102">
        <f t="shared" si="232"/>
        <v>255260.35445211749</v>
      </c>
      <c r="S207" s="102">
        <f t="shared" si="232"/>
        <v>289690.25185525377</v>
      </c>
      <c r="T207" s="102">
        <f t="shared" si="232"/>
        <v>303673.42205452255</v>
      </c>
      <c r="U207" s="102">
        <f t="shared" si="232"/>
        <v>260061.49282343374</v>
      </c>
      <c r="V207" s="102">
        <f t="shared" si="232"/>
        <v>171338.36576977285</v>
      </c>
      <c r="W207" s="102">
        <f t="shared" si="234"/>
        <v>251666.6354762227</v>
      </c>
      <c r="X207" s="102">
        <f t="shared" si="234"/>
        <v>345074.93816798733</v>
      </c>
      <c r="Y207" s="102">
        <f t="shared" si="234"/>
        <v>353221.96280077117</v>
      </c>
      <c r="DA207" s="175" t="s">
        <v>615</v>
      </c>
    </row>
    <row r="208" spans="1:105" ht="11.45" customHeight="1" x14ac:dyDescent="0.25">
      <c r="A208" s="111" t="s">
        <v>113</v>
      </c>
      <c r="B208" s="102">
        <f t="shared" si="232"/>
        <v>973036.86891972995</v>
      </c>
      <c r="C208" s="102">
        <f t="shared" si="232"/>
        <v>857277.8779064446</v>
      </c>
      <c r="D208" s="102">
        <f t="shared" si="232"/>
        <v>725750.8076844376</v>
      </c>
      <c r="E208" s="102">
        <f t="shared" si="232"/>
        <v>774964.93943027873</v>
      </c>
      <c r="F208" s="102">
        <f t="shared" si="232"/>
        <v>773373.59421039186</v>
      </c>
      <c r="G208" s="102">
        <f t="shared" si="232"/>
        <v>663159.63624583441</v>
      </c>
      <c r="H208" s="102">
        <f t="shared" si="232"/>
        <v>604347.26303746202</v>
      </c>
      <c r="I208" s="102">
        <f t="shared" si="232"/>
        <v>610650.44696709071</v>
      </c>
      <c r="J208" s="102">
        <f t="shared" si="232"/>
        <v>590823.75338465511</v>
      </c>
      <c r="K208" s="102">
        <f t="shared" si="232"/>
        <v>556145.14821582602</v>
      </c>
      <c r="L208" s="102">
        <f t="shared" si="232"/>
        <v>566146.32795194432</v>
      </c>
      <c r="M208" s="102">
        <f t="shared" si="235"/>
        <v>566021.48956854513</v>
      </c>
      <c r="N208" s="102">
        <f t="shared" si="232"/>
        <v>705701.89523824106</v>
      </c>
      <c r="O208" s="102">
        <f t="shared" si="232"/>
        <v>728656.13780816761</v>
      </c>
      <c r="P208" s="102">
        <f t="shared" si="232"/>
        <v>547569.06298340356</v>
      </c>
      <c r="Q208" s="102">
        <f t="shared" si="232"/>
        <v>549309.98247676902</v>
      </c>
      <c r="R208" s="102">
        <f t="shared" si="232"/>
        <v>528899.53760906612</v>
      </c>
      <c r="S208" s="102">
        <f t="shared" si="232"/>
        <v>606028.1581982472</v>
      </c>
      <c r="T208" s="102">
        <f t="shared" si="232"/>
        <v>640024.13636930857</v>
      </c>
      <c r="U208" s="102">
        <f t="shared" si="232"/>
        <v>560209.00410553615</v>
      </c>
      <c r="V208" s="102">
        <f t="shared" si="232"/>
        <v>375106.58744733676</v>
      </c>
      <c r="W208" s="102">
        <f t="shared" si="234"/>
        <v>549847.6379347645</v>
      </c>
      <c r="X208" s="102">
        <f t="shared" si="234"/>
        <v>757638.81162708381</v>
      </c>
      <c r="Y208" s="102">
        <f t="shared" si="234"/>
        <v>780086.36658582988</v>
      </c>
      <c r="DA208" s="175" t="s">
        <v>616</v>
      </c>
    </row>
    <row r="209" spans="1:105" ht="11.45" customHeight="1" x14ac:dyDescent="0.25">
      <c r="A209" s="111" t="s">
        <v>115</v>
      </c>
      <c r="B209" s="102">
        <f t="shared" si="232"/>
        <v>0</v>
      </c>
      <c r="C209" s="102">
        <f t="shared" si="232"/>
        <v>0</v>
      </c>
      <c r="D209" s="102">
        <f t="shared" si="232"/>
        <v>0</v>
      </c>
      <c r="E209" s="102">
        <f t="shared" si="232"/>
        <v>0</v>
      </c>
      <c r="F209" s="102">
        <f t="shared" si="232"/>
        <v>0</v>
      </c>
      <c r="G209" s="102">
        <f t="shared" si="232"/>
        <v>0</v>
      </c>
      <c r="H209" s="102">
        <f t="shared" si="232"/>
        <v>0</v>
      </c>
      <c r="I209" s="102">
        <f t="shared" si="232"/>
        <v>0</v>
      </c>
      <c r="J209" s="102">
        <f t="shared" si="232"/>
        <v>0</v>
      </c>
      <c r="K209" s="102">
        <f t="shared" si="232"/>
        <v>0</v>
      </c>
      <c r="L209" s="102">
        <f t="shared" si="232"/>
        <v>640285.4157072762</v>
      </c>
      <c r="M209" s="102">
        <f t="shared" si="235"/>
        <v>615310.22273487563</v>
      </c>
      <c r="N209" s="102">
        <f t="shared" si="232"/>
        <v>744172.25605802936</v>
      </c>
      <c r="O209" s="102">
        <f t="shared" si="232"/>
        <v>802049.17986238701</v>
      </c>
      <c r="P209" s="102">
        <f t="shared" si="232"/>
        <v>621349.64241496485</v>
      </c>
      <c r="Q209" s="102">
        <f t="shared" si="232"/>
        <v>599146.95344869432</v>
      </c>
      <c r="R209" s="102">
        <f t="shared" si="232"/>
        <v>548048.08389818075</v>
      </c>
      <c r="S209" s="102">
        <f t="shared" si="232"/>
        <v>622054.62650858448</v>
      </c>
      <c r="T209" s="102">
        <f t="shared" si="232"/>
        <v>621891.66892904683</v>
      </c>
      <c r="U209" s="102">
        <f t="shared" si="232"/>
        <v>680991.9873145899</v>
      </c>
      <c r="V209" s="102">
        <f t="shared" si="232"/>
        <v>470167.67476713419</v>
      </c>
      <c r="W209" s="102">
        <f t="shared" si="234"/>
        <v>589805.5846477265</v>
      </c>
      <c r="X209" s="102">
        <f t="shared" si="234"/>
        <v>729527.0281232514</v>
      </c>
      <c r="Y209" s="102">
        <f t="shared" si="234"/>
        <v>687909.0137541889</v>
      </c>
      <c r="DA209" s="175" t="s">
        <v>617</v>
      </c>
    </row>
    <row r="210" spans="1:105" ht="11.45" customHeight="1" x14ac:dyDescent="0.25">
      <c r="A210" s="27" t="s">
        <v>108</v>
      </c>
      <c r="B210" s="28">
        <f t="shared" si="232"/>
        <v>15168.266073144892</v>
      </c>
      <c r="C210" s="28">
        <f t="shared" si="232"/>
        <v>15482.398785308409</v>
      </c>
      <c r="D210" s="28">
        <f t="shared" si="232"/>
        <v>15114.260013746329</v>
      </c>
      <c r="E210" s="28">
        <f t="shared" si="232"/>
        <v>15838.817034163865</v>
      </c>
      <c r="F210" s="28">
        <f t="shared" ref="B210:V219" si="236">IF(F19=0,0,F19*1000000/F73)</f>
        <v>18882.170779386095</v>
      </c>
      <c r="G210" s="28">
        <f t="shared" si="236"/>
        <v>18850.159947960125</v>
      </c>
      <c r="H210" s="28">
        <f t="shared" si="236"/>
        <v>19047.254571244401</v>
      </c>
      <c r="I210" s="28">
        <f t="shared" si="236"/>
        <v>19753.402066413692</v>
      </c>
      <c r="J210" s="28">
        <f t="shared" si="236"/>
        <v>18138.044520555392</v>
      </c>
      <c r="K210" s="28">
        <f t="shared" si="236"/>
        <v>16194.710244440284</v>
      </c>
      <c r="L210" s="28">
        <f t="shared" si="236"/>
        <v>14819.350299091178</v>
      </c>
      <c r="M210" s="28">
        <f t="shared" si="235"/>
        <v>14960.399704198187</v>
      </c>
      <c r="N210" s="28">
        <f t="shared" si="236"/>
        <v>14647.453826563313</v>
      </c>
      <c r="O210" s="28">
        <f t="shared" si="236"/>
        <v>14187.763452437501</v>
      </c>
      <c r="P210" s="28">
        <f t="shared" si="236"/>
        <v>13871.241192289081</v>
      </c>
      <c r="Q210" s="28">
        <f t="shared" si="236"/>
        <v>13993.915790194602</v>
      </c>
      <c r="R210" s="28">
        <f t="shared" si="236"/>
        <v>14133.480041678366</v>
      </c>
      <c r="S210" s="28">
        <f t="shared" si="236"/>
        <v>14163.549849278308</v>
      </c>
      <c r="T210" s="28">
        <f t="shared" si="236"/>
        <v>13799.334787315887</v>
      </c>
      <c r="U210" s="28">
        <f t="shared" si="236"/>
        <v>12505.319694807595</v>
      </c>
      <c r="V210" s="28">
        <f t="shared" si="236"/>
        <v>11385.653010881577</v>
      </c>
      <c r="W210" s="28">
        <f t="shared" ref="W210:Y210" si="237">IF(W19=0,0,W19*1000000/W73)</f>
        <v>12751.997303417225</v>
      </c>
      <c r="X210" s="28">
        <f t="shared" si="237"/>
        <v>12878.730687375415</v>
      </c>
      <c r="Y210" s="28">
        <f t="shared" si="237"/>
        <v>11878.204990171866</v>
      </c>
      <c r="DA210" s="173" t="s">
        <v>618</v>
      </c>
    </row>
    <row r="211" spans="1:105" ht="11.45" customHeight="1" x14ac:dyDescent="0.25">
      <c r="A211" s="136" t="s">
        <v>153</v>
      </c>
      <c r="B211" s="137">
        <f t="shared" si="236"/>
        <v>1849.6426886320462</v>
      </c>
      <c r="C211" s="137">
        <f t="shared" si="236"/>
        <v>1738.6632894009056</v>
      </c>
      <c r="D211" s="137">
        <f t="shared" si="236"/>
        <v>1787.8791704565813</v>
      </c>
      <c r="E211" s="137">
        <f t="shared" si="236"/>
        <v>1883.1655258786095</v>
      </c>
      <c r="F211" s="137">
        <f t="shared" si="236"/>
        <v>1812.6822036094732</v>
      </c>
      <c r="G211" s="137">
        <f t="shared" si="236"/>
        <v>1743.6468605541606</v>
      </c>
      <c r="H211" s="137">
        <f t="shared" si="236"/>
        <v>1744.2209806406831</v>
      </c>
      <c r="I211" s="137">
        <f t="shared" si="236"/>
        <v>1674.8449958452522</v>
      </c>
      <c r="J211" s="137">
        <f t="shared" si="236"/>
        <v>1691.1030323484044</v>
      </c>
      <c r="K211" s="137">
        <f t="shared" si="236"/>
        <v>1719.5215296355898</v>
      </c>
      <c r="L211" s="137">
        <f t="shared" si="236"/>
        <v>1705.5149476513072</v>
      </c>
      <c r="M211" s="137">
        <f t="shared" si="235"/>
        <v>1564.2634230711701</v>
      </c>
      <c r="N211" s="137">
        <f t="shared" si="236"/>
        <v>1535.2462990637289</v>
      </c>
      <c r="O211" s="137">
        <f t="shared" si="236"/>
        <v>1487.5153054043574</v>
      </c>
      <c r="P211" s="137">
        <f t="shared" si="236"/>
        <v>1497.9176710099559</v>
      </c>
      <c r="Q211" s="137">
        <f t="shared" si="236"/>
        <v>1541.7721064567527</v>
      </c>
      <c r="R211" s="137">
        <f t="shared" si="236"/>
        <v>1591.0985288364241</v>
      </c>
      <c r="S211" s="137">
        <f t="shared" si="236"/>
        <v>1631.9006337178294</v>
      </c>
      <c r="T211" s="137">
        <f t="shared" si="236"/>
        <v>1644.6721199695801</v>
      </c>
      <c r="U211" s="137">
        <f t="shared" si="236"/>
        <v>1558.5870661873448</v>
      </c>
      <c r="V211" s="137">
        <f t="shared" si="236"/>
        <v>1457.5695174209993</v>
      </c>
      <c r="W211" s="137">
        <f t="shared" ref="W211:Y211" si="238">IF(W20=0,0,W20*1000000/W74)</f>
        <v>1585.7152657005483</v>
      </c>
      <c r="X211" s="137">
        <f t="shared" si="238"/>
        <v>1752.9999777344078</v>
      </c>
      <c r="Y211" s="137">
        <f t="shared" si="238"/>
        <v>1939.1200312543706</v>
      </c>
      <c r="DA211" s="174" t="s">
        <v>619</v>
      </c>
    </row>
    <row r="212" spans="1:105" ht="11.45" customHeight="1" x14ac:dyDescent="0.25">
      <c r="A212" s="111" t="s">
        <v>110</v>
      </c>
      <c r="B212" s="84">
        <f t="shared" si="236"/>
        <v>1067.8731389675181</v>
      </c>
      <c r="C212" s="84">
        <f t="shared" si="236"/>
        <v>991.04004223153242</v>
      </c>
      <c r="D212" s="84">
        <f t="shared" si="236"/>
        <v>1024.7194202528128</v>
      </c>
      <c r="E212" s="84">
        <f t="shared" si="236"/>
        <v>1091.0577174396371</v>
      </c>
      <c r="F212" s="84">
        <f t="shared" si="236"/>
        <v>1041.9334213494039</v>
      </c>
      <c r="G212" s="84">
        <f t="shared" si="236"/>
        <v>994.41107672312364</v>
      </c>
      <c r="H212" s="84">
        <f t="shared" si="236"/>
        <v>994.72126459998685</v>
      </c>
      <c r="I212" s="84">
        <f t="shared" si="236"/>
        <v>947.32761263360999</v>
      </c>
      <c r="J212" s="84">
        <f t="shared" si="236"/>
        <v>958.31784259281812</v>
      </c>
      <c r="K212" s="84">
        <f t="shared" si="236"/>
        <v>977.62459646442449</v>
      </c>
      <c r="L212" s="84">
        <f t="shared" si="236"/>
        <v>971.37135587888713</v>
      </c>
      <c r="M212" s="84">
        <f t="shared" si="235"/>
        <v>889.64109584679886</v>
      </c>
      <c r="N212" s="84">
        <f t="shared" si="236"/>
        <v>884.05024210596105</v>
      </c>
      <c r="O212" s="84">
        <f t="shared" si="236"/>
        <v>864.84727234658214</v>
      </c>
      <c r="P212" s="84">
        <f t="shared" si="236"/>
        <v>886.05063066368859</v>
      </c>
      <c r="Q212" s="84">
        <f t="shared" si="236"/>
        <v>932.36765781608028</v>
      </c>
      <c r="R212" s="84">
        <f t="shared" si="236"/>
        <v>931.83172303771289</v>
      </c>
      <c r="S212" s="84">
        <f t="shared" si="236"/>
        <v>926.02746629283422</v>
      </c>
      <c r="T212" s="84">
        <f t="shared" si="236"/>
        <v>903.90048129061881</v>
      </c>
      <c r="U212" s="84">
        <f t="shared" si="236"/>
        <v>830.65309702891057</v>
      </c>
      <c r="V212" s="84">
        <f t="shared" si="236"/>
        <v>753.77839001750124</v>
      </c>
      <c r="W212" s="84">
        <f t="shared" ref="W212:Y212" si="239">IF(W21=0,0,W21*1000000/W75)</f>
        <v>817.20827767692833</v>
      </c>
      <c r="X212" s="84">
        <f t="shared" si="239"/>
        <v>909.40799700803575</v>
      </c>
      <c r="Y212" s="84">
        <f t="shared" si="239"/>
        <v>1000.285219920004</v>
      </c>
      <c r="DA212" s="171" t="s">
        <v>620</v>
      </c>
    </row>
    <row r="213" spans="1:105" ht="11.45" customHeight="1" x14ac:dyDescent="0.25">
      <c r="A213" s="111" t="s">
        <v>111</v>
      </c>
      <c r="B213" s="84">
        <f t="shared" si="236"/>
        <v>1864.1383595347347</v>
      </c>
      <c r="C213" s="84">
        <f t="shared" si="236"/>
        <v>1751.0385050261154</v>
      </c>
      <c r="D213" s="84">
        <f t="shared" si="236"/>
        <v>1800.1265776251344</v>
      </c>
      <c r="E213" s="84">
        <f t="shared" si="236"/>
        <v>1897.3792052979873</v>
      </c>
      <c r="F213" s="84">
        <f t="shared" si="236"/>
        <v>1825.5209322672069</v>
      </c>
      <c r="G213" s="84">
        <f t="shared" si="236"/>
        <v>1755.7919341562147</v>
      </c>
      <c r="H213" s="84">
        <f t="shared" si="236"/>
        <v>1756.0443225318579</v>
      </c>
      <c r="I213" s="84">
        <f t="shared" si="236"/>
        <v>1686.0099555741697</v>
      </c>
      <c r="J213" s="84">
        <f t="shared" si="236"/>
        <v>1702.0477380097298</v>
      </c>
      <c r="K213" s="84">
        <f t="shared" si="236"/>
        <v>1730.3069990490042</v>
      </c>
      <c r="L213" s="84">
        <f t="shared" si="236"/>
        <v>1715.8861957410895</v>
      </c>
      <c r="M213" s="84">
        <f t="shared" si="235"/>
        <v>1572.8760984154785</v>
      </c>
      <c r="N213" s="84">
        <f t="shared" si="236"/>
        <v>1543.4313916244691</v>
      </c>
      <c r="O213" s="84">
        <f t="shared" si="236"/>
        <v>1494.7586107579327</v>
      </c>
      <c r="P213" s="84">
        <f t="shared" si="236"/>
        <v>1504.0941448315189</v>
      </c>
      <c r="Q213" s="84">
        <f t="shared" si="236"/>
        <v>1548.4662440038155</v>
      </c>
      <c r="R213" s="84">
        <f t="shared" si="236"/>
        <v>1597.9063048996306</v>
      </c>
      <c r="S213" s="84">
        <f t="shared" si="236"/>
        <v>1639.5964300470266</v>
      </c>
      <c r="T213" s="84">
        <f t="shared" si="236"/>
        <v>1652.4677420207847</v>
      </c>
      <c r="U213" s="84">
        <f t="shared" si="236"/>
        <v>1567.9468544875535</v>
      </c>
      <c r="V213" s="84">
        <f t="shared" si="236"/>
        <v>1464.7653909954211</v>
      </c>
      <c r="W213" s="84">
        <f t="shared" ref="W213:Y213" si="240">IF(W22=0,0,W22*1000000/W76)</f>
        <v>1593.5564032572861</v>
      </c>
      <c r="X213" s="84">
        <f t="shared" si="240"/>
        <v>1762.1940366910774</v>
      </c>
      <c r="Y213" s="84">
        <f t="shared" si="240"/>
        <v>1950.5564992787729</v>
      </c>
      <c r="DA213" s="171" t="s">
        <v>621</v>
      </c>
    </row>
    <row r="214" spans="1:105" ht="11.45" customHeight="1" x14ac:dyDescent="0.25">
      <c r="A214" s="111" t="s">
        <v>112</v>
      </c>
      <c r="B214" s="84">
        <f t="shared" si="236"/>
        <v>1201.1219936671798</v>
      </c>
      <c r="C214" s="84">
        <f t="shared" si="236"/>
        <v>1128.6606981405967</v>
      </c>
      <c r="D214" s="84">
        <f t="shared" si="236"/>
        <v>1160.5349031168794</v>
      </c>
      <c r="E214" s="84">
        <f t="shared" si="236"/>
        <v>1222.8142898544718</v>
      </c>
      <c r="F214" s="84">
        <f t="shared" si="236"/>
        <v>1176.7585829966274</v>
      </c>
      <c r="G214" s="84">
        <f t="shared" si="236"/>
        <v>1136.2657363704625</v>
      </c>
      <c r="H214" s="84">
        <f t="shared" si="236"/>
        <v>1145.7361849091037</v>
      </c>
      <c r="I214" s="84">
        <f t="shared" si="236"/>
        <v>1108.941922965709</v>
      </c>
      <c r="J214" s="84">
        <f t="shared" si="236"/>
        <v>1128.6911713369536</v>
      </c>
      <c r="K214" s="84">
        <f t="shared" si="236"/>
        <v>1156.873199462369</v>
      </c>
      <c r="L214" s="84">
        <f t="shared" si="236"/>
        <v>1156.6359038246219</v>
      </c>
      <c r="M214" s="84">
        <f t="shared" si="235"/>
        <v>1069.1300027439324</v>
      </c>
      <c r="N214" s="84">
        <f t="shared" si="236"/>
        <v>1057.7706306829909</v>
      </c>
      <c r="O214" s="84">
        <f t="shared" si="236"/>
        <v>1032.9662366731291</v>
      </c>
      <c r="P214" s="84">
        <f t="shared" si="236"/>
        <v>1048.3218080556444</v>
      </c>
      <c r="Q214" s="84">
        <f t="shared" si="236"/>
        <v>1087.871834629507</v>
      </c>
      <c r="R214" s="84">
        <f t="shared" si="236"/>
        <v>1093.2691183409729</v>
      </c>
      <c r="S214" s="84">
        <f t="shared" si="236"/>
        <v>1093.5110264846344</v>
      </c>
      <c r="T214" s="84">
        <f t="shared" si="236"/>
        <v>1077.5263428351352</v>
      </c>
      <c r="U214" s="84">
        <f t="shared" si="236"/>
        <v>1009.7206249881891</v>
      </c>
      <c r="V214" s="84">
        <f t="shared" si="236"/>
        <v>936.29346946910459</v>
      </c>
      <c r="W214" s="84">
        <f t="shared" ref="W214:Y214" si="241">IF(W23=0,0,W23*1000000/W77)</f>
        <v>996.36766429519355</v>
      </c>
      <c r="X214" s="84">
        <f t="shared" si="241"/>
        <v>1095.129319826739</v>
      </c>
      <c r="Y214" s="84">
        <f t="shared" si="241"/>
        <v>1182.2996694529711</v>
      </c>
      <c r="DA214" s="171" t="s">
        <v>622</v>
      </c>
    </row>
    <row r="215" spans="1:105" ht="11.45" customHeight="1" x14ac:dyDescent="0.25">
      <c r="A215" s="111" t="s">
        <v>113</v>
      </c>
      <c r="B215" s="84">
        <f t="shared" si="236"/>
        <v>0</v>
      </c>
      <c r="C215" s="84">
        <f t="shared" si="236"/>
        <v>0</v>
      </c>
      <c r="D215" s="84">
        <f t="shared" si="236"/>
        <v>0</v>
      </c>
      <c r="E215" s="84">
        <f t="shared" si="236"/>
        <v>0</v>
      </c>
      <c r="F215" s="84">
        <f t="shared" si="236"/>
        <v>0</v>
      </c>
      <c r="G215" s="84">
        <f t="shared" si="236"/>
        <v>0</v>
      </c>
      <c r="H215" s="84">
        <f t="shared" si="236"/>
        <v>0</v>
      </c>
      <c r="I215" s="84">
        <f t="shared" si="236"/>
        <v>0</v>
      </c>
      <c r="J215" s="84">
        <f t="shared" si="236"/>
        <v>0</v>
      </c>
      <c r="K215" s="84">
        <f t="shared" si="236"/>
        <v>0</v>
      </c>
      <c r="L215" s="84">
        <f t="shared" si="236"/>
        <v>0</v>
      </c>
      <c r="M215" s="84">
        <f t="shared" si="235"/>
        <v>0</v>
      </c>
      <c r="N215" s="84">
        <f t="shared" si="236"/>
        <v>0</v>
      </c>
      <c r="O215" s="84">
        <f t="shared" si="236"/>
        <v>1178.3082937138961</v>
      </c>
      <c r="P215" s="84">
        <f t="shared" si="236"/>
        <v>1196.2260644526455</v>
      </c>
      <c r="Q215" s="84">
        <f t="shared" si="236"/>
        <v>1243.1568770881067</v>
      </c>
      <c r="R215" s="84">
        <f t="shared" si="236"/>
        <v>1250.1362377696423</v>
      </c>
      <c r="S215" s="84">
        <f t="shared" si="236"/>
        <v>1250.9294778716094</v>
      </c>
      <c r="T215" s="84">
        <f t="shared" si="236"/>
        <v>1232.2317227658996</v>
      </c>
      <c r="U215" s="84">
        <f t="shared" si="236"/>
        <v>1151.4072904197596</v>
      </c>
      <c r="V215" s="84">
        <f t="shared" si="236"/>
        <v>1064.0814501971336</v>
      </c>
      <c r="W215" s="84">
        <f t="shared" ref="W215:Y215" si="242">IF(W24=0,0,W24*1000000/W78)</f>
        <v>1136.3378598913207</v>
      </c>
      <c r="X215" s="84">
        <f t="shared" si="242"/>
        <v>1255.3942628356529</v>
      </c>
      <c r="Y215" s="84">
        <f t="shared" si="242"/>
        <v>1361.0685583805832</v>
      </c>
      <c r="DA215" s="171" t="s">
        <v>623</v>
      </c>
    </row>
    <row r="216" spans="1:105" ht="11.45" customHeight="1" x14ac:dyDescent="0.25">
      <c r="A216" s="111" t="s">
        <v>115</v>
      </c>
      <c r="B216" s="84">
        <f t="shared" si="236"/>
        <v>0</v>
      </c>
      <c r="C216" s="84">
        <f t="shared" si="236"/>
        <v>0</v>
      </c>
      <c r="D216" s="84">
        <f t="shared" si="236"/>
        <v>0</v>
      </c>
      <c r="E216" s="84">
        <f t="shared" si="236"/>
        <v>0</v>
      </c>
      <c r="F216" s="84">
        <f t="shared" si="236"/>
        <v>0</v>
      </c>
      <c r="G216" s="84">
        <f t="shared" si="236"/>
        <v>0</v>
      </c>
      <c r="H216" s="84">
        <f t="shared" si="236"/>
        <v>0</v>
      </c>
      <c r="I216" s="84">
        <f t="shared" si="236"/>
        <v>0</v>
      </c>
      <c r="J216" s="84">
        <f t="shared" si="236"/>
        <v>0</v>
      </c>
      <c r="K216" s="84">
        <f t="shared" si="236"/>
        <v>0</v>
      </c>
      <c r="L216" s="84">
        <f t="shared" si="236"/>
        <v>0</v>
      </c>
      <c r="M216" s="84">
        <f t="shared" si="235"/>
        <v>1075.156728509613</v>
      </c>
      <c r="N216" s="84">
        <f t="shared" si="236"/>
        <v>1076.1636534106397</v>
      </c>
      <c r="O216" s="84">
        <f t="shared" si="236"/>
        <v>1077.8744589707489</v>
      </c>
      <c r="P216" s="84">
        <f t="shared" si="236"/>
        <v>1078.2364610409563</v>
      </c>
      <c r="Q216" s="84">
        <f t="shared" si="236"/>
        <v>1079.8006312055868</v>
      </c>
      <c r="R216" s="84">
        <f t="shared" si="236"/>
        <v>1079.0995648219298</v>
      </c>
      <c r="S216" s="84">
        <f t="shared" si="236"/>
        <v>1078.6539070302699</v>
      </c>
      <c r="T216" s="84">
        <f t="shared" si="236"/>
        <v>1078.2934064392521</v>
      </c>
      <c r="U216" s="84">
        <f t="shared" si="236"/>
        <v>1075.2271162449069</v>
      </c>
      <c r="V216" s="84">
        <f t="shared" si="236"/>
        <v>1022.1794996609403</v>
      </c>
      <c r="W216" s="84">
        <f t="shared" ref="W216:Y216" si="243">IF(W25=0,0,W25*1000000/W79)</f>
        <v>1075.0783202135688</v>
      </c>
      <c r="X216" s="84">
        <f t="shared" si="243"/>
        <v>1070.1481514487593</v>
      </c>
      <c r="Y216" s="84">
        <f t="shared" si="243"/>
        <v>1065.6294280834009</v>
      </c>
      <c r="DA216" s="171" t="s">
        <v>624</v>
      </c>
    </row>
    <row r="217" spans="1:105" ht="11.45" customHeight="1" x14ac:dyDescent="0.25">
      <c r="A217" s="109" t="s">
        <v>154</v>
      </c>
      <c r="B217" s="110">
        <f t="shared" si="236"/>
        <v>189016.65665920955</v>
      </c>
      <c r="C217" s="110">
        <f t="shared" si="236"/>
        <v>207485.53731383025</v>
      </c>
      <c r="D217" s="110">
        <f t="shared" si="236"/>
        <v>198606.33513482797</v>
      </c>
      <c r="E217" s="110">
        <f t="shared" si="236"/>
        <v>199745.48545233515</v>
      </c>
      <c r="F217" s="110">
        <f t="shared" si="236"/>
        <v>255841.60694023946</v>
      </c>
      <c r="G217" s="110">
        <f t="shared" si="236"/>
        <v>260956.7948264654</v>
      </c>
      <c r="H217" s="110">
        <f t="shared" si="236"/>
        <v>268398.22514530364</v>
      </c>
      <c r="I217" s="110">
        <f t="shared" si="236"/>
        <v>282728.88469323557</v>
      </c>
      <c r="J217" s="110">
        <f t="shared" si="236"/>
        <v>248306.73694987534</v>
      </c>
      <c r="K217" s="110">
        <f t="shared" si="236"/>
        <v>216813.67036760211</v>
      </c>
      <c r="L217" s="110">
        <f t="shared" si="236"/>
        <v>198977.207004272</v>
      </c>
      <c r="M217" s="110">
        <f t="shared" si="235"/>
        <v>211075.06891395719</v>
      </c>
      <c r="N217" s="110">
        <f t="shared" si="236"/>
        <v>223204.13634465923</v>
      </c>
      <c r="O217" s="110">
        <f t="shared" si="236"/>
        <v>231858.63017300988</v>
      </c>
      <c r="P217" s="110">
        <f t="shared" si="236"/>
        <v>217330.12349020509</v>
      </c>
      <c r="Q217" s="110">
        <f t="shared" si="236"/>
        <v>213153.90512353025</v>
      </c>
      <c r="R217" s="110">
        <f t="shared" si="236"/>
        <v>219203.44848310039</v>
      </c>
      <c r="S217" s="110">
        <f t="shared" si="236"/>
        <v>198651.79835360273</v>
      </c>
      <c r="T217" s="110">
        <f t="shared" si="236"/>
        <v>183869.22304270562</v>
      </c>
      <c r="U217" s="110">
        <f t="shared" si="236"/>
        <v>157036.9810179233</v>
      </c>
      <c r="V217" s="110">
        <f t="shared" si="236"/>
        <v>141864.84697255181</v>
      </c>
      <c r="W217" s="110">
        <f t="shared" ref="W217:Y217" si="244">IF(W26=0,0,W26*1000000/W80)</f>
        <v>163884.02086197308</v>
      </c>
      <c r="X217" s="110">
        <f t="shared" si="244"/>
        <v>161159.23540667887</v>
      </c>
      <c r="Y217" s="110">
        <f t="shared" si="244"/>
        <v>138457.67647354153</v>
      </c>
      <c r="DA217" s="176" t="s">
        <v>625</v>
      </c>
    </row>
    <row r="218" spans="1:105" ht="11.45" customHeight="1" x14ac:dyDescent="0.25">
      <c r="A218" s="111" t="s">
        <v>27</v>
      </c>
      <c r="B218" s="163">
        <f t="shared" si="236"/>
        <v>148257.8142919699</v>
      </c>
      <c r="C218" s="163">
        <f t="shared" si="236"/>
        <v>165796.33141014594</v>
      </c>
      <c r="D218" s="163">
        <f t="shared" si="236"/>
        <v>153384.20089258169</v>
      </c>
      <c r="E218" s="163">
        <f t="shared" si="236"/>
        <v>152015.41673357959</v>
      </c>
      <c r="F218" s="163">
        <f t="shared" si="236"/>
        <v>200041.30477184852</v>
      </c>
      <c r="G218" s="163">
        <f t="shared" si="236"/>
        <v>202742.75088616423</v>
      </c>
      <c r="H218" s="163">
        <f t="shared" si="236"/>
        <v>205670.59871954223</v>
      </c>
      <c r="I218" s="163">
        <f t="shared" si="236"/>
        <v>214943.62115292103</v>
      </c>
      <c r="J218" s="163">
        <f t="shared" si="236"/>
        <v>190576.94235030792</v>
      </c>
      <c r="K218" s="163">
        <f t="shared" si="236"/>
        <v>158631.00475101179</v>
      </c>
      <c r="L218" s="163">
        <f t="shared" si="236"/>
        <v>142806.46126897194</v>
      </c>
      <c r="M218" s="163">
        <f t="shared" si="235"/>
        <v>149148.5129870894</v>
      </c>
      <c r="N218" s="163">
        <f t="shared" si="236"/>
        <v>161250.77524411172</v>
      </c>
      <c r="O218" s="163">
        <f t="shared" si="236"/>
        <v>155181.17437835434</v>
      </c>
      <c r="P218" s="163">
        <f t="shared" si="236"/>
        <v>146487.18989183818</v>
      </c>
      <c r="Q218" s="163">
        <f t="shared" si="236"/>
        <v>150014.59691657516</v>
      </c>
      <c r="R218" s="163">
        <f t="shared" si="236"/>
        <v>149021.07136705518</v>
      </c>
      <c r="S218" s="163">
        <f t="shared" si="236"/>
        <v>136795.00913731175</v>
      </c>
      <c r="T218" s="163">
        <f t="shared" si="236"/>
        <v>123156.45431047591</v>
      </c>
      <c r="U218" s="163">
        <f t="shared" si="236"/>
        <v>103511.00419491441</v>
      </c>
      <c r="V218" s="163">
        <f t="shared" si="236"/>
        <v>93018.791459590895</v>
      </c>
      <c r="W218" s="163">
        <f t="shared" ref="W218:Y218" si="245">IF(W27=0,0,W27*1000000/W81)</f>
        <v>104233.04506144742</v>
      </c>
      <c r="X218" s="163">
        <f t="shared" si="245"/>
        <v>98805.172131594736</v>
      </c>
      <c r="Y218" s="163">
        <f t="shared" si="245"/>
        <v>81014.348388190658</v>
      </c>
      <c r="DA218" s="207" t="s">
        <v>626</v>
      </c>
    </row>
    <row r="219" spans="1:105" ht="11.45" customHeight="1" x14ac:dyDescent="0.25">
      <c r="A219" s="138" t="s">
        <v>116</v>
      </c>
      <c r="B219" s="86">
        <f t="shared" si="236"/>
        <v>1211869.5103513661</v>
      </c>
      <c r="C219" s="86">
        <f t="shared" si="236"/>
        <v>1210763.0325376587</v>
      </c>
      <c r="D219" s="86">
        <f t="shared" si="236"/>
        <v>1218711.1058426639</v>
      </c>
      <c r="E219" s="86">
        <f t="shared" si="236"/>
        <v>1211599.1097545056</v>
      </c>
      <c r="F219" s="86">
        <f t="shared" si="236"/>
        <v>1189313.1877637426</v>
      </c>
      <c r="G219" s="86">
        <f t="shared" si="236"/>
        <v>1189930.7211697914</v>
      </c>
      <c r="H219" s="86">
        <f t="shared" si="236"/>
        <v>1197621.3338550108</v>
      </c>
      <c r="I219" s="86">
        <f t="shared" si="236"/>
        <v>1199734.3856059958</v>
      </c>
      <c r="J219" s="86">
        <f t="shared" si="236"/>
        <v>1182732.3470500475</v>
      </c>
      <c r="K219" s="86">
        <f t="shared" si="236"/>
        <v>1167134.0258885873</v>
      </c>
      <c r="L219" s="86">
        <f t="shared" si="236"/>
        <v>1205242.3697805044</v>
      </c>
      <c r="M219" s="86">
        <f t="shared" si="235"/>
        <v>1201259.0227246508</v>
      </c>
      <c r="N219" s="86">
        <f t="shared" si="236"/>
        <v>1197441.4657128283</v>
      </c>
      <c r="O219" s="86">
        <f t="shared" si="236"/>
        <v>1199011.2059863117</v>
      </c>
      <c r="P219" s="86">
        <f t="shared" si="236"/>
        <v>1201761.7656201848</v>
      </c>
      <c r="Q219" s="86">
        <f t="shared" si="236"/>
        <v>1190515.6131611676</v>
      </c>
      <c r="R219" s="86">
        <f t="shared" si="236"/>
        <v>1184356.5967106251</v>
      </c>
      <c r="S219" s="86">
        <f t="shared" si="236"/>
        <v>1190974.2691111057</v>
      </c>
      <c r="T219" s="86">
        <f t="shared" si="236"/>
        <v>1202511.7739403453</v>
      </c>
      <c r="U219" s="86">
        <f t="shared" si="236"/>
        <v>1195333.5904357887</v>
      </c>
      <c r="V219" s="86">
        <f t="shared" si="236"/>
        <v>1178320.8870785246</v>
      </c>
      <c r="W219" s="86">
        <f t="shared" ref="W219:Y219" si="246">IF(W28=0,0,W28*1000000/W82)</f>
        <v>1194018.4049079753</v>
      </c>
      <c r="X219" s="86">
        <f t="shared" si="246"/>
        <v>1189490.7324095736</v>
      </c>
      <c r="Y219" s="86">
        <f t="shared" si="246"/>
        <v>1176110.2603369066</v>
      </c>
      <c r="DA219" s="178" t="s">
        <v>627</v>
      </c>
    </row>
    <row r="220" spans="1:105" ht="11.45" customHeight="1" x14ac:dyDescent="0.25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DA220" s="171"/>
    </row>
    <row r="221" spans="1:105" ht="11.45" customHeight="1" x14ac:dyDescent="0.25">
      <c r="A221" s="53" t="s">
        <v>37</v>
      </c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DA221" s="183"/>
    </row>
    <row r="222" spans="1:105" ht="11.45" customHeight="1" x14ac:dyDescent="0.25">
      <c r="A222" s="27" t="s">
        <v>38</v>
      </c>
      <c r="B222" s="46">
        <f t="shared" ref="B222:K222" si="247">IF(B4=0,0,B4/B$4)</f>
        <v>1</v>
      </c>
      <c r="C222" s="46">
        <f t="shared" si="247"/>
        <v>1</v>
      </c>
      <c r="D222" s="46">
        <f t="shared" si="247"/>
        <v>1</v>
      </c>
      <c r="E222" s="46">
        <f t="shared" si="247"/>
        <v>1</v>
      </c>
      <c r="F222" s="46">
        <f t="shared" si="247"/>
        <v>1</v>
      </c>
      <c r="G222" s="46">
        <f t="shared" si="247"/>
        <v>1</v>
      </c>
      <c r="H222" s="46">
        <f t="shared" si="247"/>
        <v>1</v>
      </c>
      <c r="I222" s="46">
        <f t="shared" si="247"/>
        <v>1</v>
      </c>
      <c r="J222" s="46">
        <f t="shared" si="247"/>
        <v>1</v>
      </c>
      <c r="K222" s="46">
        <f t="shared" si="247"/>
        <v>1</v>
      </c>
      <c r="L222" s="46">
        <f t="shared" ref="L222" si="248">IF(L4=0,0,L4/L$4)</f>
        <v>1</v>
      </c>
      <c r="M222" s="46">
        <f t="shared" ref="M222:V222" si="249">IF(M4=0,0,M4/M$4)</f>
        <v>1</v>
      </c>
      <c r="N222" s="46">
        <f t="shared" si="249"/>
        <v>1</v>
      </c>
      <c r="O222" s="46">
        <f t="shared" si="249"/>
        <v>1</v>
      </c>
      <c r="P222" s="46">
        <f t="shared" si="249"/>
        <v>1</v>
      </c>
      <c r="Q222" s="46">
        <f t="shared" si="249"/>
        <v>1</v>
      </c>
      <c r="R222" s="46">
        <f t="shared" si="249"/>
        <v>1</v>
      </c>
      <c r="S222" s="46">
        <f t="shared" si="249"/>
        <v>1</v>
      </c>
      <c r="T222" s="46">
        <f t="shared" si="249"/>
        <v>1</v>
      </c>
      <c r="U222" s="46">
        <f t="shared" si="249"/>
        <v>1</v>
      </c>
      <c r="V222" s="46">
        <f t="shared" si="249"/>
        <v>1</v>
      </c>
      <c r="W222" s="46">
        <f t="shared" ref="W222:Y222" si="250">IF(W4=0,0,W4/W$4)</f>
        <v>1</v>
      </c>
      <c r="X222" s="46">
        <f t="shared" si="250"/>
        <v>1</v>
      </c>
      <c r="Y222" s="46">
        <f t="shared" si="250"/>
        <v>1</v>
      </c>
      <c r="DA222" s="211"/>
    </row>
    <row r="223" spans="1:105" ht="11.45" customHeight="1" x14ac:dyDescent="0.25">
      <c r="A223" s="153" t="s">
        <v>173</v>
      </c>
      <c r="B223" s="154">
        <f t="shared" ref="B223:K223" si="251">IF(B5=0,0,B5/B$4)</f>
        <v>1.8655387872212176E-2</v>
      </c>
      <c r="C223" s="154">
        <f t="shared" si="251"/>
        <v>1.9752450604474243E-2</v>
      </c>
      <c r="D223" s="154">
        <f t="shared" si="251"/>
        <v>2.0458284563345329E-2</v>
      </c>
      <c r="E223" s="154">
        <f t="shared" si="251"/>
        <v>2.0575137429164517E-2</v>
      </c>
      <c r="F223" s="154">
        <f t="shared" si="251"/>
        <v>2.1608908905064526E-2</v>
      </c>
      <c r="G223" s="154">
        <f t="shared" si="251"/>
        <v>2.3263417208921736E-2</v>
      </c>
      <c r="H223" s="154">
        <f t="shared" si="251"/>
        <v>2.4262785742686224E-2</v>
      </c>
      <c r="I223" s="154">
        <f t="shared" si="251"/>
        <v>2.2835956752609878E-2</v>
      </c>
      <c r="J223" s="154">
        <f t="shared" si="251"/>
        <v>2.2992021878351081E-2</v>
      </c>
      <c r="K223" s="154">
        <f t="shared" si="251"/>
        <v>2.1844392702298456E-2</v>
      </c>
      <c r="L223" s="154">
        <f t="shared" ref="L223" si="252">IF(L5=0,0,L5/L$4)</f>
        <v>2.1658785516432653E-2</v>
      </c>
      <c r="M223" s="154">
        <f t="shared" ref="M223:V223" si="253">IF(M5=0,0,M5/M$4)</f>
        <v>2.1365713951615399E-2</v>
      </c>
      <c r="N223" s="154">
        <f t="shared" si="253"/>
        <v>2.1730466056814304E-2</v>
      </c>
      <c r="O223" s="154">
        <f t="shared" si="253"/>
        <v>2.1397883427107828E-2</v>
      </c>
      <c r="P223" s="154">
        <f t="shared" si="253"/>
        <v>2.0846286377683227E-2</v>
      </c>
      <c r="Q223" s="154">
        <f t="shared" si="253"/>
        <v>2.0023973065963995E-2</v>
      </c>
      <c r="R223" s="154">
        <f t="shared" si="253"/>
        <v>2.0054714069250374E-2</v>
      </c>
      <c r="S223" s="154">
        <f t="shared" si="253"/>
        <v>1.8647865774714799E-2</v>
      </c>
      <c r="T223" s="154">
        <f t="shared" si="253"/>
        <v>1.7252143787967883E-2</v>
      </c>
      <c r="U223" s="154">
        <f t="shared" si="253"/>
        <v>1.8018936079005163E-2</v>
      </c>
      <c r="V223" s="154">
        <f t="shared" si="253"/>
        <v>1.9088418340366304E-2</v>
      </c>
      <c r="W223" s="154">
        <f t="shared" ref="W223:Y223" si="254">IF(W5=0,0,W5/W$4)</f>
        <v>1.850231499028572E-2</v>
      </c>
      <c r="X223" s="154">
        <f t="shared" si="254"/>
        <v>1.7360426189657895E-2</v>
      </c>
      <c r="Y223" s="154">
        <f t="shared" si="254"/>
        <v>1.8322684696504152E-2</v>
      </c>
      <c r="DA223" s="212"/>
    </row>
    <row r="224" spans="1:105" ht="11.45" customHeight="1" x14ac:dyDescent="0.25">
      <c r="A224" s="155" t="s">
        <v>20</v>
      </c>
      <c r="B224" s="156">
        <f t="shared" ref="B224:K224" si="255">IF(B6=0,0,B6/B$4)</f>
        <v>0.84127778535725162</v>
      </c>
      <c r="C224" s="156">
        <f t="shared" si="255"/>
        <v>0.8505805025634785</v>
      </c>
      <c r="D224" s="156">
        <f t="shared" si="255"/>
        <v>0.86848317231991501</v>
      </c>
      <c r="E224" s="156">
        <f t="shared" si="255"/>
        <v>0.86729387419758464</v>
      </c>
      <c r="F224" s="156">
        <f t="shared" si="255"/>
        <v>0.86565745888858903</v>
      </c>
      <c r="G224" s="156">
        <f t="shared" si="255"/>
        <v>0.90857960984715047</v>
      </c>
      <c r="H224" s="156">
        <f t="shared" si="255"/>
        <v>0.9114647153227371</v>
      </c>
      <c r="I224" s="156">
        <f t="shared" si="255"/>
        <v>0.91140071535861489</v>
      </c>
      <c r="J224" s="156">
        <f t="shared" si="255"/>
        <v>0.91120602326538902</v>
      </c>
      <c r="K224" s="156">
        <f t="shared" si="255"/>
        <v>0.91435927252936711</v>
      </c>
      <c r="L224" s="156">
        <f t="shared" ref="L224" si="256">IF(L6=0,0,L6/L$4)</f>
        <v>0.91211171143794567</v>
      </c>
      <c r="M224" s="156">
        <f t="shared" ref="M224:V224" si="257">IF(M6=0,0,M6/M$4)</f>
        <v>0.9143372831460167</v>
      </c>
      <c r="N224" s="156">
        <f t="shared" si="257"/>
        <v>0.91322263163799988</v>
      </c>
      <c r="O224" s="156">
        <f t="shared" si="257"/>
        <v>0.91153883499147925</v>
      </c>
      <c r="P224" s="156">
        <f t="shared" si="257"/>
        <v>0.91691197284365444</v>
      </c>
      <c r="Q224" s="156">
        <f t="shared" si="257"/>
        <v>0.92044574797200374</v>
      </c>
      <c r="R224" s="156">
        <f t="shared" si="257"/>
        <v>0.92568067801750487</v>
      </c>
      <c r="S224" s="156">
        <f t="shared" si="257"/>
        <v>0.91930994830521651</v>
      </c>
      <c r="T224" s="156">
        <f t="shared" si="257"/>
        <v>0.91846784065240616</v>
      </c>
      <c r="U224" s="156">
        <f t="shared" si="257"/>
        <v>0.91956900066938696</v>
      </c>
      <c r="V224" s="156">
        <f t="shared" si="257"/>
        <v>0.93902410199502551</v>
      </c>
      <c r="W224" s="156">
        <f t="shared" ref="W224:Y224" si="258">IF(W6=0,0,W6/W$4)</f>
        <v>0.92366217706400233</v>
      </c>
      <c r="X224" s="156">
        <f t="shared" si="258"/>
        <v>0.90513960640985069</v>
      </c>
      <c r="Y224" s="156">
        <f t="shared" si="258"/>
        <v>0.90461742645165866</v>
      </c>
      <c r="DA224" s="213"/>
    </row>
    <row r="225" spans="1:105" ht="11.45" customHeight="1" x14ac:dyDescent="0.25">
      <c r="A225" s="157" t="s">
        <v>110</v>
      </c>
      <c r="B225" s="103">
        <f t="shared" ref="B225:K225" si="259">IF(B7=0,0,B7/B$4)</f>
        <v>0.53288736661722469</v>
      </c>
      <c r="C225" s="103">
        <f t="shared" si="259"/>
        <v>0.50984497004142848</v>
      </c>
      <c r="D225" s="103">
        <f t="shared" si="259"/>
        <v>0.50155584967230116</v>
      </c>
      <c r="E225" s="103">
        <f t="shared" si="259"/>
        <v>0.46745576577540815</v>
      </c>
      <c r="F225" s="103">
        <f t="shared" si="259"/>
        <v>0.43340095560296615</v>
      </c>
      <c r="G225" s="103">
        <f t="shared" si="259"/>
        <v>0.41837324945119392</v>
      </c>
      <c r="H225" s="103">
        <f t="shared" si="259"/>
        <v>0.38242888273753728</v>
      </c>
      <c r="I225" s="103">
        <f t="shared" si="259"/>
        <v>0.35741563130005022</v>
      </c>
      <c r="J225" s="103">
        <f t="shared" si="259"/>
        <v>0.32985901807251189</v>
      </c>
      <c r="K225" s="103">
        <f t="shared" si="259"/>
        <v>0.31737765117587502</v>
      </c>
      <c r="L225" s="103">
        <f t="shared" ref="L225" si="260">IF(L7=0,0,L7/L$4)</f>
        <v>0.29859646569787229</v>
      </c>
      <c r="M225" s="103">
        <f t="shared" ref="M225:V225" si="261">IF(M7=0,0,M7/M$4)</f>
        <v>0.27753851506807647</v>
      </c>
      <c r="N225" s="103">
        <f t="shared" si="261"/>
        <v>0.27527271741249609</v>
      </c>
      <c r="O225" s="103">
        <f t="shared" si="261"/>
        <v>0.26649289607194082</v>
      </c>
      <c r="P225" s="103">
        <f t="shared" si="261"/>
        <v>0.25766384891678629</v>
      </c>
      <c r="Q225" s="103">
        <f t="shared" si="261"/>
        <v>0.25662698297212905</v>
      </c>
      <c r="R225" s="103">
        <f t="shared" si="261"/>
        <v>0.24513923641095722</v>
      </c>
      <c r="S225" s="103">
        <f t="shared" si="261"/>
        <v>0.23260956882931433</v>
      </c>
      <c r="T225" s="103">
        <f t="shared" si="261"/>
        <v>0.22691006300444405</v>
      </c>
      <c r="U225" s="103">
        <f t="shared" si="261"/>
        <v>0.22923120413880055</v>
      </c>
      <c r="V225" s="103">
        <f t="shared" si="261"/>
        <v>0.22230962103861338</v>
      </c>
      <c r="W225" s="103">
        <f t="shared" ref="W225:Y225" si="262">IF(W7=0,0,W7/W$4)</f>
        <v>0.22955889740516683</v>
      </c>
      <c r="X225" s="103">
        <f t="shared" si="262"/>
        <v>0.23008950560658342</v>
      </c>
      <c r="Y225" s="103">
        <f t="shared" si="262"/>
        <v>0.23497362209850203</v>
      </c>
      <c r="DA225" s="191"/>
    </row>
    <row r="226" spans="1:105" ht="11.45" customHeight="1" x14ac:dyDescent="0.25">
      <c r="A226" s="157" t="s">
        <v>111</v>
      </c>
      <c r="B226" s="103">
        <f t="shared" ref="B226:K226" si="263">IF(B8=0,0,B8/B$4)</f>
        <v>0.30360421990609832</v>
      </c>
      <c r="C226" s="103">
        <f t="shared" si="263"/>
        <v>0.33623605312175653</v>
      </c>
      <c r="D226" s="103">
        <f t="shared" si="263"/>
        <v>0.36302428787306945</v>
      </c>
      <c r="E226" s="103">
        <f t="shared" si="263"/>
        <v>0.39531699831643136</v>
      </c>
      <c r="F226" s="103">
        <f t="shared" si="263"/>
        <v>0.42775828974868862</v>
      </c>
      <c r="G226" s="103">
        <f t="shared" si="263"/>
        <v>0.4853182631848782</v>
      </c>
      <c r="H226" s="103">
        <f t="shared" si="263"/>
        <v>0.5248951914558122</v>
      </c>
      <c r="I226" s="103">
        <f t="shared" si="263"/>
        <v>0.55009286464678053</v>
      </c>
      <c r="J226" s="103">
        <f t="shared" si="263"/>
        <v>0.57636200503052282</v>
      </c>
      <c r="K226" s="103">
        <f t="shared" si="263"/>
        <v>0.58964624768028095</v>
      </c>
      <c r="L226" s="103">
        <f t="shared" ref="L226" si="264">IF(L8=0,0,L8/L$4)</f>
        <v>0.60642446075479883</v>
      </c>
      <c r="M226" s="103">
        <f t="shared" ref="M226:V226" si="265">IF(M8=0,0,M8/M$4)</f>
        <v>0.63043378626964386</v>
      </c>
      <c r="N226" s="103">
        <f t="shared" si="265"/>
        <v>0.62936123745255201</v>
      </c>
      <c r="O226" s="103">
        <f t="shared" si="265"/>
        <v>0.63610374541382775</v>
      </c>
      <c r="P226" s="103">
        <f t="shared" si="265"/>
        <v>0.64973534133520394</v>
      </c>
      <c r="Q226" s="103">
        <f t="shared" si="265"/>
        <v>0.65384480007478318</v>
      </c>
      <c r="R226" s="103">
        <f t="shared" si="265"/>
        <v>0.6701735070645829</v>
      </c>
      <c r="S226" s="103">
        <f t="shared" si="265"/>
        <v>0.67512424707153829</v>
      </c>
      <c r="T226" s="103">
        <f t="shared" si="265"/>
        <v>0.67754040677265392</v>
      </c>
      <c r="U226" s="103">
        <f t="shared" si="265"/>
        <v>0.67363323000314168</v>
      </c>
      <c r="V226" s="103">
        <f t="shared" si="265"/>
        <v>0.69812912883999145</v>
      </c>
      <c r="W226" s="103">
        <f t="shared" ref="W226:Y226" si="266">IF(W8=0,0,W8/W$4)</f>
        <v>0.67015050369651252</v>
      </c>
      <c r="X226" s="103">
        <f t="shared" si="266"/>
        <v>0.64600765712811103</v>
      </c>
      <c r="Y226" s="103">
        <f t="shared" si="266"/>
        <v>0.63136126628663991</v>
      </c>
      <c r="DA226" s="191"/>
    </row>
    <row r="227" spans="1:105" ht="11.45" customHeight="1" x14ac:dyDescent="0.25">
      <c r="A227" s="157" t="s">
        <v>112</v>
      </c>
      <c r="B227" s="103">
        <f t="shared" ref="B227:K227" si="267">IF(B9=0,0,B9/B$4)</f>
        <v>4.7861988339287023E-3</v>
      </c>
      <c r="C227" s="103">
        <f t="shared" si="267"/>
        <v>4.4994794002935186E-3</v>
      </c>
      <c r="D227" s="103">
        <f t="shared" si="267"/>
        <v>3.9030347745443285E-3</v>
      </c>
      <c r="E227" s="103">
        <f t="shared" si="267"/>
        <v>4.521110105745246E-3</v>
      </c>
      <c r="F227" s="103">
        <f t="shared" si="267"/>
        <v>4.4982135369342124E-3</v>
      </c>
      <c r="G227" s="103">
        <f t="shared" si="267"/>
        <v>4.8880972110784205E-3</v>
      </c>
      <c r="H227" s="103">
        <f t="shared" si="267"/>
        <v>4.1406411293876877E-3</v>
      </c>
      <c r="I227" s="103">
        <f t="shared" si="267"/>
        <v>3.8922194117840376E-3</v>
      </c>
      <c r="J227" s="103">
        <f t="shared" si="267"/>
        <v>4.9803306313660114E-3</v>
      </c>
      <c r="K227" s="103">
        <f t="shared" si="267"/>
        <v>7.3306292529208726E-3</v>
      </c>
      <c r="L227" s="103">
        <f t="shared" ref="L227" si="268">IF(L9=0,0,L9/L$4)</f>
        <v>6.9751567879109307E-3</v>
      </c>
      <c r="M227" s="103">
        <f t="shared" ref="M227:V227" si="269">IF(M9=0,0,M9/M$4)</f>
        <v>6.3157694483018754E-3</v>
      </c>
      <c r="N227" s="103">
        <f t="shared" si="269"/>
        <v>8.5161435551436172E-3</v>
      </c>
      <c r="O227" s="103">
        <f t="shared" si="269"/>
        <v>8.8448970290428922E-3</v>
      </c>
      <c r="P227" s="103">
        <f t="shared" si="269"/>
        <v>9.3969636378339345E-3</v>
      </c>
      <c r="Q227" s="103">
        <f t="shared" si="269"/>
        <v>9.700730472053283E-3</v>
      </c>
      <c r="R227" s="103">
        <f t="shared" si="269"/>
        <v>9.7226708742349788E-3</v>
      </c>
      <c r="S227" s="103">
        <f t="shared" si="269"/>
        <v>9.8207504942525309E-3</v>
      </c>
      <c r="T227" s="103">
        <f t="shared" si="269"/>
        <v>1.0151193610583111E-2</v>
      </c>
      <c r="U227" s="103">
        <f t="shared" si="269"/>
        <v>1.0092106548987304E-2</v>
      </c>
      <c r="V227" s="103">
        <f t="shared" si="269"/>
        <v>9.9474747779344404E-3</v>
      </c>
      <c r="W227" s="103">
        <f t="shared" ref="W227:Y227" si="270">IF(W9=0,0,W9/W$4)</f>
        <v>1.047122227027858E-2</v>
      </c>
      <c r="X227" s="103">
        <f t="shared" si="270"/>
        <v>1.0878030453782496E-2</v>
      </c>
      <c r="Y227" s="103">
        <f t="shared" si="270"/>
        <v>1.2128008419693788E-2</v>
      </c>
      <c r="DA227" s="191"/>
    </row>
    <row r="228" spans="1:105" ht="11.45" customHeight="1" x14ac:dyDescent="0.25">
      <c r="A228" s="157" t="s">
        <v>113</v>
      </c>
      <c r="B228" s="103">
        <f t="shared" ref="B228:K228" si="271">IF(B10=0,0,B10/B$4)</f>
        <v>0</v>
      </c>
      <c r="C228" s="103">
        <f t="shared" si="271"/>
        <v>0</v>
      </c>
      <c r="D228" s="103">
        <f t="shared" si="271"/>
        <v>0</v>
      </c>
      <c r="E228" s="103">
        <f t="shared" si="271"/>
        <v>0</v>
      </c>
      <c r="F228" s="103">
        <f t="shared" si="271"/>
        <v>0</v>
      </c>
      <c r="G228" s="103">
        <f t="shared" si="271"/>
        <v>0</v>
      </c>
      <c r="H228" s="103">
        <f t="shared" si="271"/>
        <v>0</v>
      </c>
      <c r="I228" s="103">
        <f t="shared" si="271"/>
        <v>0</v>
      </c>
      <c r="J228" s="103">
        <f t="shared" si="271"/>
        <v>0</v>
      </c>
      <c r="K228" s="103">
        <f t="shared" si="271"/>
        <v>0</v>
      </c>
      <c r="L228" s="103">
        <f t="shared" ref="L228" si="272">IF(L10=0,0,L10/L$4)</f>
        <v>3.4080840626016207E-7</v>
      </c>
      <c r="M228" s="103">
        <f t="shared" ref="M228:V228" si="273">IF(M10=0,0,M10/M$4)</f>
        <v>3.2498031551369093E-7</v>
      </c>
      <c r="N228" s="103">
        <f t="shared" si="273"/>
        <v>1.2849959997057999E-6</v>
      </c>
      <c r="O228" s="103">
        <f t="shared" si="273"/>
        <v>4.0399464938127629E-6</v>
      </c>
      <c r="P228" s="103">
        <f t="shared" si="273"/>
        <v>4.2634736964677284E-6</v>
      </c>
      <c r="Q228" s="103">
        <f t="shared" si="273"/>
        <v>5.4575921512588034E-6</v>
      </c>
      <c r="R228" s="103">
        <f t="shared" si="273"/>
        <v>6.302008747853642E-6</v>
      </c>
      <c r="S228" s="103">
        <f t="shared" si="273"/>
        <v>7.2293765213215748E-6</v>
      </c>
      <c r="T228" s="103">
        <f t="shared" si="273"/>
        <v>8.1381853251735972E-6</v>
      </c>
      <c r="U228" s="103">
        <f t="shared" si="273"/>
        <v>1.4686306816872925E-5</v>
      </c>
      <c r="V228" s="103">
        <f t="shared" si="273"/>
        <v>1.8323458888918432E-5</v>
      </c>
      <c r="W228" s="103">
        <f t="shared" ref="W228:Y228" si="274">IF(W10=0,0,W10/W$4)</f>
        <v>2.1737830656279114E-5</v>
      </c>
      <c r="X228" s="103">
        <f t="shared" si="274"/>
        <v>2.1964573066904787E-5</v>
      </c>
      <c r="Y228" s="103">
        <f t="shared" si="274"/>
        <v>2.1847734246847018E-5</v>
      </c>
      <c r="DA228" s="191"/>
    </row>
    <row r="229" spans="1:105" ht="11.45" customHeight="1" x14ac:dyDescent="0.25">
      <c r="A229" s="157" t="s">
        <v>114</v>
      </c>
      <c r="B229" s="103">
        <f t="shared" ref="B229:K229" si="275">IF(B11=0,0,B11/B$4)</f>
        <v>0</v>
      </c>
      <c r="C229" s="103">
        <f t="shared" si="275"/>
        <v>0</v>
      </c>
      <c r="D229" s="103">
        <f t="shared" si="275"/>
        <v>0</v>
      </c>
      <c r="E229" s="103">
        <f t="shared" si="275"/>
        <v>0</v>
      </c>
      <c r="F229" s="103">
        <f t="shared" si="275"/>
        <v>0</v>
      </c>
      <c r="G229" s="103">
        <f t="shared" si="275"/>
        <v>0</v>
      </c>
      <c r="H229" s="103">
        <f t="shared" si="275"/>
        <v>0</v>
      </c>
      <c r="I229" s="103">
        <f t="shared" si="275"/>
        <v>0</v>
      </c>
      <c r="J229" s="103">
        <f t="shared" si="275"/>
        <v>0</v>
      </c>
      <c r="K229" s="103">
        <f t="shared" si="275"/>
        <v>0</v>
      </c>
      <c r="L229" s="103">
        <f t="shared" ref="L229" si="276">IF(L11=0,0,L11/L$4)</f>
        <v>0</v>
      </c>
      <c r="M229" s="103">
        <f t="shared" ref="M229:V229" si="277">IF(M11=0,0,M11/M$4)</f>
        <v>2.2474872117283394E-6</v>
      </c>
      <c r="N229" s="103">
        <f t="shared" si="277"/>
        <v>9.11059739616586E-6</v>
      </c>
      <c r="O229" s="103">
        <f t="shared" si="277"/>
        <v>1.5612748735098541E-5</v>
      </c>
      <c r="P229" s="103">
        <f t="shared" si="277"/>
        <v>2.8206185893011224E-5</v>
      </c>
      <c r="Q229" s="103">
        <f t="shared" si="277"/>
        <v>9.9361430514432182E-5</v>
      </c>
      <c r="R229" s="103">
        <f t="shared" si="277"/>
        <v>2.4058070833670058E-4</v>
      </c>
      <c r="S229" s="103">
        <f t="shared" si="277"/>
        <v>5.4903527233047188E-4</v>
      </c>
      <c r="T229" s="103">
        <f t="shared" si="277"/>
        <v>1.1811353919802846E-3</v>
      </c>
      <c r="U229" s="103">
        <f t="shared" si="277"/>
        <v>2.0768401461113513E-3</v>
      </c>
      <c r="V229" s="103">
        <f t="shared" si="277"/>
        <v>3.1657592930310037E-3</v>
      </c>
      <c r="W229" s="103">
        <f t="shared" ref="W229:Y229" si="278">IF(W11=0,0,W11/W$4)</f>
        <v>4.9819487382999107E-3</v>
      </c>
      <c r="X229" s="103">
        <f t="shared" si="278"/>
        <v>7.2011802983579752E-3</v>
      </c>
      <c r="Y229" s="103">
        <f t="shared" si="278"/>
        <v>1.0327602695822792E-2</v>
      </c>
      <c r="DA229" s="191"/>
    </row>
    <row r="230" spans="1:105" ht="11.45" customHeight="1" x14ac:dyDescent="0.25">
      <c r="A230" s="157" t="s">
        <v>115</v>
      </c>
      <c r="B230" s="103">
        <f t="shared" ref="B230:K230" si="279">IF(B12=0,0,B12/B$4)</f>
        <v>0</v>
      </c>
      <c r="C230" s="103">
        <f t="shared" si="279"/>
        <v>0</v>
      </c>
      <c r="D230" s="103">
        <f t="shared" si="279"/>
        <v>0</v>
      </c>
      <c r="E230" s="103">
        <f t="shared" si="279"/>
        <v>0</v>
      </c>
      <c r="F230" s="103">
        <f t="shared" si="279"/>
        <v>0</v>
      </c>
      <c r="G230" s="103">
        <f t="shared" si="279"/>
        <v>0</v>
      </c>
      <c r="H230" s="103">
        <f t="shared" si="279"/>
        <v>0</v>
      </c>
      <c r="I230" s="103">
        <f t="shared" si="279"/>
        <v>0</v>
      </c>
      <c r="J230" s="103">
        <f t="shared" si="279"/>
        <v>4.669530988168879E-6</v>
      </c>
      <c r="K230" s="103">
        <f t="shared" si="279"/>
        <v>4.7444202903876315E-6</v>
      </c>
      <c r="L230" s="103">
        <f t="shared" ref="L230" si="280">IF(L12=0,0,L12/L$4)</f>
        <v>1.1528738895740998E-4</v>
      </c>
      <c r="M230" s="103">
        <f t="shared" ref="M230:V230" si="281">IF(M12=0,0,M12/M$4)</f>
        <v>4.6639892467326121E-5</v>
      </c>
      <c r="N230" s="103">
        <f t="shared" si="281"/>
        <v>6.2137624412346147E-5</v>
      </c>
      <c r="O230" s="103">
        <f t="shared" si="281"/>
        <v>7.7643781438724278E-5</v>
      </c>
      <c r="P230" s="103">
        <f t="shared" si="281"/>
        <v>8.3349294240768175E-5</v>
      </c>
      <c r="Q230" s="103">
        <f t="shared" si="281"/>
        <v>1.6841543037252366E-4</v>
      </c>
      <c r="R230" s="103">
        <f t="shared" si="281"/>
        <v>3.9838095064492589E-4</v>
      </c>
      <c r="S230" s="103">
        <f t="shared" si="281"/>
        <v>1.1991172612595344E-3</v>
      </c>
      <c r="T230" s="103">
        <f t="shared" si="281"/>
        <v>2.6769036874196525E-3</v>
      </c>
      <c r="U230" s="103">
        <f t="shared" si="281"/>
        <v>4.5209335255292186E-3</v>
      </c>
      <c r="V230" s="103">
        <f t="shared" si="281"/>
        <v>5.4537945865661477E-3</v>
      </c>
      <c r="W230" s="103">
        <f t="shared" ref="W230:Y230" si="282">IF(W12=0,0,W12/W$4)</f>
        <v>8.4778671230882913E-3</v>
      </c>
      <c r="X230" s="103">
        <f t="shared" si="282"/>
        <v>1.0941268349948931E-2</v>
      </c>
      <c r="Y230" s="103">
        <f t="shared" si="282"/>
        <v>1.5805079216753254E-2</v>
      </c>
      <c r="DA230" s="191"/>
    </row>
    <row r="231" spans="1:105" ht="11.45" customHeight="1" x14ac:dyDescent="0.25">
      <c r="A231" s="155" t="s">
        <v>21</v>
      </c>
      <c r="B231" s="156">
        <f t="shared" ref="B231:K231" si="283">IF(B13=0,0,B13/B$4)</f>
        <v>0.14006682677053622</v>
      </c>
      <c r="C231" s="156">
        <f t="shared" si="283"/>
        <v>0.12966704683204722</v>
      </c>
      <c r="D231" s="156">
        <f t="shared" si="283"/>
        <v>0.11105854311673971</v>
      </c>
      <c r="E231" s="156">
        <f t="shared" si="283"/>
        <v>0.11213098837325093</v>
      </c>
      <c r="F231" s="156">
        <f t="shared" si="283"/>
        <v>0.1127336322063465</v>
      </c>
      <c r="G231" s="156">
        <f t="shared" si="283"/>
        <v>6.8156972943927904E-2</v>
      </c>
      <c r="H231" s="156">
        <f t="shared" si="283"/>
        <v>6.427249893457665E-2</v>
      </c>
      <c r="I231" s="156">
        <f t="shared" si="283"/>
        <v>6.5763327888775161E-2</v>
      </c>
      <c r="J231" s="156">
        <f t="shared" si="283"/>
        <v>6.5801954856259892E-2</v>
      </c>
      <c r="K231" s="156">
        <f t="shared" si="283"/>
        <v>6.3796334768334365E-2</v>
      </c>
      <c r="L231" s="156">
        <f t="shared" ref="L231" si="284">IF(L13=0,0,L13/L$4)</f>
        <v>6.6229503045621765E-2</v>
      </c>
      <c r="M231" s="156">
        <f t="shared" ref="M231:V231" si="285">IF(M13=0,0,M13/M$4)</f>
        <v>6.4297002902367839E-2</v>
      </c>
      <c r="N231" s="156">
        <f t="shared" si="285"/>
        <v>6.5046902305185811E-2</v>
      </c>
      <c r="O231" s="156">
        <f t="shared" si="285"/>
        <v>6.7063281581412809E-2</v>
      </c>
      <c r="P231" s="156">
        <f t="shared" si="285"/>
        <v>6.2241740778662319E-2</v>
      </c>
      <c r="Q231" s="156">
        <f t="shared" si="285"/>
        <v>5.9530278962032362E-2</v>
      </c>
      <c r="R231" s="156">
        <f t="shared" si="285"/>
        <v>5.4264607913244729E-2</v>
      </c>
      <c r="S231" s="156">
        <f t="shared" si="285"/>
        <v>6.2042185920068653E-2</v>
      </c>
      <c r="T231" s="156">
        <f t="shared" si="285"/>
        <v>6.4280015559625994E-2</v>
      </c>
      <c r="U231" s="156">
        <f t="shared" si="285"/>
        <v>6.2412063251607829E-2</v>
      </c>
      <c r="V231" s="156">
        <f t="shared" si="285"/>
        <v>4.1887479664608297E-2</v>
      </c>
      <c r="W231" s="156">
        <f t="shared" ref="W231:Y231" si="286">IF(W13=0,0,W13/W$4)</f>
        <v>5.7835507945712024E-2</v>
      </c>
      <c r="X231" s="156">
        <f t="shared" si="286"/>
        <v>7.7499967400491476E-2</v>
      </c>
      <c r="Y231" s="156">
        <f t="shared" si="286"/>
        <v>7.7059888851837149E-2</v>
      </c>
      <c r="DA231" s="213"/>
    </row>
    <row r="232" spans="1:105" ht="11.45" customHeight="1" x14ac:dyDescent="0.25">
      <c r="A232" s="157" t="s">
        <v>110</v>
      </c>
      <c r="B232" s="103">
        <f t="shared" ref="B232:K232" si="287">IF(B14=0,0,B14/B$4)</f>
        <v>0</v>
      </c>
      <c r="C232" s="103">
        <f t="shared" si="287"/>
        <v>0</v>
      </c>
      <c r="D232" s="103">
        <f t="shared" si="287"/>
        <v>0</v>
      </c>
      <c r="E232" s="103">
        <f t="shared" si="287"/>
        <v>0</v>
      </c>
      <c r="F232" s="103">
        <f t="shared" si="287"/>
        <v>0</v>
      </c>
      <c r="G232" s="103">
        <f t="shared" si="287"/>
        <v>0</v>
      </c>
      <c r="H232" s="103">
        <f t="shared" si="287"/>
        <v>0</v>
      </c>
      <c r="I232" s="103">
        <f t="shared" si="287"/>
        <v>0</v>
      </c>
      <c r="J232" s="103">
        <f t="shared" si="287"/>
        <v>0</v>
      </c>
      <c r="K232" s="103">
        <f t="shared" si="287"/>
        <v>0</v>
      </c>
      <c r="L232" s="103">
        <f t="shared" ref="L232" si="288">IF(L14=0,0,L14/L$4)</f>
        <v>5.0788416749972531E-6</v>
      </c>
      <c r="M232" s="103">
        <f t="shared" ref="M232:V232" si="289">IF(M14=0,0,M14/M$4)</f>
        <v>5.2613221644218388E-6</v>
      </c>
      <c r="N232" s="103">
        <f t="shared" si="289"/>
        <v>5.7451538945602474E-6</v>
      </c>
      <c r="O232" s="103">
        <f t="shared" si="289"/>
        <v>7.1400844584391864E-6</v>
      </c>
      <c r="P232" s="103">
        <f t="shared" si="289"/>
        <v>6.2025200791158301E-6</v>
      </c>
      <c r="Q232" s="103">
        <f t="shared" si="289"/>
        <v>7.2137048295401704E-6</v>
      </c>
      <c r="R232" s="103">
        <f t="shared" si="289"/>
        <v>7.8853979972450544E-6</v>
      </c>
      <c r="S232" s="103">
        <f t="shared" si="289"/>
        <v>6.8991445051798926E-6</v>
      </c>
      <c r="T232" s="103">
        <f t="shared" si="289"/>
        <v>6.9631767252881435E-6</v>
      </c>
      <c r="U232" s="103">
        <f t="shared" si="289"/>
        <v>5.9588691726806869E-6</v>
      </c>
      <c r="V232" s="103">
        <f t="shared" si="289"/>
        <v>5.2906324799026445E-6</v>
      </c>
      <c r="W232" s="103">
        <f t="shared" ref="W232:Y232" si="290">IF(W14=0,0,W14/W$4)</f>
        <v>6.3141027687127368E-6</v>
      </c>
      <c r="X232" s="103">
        <f t="shared" si="290"/>
        <v>6.8235660139612016E-6</v>
      </c>
      <c r="Y232" s="103">
        <f t="shared" si="290"/>
        <v>6.748457829938156E-6</v>
      </c>
      <c r="DA232" s="191"/>
    </row>
    <row r="233" spans="1:105" ht="11.45" customHeight="1" x14ac:dyDescent="0.25">
      <c r="A233" s="157" t="s">
        <v>111</v>
      </c>
      <c r="B233" s="103">
        <f t="shared" ref="B233:K233" si="291">IF(B15=0,0,B15/B$4)</f>
        <v>0.13959411738478431</v>
      </c>
      <c r="C233" s="103">
        <f t="shared" si="291"/>
        <v>0.12774447193166935</v>
      </c>
      <c r="D233" s="103">
        <f t="shared" si="291"/>
        <v>0.10856815925988185</v>
      </c>
      <c r="E233" s="103">
        <f t="shared" si="291"/>
        <v>0.10869203110044146</v>
      </c>
      <c r="F233" s="103">
        <f t="shared" si="291"/>
        <v>0.10908780771969906</v>
      </c>
      <c r="G233" s="103">
        <f t="shared" si="291"/>
        <v>6.4123543989699605E-2</v>
      </c>
      <c r="H233" s="103">
        <f t="shared" si="291"/>
        <v>6.0736867007304511E-2</v>
      </c>
      <c r="I233" s="103">
        <f t="shared" si="291"/>
        <v>6.187520908056595E-2</v>
      </c>
      <c r="J233" s="103">
        <f t="shared" si="291"/>
        <v>6.1816837237577117E-2</v>
      </c>
      <c r="K233" s="103">
        <f t="shared" si="291"/>
        <v>5.9858288592596252E-2</v>
      </c>
      <c r="L233" s="103">
        <f t="shared" ref="L233" si="292">IF(L15=0,0,L15/L$4)</f>
        <v>6.1997568141945854E-2</v>
      </c>
      <c r="M233" s="103">
        <f t="shared" ref="M233:V233" si="293">IF(M15=0,0,M15/M$4)</f>
        <v>6.0158141397179524E-2</v>
      </c>
      <c r="N233" s="103">
        <f t="shared" si="293"/>
        <v>5.9931488957118709E-2</v>
      </c>
      <c r="O233" s="103">
        <f t="shared" si="293"/>
        <v>6.1983170682800959E-2</v>
      </c>
      <c r="P233" s="103">
        <f t="shared" si="293"/>
        <v>5.8626364471033525E-2</v>
      </c>
      <c r="Q233" s="103">
        <f t="shared" si="293"/>
        <v>5.6122923869152609E-2</v>
      </c>
      <c r="R233" s="103">
        <f t="shared" si="293"/>
        <v>5.1354490302633261E-2</v>
      </c>
      <c r="S233" s="103">
        <f t="shared" si="293"/>
        <v>5.890270451274101E-2</v>
      </c>
      <c r="T233" s="103">
        <f t="shared" si="293"/>
        <v>5.9348825517219962E-2</v>
      </c>
      <c r="U233" s="103">
        <f t="shared" si="293"/>
        <v>5.9241504680395303E-2</v>
      </c>
      <c r="V233" s="103">
        <f t="shared" si="293"/>
        <v>3.8907128541773729E-2</v>
      </c>
      <c r="W233" s="103">
        <f t="shared" ref="W233:Y233" si="294">IF(W15=0,0,W15/W$4)</f>
        <v>5.2677559345552599E-2</v>
      </c>
      <c r="X233" s="103">
        <f t="shared" si="294"/>
        <v>7.0756236780049386E-2</v>
      </c>
      <c r="Y233" s="103">
        <f t="shared" si="294"/>
        <v>6.7651068082038288E-2</v>
      </c>
      <c r="DA233" s="191"/>
    </row>
    <row r="234" spans="1:105" ht="11.45" customHeight="1" x14ac:dyDescent="0.25">
      <c r="A234" s="157" t="s">
        <v>112</v>
      </c>
      <c r="B234" s="103">
        <f t="shared" ref="B234:K234" si="295">IF(B16=0,0,B16/B$4)</f>
        <v>0</v>
      </c>
      <c r="C234" s="103">
        <f t="shared" si="295"/>
        <v>0</v>
      </c>
      <c r="D234" s="103">
        <f t="shared" si="295"/>
        <v>0</v>
      </c>
      <c r="E234" s="103">
        <f t="shared" si="295"/>
        <v>0</v>
      </c>
      <c r="F234" s="103">
        <f t="shared" si="295"/>
        <v>0</v>
      </c>
      <c r="G234" s="103">
        <f t="shared" si="295"/>
        <v>0</v>
      </c>
      <c r="H234" s="103">
        <f t="shared" si="295"/>
        <v>0</v>
      </c>
      <c r="I234" s="103">
        <f t="shared" si="295"/>
        <v>0</v>
      </c>
      <c r="J234" s="103">
        <f t="shared" si="295"/>
        <v>0</v>
      </c>
      <c r="K234" s="103">
        <f t="shared" si="295"/>
        <v>0</v>
      </c>
      <c r="L234" s="103">
        <f t="shared" ref="L234" si="296">IF(L16=0,0,L16/L$4)</f>
        <v>8.7414689114995881E-6</v>
      </c>
      <c r="M234" s="103">
        <f t="shared" ref="M234:V234" si="297">IF(M16=0,0,M16/M$4)</f>
        <v>8.7255299369202063E-6</v>
      </c>
      <c r="N234" s="103">
        <f t="shared" si="297"/>
        <v>7.2629940524712271E-6</v>
      </c>
      <c r="O234" s="103">
        <f t="shared" si="297"/>
        <v>7.7371887897575804E-6</v>
      </c>
      <c r="P234" s="103">
        <f t="shared" si="297"/>
        <v>1.1839082758266041E-5</v>
      </c>
      <c r="Q234" s="103">
        <f t="shared" si="297"/>
        <v>1.1643906014144463E-5</v>
      </c>
      <c r="R234" s="103">
        <f t="shared" si="297"/>
        <v>1.3060157505317774E-5</v>
      </c>
      <c r="S234" s="103">
        <f t="shared" si="297"/>
        <v>1.4443582616634388E-5</v>
      </c>
      <c r="T234" s="103">
        <f t="shared" si="297"/>
        <v>1.4608887333244709E-5</v>
      </c>
      <c r="U234" s="103">
        <f t="shared" si="297"/>
        <v>1.2196513899587088E-5</v>
      </c>
      <c r="V234" s="103">
        <f t="shared" si="297"/>
        <v>7.5549240494528278E-6</v>
      </c>
      <c r="W234" s="103">
        <f t="shared" ref="W234:Y234" si="298">IF(W16=0,0,W16/W$4)</f>
        <v>1.0262293688509821E-5</v>
      </c>
      <c r="X234" s="103">
        <f t="shared" si="298"/>
        <v>9.7046024501931587E-6</v>
      </c>
      <c r="Y234" s="103">
        <f t="shared" si="298"/>
        <v>9.5394550911641971E-6</v>
      </c>
      <c r="DA234" s="191"/>
    </row>
    <row r="235" spans="1:105" ht="11.45" customHeight="1" x14ac:dyDescent="0.25">
      <c r="A235" s="157" t="s">
        <v>113</v>
      </c>
      <c r="B235" s="103">
        <f t="shared" ref="B235:K235" si="299">IF(B17=0,0,B17/B$4)</f>
        <v>4.7270938575190902E-4</v>
      </c>
      <c r="C235" s="103">
        <f t="shared" si="299"/>
        <v>1.9225749003778647E-3</v>
      </c>
      <c r="D235" s="103">
        <f t="shared" si="299"/>
        <v>2.4903838568578755E-3</v>
      </c>
      <c r="E235" s="103">
        <f t="shared" si="299"/>
        <v>3.4389572728094663E-3</v>
      </c>
      <c r="F235" s="103">
        <f t="shared" si="299"/>
        <v>3.6458244866474409E-3</v>
      </c>
      <c r="G235" s="103">
        <f t="shared" si="299"/>
        <v>4.0334289542283052E-3</v>
      </c>
      <c r="H235" s="103">
        <f t="shared" si="299"/>
        <v>3.5356319272721471E-3</v>
      </c>
      <c r="I235" s="103">
        <f t="shared" si="299"/>
        <v>3.8881188082092138E-3</v>
      </c>
      <c r="J235" s="103">
        <f t="shared" si="299"/>
        <v>3.985117618682775E-3</v>
      </c>
      <c r="K235" s="103">
        <f t="shared" si="299"/>
        <v>3.9380461757381122E-3</v>
      </c>
      <c r="L235" s="103">
        <f t="shared" ref="L235" si="300">IF(L17=0,0,L17/L$4)</f>
        <v>4.1274078578172075E-3</v>
      </c>
      <c r="M235" s="103">
        <f t="shared" ref="M235:V235" si="301">IF(M17=0,0,M17/M$4)</f>
        <v>4.0437205952879246E-3</v>
      </c>
      <c r="N235" s="103">
        <f t="shared" si="301"/>
        <v>4.9120906187739505E-3</v>
      </c>
      <c r="O235" s="103">
        <f t="shared" si="301"/>
        <v>4.8598334676683494E-3</v>
      </c>
      <c r="P235" s="103">
        <f t="shared" si="301"/>
        <v>3.4400960062497092E-3</v>
      </c>
      <c r="Q235" s="103">
        <f t="shared" si="301"/>
        <v>3.238332762761835E-3</v>
      </c>
      <c r="R235" s="103">
        <f t="shared" si="301"/>
        <v>2.7601863619205599E-3</v>
      </c>
      <c r="S235" s="103">
        <f t="shared" si="301"/>
        <v>2.8886288494107972E-3</v>
      </c>
      <c r="T235" s="103">
        <f t="shared" si="301"/>
        <v>4.3352022489191082E-3</v>
      </c>
      <c r="U235" s="103">
        <f t="shared" si="301"/>
        <v>2.4433894664266666E-3</v>
      </c>
      <c r="V235" s="103">
        <f t="shared" si="301"/>
        <v>2.340381267629863E-3</v>
      </c>
      <c r="W235" s="103">
        <f t="shared" ref="W235:Y235" si="302">IF(W17=0,0,W17/W$4)</f>
        <v>4.3777625570557204E-3</v>
      </c>
      <c r="X235" s="103">
        <f t="shared" si="302"/>
        <v>5.4688500418380451E-3</v>
      </c>
      <c r="Y235" s="103">
        <f t="shared" si="302"/>
        <v>5.9059980233658257E-3</v>
      </c>
      <c r="DA235" s="191"/>
    </row>
    <row r="236" spans="1:105" ht="11.45" customHeight="1" x14ac:dyDescent="0.25">
      <c r="A236" s="157" t="s">
        <v>115</v>
      </c>
      <c r="B236" s="103">
        <f t="shared" ref="B236:K236" si="303">IF(B18=0,0,B18/B$4)</f>
        <v>0</v>
      </c>
      <c r="C236" s="103">
        <f t="shared" si="303"/>
        <v>0</v>
      </c>
      <c r="D236" s="103">
        <f t="shared" si="303"/>
        <v>0</v>
      </c>
      <c r="E236" s="103">
        <f t="shared" si="303"/>
        <v>0</v>
      </c>
      <c r="F236" s="103">
        <f t="shared" si="303"/>
        <v>0</v>
      </c>
      <c r="G236" s="103">
        <f t="shared" si="303"/>
        <v>0</v>
      </c>
      <c r="H236" s="103">
        <f t="shared" si="303"/>
        <v>0</v>
      </c>
      <c r="I236" s="103">
        <f t="shared" si="303"/>
        <v>0</v>
      </c>
      <c r="J236" s="103">
        <f t="shared" si="303"/>
        <v>0</v>
      </c>
      <c r="K236" s="103">
        <f t="shared" si="303"/>
        <v>0</v>
      </c>
      <c r="L236" s="103">
        <f t="shared" ref="L236" si="304">IF(L18=0,0,L18/L$4)</f>
        <v>9.070673527220744E-5</v>
      </c>
      <c r="M236" s="103">
        <f t="shared" ref="M236:V236" si="305">IF(M18=0,0,M18/M$4)</f>
        <v>8.115405779905828E-5</v>
      </c>
      <c r="N236" s="103">
        <f t="shared" si="305"/>
        <v>1.9031458134612586E-4</v>
      </c>
      <c r="O236" s="103">
        <f t="shared" si="305"/>
        <v>2.0540015769530243E-4</v>
      </c>
      <c r="P236" s="103">
        <f t="shared" si="305"/>
        <v>1.5723869854171043E-4</v>
      </c>
      <c r="Q236" s="103">
        <f t="shared" si="305"/>
        <v>1.5016471927424668E-4</v>
      </c>
      <c r="R236" s="103">
        <f t="shared" si="305"/>
        <v>1.2898569318834928E-4</v>
      </c>
      <c r="S236" s="103">
        <f t="shared" si="305"/>
        <v>2.2950983079503121E-4</v>
      </c>
      <c r="T236" s="103">
        <f t="shared" si="305"/>
        <v>5.7441572942839322E-4</v>
      </c>
      <c r="U236" s="103">
        <f t="shared" si="305"/>
        <v>7.0901372171358775E-4</v>
      </c>
      <c r="V236" s="103">
        <f t="shared" si="305"/>
        <v>6.2712429867535068E-4</v>
      </c>
      <c r="W236" s="103">
        <f t="shared" ref="W236:Y236" si="306">IF(W18=0,0,W18/W$4)</f>
        <v>7.6360964664648489E-4</v>
      </c>
      <c r="X236" s="103">
        <f t="shared" si="306"/>
        <v>1.2583524101399037E-3</v>
      </c>
      <c r="Y236" s="103">
        <f t="shared" si="306"/>
        <v>3.4865348335119226E-3</v>
      </c>
      <c r="DA236" s="191"/>
    </row>
    <row r="237" spans="1:105" ht="11.45" customHeight="1" x14ac:dyDescent="0.25">
      <c r="A237" s="27" t="s">
        <v>39</v>
      </c>
      <c r="B237" s="46">
        <f t="shared" ref="B237:K237" si="307">IF(B19=0,0,B19/B$19)</f>
        <v>1</v>
      </c>
      <c r="C237" s="46">
        <f t="shared" si="307"/>
        <v>1</v>
      </c>
      <c r="D237" s="46">
        <f t="shared" si="307"/>
        <v>1</v>
      </c>
      <c r="E237" s="46">
        <f t="shared" si="307"/>
        <v>1</v>
      </c>
      <c r="F237" s="46">
        <f t="shared" si="307"/>
        <v>1</v>
      </c>
      <c r="G237" s="46">
        <f t="shared" si="307"/>
        <v>1</v>
      </c>
      <c r="H237" s="46">
        <f t="shared" si="307"/>
        <v>1</v>
      </c>
      <c r="I237" s="46">
        <f t="shared" si="307"/>
        <v>1</v>
      </c>
      <c r="J237" s="46">
        <f t="shared" si="307"/>
        <v>1</v>
      </c>
      <c r="K237" s="46">
        <f t="shared" si="307"/>
        <v>1</v>
      </c>
      <c r="L237" s="46">
        <f t="shared" ref="L237" si="308">IF(L19=0,0,L19/L$19)</f>
        <v>1</v>
      </c>
      <c r="M237" s="46">
        <f t="shared" ref="M237:V237" si="309">IF(M19=0,0,M19/M$19)</f>
        <v>1</v>
      </c>
      <c r="N237" s="46">
        <f t="shared" si="309"/>
        <v>1</v>
      </c>
      <c r="O237" s="46">
        <f t="shared" si="309"/>
        <v>1</v>
      </c>
      <c r="P237" s="46">
        <f t="shared" si="309"/>
        <v>1</v>
      </c>
      <c r="Q237" s="46">
        <f t="shared" si="309"/>
        <v>1</v>
      </c>
      <c r="R237" s="46">
        <f t="shared" si="309"/>
        <v>1</v>
      </c>
      <c r="S237" s="46">
        <f t="shared" si="309"/>
        <v>1</v>
      </c>
      <c r="T237" s="46">
        <f t="shared" si="309"/>
        <v>1</v>
      </c>
      <c r="U237" s="46">
        <f t="shared" si="309"/>
        <v>1</v>
      </c>
      <c r="V237" s="46">
        <f t="shared" si="309"/>
        <v>1</v>
      </c>
      <c r="W237" s="46">
        <f t="shared" ref="W237:Y237" si="310">IF(W19=0,0,W19/W$19)</f>
        <v>1</v>
      </c>
      <c r="X237" s="46">
        <f t="shared" si="310"/>
        <v>1</v>
      </c>
      <c r="Y237" s="46">
        <f t="shared" si="310"/>
        <v>1</v>
      </c>
      <c r="DA237" s="211"/>
    </row>
    <row r="238" spans="1:105" ht="11.45" customHeight="1" x14ac:dyDescent="0.25">
      <c r="A238" s="153" t="s">
        <v>153</v>
      </c>
      <c r="B238" s="154">
        <f t="shared" ref="B238:K238" si="311">IF(B20=0,0,B20/B$19)</f>
        <v>0.1132643572165835</v>
      </c>
      <c r="C238" s="154">
        <f t="shared" si="311"/>
        <v>0.10479783655083996</v>
      </c>
      <c r="D238" s="154">
        <f t="shared" si="311"/>
        <v>0.11028152606292885</v>
      </c>
      <c r="E238" s="154">
        <f t="shared" si="311"/>
        <v>0.11050963214970266</v>
      </c>
      <c r="F238" s="154">
        <f t="shared" si="311"/>
        <v>8.9548968485350044E-2</v>
      </c>
      <c r="G238" s="154">
        <f t="shared" si="311"/>
        <v>8.6395904867391557E-2</v>
      </c>
      <c r="H238" s="154">
        <f t="shared" si="311"/>
        <v>8.5631208522378793E-2</v>
      </c>
      <c r="I238" s="154">
        <f t="shared" si="311"/>
        <v>7.93337795914488E-2</v>
      </c>
      <c r="J238" s="154">
        <f t="shared" si="311"/>
        <v>8.7017229226500153E-2</v>
      </c>
      <c r="K238" s="154">
        <f t="shared" si="311"/>
        <v>9.9032516345881394E-2</v>
      </c>
      <c r="L238" s="154">
        <f t="shared" ref="L238" si="312">IF(L20=0,0,L20/L$19)</f>
        <v>0.10743649914055071</v>
      </c>
      <c r="M238" s="154">
        <f t="shared" ref="M238:V238" si="313">IF(M20=0,0,M20/M$19)</f>
        <v>9.7874678079126892E-2</v>
      </c>
      <c r="N238" s="154">
        <f t="shared" si="313"/>
        <v>9.8613252879213673E-2</v>
      </c>
      <c r="O238" s="154">
        <f t="shared" si="313"/>
        <v>9.906489565774021E-2</v>
      </c>
      <c r="P238" s="154">
        <f t="shared" si="313"/>
        <v>0.10179654214647703</v>
      </c>
      <c r="Q238" s="154">
        <f t="shared" si="313"/>
        <v>0.10369133299345219</v>
      </c>
      <c r="R238" s="154">
        <f t="shared" si="313"/>
        <v>0.10608805567440657</v>
      </c>
      <c r="S238" s="154">
        <f t="shared" si="313"/>
        <v>0.10788975680591173</v>
      </c>
      <c r="T238" s="154">
        <f t="shared" si="313"/>
        <v>0.11123506602751665</v>
      </c>
      <c r="U238" s="154">
        <f t="shared" si="313"/>
        <v>0.11585885122240801</v>
      </c>
      <c r="V238" s="154">
        <f t="shared" si="313"/>
        <v>0.1189660329852114</v>
      </c>
      <c r="W238" s="154">
        <f t="shared" ref="W238:Y238" si="314">IF(W20=0,0,W20/W$19)</f>
        <v>0.11579491985300236</v>
      </c>
      <c r="X238" s="154">
        <f t="shared" si="314"/>
        <v>0.12661571129982785</v>
      </c>
      <c r="Y238" s="154">
        <f t="shared" si="314"/>
        <v>0.15136500075396386</v>
      </c>
      <c r="DA238" s="212"/>
    </row>
    <row r="239" spans="1:105" ht="11.45" customHeight="1" x14ac:dyDescent="0.25">
      <c r="A239" s="157" t="s">
        <v>110</v>
      </c>
      <c r="B239" s="103">
        <f t="shared" ref="B239:K239" si="315">IF(B21=0,0,B21/B$19)</f>
        <v>1.1546333578523356E-3</v>
      </c>
      <c r="C239" s="103">
        <f t="shared" si="315"/>
        <v>9.4359779353307704E-4</v>
      </c>
      <c r="D239" s="103">
        <f t="shared" si="315"/>
        <v>9.674064399677587E-4</v>
      </c>
      <c r="E239" s="103">
        <f t="shared" si="315"/>
        <v>1.0928655213355556E-3</v>
      </c>
      <c r="F239" s="103">
        <f t="shared" si="315"/>
        <v>8.1650621936259508E-4</v>
      </c>
      <c r="G239" s="103">
        <f t="shared" si="315"/>
        <v>7.6095556195163649E-4</v>
      </c>
      <c r="H239" s="103">
        <f t="shared" si="315"/>
        <v>7.3426817852271663E-4</v>
      </c>
      <c r="I239" s="103">
        <f t="shared" si="315"/>
        <v>6.5685960267697905E-4</v>
      </c>
      <c r="J239" s="103">
        <f t="shared" si="315"/>
        <v>7.0272706339184992E-4</v>
      </c>
      <c r="K239" s="103">
        <f t="shared" si="315"/>
        <v>7.8117929467276276E-4</v>
      </c>
      <c r="L239" s="103">
        <f t="shared" ref="L239" si="316">IF(L21=0,0,L21/L$19)</f>
        <v>8.2613420877780197E-4</v>
      </c>
      <c r="M239" s="103">
        <f t="shared" ref="M239:V239" si="317">IF(M21=0,0,M21/M$19)</f>
        <v>6.7889690009295136E-4</v>
      </c>
      <c r="N239" s="103">
        <f t="shared" si="317"/>
        <v>6.8258898489556444E-4</v>
      </c>
      <c r="O239" s="103">
        <f t="shared" si="317"/>
        <v>6.3788595764363305E-4</v>
      </c>
      <c r="P239" s="103">
        <f t="shared" si="317"/>
        <v>5.7627676809582546E-4</v>
      </c>
      <c r="Q239" s="103">
        <f t="shared" si="317"/>
        <v>6.4942142463681775E-4</v>
      </c>
      <c r="R239" s="103">
        <f t="shared" si="317"/>
        <v>6.0314890198617289E-4</v>
      </c>
      <c r="S239" s="103">
        <f t="shared" si="317"/>
        <v>6.1197043945324765E-4</v>
      </c>
      <c r="T239" s="103">
        <f t="shared" si="317"/>
        <v>5.6883016168154531E-4</v>
      </c>
      <c r="U239" s="103">
        <f t="shared" si="317"/>
        <v>7.1018756732634414E-4</v>
      </c>
      <c r="V239" s="103">
        <f t="shared" si="317"/>
        <v>5.3847330753459927E-4</v>
      </c>
      <c r="W239" s="103">
        <f t="shared" ref="W239:Y239" si="318">IF(W21=0,0,W21/W$19)</f>
        <v>5.0520893005685037E-4</v>
      </c>
      <c r="X239" s="103">
        <f t="shared" si="318"/>
        <v>5.4292783446712649E-4</v>
      </c>
      <c r="Y239" s="103">
        <f t="shared" si="318"/>
        <v>5.7394159894170007E-4</v>
      </c>
      <c r="DA239" s="191"/>
    </row>
    <row r="240" spans="1:105" ht="11.45" customHeight="1" x14ac:dyDescent="0.25">
      <c r="A240" s="157" t="s">
        <v>111</v>
      </c>
      <c r="B240" s="103">
        <f t="shared" ref="B240:K240" si="319">IF(B22=0,0,B22/B$19)</f>
        <v>0.11206136199533222</v>
      </c>
      <c r="C240" s="103">
        <f t="shared" si="319"/>
        <v>0.10381380026602549</v>
      </c>
      <c r="D240" s="103">
        <f t="shared" si="319"/>
        <v>0.10927162969974639</v>
      </c>
      <c r="E240" s="103">
        <f t="shared" si="319"/>
        <v>0.10936883300768609</v>
      </c>
      <c r="F240" s="103">
        <f t="shared" si="319"/>
        <v>8.8695829702146983E-2</v>
      </c>
      <c r="G240" s="103">
        <f t="shared" si="319"/>
        <v>8.5599840107761213E-2</v>
      </c>
      <c r="H240" s="103">
        <f t="shared" si="319"/>
        <v>8.4862254886350033E-2</v>
      </c>
      <c r="I240" s="103">
        <f t="shared" si="319"/>
        <v>7.864488329922513E-2</v>
      </c>
      <c r="J240" s="103">
        <f t="shared" si="319"/>
        <v>8.6279464999201985E-2</v>
      </c>
      <c r="K240" s="103">
        <f t="shared" si="319"/>
        <v>9.8211530900323446E-2</v>
      </c>
      <c r="L240" s="103">
        <f t="shared" ref="L240" si="320">IF(L22=0,0,L22/L$19)</f>
        <v>0.10656874189189632</v>
      </c>
      <c r="M240" s="103">
        <f t="shared" ref="M240:V240" si="321">IF(M22=0,0,M22/M$19)</f>
        <v>9.7158630461579076E-2</v>
      </c>
      <c r="N240" s="103">
        <f t="shared" si="321"/>
        <v>9.7894385101466891E-2</v>
      </c>
      <c r="O240" s="103">
        <f t="shared" si="321"/>
        <v>9.8386599883591191E-2</v>
      </c>
      <c r="P240" s="103">
        <f t="shared" si="321"/>
        <v>0.10117856549364032</v>
      </c>
      <c r="Q240" s="103">
        <f t="shared" si="321"/>
        <v>0.10299182607555499</v>
      </c>
      <c r="R240" s="103">
        <f t="shared" si="321"/>
        <v>0.1054353202733903</v>
      </c>
      <c r="S240" s="103">
        <f t="shared" si="321"/>
        <v>0.10720398540316767</v>
      </c>
      <c r="T240" s="103">
        <f t="shared" si="321"/>
        <v>0.11055973896375028</v>
      </c>
      <c r="U240" s="103">
        <f t="shared" si="321"/>
        <v>0.11501344758086873</v>
      </c>
      <c r="V240" s="103">
        <f t="shared" si="321"/>
        <v>0.11825580689318638</v>
      </c>
      <c r="W240" s="103">
        <f t="shared" ref="W240:Y240" si="322">IF(W22=0,0,W22/W$19)</f>
        <v>0.11510527337974004</v>
      </c>
      <c r="X240" s="103">
        <f t="shared" si="322"/>
        <v>0.12582736308710252</v>
      </c>
      <c r="Y240" s="103">
        <f t="shared" si="322"/>
        <v>0.15035703149472046</v>
      </c>
      <c r="DA240" s="191"/>
    </row>
    <row r="241" spans="1:105" ht="11.45" customHeight="1" x14ac:dyDescent="0.25">
      <c r="A241" s="157" t="s">
        <v>112</v>
      </c>
      <c r="B241" s="103">
        <f t="shared" ref="B241:K241" si="323">IF(B23=0,0,B23/B$19)</f>
        <v>4.8361863398938614E-5</v>
      </c>
      <c r="C241" s="103">
        <f t="shared" si="323"/>
        <v>4.0438491281401297E-5</v>
      </c>
      <c r="D241" s="103">
        <f t="shared" si="323"/>
        <v>4.2489923214705523E-5</v>
      </c>
      <c r="E241" s="103">
        <f t="shared" si="323"/>
        <v>4.7933620681031999E-5</v>
      </c>
      <c r="F241" s="103">
        <f t="shared" si="323"/>
        <v>3.6632563840476015E-5</v>
      </c>
      <c r="G241" s="103">
        <f t="shared" si="323"/>
        <v>3.510919767871379E-5</v>
      </c>
      <c r="H241" s="103">
        <f t="shared" si="323"/>
        <v>3.4685457506040943E-5</v>
      </c>
      <c r="I241" s="103">
        <f t="shared" si="323"/>
        <v>3.2036689546698877E-5</v>
      </c>
      <c r="J241" s="103">
        <f t="shared" si="323"/>
        <v>3.5037163906322736E-5</v>
      </c>
      <c r="K241" s="103">
        <f t="shared" si="323"/>
        <v>3.9806150885184309E-5</v>
      </c>
      <c r="L241" s="103">
        <f t="shared" ref="L241" si="324">IF(L23=0,0,L23/L$19)</f>
        <v>4.1623039876587693E-5</v>
      </c>
      <c r="M241" s="103">
        <f t="shared" ref="M241:V241" si="325">IF(M23=0,0,M23/M$19)</f>
        <v>3.6896230377989167E-5</v>
      </c>
      <c r="N241" s="103">
        <f t="shared" si="325"/>
        <v>3.5335834914212934E-5</v>
      </c>
      <c r="O241" s="103">
        <f t="shared" si="325"/>
        <v>3.6375872821874078E-5</v>
      </c>
      <c r="P241" s="103">
        <f t="shared" si="325"/>
        <v>3.5742179558765362E-5</v>
      </c>
      <c r="Q241" s="103">
        <f t="shared" si="325"/>
        <v>3.882755377000484E-5</v>
      </c>
      <c r="R241" s="103">
        <f t="shared" si="325"/>
        <v>3.6330678094140923E-5</v>
      </c>
      <c r="S241" s="103">
        <f t="shared" si="325"/>
        <v>3.5596655508296728E-5</v>
      </c>
      <c r="T241" s="103">
        <f t="shared" si="325"/>
        <v>3.5643770557387311E-5</v>
      </c>
      <c r="U241" s="103">
        <f t="shared" si="325"/>
        <v>4.1272628518595046E-5</v>
      </c>
      <c r="V241" s="103">
        <f t="shared" si="325"/>
        <v>4.0981778590703729E-5</v>
      </c>
      <c r="W241" s="103">
        <f t="shared" ref="W241:Y241" si="326">IF(W23=0,0,W23/W$19)</f>
        <v>3.7062984648450637E-5</v>
      </c>
      <c r="X241" s="103">
        <f t="shared" si="326"/>
        <v>3.9992788128355234E-5</v>
      </c>
      <c r="Y241" s="103">
        <f t="shared" si="326"/>
        <v>4.6496107168147373E-5</v>
      </c>
      <c r="DA241" s="191"/>
    </row>
    <row r="242" spans="1:105" ht="11.45" customHeight="1" x14ac:dyDescent="0.25">
      <c r="A242" s="157" t="s">
        <v>113</v>
      </c>
      <c r="B242" s="103">
        <f t="shared" ref="B242:K242" si="327">IF(B24=0,0,B24/B$19)</f>
        <v>0</v>
      </c>
      <c r="C242" s="103">
        <f t="shared" si="327"/>
        <v>0</v>
      </c>
      <c r="D242" s="103">
        <f t="shared" si="327"/>
        <v>0</v>
      </c>
      <c r="E242" s="103">
        <f t="shared" si="327"/>
        <v>0</v>
      </c>
      <c r="F242" s="103">
        <f t="shared" si="327"/>
        <v>0</v>
      </c>
      <c r="G242" s="103">
        <f t="shared" si="327"/>
        <v>0</v>
      </c>
      <c r="H242" s="103">
        <f t="shared" si="327"/>
        <v>0</v>
      </c>
      <c r="I242" s="103">
        <f t="shared" si="327"/>
        <v>0</v>
      </c>
      <c r="J242" s="103">
        <f t="shared" si="327"/>
        <v>0</v>
      </c>
      <c r="K242" s="103">
        <f t="shared" si="327"/>
        <v>0</v>
      </c>
      <c r="L242" s="103">
        <f t="shared" ref="L242" si="328">IF(L24=0,0,L24/L$19)</f>
        <v>0</v>
      </c>
      <c r="M242" s="103">
        <f t="shared" ref="M242:V242" si="329">IF(M24=0,0,M24/M$19)</f>
        <v>0</v>
      </c>
      <c r="N242" s="103">
        <f t="shared" si="329"/>
        <v>0</v>
      </c>
      <c r="O242" s="103">
        <f t="shared" si="329"/>
        <v>3.3680266792892773E-7</v>
      </c>
      <c r="P242" s="103">
        <f t="shared" si="329"/>
        <v>8.3893042854802044E-7</v>
      </c>
      <c r="Q242" s="103">
        <f t="shared" si="329"/>
        <v>1.2969656621310773E-6</v>
      </c>
      <c r="R242" s="103">
        <f t="shared" si="329"/>
        <v>1.7736169179491094E-6</v>
      </c>
      <c r="S242" s="103">
        <f t="shared" si="329"/>
        <v>1.9993963741579488E-6</v>
      </c>
      <c r="T242" s="103">
        <f t="shared" si="329"/>
        <v>3.0242261918147657E-6</v>
      </c>
      <c r="U242" s="103">
        <f t="shared" si="329"/>
        <v>4.8412303511044451E-6</v>
      </c>
      <c r="V242" s="103">
        <f t="shared" si="329"/>
        <v>5.9228435145290123E-6</v>
      </c>
      <c r="W242" s="103">
        <f t="shared" ref="W242:Y242" si="330">IF(W24=0,0,W24/W$19)</f>
        <v>8.1065005614643283E-6</v>
      </c>
      <c r="X242" s="103">
        <f t="shared" si="330"/>
        <v>9.3090798699587711E-6</v>
      </c>
      <c r="Y242" s="103">
        <f t="shared" si="330"/>
        <v>1.1475952342959607E-5</v>
      </c>
      <c r="DA242" s="191"/>
    </row>
    <row r="243" spans="1:105" ht="11.45" customHeight="1" x14ac:dyDescent="0.25">
      <c r="A243" s="157" t="s">
        <v>115</v>
      </c>
      <c r="B243" s="103">
        <f t="shared" ref="B243:K243" si="331">IF(B25=0,0,B25/B$19)</f>
        <v>0</v>
      </c>
      <c r="C243" s="103">
        <f t="shared" si="331"/>
        <v>0</v>
      </c>
      <c r="D243" s="103">
        <f t="shared" si="331"/>
        <v>0</v>
      </c>
      <c r="E243" s="103">
        <f t="shared" si="331"/>
        <v>0</v>
      </c>
      <c r="F243" s="103">
        <f t="shared" si="331"/>
        <v>0</v>
      </c>
      <c r="G243" s="103">
        <f t="shared" si="331"/>
        <v>0</v>
      </c>
      <c r="H243" s="103">
        <f t="shared" si="331"/>
        <v>0</v>
      </c>
      <c r="I243" s="103">
        <f t="shared" si="331"/>
        <v>0</v>
      </c>
      <c r="J243" s="103">
        <f t="shared" si="331"/>
        <v>0</v>
      </c>
      <c r="K243" s="103">
        <f t="shared" si="331"/>
        <v>0</v>
      </c>
      <c r="L243" s="103">
        <f t="shared" ref="L243" si="332">IF(L25=0,0,L25/L$19)</f>
        <v>0</v>
      </c>
      <c r="M243" s="103">
        <f t="shared" ref="M243:V243" si="333">IF(M25=0,0,M25/M$19)</f>
        <v>2.5448707686548247E-7</v>
      </c>
      <c r="N243" s="103">
        <f t="shared" si="333"/>
        <v>9.4295793701150049E-7</v>
      </c>
      <c r="O243" s="103">
        <f t="shared" si="333"/>
        <v>3.697141015578169E-6</v>
      </c>
      <c r="P243" s="103">
        <f t="shared" si="333"/>
        <v>5.1187747535699314E-6</v>
      </c>
      <c r="Q243" s="103">
        <f t="shared" si="333"/>
        <v>9.9609738282397234E-6</v>
      </c>
      <c r="R243" s="103">
        <f t="shared" si="333"/>
        <v>1.1482204018025382E-5</v>
      </c>
      <c r="S243" s="103">
        <f t="shared" si="333"/>
        <v>3.6204911408354021E-5</v>
      </c>
      <c r="T243" s="103">
        <f t="shared" si="333"/>
        <v>6.7828905335611683E-5</v>
      </c>
      <c r="U243" s="103">
        <f t="shared" si="333"/>
        <v>8.9102215343266238E-5</v>
      </c>
      <c r="V243" s="103">
        <f t="shared" si="333"/>
        <v>1.2484816238519667E-4</v>
      </c>
      <c r="W243" s="103">
        <f t="shared" ref="W243:Y243" si="334">IF(W25=0,0,W25/W$19)</f>
        <v>1.3926805799555823E-4</v>
      </c>
      <c r="X243" s="103">
        <f t="shared" si="334"/>
        <v>1.9611851025987616E-4</v>
      </c>
      <c r="Y243" s="103">
        <f t="shared" si="334"/>
        <v>3.7605560079061331E-4</v>
      </c>
      <c r="DA243" s="191"/>
    </row>
    <row r="244" spans="1:105" ht="11.45" customHeight="1" x14ac:dyDescent="0.25">
      <c r="A244" s="155" t="s">
        <v>154</v>
      </c>
      <c r="B244" s="156">
        <f t="shared" ref="B244:K244" si="335">IF(B26=0,0,B26/B$19)</f>
        <v>0.88673564278341654</v>
      </c>
      <c r="C244" s="156">
        <f t="shared" si="335"/>
        <v>0.89520216344916004</v>
      </c>
      <c r="D244" s="156">
        <f t="shared" si="335"/>
        <v>0.88971847393707115</v>
      </c>
      <c r="E244" s="156">
        <f t="shared" si="335"/>
        <v>0.88949036785029723</v>
      </c>
      <c r="F244" s="156">
        <f t="shared" si="335"/>
        <v>0.9104510315146499</v>
      </c>
      <c r="G244" s="156">
        <f t="shared" si="335"/>
        <v>0.91360409513260843</v>
      </c>
      <c r="H244" s="156">
        <f t="shared" si="335"/>
        <v>0.91436879147762118</v>
      </c>
      <c r="I244" s="156">
        <f t="shared" si="335"/>
        <v>0.92066622040855128</v>
      </c>
      <c r="J244" s="156">
        <f t="shared" si="335"/>
        <v>0.91298277077349987</v>
      </c>
      <c r="K244" s="156">
        <f t="shared" si="335"/>
        <v>0.90096748365411861</v>
      </c>
      <c r="L244" s="156">
        <f t="shared" ref="L244" si="336">IF(L26=0,0,L26/L$19)</f>
        <v>0.89256350085944924</v>
      </c>
      <c r="M244" s="156">
        <f t="shared" ref="M244:V244" si="337">IF(M26=0,0,M26/M$19)</f>
        <v>0.90212532192087314</v>
      </c>
      <c r="N244" s="156">
        <f t="shared" si="337"/>
        <v>0.90138674712078626</v>
      </c>
      <c r="O244" s="156">
        <f t="shared" si="337"/>
        <v>0.90093510434225976</v>
      </c>
      <c r="P244" s="156">
        <f t="shared" si="337"/>
        <v>0.89820345785352307</v>
      </c>
      <c r="Q244" s="156">
        <f t="shared" si="337"/>
        <v>0.89630866700654788</v>
      </c>
      <c r="R244" s="156">
        <f t="shared" si="337"/>
        <v>0.8939119443255934</v>
      </c>
      <c r="S244" s="156">
        <f t="shared" si="337"/>
        <v>0.89211024319408816</v>
      </c>
      <c r="T244" s="156">
        <f t="shared" si="337"/>
        <v>0.88876493397248335</v>
      </c>
      <c r="U244" s="156">
        <f t="shared" si="337"/>
        <v>0.88414114877759198</v>
      </c>
      <c r="V244" s="156">
        <f t="shared" si="337"/>
        <v>0.88103396701478853</v>
      </c>
      <c r="W244" s="156">
        <f t="shared" ref="W244:Y244" si="338">IF(W26=0,0,W26/W$19)</f>
        <v>0.88420508014699772</v>
      </c>
      <c r="X244" s="156">
        <f t="shared" si="338"/>
        <v>0.87338428870017215</v>
      </c>
      <c r="Y244" s="156">
        <f t="shared" si="338"/>
        <v>0.84863499924603614</v>
      </c>
      <c r="DA244" s="213"/>
    </row>
    <row r="245" spans="1:105" ht="11.45" customHeight="1" x14ac:dyDescent="0.25">
      <c r="A245" s="157" t="s">
        <v>27</v>
      </c>
      <c r="B245" s="103">
        <f t="shared" ref="B245:K245" si="339">IF(B27=0,0,B27/B$19)</f>
        <v>0.66887003210290885</v>
      </c>
      <c r="C245" s="103">
        <f t="shared" si="339"/>
        <v>0.68679453239778776</v>
      </c>
      <c r="D245" s="103">
        <f t="shared" si="339"/>
        <v>0.65796383333941877</v>
      </c>
      <c r="E245" s="103">
        <f t="shared" si="339"/>
        <v>0.64644910314326631</v>
      </c>
      <c r="F245" s="103">
        <f t="shared" si="339"/>
        <v>0.67172348336812693</v>
      </c>
      <c r="G245" s="103">
        <f t="shared" si="339"/>
        <v>0.66794150866203983</v>
      </c>
      <c r="H245" s="103">
        <f t="shared" si="339"/>
        <v>0.65636265850894304</v>
      </c>
      <c r="I245" s="103">
        <f t="shared" si="339"/>
        <v>0.65175528883869471</v>
      </c>
      <c r="J245" s="103">
        <f t="shared" si="339"/>
        <v>0.65994761564222937</v>
      </c>
      <c r="K245" s="103">
        <f t="shared" si="339"/>
        <v>0.62115982523999302</v>
      </c>
      <c r="L245" s="103">
        <f t="shared" ref="L245" si="340">IF(L27=0,0,L27/L$19)</f>
        <v>0.60672703551914609</v>
      </c>
      <c r="M245" s="103">
        <f t="shared" ref="M245:V245" si="341">IF(M27=0,0,M27/M$19)</f>
        <v>0.59993387747048321</v>
      </c>
      <c r="N245" s="103">
        <f t="shared" si="341"/>
        <v>0.61225990712340828</v>
      </c>
      <c r="O245" s="103">
        <f t="shared" si="341"/>
        <v>0.5586946117971795</v>
      </c>
      <c r="P245" s="103">
        <f t="shared" si="341"/>
        <v>0.56477378941733825</v>
      </c>
      <c r="Q245" s="103">
        <f t="shared" si="341"/>
        <v>0.59253039444643441</v>
      </c>
      <c r="R245" s="103">
        <f t="shared" si="341"/>
        <v>0.56651335842217321</v>
      </c>
      <c r="S245" s="103">
        <f t="shared" si="341"/>
        <v>0.57827529126673205</v>
      </c>
      <c r="T245" s="103">
        <f t="shared" si="341"/>
        <v>0.5618138284746218</v>
      </c>
      <c r="U245" s="103">
        <f t="shared" si="341"/>
        <v>0.55421152072122959</v>
      </c>
      <c r="V245" s="103">
        <f t="shared" si="341"/>
        <v>0.55168197719168544</v>
      </c>
      <c r="W245" s="103">
        <f t="shared" ref="W245:Y245" si="342">IF(W27=0,0,W27/W$19)</f>
        <v>0.53158746862394579</v>
      </c>
      <c r="X245" s="103">
        <f t="shared" si="342"/>
        <v>0.50485124380338708</v>
      </c>
      <c r="Y245" s="103">
        <f t="shared" si="342"/>
        <v>0.47050653196286502</v>
      </c>
      <c r="DA245" s="191"/>
    </row>
    <row r="246" spans="1:105" ht="11.45" customHeight="1" x14ac:dyDescent="0.25">
      <c r="A246" s="158" t="s">
        <v>116</v>
      </c>
      <c r="B246" s="105">
        <f t="shared" ref="B246:K246" si="343">IF(B28=0,0,B28/B$19)</f>
        <v>0.21786561068050772</v>
      </c>
      <c r="C246" s="105">
        <f t="shared" si="343"/>
        <v>0.20840763105137211</v>
      </c>
      <c r="D246" s="105">
        <f t="shared" si="343"/>
        <v>0.23175464059765238</v>
      </c>
      <c r="E246" s="105">
        <f t="shared" si="343"/>
        <v>0.24304126470703089</v>
      </c>
      <c r="F246" s="105">
        <f t="shared" si="343"/>
        <v>0.23872754814652297</v>
      </c>
      <c r="G246" s="105">
        <f t="shared" si="343"/>
        <v>0.2456625864705686</v>
      </c>
      <c r="H246" s="105">
        <f t="shared" si="343"/>
        <v>0.25800613296867819</v>
      </c>
      <c r="I246" s="105">
        <f t="shared" si="343"/>
        <v>0.26891093156985657</v>
      </c>
      <c r="J246" s="105">
        <f t="shared" si="343"/>
        <v>0.25303515513127056</v>
      </c>
      <c r="K246" s="105">
        <f t="shared" si="343"/>
        <v>0.27980765841412564</v>
      </c>
      <c r="L246" s="105">
        <f t="shared" ref="L246" si="344">IF(L28=0,0,L28/L$19)</f>
        <v>0.28583646534030316</v>
      </c>
      <c r="M246" s="105">
        <f t="shared" ref="M246:V246" si="345">IF(M28=0,0,M28/M$19)</f>
        <v>0.30219144445038987</v>
      </c>
      <c r="N246" s="105">
        <f t="shared" si="345"/>
        <v>0.28912683999737798</v>
      </c>
      <c r="O246" s="105">
        <f t="shared" si="345"/>
        <v>0.34224049254508021</v>
      </c>
      <c r="P246" s="105">
        <f t="shared" si="345"/>
        <v>0.33342966843618482</v>
      </c>
      <c r="Q246" s="105">
        <f t="shared" si="345"/>
        <v>0.30377827256011353</v>
      </c>
      <c r="R246" s="105">
        <f t="shared" si="345"/>
        <v>0.32739858590342025</v>
      </c>
      <c r="S246" s="105">
        <f t="shared" si="345"/>
        <v>0.31383495192735616</v>
      </c>
      <c r="T246" s="105">
        <f t="shared" si="345"/>
        <v>0.32695110549786155</v>
      </c>
      <c r="U246" s="105">
        <f t="shared" si="345"/>
        <v>0.32992962805636245</v>
      </c>
      <c r="V246" s="105">
        <f t="shared" si="345"/>
        <v>0.32935198982310315</v>
      </c>
      <c r="W246" s="105">
        <f t="shared" ref="W246:Y246" si="346">IF(W28=0,0,W28/W$19)</f>
        <v>0.35261761152305193</v>
      </c>
      <c r="X246" s="105">
        <f t="shared" si="346"/>
        <v>0.36853304489678507</v>
      </c>
      <c r="Y246" s="105">
        <f t="shared" si="346"/>
        <v>0.37812846728317107</v>
      </c>
      <c r="DA246" s="192"/>
    </row>
    <row r="247" spans="1:105" ht="11.45" customHeight="1" x14ac:dyDescent="0.25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DA247" s="171"/>
    </row>
    <row r="248" spans="1:105" ht="11.45" customHeight="1" x14ac:dyDescent="0.25">
      <c r="A248" s="53" t="s">
        <v>66</v>
      </c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DA248" s="183"/>
    </row>
    <row r="249" spans="1:105" ht="11.45" customHeight="1" x14ac:dyDescent="0.25">
      <c r="A249" s="27" t="s">
        <v>33</v>
      </c>
      <c r="B249" s="46">
        <f t="shared" ref="B249:K249" si="347">IF(B31=0,0,B31/B$31)</f>
        <v>1</v>
      </c>
      <c r="C249" s="46">
        <f t="shared" si="347"/>
        <v>1</v>
      </c>
      <c r="D249" s="46">
        <f t="shared" si="347"/>
        <v>1</v>
      </c>
      <c r="E249" s="46">
        <f t="shared" si="347"/>
        <v>1</v>
      </c>
      <c r="F249" s="46">
        <f t="shared" si="347"/>
        <v>1</v>
      </c>
      <c r="G249" s="46">
        <f t="shared" si="347"/>
        <v>1</v>
      </c>
      <c r="H249" s="46">
        <f t="shared" si="347"/>
        <v>1</v>
      </c>
      <c r="I249" s="46">
        <f t="shared" si="347"/>
        <v>1</v>
      </c>
      <c r="J249" s="46">
        <f t="shared" si="347"/>
        <v>1</v>
      </c>
      <c r="K249" s="46">
        <f t="shared" si="347"/>
        <v>1</v>
      </c>
      <c r="L249" s="46">
        <f t="shared" ref="L249" si="348">IF(L31=0,0,L31/L$31)</f>
        <v>1</v>
      </c>
      <c r="M249" s="46">
        <f t="shared" ref="M249:V249" si="349">IF(M31=0,0,M31/M$31)</f>
        <v>1</v>
      </c>
      <c r="N249" s="46">
        <f t="shared" si="349"/>
        <v>1</v>
      </c>
      <c r="O249" s="46">
        <f t="shared" si="349"/>
        <v>1</v>
      </c>
      <c r="P249" s="46">
        <f t="shared" si="349"/>
        <v>1</v>
      </c>
      <c r="Q249" s="46">
        <f t="shared" si="349"/>
        <v>1</v>
      </c>
      <c r="R249" s="46">
        <f t="shared" si="349"/>
        <v>1</v>
      </c>
      <c r="S249" s="46">
        <f t="shared" si="349"/>
        <v>1</v>
      </c>
      <c r="T249" s="46">
        <f t="shared" si="349"/>
        <v>1</v>
      </c>
      <c r="U249" s="46">
        <f t="shared" si="349"/>
        <v>1</v>
      </c>
      <c r="V249" s="46">
        <f t="shared" si="349"/>
        <v>1</v>
      </c>
      <c r="W249" s="46">
        <f t="shared" ref="W249:Y249" si="350">IF(W31=0,0,W31/W$31)</f>
        <v>1</v>
      </c>
      <c r="X249" s="46">
        <f t="shared" si="350"/>
        <v>1</v>
      </c>
      <c r="Y249" s="46">
        <f t="shared" si="350"/>
        <v>1</v>
      </c>
      <c r="DA249" s="211"/>
    </row>
    <row r="250" spans="1:105" ht="11.45" customHeight="1" x14ac:dyDescent="0.25">
      <c r="A250" s="153" t="s">
        <v>173</v>
      </c>
      <c r="B250" s="154">
        <f t="shared" ref="B250:K250" si="351">IF(B32=0,0,B32/B$31)</f>
        <v>2.5475323060840337E-2</v>
      </c>
      <c r="C250" s="154">
        <f t="shared" si="351"/>
        <v>2.71812339802463E-2</v>
      </c>
      <c r="D250" s="154">
        <f t="shared" si="351"/>
        <v>2.6977765194681921E-2</v>
      </c>
      <c r="E250" s="154">
        <f t="shared" si="351"/>
        <v>2.7425115258949809E-2</v>
      </c>
      <c r="F250" s="154">
        <f t="shared" si="351"/>
        <v>2.8427689296479187E-2</v>
      </c>
      <c r="G250" s="154">
        <f t="shared" si="351"/>
        <v>2.9398943803375925E-2</v>
      </c>
      <c r="H250" s="154">
        <f t="shared" si="351"/>
        <v>3.0541000849681501E-2</v>
      </c>
      <c r="I250" s="154">
        <f t="shared" si="351"/>
        <v>2.8939269718965176E-2</v>
      </c>
      <c r="J250" s="154">
        <f t="shared" si="351"/>
        <v>2.8789807002952594E-2</v>
      </c>
      <c r="K250" s="154">
        <f t="shared" si="351"/>
        <v>2.6389958641495487E-2</v>
      </c>
      <c r="L250" s="154">
        <f t="shared" ref="L250" si="352">IF(L32=0,0,L32/L$31)</f>
        <v>2.5061715813391786E-2</v>
      </c>
      <c r="M250" s="154">
        <f t="shared" ref="M250:V250" si="353">IF(M32=0,0,M32/M$31)</f>
        <v>2.5155263462142571E-2</v>
      </c>
      <c r="N250" s="154">
        <f t="shared" si="353"/>
        <v>2.7462146712376619E-2</v>
      </c>
      <c r="O250" s="154">
        <f t="shared" si="353"/>
        <v>2.6848303264777308E-2</v>
      </c>
      <c r="P250" s="154">
        <f t="shared" si="353"/>
        <v>2.5417578330860079E-2</v>
      </c>
      <c r="Q250" s="154">
        <f t="shared" si="353"/>
        <v>2.4719078361130308E-2</v>
      </c>
      <c r="R250" s="154">
        <f t="shared" si="353"/>
        <v>2.5487880431000424E-2</v>
      </c>
      <c r="S250" s="154">
        <f t="shared" si="353"/>
        <v>2.3540960347175555E-2</v>
      </c>
      <c r="T250" s="154">
        <f t="shared" si="353"/>
        <v>2.2334054022777494E-2</v>
      </c>
      <c r="U250" s="154">
        <f t="shared" si="353"/>
        <v>2.3309598361222008E-2</v>
      </c>
      <c r="V250" s="154">
        <f t="shared" si="353"/>
        <v>2.3998053573730055E-2</v>
      </c>
      <c r="W250" s="154">
        <f t="shared" ref="W250:Y250" si="354">IF(W32=0,0,W32/W$31)</f>
        <v>2.3868519681099924E-2</v>
      </c>
      <c r="X250" s="154">
        <f t="shared" si="354"/>
        <v>2.347919047959347E-2</v>
      </c>
      <c r="Y250" s="154">
        <f t="shared" si="354"/>
        <v>2.3963144131651477E-2</v>
      </c>
      <c r="DA250" s="212"/>
    </row>
    <row r="251" spans="1:105" ht="11.45" customHeight="1" x14ac:dyDescent="0.25">
      <c r="A251" s="155" t="s">
        <v>20</v>
      </c>
      <c r="B251" s="156">
        <f t="shared" ref="B251:K251" si="355">IF(B33=0,0,B33/B$31)</f>
        <v>0.96448674217129959</v>
      </c>
      <c r="C251" s="156">
        <f t="shared" si="355"/>
        <v>0.962587178587063</v>
      </c>
      <c r="D251" s="156">
        <f t="shared" si="355"/>
        <v>0.96348416182894958</v>
      </c>
      <c r="E251" s="156">
        <f t="shared" si="355"/>
        <v>0.9634544260522121</v>
      </c>
      <c r="F251" s="156">
        <f t="shared" si="355"/>
        <v>0.96286022134976001</v>
      </c>
      <c r="G251" s="156">
        <f t="shared" si="355"/>
        <v>0.96505670282122824</v>
      </c>
      <c r="H251" s="156">
        <f t="shared" si="355"/>
        <v>0.96396392607409898</v>
      </c>
      <c r="I251" s="156">
        <f t="shared" si="355"/>
        <v>0.96540680975259829</v>
      </c>
      <c r="J251" s="156">
        <f t="shared" si="355"/>
        <v>0.96541561017238486</v>
      </c>
      <c r="K251" s="156">
        <f t="shared" si="355"/>
        <v>0.96777674250450552</v>
      </c>
      <c r="L251" s="156">
        <f t="shared" ref="L251" si="356">IF(L33=0,0,L33/L$31)</f>
        <v>0.96900405167877923</v>
      </c>
      <c r="M251" s="156">
        <f t="shared" ref="M251:V251" si="357">IF(M33=0,0,M33/M$31)</f>
        <v>0.9687443424508797</v>
      </c>
      <c r="N251" s="156">
        <f t="shared" si="357"/>
        <v>0.9670913522104494</v>
      </c>
      <c r="O251" s="156">
        <f t="shared" si="357"/>
        <v>0.96797594183711555</v>
      </c>
      <c r="P251" s="156">
        <f t="shared" si="357"/>
        <v>0.96854114463875596</v>
      </c>
      <c r="Q251" s="156">
        <f t="shared" si="357"/>
        <v>0.96919757552489649</v>
      </c>
      <c r="R251" s="156">
        <f t="shared" si="357"/>
        <v>0.96828205554784408</v>
      </c>
      <c r="S251" s="156">
        <f t="shared" si="357"/>
        <v>0.97023133138571271</v>
      </c>
      <c r="T251" s="156">
        <f t="shared" si="357"/>
        <v>0.97106749065869469</v>
      </c>
      <c r="U251" s="156">
        <f t="shared" si="357"/>
        <v>0.97090850280827601</v>
      </c>
      <c r="V251" s="156">
        <f t="shared" si="357"/>
        <v>0.97102462372964182</v>
      </c>
      <c r="W251" s="156">
        <f t="shared" ref="W251:Y251" si="358">IF(W33=0,0,W33/W$31)</f>
        <v>0.97000254935732955</v>
      </c>
      <c r="X251" s="156">
        <f t="shared" si="358"/>
        <v>0.9695948369605909</v>
      </c>
      <c r="Y251" s="156">
        <f t="shared" si="358"/>
        <v>0.96899462777880185</v>
      </c>
      <c r="DA251" s="213"/>
    </row>
    <row r="252" spans="1:105" ht="11.45" customHeight="1" x14ac:dyDescent="0.25">
      <c r="A252" s="157" t="s">
        <v>110</v>
      </c>
      <c r="B252" s="103">
        <f t="shared" ref="B252:K252" si="359">IF(B34=0,0,B34/B$31)</f>
        <v>0.62062912232874035</v>
      </c>
      <c r="C252" s="103">
        <f t="shared" si="359"/>
        <v>0.58704373925058828</v>
      </c>
      <c r="D252" s="103">
        <f t="shared" si="359"/>
        <v>0.56670059148853136</v>
      </c>
      <c r="E252" s="103">
        <f t="shared" si="359"/>
        <v>0.52976741176828412</v>
      </c>
      <c r="F252" s="103">
        <f t="shared" si="359"/>
        <v>0.4926415046124652</v>
      </c>
      <c r="G252" s="103">
        <f t="shared" si="359"/>
        <v>0.45494090481596655</v>
      </c>
      <c r="H252" s="103">
        <f t="shared" si="359"/>
        <v>0.4148467869457943</v>
      </c>
      <c r="I252" s="103">
        <f t="shared" si="359"/>
        <v>0.38880416181956451</v>
      </c>
      <c r="J252" s="103">
        <f t="shared" si="359"/>
        <v>0.35937346837475448</v>
      </c>
      <c r="K252" s="103">
        <f t="shared" si="359"/>
        <v>0.34561591723362095</v>
      </c>
      <c r="L252" s="103">
        <f t="shared" ref="L252" si="360">IF(L34=0,0,L34/L$31)</f>
        <v>0.326670052391212</v>
      </c>
      <c r="M252" s="103">
        <f t="shared" ref="M252:V252" si="361">IF(M34=0,0,M34/M$31)</f>
        <v>0.30315143668971473</v>
      </c>
      <c r="N252" s="103">
        <f t="shared" si="361"/>
        <v>0.30052491800527498</v>
      </c>
      <c r="O252" s="103">
        <f t="shared" si="361"/>
        <v>0.29185802988150089</v>
      </c>
      <c r="P252" s="103">
        <f t="shared" si="361"/>
        <v>0.28083608529040238</v>
      </c>
      <c r="Q252" s="103">
        <f t="shared" si="361"/>
        <v>0.27884109676751678</v>
      </c>
      <c r="R252" s="103">
        <f t="shared" si="361"/>
        <v>0.26476114586707988</v>
      </c>
      <c r="S252" s="103">
        <f t="shared" si="361"/>
        <v>0.25358150938386076</v>
      </c>
      <c r="T252" s="103">
        <f t="shared" si="361"/>
        <v>0.2478145789426367</v>
      </c>
      <c r="U252" s="103">
        <f t="shared" si="361"/>
        <v>0.2499106469022794</v>
      </c>
      <c r="V252" s="103">
        <f t="shared" si="361"/>
        <v>0.23747386490741865</v>
      </c>
      <c r="W252" s="103">
        <f t="shared" ref="W252:Y252" si="362">IF(W34=0,0,W34/W$31)</f>
        <v>0.24876151443447628</v>
      </c>
      <c r="X252" s="103">
        <f t="shared" si="362"/>
        <v>0.25413233450158351</v>
      </c>
      <c r="Y252" s="103">
        <f t="shared" si="362"/>
        <v>0.25920686101605311</v>
      </c>
      <c r="DA252" s="191"/>
    </row>
    <row r="253" spans="1:105" ht="11.45" customHeight="1" x14ac:dyDescent="0.25">
      <c r="A253" s="157" t="s">
        <v>111</v>
      </c>
      <c r="B253" s="103">
        <f t="shared" ref="B253:K253" si="363">IF(B35=0,0,B35/B$31)</f>
        <v>0.33820075446606651</v>
      </c>
      <c r="C253" s="103">
        <f t="shared" si="363"/>
        <v>0.37029397266328573</v>
      </c>
      <c r="D253" s="103">
        <f t="shared" si="363"/>
        <v>0.39231967649356847</v>
      </c>
      <c r="E253" s="103">
        <f t="shared" si="363"/>
        <v>0.42850929802956533</v>
      </c>
      <c r="F253" s="103">
        <f t="shared" si="363"/>
        <v>0.46506066726165013</v>
      </c>
      <c r="G253" s="103">
        <f t="shared" si="363"/>
        <v>0.50476328236201917</v>
      </c>
      <c r="H253" s="103">
        <f t="shared" si="363"/>
        <v>0.54460256510454497</v>
      </c>
      <c r="I253" s="103">
        <f t="shared" si="363"/>
        <v>0.57235227954559076</v>
      </c>
      <c r="J253" s="103">
        <f t="shared" si="363"/>
        <v>0.60059682918841828</v>
      </c>
      <c r="K253" s="103">
        <f t="shared" si="363"/>
        <v>0.61415639063668492</v>
      </c>
      <c r="L253" s="103">
        <f t="shared" ref="L253" si="364">IF(L35=0,0,L35/L$31)</f>
        <v>0.63455812927394906</v>
      </c>
      <c r="M253" s="103">
        <f t="shared" ref="M253:V253" si="365">IF(M35=0,0,M35/M$31)</f>
        <v>0.65863664863719373</v>
      </c>
      <c r="N253" s="103">
        <f t="shared" si="365"/>
        <v>0.65718455857814162</v>
      </c>
      <c r="O253" s="103">
        <f t="shared" si="365"/>
        <v>0.66632177357539268</v>
      </c>
      <c r="P253" s="103">
        <f t="shared" si="365"/>
        <v>0.67733879861360147</v>
      </c>
      <c r="Q253" s="103">
        <f t="shared" si="365"/>
        <v>0.67951520733100246</v>
      </c>
      <c r="R253" s="103">
        <f t="shared" si="365"/>
        <v>0.69230699683962926</v>
      </c>
      <c r="S253" s="103">
        <f t="shared" si="365"/>
        <v>0.7039531465343698</v>
      </c>
      <c r="T253" s="103">
        <f t="shared" si="365"/>
        <v>0.70774749150118677</v>
      </c>
      <c r="U253" s="103">
        <f t="shared" si="365"/>
        <v>0.7024324524134109</v>
      </c>
      <c r="V253" s="103">
        <f t="shared" si="365"/>
        <v>0.71328544707795238</v>
      </c>
      <c r="W253" s="103">
        <f t="shared" ref="W253:Y253" si="366">IF(W35=0,0,W35/W$31)</f>
        <v>0.69459467987618018</v>
      </c>
      <c r="X253" s="103">
        <f t="shared" si="366"/>
        <v>0.68244997632562887</v>
      </c>
      <c r="Y253" s="103">
        <f t="shared" si="366"/>
        <v>0.66615510152423085</v>
      </c>
      <c r="DA253" s="191"/>
    </row>
    <row r="254" spans="1:105" ht="11.45" customHeight="1" x14ac:dyDescent="0.25">
      <c r="A254" s="157" t="s">
        <v>112</v>
      </c>
      <c r="B254" s="103">
        <f t="shared" ref="B254:K254" si="367">IF(B36=0,0,B36/B$31)</f>
        <v>5.6568653764927854E-3</v>
      </c>
      <c r="C254" s="103">
        <f t="shared" si="367"/>
        <v>5.2494666731889477E-3</v>
      </c>
      <c r="D254" s="103">
        <f t="shared" si="367"/>
        <v>4.4638938468497605E-3</v>
      </c>
      <c r="E254" s="103">
        <f t="shared" si="367"/>
        <v>5.1777162543625455E-3</v>
      </c>
      <c r="F254" s="103">
        <f t="shared" si="367"/>
        <v>5.1580494756446995E-3</v>
      </c>
      <c r="G254" s="103">
        <f t="shared" si="367"/>
        <v>5.3525156432425933E-3</v>
      </c>
      <c r="H254" s="103">
        <f t="shared" si="367"/>
        <v>4.5145740237596708E-3</v>
      </c>
      <c r="I254" s="103">
        <f t="shared" si="367"/>
        <v>4.2503683874429614E-3</v>
      </c>
      <c r="J254" s="103">
        <f t="shared" si="367"/>
        <v>5.4398155743996274E-3</v>
      </c>
      <c r="K254" s="103">
        <f t="shared" si="367"/>
        <v>7.9988550870398745E-3</v>
      </c>
      <c r="L254" s="103">
        <f t="shared" ref="L254" si="368">IF(L36=0,0,L36/L$31)</f>
        <v>7.6394096823826372E-3</v>
      </c>
      <c r="M254" s="103">
        <f t="shared" ref="M254:V254" si="369">IF(M36=0,0,M36/M$31)</f>
        <v>6.898541544277363E-3</v>
      </c>
      <c r="N254" s="103">
        <f t="shared" si="369"/>
        <v>9.2974119366933256E-3</v>
      </c>
      <c r="O254" s="103">
        <f t="shared" si="369"/>
        <v>9.6830112069400918E-3</v>
      </c>
      <c r="P254" s="103">
        <f t="shared" si="369"/>
        <v>1.0233077024955293E-2</v>
      </c>
      <c r="Q254" s="103">
        <f t="shared" si="369"/>
        <v>1.0530447497183831E-2</v>
      </c>
      <c r="R254" s="103">
        <f t="shared" si="369"/>
        <v>1.0484664429467026E-2</v>
      </c>
      <c r="S254" s="103">
        <f t="shared" si="369"/>
        <v>1.0685289138355368E-2</v>
      </c>
      <c r="T254" s="103">
        <f t="shared" si="369"/>
        <v>1.1064475650178566E-2</v>
      </c>
      <c r="U254" s="103">
        <f t="shared" si="369"/>
        <v>1.098510151716434E-2</v>
      </c>
      <c r="V254" s="103">
        <f t="shared" si="369"/>
        <v>1.0604607916804291E-2</v>
      </c>
      <c r="W254" s="103">
        <f t="shared" ref="W254:Y254" si="370">IF(W36=0,0,W36/W$31)</f>
        <v>1.1336666208489037E-2</v>
      </c>
      <c r="X254" s="103">
        <f t="shared" si="370"/>
        <v>1.2013049357585208E-2</v>
      </c>
      <c r="Y254" s="103">
        <f t="shared" si="370"/>
        <v>1.3392886091445301E-2</v>
      </c>
      <c r="DA254" s="191"/>
    </row>
    <row r="255" spans="1:105" ht="11.45" customHeight="1" x14ac:dyDescent="0.25">
      <c r="A255" s="157" t="s">
        <v>113</v>
      </c>
      <c r="B255" s="103">
        <f t="shared" ref="B255:K255" si="371">IF(B37=0,0,B37/B$31)</f>
        <v>0</v>
      </c>
      <c r="C255" s="103">
        <f t="shared" si="371"/>
        <v>0</v>
      </c>
      <c r="D255" s="103">
        <f t="shared" si="371"/>
        <v>0</v>
      </c>
      <c r="E255" s="103">
        <f t="shared" si="371"/>
        <v>0</v>
      </c>
      <c r="F255" s="103">
        <f t="shared" si="371"/>
        <v>0</v>
      </c>
      <c r="G255" s="103">
        <f t="shared" si="371"/>
        <v>0</v>
      </c>
      <c r="H255" s="103">
        <f t="shared" si="371"/>
        <v>0</v>
      </c>
      <c r="I255" s="103">
        <f t="shared" si="371"/>
        <v>0</v>
      </c>
      <c r="J255" s="103">
        <f t="shared" si="371"/>
        <v>0</v>
      </c>
      <c r="K255" s="103">
        <f t="shared" si="371"/>
        <v>0</v>
      </c>
      <c r="L255" s="103">
        <f t="shared" ref="L255" si="372">IF(L37=0,0,L37/L$31)</f>
        <v>3.7326401653561277E-7</v>
      </c>
      <c r="M255" s="103">
        <f t="shared" ref="M255:V255" si="373">IF(M37=0,0,M37/M$31)</f>
        <v>3.5496707503253463E-7</v>
      </c>
      <c r="N255" s="103">
        <f t="shared" si="373"/>
        <v>1.4028811361513507E-6</v>
      </c>
      <c r="O255" s="103">
        <f t="shared" si="373"/>
        <v>4.422758913594766E-6</v>
      </c>
      <c r="P255" s="103">
        <f t="shared" si="373"/>
        <v>4.6428246837274977E-6</v>
      </c>
      <c r="Q255" s="103">
        <f t="shared" si="373"/>
        <v>5.924387629925455E-6</v>
      </c>
      <c r="R255" s="103">
        <f t="shared" si="373"/>
        <v>6.7959152178963523E-6</v>
      </c>
      <c r="S255" s="103">
        <f t="shared" si="373"/>
        <v>7.8657917707579612E-6</v>
      </c>
      <c r="T255" s="103">
        <f t="shared" si="373"/>
        <v>8.8703611438508844E-6</v>
      </c>
      <c r="U255" s="103">
        <f t="shared" si="373"/>
        <v>1.5985817283286664E-5</v>
      </c>
      <c r="V255" s="103">
        <f t="shared" si="373"/>
        <v>1.9533912026365638E-5</v>
      </c>
      <c r="W255" s="103">
        <f t="shared" ref="W255:Y255" si="374">IF(W37=0,0,W37/W$31)</f>
        <v>2.3534456999005165E-5</v>
      </c>
      <c r="X255" s="103">
        <f t="shared" si="374"/>
        <v>2.4256367133010214E-5</v>
      </c>
      <c r="Y255" s="103">
        <f t="shared" si="374"/>
        <v>2.4126320332120813E-5</v>
      </c>
      <c r="DA255" s="191"/>
    </row>
    <row r="256" spans="1:105" ht="11.45" customHeight="1" x14ac:dyDescent="0.25">
      <c r="A256" s="157" t="s">
        <v>114</v>
      </c>
      <c r="B256" s="103">
        <f t="shared" ref="B256:K256" si="375">IF(B38=0,0,B38/B$31)</f>
        <v>0</v>
      </c>
      <c r="C256" s="103">
        <f t="shared" si="375"/>
        <v>0</v>
      </c>
      <c r="D256" s="103">
        <f t="shared" si="375"/>
        <v>0</v>
      </c>
      <c r="E256" s="103">
        <f t="shared" si="375"/>
        <v>0</v>
      </c>
      <c r="F256" s="103">
        <f t="shared" si="375"/>
        <v>0</v>
      </c>
      <c r="G256" s="103">
        <f t="shared" si="375"/>
        <v>0</v>
      </c>
      <c r="H256" s="103">
        <f t="shared" si="375"/>
        <v>0</v>
      </c>
      <c r="I256" s="103">
        <f t="shared" si="375"/>
        <v>0</v>
      </c>
      <c r="J256" s="103">
        <f t="shared" si="375"/>
        <v>0</v>
      </c>
      <c r="K256" s="103">
        <f t="shared" si="375"/>
        <v>0</v>
      </c>
      <c r="L256" s="103">
        <f t="shared" ref="L256" si="376">IF(L38=0,0,L38/L$31)</f>
        <v>0</v>
      </c>
      <c r="M256" s="103">
        <f t="shared" ref="M256:V256" si="377">IF(M38=0,0,M38/M$31)</f>
        <v>2.4548685678367686E-6</v>
      </c>
      <c r="N256" s="103">
        <f t="shared" si="377"/>
        <v>9.9464007896343103E-6</v>
      </c>
      <c r="O256" s="103">
        <f t="shared" si="377"/>
        <v>1.7092162913450896E-5</v>
      </c>
      <c r="P256" s="103">
        <f t="shared" si="377"/>
        <v>3.0715886955365924E-5</v>
      </c>
      <c r="Q256" s="103">
        <f t="shared" si="377"/>
        <v>1.0785995243261723E-4</v>
      </c>
      <c r="R256" s="103">
        <f t="shared" si="377"/>
        <v>2.5943570730118537E-4</v>
      </c>
      <c r="S256" s="103">
        <f t="shared" si="377"/>
        <v>5.973678524304355E-4</v>
      </c>
      <c r="T256" s="103">
        <f t="shared" si="377"/>
        <v>1.2873997172613554E-3</v>
      </c>
      <c r="U256" s="103">
        <f t="shared" si="377"/>
        <v>2.2606083010731715E-3</v>
      </c>
      <c r="V256" s="103">
        <f t="shared" si="377"/>
        <v>3.3748902923626594E-3</v>
      </c>
      <c r="W256" s="103">
        <f t="shared" ref="W256:Y256" si="378">IF(W38=0,0,W38/W$31)</f>
        <v>5.3937055728649538E-3</v>
      </c>
      <c r="X256" s="103">
        <f t="shared" si="378"/>
        <v>7.9525548971931797E-3</v>
      </c>
      <c r="Y256" s="103">
        <f t="shared" si="378"/>
        <v>1.1404708977465431E-2</v>
      </c>
      <c r="DA256" s="191"/>
    </row>
    <row r="257" spans="1:105" ht="11.45" customHeight="1" x14ac:dyDescent="0.25">
      <c r="A257" s="157" t="s">
        <v>115</v>
      </c>
      <c r="B257" s="103">
        <f t="shared" ref="B257:K257" si="379">IF(B39=0,0,B39/B$31)</f>
        <v>0</v>
      </c>
      <c r="C257" s="103">
        <f t="shared" si="379"/>
        <v>0</v>
      </c>
      <c r="D257" s="103">
        <f t="shared" si="379"/>
        <v>0</v>
      </c>
      <c r="E257" s="103">
        <f t="shared" si="379"/>
        <v>0</v>
      </c>
      <c r="F257" s="103">
        <f t="shared" si="379"/>
        <v>0</v>
      </c>
      <c r="G257" s="103">
        <f t="shared" si="379"/>
        <v>0</v>
      </c>
      <c r="H257" s="103">
        <f t="shared" si="379"/>
        <v>0</v>
      </c>
      <c r="I257" s="103">
        <f t="shared" si="379"/>
        <v>0</v>
      </c>
      <c r="J257" s="103">
        <f t="shared" si="379"/>
        <v>5.4970348125455355E-6</v>
      </c>
      <c r="K257" s="103">
        <f t="shared" si="379"/>
        <v>5.5795471595975497E-6</v>
      </c>
      <c r="L257" s="103">
        <f t="shared" ref="L257" si="380">IF(L39=0,0,L39/L$31)</f>
        <v>1.360870672190902E-4</v>
      </c>
      <c r="M257" s="103">
        <f t="shared" ref="M257:V257" si="381">IF(M39=0,0,M39/M$31)</f>
        <v>5.4905744051009563E-5</v>
      </c>
      <c r="N257" s="103">
        <f t="shared" si="381"/>
        <v>7.3114408413806699E-5</v>
      </c>
      <c r="O257" s="103">
        <f t="shared" si="381"/>
        <v>9.1612251454915731E-5</v>
      </c>
      <c r="P257" s="103">
        <f t="shared" si="381"/>
        <v>9.7824998157703481E-5</v>
      </c>
      <c r="Q257" s="103">
        <f t="shared" si="381"/>
        <v>1.9703958913103658E-4</v>
      </c>
      <c r="R257" s="103">
        <f t="shared" si="381"/>
        <v>4.6301678914891864E-4</v>
      </c>
      <c r="S257" s="103">
        <f t="shared" si="381"/>
        <v>1.4061526849256634E-3</v>
      </c>
      <c r="T257" s="103">
        <f t="shared" si="381"/>
        <v>3.1446744862874193E-3</v>
      </c>
      <c r="U257" s="103">
        <f t="shared" si="381"/>
        <v>5.3037078570650504E-3</v>
      </c>
      <c r="V257" s="103">
        <f t="shared" si="381"/>
        <v>6.2662796230775978E-3</v>
      </c>
      <c r="W257" s="103">
        <f t="shared" ref="W257:Y257" si="382">IF(W39=0,0,W39/W$31)</f>
        <v>9.8924488083199872E-3</v>
      </c>
      <c r="X257" s="103">
        <f t="shared" si="382"/>
        <v>1.3022665511467085E-2</v>
      </c>
      <c r="Y257" s="103">
        <f t="shared" si="382"/>
        <v>1.8810943849275331E-2</v>
      </c>
      <c r="DA257" s="191"/>
    </row>
    <row r="258" spans="1:105" ht="11.45" customHeight="1" x14ac:dyDescent="0.25">
      <c r="A258" s="155" t="s">
        <v>21</v>
      </c>
      <c r="B258" s="156">
        <f t="shared" ref="B258:K258" si="383">IF(B40=0,0,B40/B$31)</f>
        <v>1.0037934767860076E-2</v>
      </c>
      <c r="C258" s="156">
        <f t="shared" si="383"/>
        <v>1.0231587432690753E-2</v>
      </c>
      <c r="D258" s="156">
        <f t="shared" si="383"/>
        <v>9.5380729763684009E-3</v>
      </c>
      <c r="E258" s="156">
        <f t="shared" si="383"/>
        <v>9.1204586888381633E-3</v>
      </c>
      <c r="F258" s="156">
        <f t="shared" si="383"/>
        <v>8.712089353760815E-3</v>
      </c>
      <c r="G258" s="156">
        <f t="shared" si="383"/>
        <v>5.5443533753958682E-3</v>
      </c>
      <c r="H258" s="156">
        <f t="shared" si="383"/>
        <v>5.4950730762194895E-3</v>
      </c>
      <c r="I258" s="156">
        <f t="shared" si="383"/>
        <v>5.6539205284365174E-3</v>
      </c>
      <c r="J258" s="156">
        <f t="shared" si="383"/>
        <v>5.794582824662475E-3</v>
      </c>
      <c r="K258" s="156">
        <f t="shared" si="383"/>
        <v>5.8332988539990431E-3</v>
      </c>
      <c r="L258" s="156">
        <f t="shared" ref="L258" si="384">IF(L40=0,0,L40/L$31)</f>
        <v>5.934232507828951E-3</v>
      </c>
      <c r="M258" s="156">
        <f t="shared" ref="M258:V258" si="385">IF(M40=0,0,M40/M$31)</f>
        <v>6.1003940869777448E-3</v>
      </c>
      <c r="N258" s="156">
        <f t="shared" si="385"/>
        <v>5.4465010771739836E-3</v>
      </c>
      <c r="O258" s="156">
        <f t="shared" si="385"/>
        <v>5.1757548981071263E-3</v>
      </c>
      <c r="P258" s="156">
        <f t="shared" si="385"/>
        <v>6.0412770303840497E-3</v>
      </c>
      <c r="Q258" s="156">
        <f t="shared" si="385"/>
        <v>6.0833461139732379E-3</v>
      </c>
      <c r="R258" s="156">
        <f t="shared" si="385"/>
        <v>6.2300640211555907E-3</v>
      </c>
      <c r="S258" s="156">
        <f t="shared" si="385"/>
        <v>6.227708267111688E-3</v>
      </c>
      <c r="T258" s="156">
        <f t="shared" si="385"/>
        <v>6.5984553185279233E-3</v>
      </c>
      <c r="U258" s="156">
        <f t="shared" si="385"/>
        <v>5.781898830502021E-3</v>
      </c>
      <c r="V258" s="156">
        <f t="shared" si="385"/>
        <v>4.9773226966280748E-3</v>
      </c>
      <c r="W258" s="156">
        <f t="shared" ref="W258:Y258" si="386">IF(W40=0,0,W40/W$31)</f>
        <v>6.1289309615704798E-3</v>
      </c>
      <c r="X258" s="156">
        <f t="shared" si="386"/>
        <v>6.9259725598156225E-3</v>
      </c>
      <c r="Y258" s="156">
        <f t="shared" si="386"/>
        <v>7.0422280895468224E-3</v>
      </c>
      <c r="DA258" s="213"/>
    </row>
    <row r="259" spans="1:105" ht="11.45" customHeight="1" x14ac:dyDescent="0.25">
      <c r="A259" s="157" t="s">
        <v>110</v>
      </c>
      <c r="B259" s="103">
        <f t="shared" ref="B259:K259" si="387">IF(B41=0,0,B41/B$31)</f>
        <v>0</v>
      </c>
      <c r="C259" s="103">
        <f t="shared" si="387"/>
        <v>0</v>
      </c>
      <c r="D259" s="103">
        <f t="shared" si="387"/>
        <v>0</v>
      </c>
      <c r="E259" s="103">
        <f t="shared" si="387"/>
        <v>0</v>
      </c>
      <c r="F259" s="103">
        <f t="shared" si="387"/>
        <v>0</v>
      </c>
      <c r="G259" s="103">
        <f t="shared" si="387"/>
        <v>0</v>
      </c>
      <c r="H259" s="103">
        <f t="shared" si="387"/>
        <v>0</v>
      </c>
      <c r="I259" s="103">
        <f t="shared" si="387"/>
        <v>0</v>
      </c>
      <c r="J259" s="103">
        <f t="shared" si="387"/>
        <v>0</v>
      </c>
      <c r="K259" s="103">
        <f t="shared" si="387"/>
        <v>0</v>
      </c>
      <c r="L259" s="103">
        <f t="shared" ref="L259" si="388">IF(L41=0,0,L41/L$31)</f>
        <v>1.0739439886844809E-6</v>
      </c>
      <c r="M259" s="103">
        <f t="shared" ref="M259:V259" si="389">IF(M41=0,0,M41/M$31)</f>
        <v>1.1351235805143245E-6</v>
      </c>
      <c r="N259" s="103">
        <f t="shared" si="389"/>
        <v>1.2507369758201523E-6</v>
      </c>
      <c r="O259" s="103">
        <f t="shared" si="389"/>
        <v>1.4327341015349301E-6</v>
      </c>
      <c r="P259" s="103">
        <f t="shared" si="389"/>
        <v>1.378626882885601E-6</v>
      </c>
      <c r="Q259" s="103">
        <f t="shared" si="389"/>
        <v>1.6314316938800575E-6</v>
      </c>
      <c r="R259" s="103">
        <f t="shared" si="389"/>
        <v>1.850249641200551E-6</v>
      </c>
      <c r="S259" s="103">
        <f t="shared" si="389"/>
        <v>1.5902775180225182E-6</v>
      </c>
      <c r="T259" s="103">
        <f t="shared" si="389"/>
        <v>1.6449081564307993E-6</v>
      </c>
      <c r="U259" s="103">
        <f t="shared" si="389"/>
        <v>1.3942682878328962E-6</v>
      </c>
      <c r="V259" s="103">
        <f t="shared" si="389"/>
        <v>1.2308880758704885E-6</v>
      </c>
      <c r="W259" s="103">
        <f t="shared" ref="W259:Y259" si="390">IF(W41=0,0,W41/W$31)</f>
        <v>1.4910966991950435E-6</v>
      </c>
      <c r="X259" s="103">
        <f t="shared" si="390"/>
        <v>1.5854917705225214E-6</v>
      </c>
      <c r="Y259" s="103">
        <f t="shared" si="390"/>
        <v>1.5937243271003668E-6</v>
      </c>
      <c r="DA259" s="191"/>
    </row>
    <row r="260" spans="1:105" ht="11.45" customHeight="1" x14ac:dyDescent="0.25">
      <c r="A260" s="157" t="s">
        <v>111</v>
      </c>
      <c r="B260" s="103">
        <f t="shared" ref="B260:K260" si="391">IF(B42=0,0,B42/B$31)</f>
        <v>1.0004057895743122E-2</v>
      </c>
      <c r="C260" s="103">
        <f t="shared" si="391"/>
        <v>1.0079883559812458E-2</v>
      </c>
      <c r="D260" s="103">
        <f t="shared" si="391"/>
        <v>9.3241906193766329E-3</v>
      </c>
      <c r="E260" s="103">
        <f t="shared" si="391"/>
        <v>8.8407423660413487E-3</v>
      </c>
      <c r="F260" s="103">
        <f t="shared" si="391"/>
        <v>8.4303389295603114E-3</v>
      </c>
      <c r="G260" s="103">
        <f t="shared" si="391"/>
        <v>5.2162467346389095E-3</v>
      </c>
      <c r="H260" s="103">
        <f t="shared" si="391"/>
        <v>5.1927889557475022E-3</v>
      </c>
      <c r="I260" s="103">
        <f t="shared" si="391"/>
        <v>5.3196443375491892E-3</v>
      </c>
      <c r="J260" s="103">
        <f t="shared" si="391"/>
        <v>5.4436495711151873E-3</v>
      </c>
      <c r="K260" s="103">
        <f t="shared" si="391"/>
        <v>5.4732186028788703E-3</v>
      </c>
      <c r="L260" s="103">
        <f t="shared" ref="L260" si="392">IF(L42=0,0,L42/L$31)</f>
        <v>5.5544673552138536E-3</v>
      </c>
      <c r="M260" s="103">
        <f t="shared" ref="M260:V260" si="393">IF(M42=0,0,M42/M$31)</f>
        <v>5.7071106509120678E-3</v>
      </c>
      <c r="N260" s="103">
        <f t="shared" si="393"/>
        <v>5.0174685526155997E-3</v>
      </c>
      <c r="O260" s="103">
        <f t="shared" si="393"/>
        <v>4.7828712881418248E-3</v>
      </c>
      <c r="P260" s="103">
        <f t="shared" si="393"/>
        <v>5.6896316008456385E-3</v>
      </c>
      <c r="Q260" s="103">
        <f t="shared" si="393"/>
        <v>5.7343083497563788E-3</v>
      </c>
      <c r="R260" s="103">
        <f t="shared" si="393"/>
        <v>5.8950620108333632E-3</v>
      </c>
      <c r="S260" s="103">
        <f t="shared" si="393"/>
        <v>5.911719075778637E-3</v>
      </c>
      <c r="T260" s="103">
        <f t="shared" si="393"/>
        <v>6.0914012249319686E-3</v>
      </c>
      <c r="U260" s="103">
        <f t="shared" si="393"/>
        <v>5.4873764588619827E-3</v>
      </c>
      <c r="V260" s="103">
        <f t="shared" si="393"/>
        <v>4.6226199753429927E-3</v>
      </c>
      <c r="W260" s="103">
        <f t="shared" ref="W260:Y260" si="394">IF(W42=0,0,W42/W$31)</f>
        <v>5.5815852801733195E-3</v>
      </c>
      <c r="X260" s="103">
        <f t="shared" si="394"/>
        <v>6.3224118509091886E-3</v>
      </c>
      <c r="Y260" s="103">
        <f t="shared" si="394"/>
        <v>6.1815317629709803E-3</v>
      </c>
      <c r="DA260" s="191"/>
    </row>
    <row r="261" spans="1:105" ht="11.45" customHeight="1" x14ac:dyDescent="0.25">
      <c r="A261" s="157" t="s">
        <v>112</v>
      </c>
      <c r="B261" s="103">
        <f t="shared" ref="B261:K261" si="395">IF(B43=0,0,B43/B$31)</f>
        <v>0</v>
      </c>
      <c r="C261" s="103">
        <f t="shared" si="395"/>
        <v>0</v>
      </c>
      <c r="D261" s="103">
        <f t="shared" si="395"/>
        <v>0</v>
      </c>
      <c r="E261" s="103">
        <f t="shared" si="395"/>
        <v>0</v>
      </c>
      <c r="F261" s="103">
        <f t="shared" si="395"/>
        <v>0</v>
      </c>
      <c r="G261" s="103">
        <f t="shared" si="395"/>
        <v>0</v>
      </c>
      <c r="H261" s="103">
        <f t="shared" si="395"/>
        <v>0</v>
      </c>
      <c r="I261" s="103">
        <f t="shared" si="395"/>
        <v>0</v>
      </c>
      <c r="J261" s="103">
        <f t="shared" si="395"/>
        <v>0</v>
      </c>
      <c r="K261" s="103">
        <f t="shared" si="395"/>
        <v>0</v>
      </c>
      <c r="L261" s="103">
        <f t="shared" ref="L261" si="396">IF(L43=0,0,L43/L$31)</f>
        <v>7.8316303623997791E-7</v>
      </c>
      <c r="M261" s="103">
        <f t="shared" ref="M261:V261" si="397">IF(M43=0,0,M43/M$31)</f>
        <v>8.2777764873208227E-7</v>
      </c>
      <c r="N261" s="103">
        <f t="shared" si="397"/>
        <v>6.0805838283415335E-7</v>
      </c>
      <c r="O261" s="103">
        <f t="shared" si="397"/>
        <v>5.9703267364043907E-7</v>
      </c>
      <c r="P261" s="103">
        <f t="shared" si="397"/>
        <v>1.1489714566854793E-6</v>
      </c>
      <c r="Q261" s="103">
        <f t="shared" si="397"/>
        <v>1.1897054336719332E-6</v>
      </c>
      <c r="R261" s="103">
        <f t="shared" si="397"/>
        <v>1.499195842688585E-6</v>
      </c>
      <c r="S261" s="103">
        <f t="shared" si="397"/>
        <v>1.449617697246357E-6</v>
      </c>
      <c r="T261" s="103">
        <f t="shared" si="397"/>
        <v>1.4994162634406316E-6</v>
      </c>
      <c r="U261" s="103">
        <f t="shared" si="397"/>
        <v>1.1297292939104759E-6</v>
      </c>
      <c r="V261" s="103">
        <f t="shared" si="397"/>
        <v>8.9761296019836505E-7</v>
      </c>
      <c r="W261" s="103">
        <f t="shared" ref="W261:Y261" si="398">IF(W43=0,0,W43/W$31)</f>
        <v>1.0873675262147075E-6</v>
      </c>
      <c r="X261" s="103">
        <f t="shared" si="398"/>
        <v>8.671531490601238E-7</v>
      </c>
      <c r="Y261" s="103">
        <f t="shared" si="398"/>
        <v>8.7165578193026553E-7</v>
      </c>
      <c r="DA261" s="191"/>
    </row>
    <row r="262" spans="1:105" ht="11.45" customHeight="1" x14ac:dyDescent="0.25">
      <c r="A262" s="157" t="s">
        <v>113</v>
      </c>
      <c r="B262" s="103">
        <f t="shared" ref="B262:K262" si="399">IF(B44=0,0,B44/B$31)</f>
        <v>3.3876872116953028E-5</v>
      </c>
      <c r="C262" s="103">
        <f t="shared" si="399"/>
        <v>1.5170387287829516E-4</v>
      </c>
      <c r="D262" s="103">
        <f t="shared" si="399"/>
        <v>2.138823569917683E-4</v>
      </c>
      <c r="E262" s="103">
        <f t="shared" si="399"/>
        <v>2.7971632279681614E-4</v>
      </c>
      <c r="F262" s="103">
        <f t="shared" si="399"/>
        <v>2.8175042420050344E-4</v>
      </c>
      <c r="G262" s="103">
        <f t="shared" si="399"/>
        <v>3.2810664075695899E-4</v>
      </c>
      <c r="H262" s="103">
        <f t="shared" si="399"/>
        <v>3.022841204719866E-4</v>
      </c>
      <c r="I262" s="103">
        <f t="shared" si="399"/>
        <v>3.3427619088732894E-4</v>
      </c>
      <c r="J262" s="103">
        <f t="shared" si="399"/>
        <v>3.5093325354728771E-4</v>
      </c>
      <c r="K262" s="103">
        <f t="shared" si="399"/>
        <v>3.6008025112017265E-4</v>
      </c>
      <c r="L262" s="103">
        <f t="shared" ref="L262" si="400">IF(L44=0,0,L44/L$31)</f>
        <v>3.6978147522512294E-4</v>
      </c>
      <c r="M262" s="103">
        <f t="shared" ref="M262:V262" si="401">IF(M44=0,0,M44/M$31)</f>
        <v>3.836215737835644E-4</v>
      </c>
      <c r="N262" s="103">
        <f t="shared" si="401"/>
        <v>4.112405788037559E-4</v>
      </c>
      <c r="O262" s="103">
        <f t="shared" si="401"/>
        <v>3.750043391070246E-4</v>
      </c>
      <c r="P262" s="103">
        <f t="shared" si="401"/>
        <v>3.3385796857268729E-4</v>
      </c>
      <c r="Q262" s="103">
        <f t="shared" si="401"/>
        <v>3.3087368441617166E-4</v>
      </c>
      <c r="R262" s="103">
        <f t="shared" si="401"/>
        <v>3.168460960101069E-4</v>
      </c>
      <c r="S262" s="103">
        <f t="shared" si="401"/>
        <v>2.8991474013239065E-4</v>
      </c>
      <c r="T262" s="103">
        <f t="shared" si="401"/>
        <v>4.4495330883559956E-4</v>
      </c>
      <c r="U262" s="103">
        <f t="shared" si="401"/>
        <v>2.263243972318963E-4</v>
      </c>
      <c r="V262" s="103">
        <f t="shared" si="401"/>
        <v>2.780645502031477E-4</v>
      </c>
      <c r="W262" s="103">
        <f t="shared" ref="W262:Y262" si="402">IF(W44=0,0,W44/W$31)</f>
        <v>4.6385700765422944E-4</v>
      </c>
      <c r="X262" s="103">
        <f t="shared" si="402"/>
        <v>4.8866819221667968E-4</v>
      </c>
      <c r="Y262" s="103">
        <f t="shared" si="402"/>
        <v>5.396531852122047E-4</v>
      </c>
      <c r="DA262" s="191"/>
    </row>
    <row r="263" spans="1:105" ht="11.45" customHeight="1" x14ac:dyDescent="0.25">
      <c r="A263" s="157" t="s">
        <v>115</v>
      </c>
      <c r="B263" s="103">
        <f t="shared" ref="B263:K263" si="403">IF(B45=0,0,B45/B$31)</f>
        <v>0</v>
      </c>
      <c r="C263" s="103">
        <f t="shared" si="403"/>
        <v>0</v>
      </c>
      <c r="D263" s="103">
        <f t="shared" si="403"/>
        <v>0</v>
      </c>
      <c r="E263" s="103">
        <f t="shared" si="403"/>
        <v>0</v>
      </c>
      <c r="F263" s="103">
        <f t="shared" si="403"/>
        <v>0</v>
      </c>
      <c r="G263" s="103">
        <f t="shared" si="403"/>
        <v>0</v>
      </c>
      <c r="H263" s="103">
        <f t="shared" si="403"/>
        <v>0</v>
      </c>
      <c r="I263" s="103">
        <f t="shared" si="403"/>
        <v>0</v>
      </c>
      <c r="J263" s="103">
        <f t="shared" si="403"/>
        <v>0</v>
      </c>
      <c r="K263" s="103">
        <f t="shared" si="403"/>
        <v>0</v>
      </c>
      <c r="L263" s="103">
        <f t="shared" ref="L263" si="404">IF(L45=0,0,L45/L$31)</f>
        <v>8.1265703650499354E-6</v>
      </c>
      <c r="M263" s="103">
        <f t="shared" ref="M263:V263" si="405">IF(M45=0,0,M45/M$31)</f>
        <v>7.6989610528667994E-6</v>
      </c>
      <c r="N263" s="103">
        <f t="shared" si="405"/>
        <v>1.5933150395973376E-5</v>
      </c>
      <c r="O263" s="103">
        <f t="shared" si="405"/>
        <v>1.5849504083102056E-5</v>
      </c>
      <c r="P263" s="103">
        <f t="shared" si="405"/>
        <v>1.525986262615314E-5</v>
      </c>
      <c r="Q263" s="103">
        <f t="shared" si="405"/>
        <v>1.5342942673135121E-5</v>
      </c>
      <c r="R263" s="103">
        <f t="shared" si="405"/>
        <v>1.4806468828231293E-5</v>
      </c>
      <c r="S263" s="103">
        <f t="shared" si="405"/>
        <v>2.303455598539163E-5</v>
      </c>
      <c r="T263" s="103">
        <f t="shared" si="405"/>
        <v>5.8956460340484376E-5</v>
      </c>
      <c r="U263" s="103">
        <f t="shared" si="405"/>
        <v>6.5673976826398543E-5</v>
      </c>
      <c r="V263" s="103">
        <f t="shared" si="405"/>
        <v>7.4509670045865622E-5</v>
      </c>
      <c r="W263" s="103">
        <f t="shared" ref="W263:Y263" si="406">IF(W45=0,0,W45/W$31)</f>
        <v>8.0910209517522184E-5</v>
      </c>
      <c r="X263" s="103">
        <f t="shared" si="406"/>
        <v>1.1243987177017182E-4</v>
      </c>
      <c r="Y263" s="103">
        <f t="shared" si="406"/>
        <v>3.1857776125460597E-4</v>
      </c>
      <c r="DA263" s="191"/>
    </row>
    <row r="264" spans="1:105" ht="11.45" customHeight="1" x14ac:dyDescent="0.25">
      <c r="A264" s="27" t="s">
        <v>34</v>
      </c>
      <c r="B264" s="46">
        <f t="shared" ref="B264:K264" si="407">IF(B46=0,0,B46/B$46)</f>
        <v>1</v>
      </c>
      <c r="C264" s="46">
        <f t="shared" si="407"/>
        <v>1</v>
      </c>
      <c r="D264" s="46">
        <f t="shared" si="407"/>
        <v>1</v>
      </c>
      <c r="E264" s="46">
        <f t="shared" si="407"/>
        <v>1</v>
      </c>
      <c r="F264" s="46">
        <f t="shared" si="407"/>
        <v>1</v>
      </c>
      <c r="G264" s="46">
        <f t="shared" si="407"/>
        <v>1</v>
      </c>
      <c r="H264" s="46">
        <f t="shared" si="407"/>
        <v>1</v>
      </c>
      <c r="I264" s="46">
        <f t="shared" si="407"/>
        <v>1</v>
      </c>
      <c r="J264" s="46">
        <f t="shared" si="407"/>
        <v>1</v>
      </c>
      <c r="K264" s="46">
        <f t="shared" si="407"/>
        <v>1</v>
      </c>
      <c r="L264" s="46">
        <f t="shared" ref="L264" si="408">IF(L46=0,0,L46/L$46)</f>
        <v>1</v>
      </c>
      <c r="M264" s="46">
        <f t="shared" ref="M264:V264" si="409">IF(M46=0,0,M46/M$46)</f>
        <v>1</v>
      </c>
      <c r="N264" s="46">
        <f t="shared" si="409"/>
        <v>1</v>
      </c>
      <c r="O264" s="46">
        <f t="shared" si="409"/>
        <v>1</v>
      </c>
      <c r="P264" s="46">
        <f t="shared" si="409"/>
        <v>1</v>
      </c>
      <c r="Q264" s="46">
        <f t="shared" si="409"/>
        <v>1</v>
      </c>
      <c r="R264" s="46">
        <f t="shared" si="409"/>
        <v>1</v>
      </c>
      <c r="S264" s="46">
        <f t="shared" si="409"/>
        <v>1</v>
      </c>
      <c r="T264" s="46">
        <f t="shared" si="409"/>
        <v>1</v>
      </c>
      <c r="U264" s="46">
        <f t="shared" si="409"/>
        <v>1</v>
      </c>
      <c r="V264" s="46">
        <f t="shared" si="409"/>
        <v>1</v>
      </c>
      <c r="W264" s="46">
        <f t="shared" ref="W264:Y264" si="410">IF(W46=0,0,W46/W$46)</f>
        <v>1</v>
      </c>
      <c r="X264" s="46">
        <f t="shared" si="410"/>
        <v>1</v>
      </c>
      <c r="Y264" s="46">
        <f t="shared" si="410"/>
        <v>1</v>
      </c>
      <c r="DA264" s="211"/>
    </row>
    <row r="265" spans="1:105" ht="11.45" customHeight="1" x14ac:dyDescent="0.25">
      <c r="A265" s="153" t="s">
        <v>153</v>
      </c>
      <c r="B265" s="154">
        <f t="shared" ref="B265:K265" si="411">IF(B47=0,0,B47/B$46)</f>
        <v>0.89358765915945448</v>
      </c>
      <c r="C265" s="154">
        <f t="shared" si="411"/>
        <v>0.88221385220480963</v>
      </c>
      <c r="D265" s="154">
        <f t="shared" si="411"/>
        <v>0.88940845078532094</v>
      </c>
      <c r="E265" s="154">
        <f t="shared" si="411"/>
        <v>0.88933847469555127</v>
      </c>
      <c r="F265" s="154">
        <f t="shared" si="411"/>
        <v>0.8610028158089128</v>
      </c>
      <c r="G265" s="154">
        <f t="shared" si="411"/>
        <v>0.85123955993955136</v>
      </c>
      <c r="H265" s="154">
        <f t="shared" si="411"/>
        <v>0.85183656864124402</v>
      </c>
      <c r="I265" s="154">
        <f t="shared" si="411"/>
        <v>0.84210421927320167</v>
      </c>
      <c r="J265" s="154">
        <f t="shared" si="411"/>
        <v>0.85089395929403844</v>
      </c>
      <c r="K265" s="154">
        <f t="shared" si="411"/>
        <v>0.86700718471907623</v>
      </c>
      <c r="L265" s="154">
        <f t="shared" ref="L265" si="412">IF(L47=0,0,L47/L$46)</f>
        <v>0.86397978587144542</v>
      </c>
      <c r="M265" s="154">
        <f t="shared" ref="M265:V265" si="413">IF(M47=0,0,M47/M$46)</f>
        <v>0.85246683842685378</v>
      </c>
      <c r="N265" s="154">
        <f t="shared" si="413"/>
        <v>0.86287475206992381</v>
      </c>
      <c r="O265" s="154">
        <f t="shared" si="413"/>
        <v>0.86355578877455441</v>
      </c>
      <c r="P265" s="154">
        <f t="shared" si="413"/>
        <v>0.87777321172186451</v>
      </c>
      <c r="Q265" s="154">
        <f t="shared" si="413"/>
        <v>0.86565804578571026</v>
      </c>
      <c r="R265" s="154">
        <f t="shared" si="413"/>
        <v>0.87219707578694683</v>
      </c>
      <c r="S265" s="154">
        <f t="shared" si="413"/>
        <v>0.87749546100278564</v>
      </c>
      <c r="T265" s="154">
        <f t="shared" si="413"/>
        <v>0.88169447857062255</v>
      </c>
      <c r="U265" s="154">
        <f t="shared" si="413"/>
        <v>0.88607501576473802</v>
      </c>
      <c r="V265" s="154">
        <f t="shared" si="413"/>
        <v>0.88622199537124269</v>
      </c>
      <c r="W265" s="154">
        <f t="shared" ref="W265:Y265" si="414">IF(W47=0,0,W47/W$46)</f>
        <v>0.88627512765308725</v>
      </c>
      <c r="X265" s="154">
        <f t="shared" si="414"/>
        <v>0.9001406500289888</v>
      </c>
      <c r="Y265" s="154">
        <f t="shared" si="414"/>
        <v>0.915521512923133</v>
      </c>
      <c r="DA265" s="212"/>
    </row>
    <row r="266" spans="1:105" ht="11.45" customHeight="1" x14ac:dyDescent="0.25">
      <c r="A266" s="157" t="s">
        <v>110</v>
      </c>
      <c r="B266" s="103">
        <f t="shared" ref="B266:K266" si="415">IF(B48=0,0,B48/B$46)</f>
        <v>1.1240518905268237E-2</v>
      </c>
      <c r="C266" s="103">
        <f t="shared" si="415"/>
        <v>9.7754357779685965E-3</v>
      </c>
      <c r="D266" s="103">
        <f t="shared" si="415"/>
        <v>9.6156453199322013E-3</v>
      </c>
      <c r="E266" s="103">
        <f t="shared" si="415"/>
        <v>1.0863521769009905E-2</v>
      </c>
      <c r="F266" s="103">
        <f t="shared" si="415"/>
        <v>9.6810279548273839E-3</v>
      </c>
      <c r="G266" s="103">
        <f t="shared" si="415"/>
        <v>9.2286197178188378E-3</v>
      </c>
      <c r="H266" s="103">
        <f t="shared" si="415"/>
        <v>8.9916431556982535E-3</v>
      </c>
      <c r="I266" s="103">
        <f t="shared" si="415"/>
        <v>8.5663826672329867E-3</v>
      </c>
      <c r="J266" s="103">
        <f t="shared" si="415"/>
        <v>8.4472707232933417E-3</v>
      </c>
      <c r="K266" s="103">
        <f t="shared" si="415"/>
        <v>8.4148763227872223E-3</v>
      </c>
      <c r="L266" s="103">
        <f t="shared" ref="L266" si="416">IF(L48=0,0,L48/L$46)</f>
        <v>8.1787237309841141E-3</v>
      </c>
      <c r="M266" s="103">
        <f t="shared" ref="M266:V266" si="417">IF(M48=0,0,M48/M$46)</f>
        <v>7.2791008430443168E-3</v>
      </c>
      <c r="N266" s="103">
        <f t="shared" si="417"/>
        <v>7.3755978973046562E-3</v>
      </c>
      <c r="O266" s="103">
        <f t="shared" si="417"/>
        <v>6.8845097424813755E-3</v>
      </c>
      <c r="P266" s="103">
        <f t="shared" si="417"/>
        <v>6.1810420433988499E-3</v>
      </c>
      <c r="Q266" s="103">
        <f t="shared" si="417"/>
        <v>6.7795613190117423E-3</v>
      </c>
      <c r="R266" s="103">
        <f t="shared" si="417"/>
        <v>6.1526408336873934E-3</v>
      </c>
      <c r="S266" s="103">
        <f t="shared" si="417"/>
        <v>6.1268918344784878E-3</v>
      </c>
      <c r="T266" s="103">
        <f t="shared" si="417"/>
        <v>5.5069650484189329E-3</v>
      </c>
      <c r="U266" s="103">
        <f t="shared" si="417"/>
        <v>6.5798219291068423E-3</v>
      </c>
      <c r="V266" s="103">
        <f t="shared" si="417"/>
        <v>4.8261039766777092E-3</v>
      </c>
      <c r="W266" s="103">
        <f t="shared" ref="W266:Y266" si="418">IF(W48=0,0,W48/W$46)</f>
        <v>4.648454775676214E-3</v>
      </c>
      <c r="X266" s="103">
        <f t="shared" si="418"/>
        <v>4.6476345676155642E-3</v>
      </c>
      <c r="Y266" s="103">
        <f t="shared" si="418"/>
        <v>4.1743387961867785E-3</v>
      </c>
      <c r="DA266" s="191"/>
    </row>
    <row r="267" spans="1:105" ht="11.45" customHeight="1" x14ac:dyDescent="0.25">
      <c r="A267" s="157" t="s">
        <v>111</v>
      </c>
      <c r="B267" s="103">
        <f t="shared" ref="B267:K267" si="419">IF(B49=0,0,B49/B$46)</f>
        <v>0.88188062643057885</v>
      </c>
      <c r="C267" s="103">
        <f t="shared" si="419"/>
        <v>0.87202201273509317</v>
      </c>
      <c r="D267" s="103">
        <f t="shared" si="419"/>
        <v>0.87937360564826816</v>
      </c>
      <c r="E267" s="103">
        <f t="shared" si="419"/>
        <v>0.87800324333092961</v>
      </c>
      <c r="F267" s="103">
        <f t="shared" si="419"/>
        <v>0.85089097018120985</v>
      </c>
      <c r="G267" s="103">
        <f t="shared" si="419"/>
        <v>0.84158736629801312</v>
      </c>
      <c r="H267" s="103">
        <f t="shared" si="419"/>
        <v>0.84242154585786722</v>
      </c>
      <c r="I267" s="103">
        <f t="shared" si="419"/>
        <v>0.83311969145149789</v>
      </c>
      <c r="J267" s="103">
        <f t="shared" si="419"/>
        <v>0.84202452822810792</v>
      </c>
      <c r="K267" s="103">
        <f t="shared" si="419"/>
        <v>0.85816200182782409</v>
      </c>
      <c r="L267" s="103">
        <f t="shared" ref="L267" si="420">IF(L49=0,0,L49/L$46)</f>
        <v>0.85538689662209277</v>
      </c>
      <c r="M267" s="103">
        <f t="shared" ref="M267:V267" si="421">IF(M49=0,0,M49/M$46)</f>
        <v>0.84478703281937417</v>
      </c>
      <c r="N267" s="103">
        <f t="shared" si="421"/>
        <v>0.85510679876977036</v>
      </c>
      <c r="O267" s="103">
        <f t="shared" si="421"/>
        <v>0.85624069572130634</v>
      </c>
      <c r="P267" s="103">
        <f t="shared" si="421"/>
        <v>0.87115462960229406</v>
      </c>
      <c r="Q267" s="103">
        <f t="shared" si="421"/>
        <v>0.85837764781513559</v>
      </c>
      <c r="R267" s="103">
        <f t="shared" si="421"/>
        <v>0.86556288010846716</v>
      </c>
      <c r="S267" s="103">
        <f t="shared" si="421"/>
        <v>0.87070492037405789</v>
      </c>
      <c r="T267" s="103">
        <f t="shared" si="421"/>
        <v>0.87528971747639406</v>
      </c>
      <c r="U267" s="103">
        <f t="shared" si="421"/>
        <v>0.8783945538778366</v>
      </c>
      <c r="V267" s="103">
        <f t="shared" si="421"/>
        <v>0.88005150941992749</v>
      </c>
      <c r="W267" s="103">
        <f t="shared" ref="W267:Y267" si="422">IF(W49=0,0,W49/W$46)</f>
        <v>0.88016381082356832</v>
      </c>
      <c r="X267" s="103">
        <f t="shared" si="422"/>
        <v>0.89373903338831917</v>
      </c>
      <c r="Y267" s="103">
        <f t="shared" si="422"/>
        <v>0.90881278814422162</v>
      </c>
      <c r="DA267" s="191"/>
    </row>
    <row r="268" spans="1:105" ht="11.45" customHeight="1" x14ac:dyDescent="0.25">
      <c r="A268" s="157" t="s">
        <v>112</v>
      </c>
      <c r="B268" s="103">
        <f t="shared" ref="B268:K268" si="423">IF(B50=0,0,B50/B$46)</f>
        <v>4.6651382360732773E-4</v>
      </c>
      <c r="C268" s="103">
        <f t="shared" si="423"/>
        <v>4.1640369174780675E-4</v>
      </c>
      <c r="D268" s="103">
        <f t="shared" si="423"/>
        <v>4.1919981712049798E-4</v>
      </c>
      <c r="E268" s="103">
        <f t="shared" si="423"/>
        <v>4.7170959561177312E-4</v>
      </c>
      <c r="F268" s="103">
        <f t="shared" si="423"/>
        <v>4.3081767287547816E-4</v>
      </c>
      <c r="G268" s="103">
        <f t="shared" si="423"/>
        <v>4.2357392371927057E-4</v>
      </c>
      <c r="H268" s="103">
        <f t="shared" si="423"/>
        <v>4.2337962767845038E-4</v>
      </c>
      <c r="I268" s="103">
        <f t="shared" si="423"/>
        <v>4.1814515447088414E-4</v>
      </c>
      <c r="J268" s="103">
        <f t="shared" si="423"/>
        <v>4.2216034263726918E-4</v>
      </c>
      <c r="K268" s="103">
        <f t="shared" si="423"/>
        <v>4.3030656846491428E-4</v>
      </c>
      <c r="L268" s="103">
        <f t="shared" ref="L268" si="424">IF(L50=0,0,L50/L$46)</f>
        <v>4.1416551836857384E-4</v>
      </c>
      <c r="M268" s="103">
        <f t="shared" ref="M268:V268" si="425">IF(M50=0,0,M50/M$46)</f>
        <v>3.9853107876609492E-4</v>
      </c>
      <c r="N268" s="103">
        <f t="shared" si="425"/>
        <v>3.8422385011149292E-4</v>
      </c>
      <c r="O268" s="103">
        <f t="shared" si="425"/>
        <v>3.9489573511641401E-4</v>
      </c>
      <c r="P268" s="103">
        <f t="shared" si="425"/>
        <v>3.8470072541831323E-4</v>
      </c>
      <c r="Q268" s="103">
        <f t="shared" si="425"/>
        <v>4.0533584459149027E-4</v>
      </c>
      <c r="R268" s="103">
        <f t="shared" si="425"/>
        <v>3.7111652241840503E-4</v>
      </c>
      <c r="S268" s="103">
        <f t="shared" si="425"/>
        <v>3.5745481856442685E-4</v>
      </c>
      <c r="T268" s="103">
        <f t="shared" si="425"/>
        <v>3.4693053804506706E-4</v>
      </c>
      <c r="U268" s="103">
        <f t="shared" si="425"/>
        <v>3.863233472282346E-4</v>
      </c>
      <c r="V268" s="103">
        <f t="shared" si="425"/>
        <v>3.7309355070704991E-4</v>
      </c>
      <c r="W268" s="103">
        <f t="shared" ref="W268:Y268" si="426">IF(W50=0,0,W50/W$46)</f>
        <v>3.4478793873010037E-4</v>
      </c>
      <c r="X268" s="103">
        <f t="shared" si="426"/>
        <v>3.4506473260455451E-4</v>
      </c>
      <c r="Y268" s="103">
        <f t="shared" si="426"/>
        <v>3.3926564225657268E-4</v>
      </c>
      <c r="DA268" s="191"/>
    </row>
    <row r="269" spans="1:105" ht="11.45" customHeight="1" x14ac:dyDescent="0.25">
      <c r="A269" s="157" t="s">
        <v>113</v>
      </c>
      <c r="B269" s="103">
        <f t="shared" ref="B269:K269" si="427">IF(B51=0,0,B51/B$46)</f>
        <v>0</v>
      </c>
      <c r="C269" s="103">
        <f t="shared" si="427"/>
        <v>0</v>
      </c>
      <c r="D269" s="103">
        <f t="shared" si="427"/>
        <v>0</v>
      </c>
      <c r="E269" s="103">
        <f t="shared" si="427"/>
        <v>0</v>
      </c>
      <c r="F269" s="103">
        <f t="shared" si="427"/>
        <v>0</v>
      </c>
      <c r="G269" s="103">
        <f t="shared" si="427"/>
        <v>0</v>
      </c>
      <c r="H269" s="103">
        <f t="shared" si="427"/>
        <v>0</v>
      </c>
      <c r="I269" s="103">
        <f t="shared" si="427"/>
        <v>0</v>
      </c>
      <c r="J269" s="103">
        <f t="shared" si="427"/>
        <v>0</v>
      </c>
      <c r="K269" s="103">
        <f t="shared" si="427"/>
        <v>0</v>
      </c>
      <c r="L269" s="103">
        <f t="shared" ref="L269" si="428">IF(L51=0,0,L51/L$46)</f>
        <v>0</v>
      </c>
      <c r="M269" s="103">
        <f t="shared" ref="M269:V269" si="429">IF(M51=0,0,M51/M$46)</f>
        <v>0</v>
      </c>
      <c r="N269" s="103">
        <f t="shared" si="429"/>
        <v>0</v>
      </c>
      <c r="O269" s="103">
        <f t="shared" si="429"/>
        <v>3.6546912599279543E-6</v>
      </c>
      <c r="P269" s="103">
        <f t="shared" si="429"/>
        <v>9.0263159043418561E-6</v>
      </c>
      <c r="Q269" s="103">
        <f t="shared" si="429"/>
        <v>1.3539525955719155E-5</v>
      </c>
      <c r="R269" s="103">
        <f t="shared" si="429"/>
        <v>1.8120372604797368E-5</v>
      </c>
      <c r="S269" s="103">
        <f t="shared" si="429"/>
        <v>2.0082890688252379E-5</v>
      </c>
      <c r="T269" s="103">
        <f t="shared" si="429"/>
        <v>2.9440977936955024E-5</v>
      </c>
      <c r="U269" s="103">
        <f t="shared" si="429"/>
        <v>4.5291265951575802E-5</v>
      </c>
      <c r="V269" s="103">
        <f t="shared" si="429"/>
        <v>5.3846919896080281E-5</v>
      </c>
      <c r="W269" s="103">
        <f t="shared" ref="W269:Y269" si="430">IF(W51=0,0,W51/W$46)</f>
        <v>7.537546500791465E-5</v>
      </c>
      <c r="X269" s="103">
        <f t="shared" si="430"/>
        <v>8.0383568266282804E-5</v>
      </c>
      <c r="Y269" s="103">
        <f t="shared" si="430"/>
        <v>8.3890557449691305E-5</v>
      </c>
      <c r="DA269" s="191"/>
    </row>
    <row r="270" spans="1:105" ht="11.45" customHeight="1" x14ac:dyDescent="0.25">
      <c r="A270" s="157" t="s">
        <v>115</v>
      </c>
      <c r="B270" s="103">
        <f t="shared" ref="B270:K270" si="431">IF(B52=0,0,B52/B$46)</f>
        <v>0</v>
      </c>
      <c r="C270" s="103">
        <f t="shared" si="431"/>
        <v>0</v>
      </c>
      <c r="D270" s="103">
        <f t="shared" si="431"/>
        <v>0</v>
      </c>
      <c r="E270" s="103">
        <f t="shared" si="431"/>
        <v>0</v>
      </c>
      <c r="F270" s="103">
        <f t="shared" si="431"/>
        <v>0</v>
      </c>
      <c r="G270" s="103">
        <f t="shared" si="431"/>
        <v>0</v>
      </c>
      <c r="H270" s="103">
        <f t="shared" si="431"/>
        <v>0</v>
      </c>
      <c r="I270" s="103">
        <f t="shared" si="431"/>
        <v>0</v>
      </c>
      <c r="J270" s="103">
        <f t="shared" si="431"/>
        <v>0</v>
      </c>
      <c r="K270" s="103">
        <f t="shared" si="431"/>
        <v>0</v>
      </c>
      <c r="L270" s="103">
        <f t="shared" ref="L270" si="432">IF(L52=0,0,L52/L$46)</f>
        <v>0</v>
      </c>
      <c r="M270" s="103">
        <f t="shared" ref="M270:V270" si="433">IF(M52=0,0,M52/M$46)</f>
        <v>2.1736856692105678E-6</v>
      </c>
      <c r="N270" s="103">
        <f t="shared" si="433"/>
        <v>8.1315527370994147E-6</v>
      </c>
      <c r="O270" s="103">
        <f t="shared" si="433"/>
        <v>3.2032884390270118E-5</v>
      </c>
      <c r="P270" s="103">
        <f t="shared" si="433"/>
        <v>4.3813034848928033E-5</v>
      </c>
      <c r="Q270" s="103">
        <f t="shared" si="433"/>
        <v>8.1961281015703149E-5</v>
      </c>
      <c r="R270" s="103">
        <f t="shared" si="433"/>
        <v>9.2317949769026844E-5</v>
      </c>
      <c r="S270" s="103">
        <f t="shared" si="433"/>
        <v>2.8611108499661042E-4</v>
      </c>
      <c r="T270" s="103">
        <f t="shared" si="433"/>
        <v>5.2142452982766637E-4</v>
      </c>
      <c r="U270" s="103">
        <f t="shared" si="433"/>
        <v>6.6902534461479792E-4</v>
      </c>
      <c r="V270" s="103">
        <f t="shared" si="433"/>
        <v>9.1744150403440662E-4</v>
      </c>
      <c r="W270" s="103">
        <f t="shared" ref="W270:Y270" si="434">IF(W52=0,0,W52/W$46)</f>
        <v>1.0426986501048138E-3</v>
      </c>
      <c r="X270" s="103">
        <f t="shared" si="434"/>
        <v>1.328533772183226E-3</v>
      </c>
      <c r="Y270" s="103">
        <f t="shared" si="434"/>
        <v>2.1112297830182861E-3</v>
      </c>
      <c r="DA270" s="191"/>
    </row>
    <row r="271" spans="1:105" ht="11.45" customHeight="1" x14ac:dyDescent="0.25">
      <c r="A271" s="155" t="s">
        <v>154</v>
      </c>
      <c r="B271" s="156">
        <f t="shared" ref="B271:K271" si="435">IF(B53=0,0,B53/B$46)</f>
        <v>0.10641234084054557</v>
      </c>
      <c r="C271" s="156">
        <f t="shared" si="435"/>
        <v>0.11778614779519032</v>
      </c>
      <c r="D271" s="156">
        <f t="shared" si="435"/>
        <v>0.11059154921467904</v>
      </c>
      <c r="E271" s="156">
        <f t="shared" si="435"/>
        <v>0.11066152530444878</v>
      </c>
      <c r="F271" s="156">
        <f t="shared" si="435"/>
        <v>0.13899718419108709</v>
      </c>
      <c r="G271" s="156">
        <f t="shared" si="435"/>
        <v>0.14876044006044872</v>
      </c>
      <c r="H271" s="156">
        <f t="shared" si="435"/>
        <v>0.14816343135875604</v>
      </c>
      <c r="I271" s="156">
        <f t="shared" si="435"/>
        <v>0.15789578072679825</v>
      </c>
      <c r="J271" s="156">
        <f t="shared" si="435"/>
        <v>0.14910604070596162</v>
      </c>
      <c r="K271" s="156">
        <f t="shared" si="435"/>
        <v>0.13299281528092369</v>
      </c>
      <c r="L271" s="156">
        <f t="shared" ref="L271" si="436">IF(L53=0,0,L53/L$46)</f>
        <v>0.1360202141285545</v>
      </c>
      <c r="M271" s="156">
        <f t="shared" ref="M271:V271" si="437">IF(M53=0,0,M53/M$46)</f>
        <v>0.14753316157314622</v>
      </c>
      <c r="N271" s="156">
        <f t="shared" si="437"/>
        <v>0.13712524793007613</v>
      </c>
      <c r="O271" s="156">
        <f t="shared" si="437"/>
        <v>0.13644421122544559</v>
      </c>
      <c r="P271" s="156">
        <f t="shared" si="437"/>
        <v>0.12222678827813549</v>
      </c>
      <c r="Q271" s="156">
        <f t="shared" si="437"/>
        <v>0.13434195421428971</v>
      </c>
      <c r="R271" s="156">
        <f t="shared" si="437"/>
        <v>0.12780292421305314</v>
      </c>
      <c r="S271" s="156">
        <f t="shared" si="437"/>
        <v>0.12250453899721438</v>
      </c>
      <c r="T271" s="156">
        <f t="shared" si="437"/>
        <v>0.11830552142937747</v>
      </c>
      <c r="U271" s="156">
        <f t="shared" si="437"/>
        <v>0.11392498423526201</v>
      </c>
      <c r="V271" s="156">
        <f t="shared" si="437"/>
        <v>0.11377800462875727</v>
      </c>
      <c r="W271" s="156">
        <f t="shared" ref="W271:Y271" si="438">IF(W53=0,0,W53/W$46)</f>
        <v>0.11372487234691273</v>
      </c>
      <c r="X271" s="156">
        <f t="shared" si="438"/>
        <v>9.9859349971011202E-2</v>
      </c>
      <c r="Y271" s="156">
        <f t="shared" si="438"/>
        <v>8.4478487076867045E-2</v>
      </c>
      <c r="DA271" s="213"/>
    </row>
    <row r="272" spans="1:105" ht="11.45" customHeight="1" x14ac:dyDescent="0.25">
      <c r="A272" s="162" t="s">
        <v>27</v>
      </c>
      <c r="B272" s="104">
        <f t="shared" ref="B272:K272" si="439">IF(B54=0,0,B54/B$46)</f>
        <v>8.7468574508688002E-2</v>
      </c>
      <c r="C272" s="104">
        <f t="shared" si="439"/>
        <v>9.812168455993818E-2</v>
      </c>
      <c r="D272" s="104">
        <f t="shared" si="439"/>
        <v>8.9921281525404712E-2</v>
      </c>
      <c r="E272" s="104">
        <f t="shared" si="439"/>
        <v>8.9193756872807367E-2</v>
      </c>
      <c r="F272" s="104">
        <f t="shared" si="439"/>
        <v>0.11307952876648783</v>
      </c>
      <c r="G272" s="104">
        <f t="shared" si="439"/>
        <v>0.1211723425786068</v>
      </c>
      <c r="H272" s="104">
        <f t="shared" si="439"/>
        <v>0.1190951187712499</v>
      </c>
      <c r="I272" s="104">
        <f t="shared" si="439"/>
        <v>0.1252951740012582</v>
      </c>
      <c r="J272" s="104">
        <f t="shared" si="439"/>
        <v>0.12050760268113166</v>
      </c>
      <c r="K272" s="104">
        <f t="shared" si="439"/>
        <v>0.1044174121803185</v>
      </c>
      <c r="L272" s="104">
        <f t="shared" ref="L272" si="440">IF(L54=0,0,L54/L$46)</f>
        <v>0.10999608973424521</v>
      </c>
      <c r="M272" s="104">
        <f t="shared" ref="M272:V272" si="441">IF(M54=0,0,M54/M$46)</f>
        <v>0.11697564530373944</v>
      </c>
      <c r="N272" s="104">
        <f t="shared" si="441"/>
        <v>0.10751700683187645</v>
      </c>
      <c r="O272" s="104">
        <f t="shared" si="441"/>
        <v>0.1012918414718585</v>
      </c>
      <c r="P272" s="104">
        <f t="shared" si="441"/>
        <v>8.8476147817138098E-2</v>
      </c>
      <c r="Q272" s="104">
        <f t="shared" si="441"/>
        <v>0.1045128076304338</v>
      </c>
      <c r="R272" s="104">
        <f t="shared" si="441"/>
        <v>9.6221454595981956E-2</v>
      </c>
      <c r="S272" s="104">
        <f t="shared" si="441"/>
        <v>9.2913507480991461E-2</v>
      </c>
      <c r="T272" s="104">
        <f t="shared" si="441"/>
        <v>8.8599734367831293E-2</v>
      </c>
      <c r="U272" s="104">
        <f t="shared" si="441"/>
        <v>8.4449189927698273E-2</v>
      </c>
      <c r="V272" s="104">
        <f t="shared" si="441"/>
        <v>8.4193448125900461E-2</v>
      </c>
      <c r="W272" s="104">
        <f t="shared" ref="W272:Y272" si="442">IF(W54=0,0,W54/W$46)</f>
        <v>8.2276174454336257E-2</v>
      </c>
      <c r="X272" s="104">
        <f t="shared" si="442"/>
        <v>6.9973980528385979E-2</v>
      </c>
      <c r="Y272" s="104">
        <f t="shared" si="442"/>
        <v>5.8751837446849864E-2</v>
      </c>
      <c r="DA272" s="195"/>
    </row>
    <row r="273" spans="1:105" ht="11.45" customHeight="1" x14ac:dyDescent="0.25">
      <c r="A273" s="158" t="s">
        <v>116</v>
      </c>
      <c r="B273" s="105">
        <f t="shared" ref="B273:K273" si="443">IF(B55=0,0,B55/B$46)</f>
        <v>1.8943766331857563E-2</v>
      </c>
      <c r="C273" s="105">
        <f t="shared" si="443"/>
        <v>1.9664463235252155E-2</v>
      </c>
      <c r="D273" s="105">
        <f t="shared" si="443"/>
        <v>2.0670267689274321E-2</v>
      </c>
      <c r="E273" s="105">
        <f t="shared" si="443"/>
        <v>2.1467768431641408E-2</v>
      </c>
      <c r="F273" s="105">
        <f t="shared" si="443"/>
        <v>2.5917655424599246E-2</v>
      </c>
      <c r="G273" s="105">
        <f t="shared" si="443"/>
        <v>2.7588097481841937E-2</v>
      </c>
      <c r="H273" s="105">
        <f t="shared" si="443"/>
        <v>2.9068312587506126E-2</v>
      </c>
      <c r="I273" s="105">
        <f t="shared" si="443"/>
        <v>3.260060672554007E-2</v>
      </c>
      <c r="J273" s="105">
        <f t="shared" si="443"/>
        <v>2.8598438024829965E-2</v>
      </c>
      <c r="K273" s="105">
        <f t="shared" si="443"/>
        <v>2.8575403100605176E-2</v>
      </c>
      <c r="L273" s="105">
        <f t="shared" ref="L273" si="444">IF(L55=0,0,L55/L$46)</f>
        <v>2.6024124394309307E-2</v>
      </c>
      <c r="M273" s="105">
        <f t="shared" ref="M273:V273" si="445">IF(M55=0,0,M55/M$46)</f>
        <v>3.0557516269406778E-2</v>
      </c>
      <c r="N273" s="105">
        <f t="shared" si="445"/>
        <v>2.9608241098199692E-2</v>
      </c>
      <c r="O273" s="105">
        <f t="shared" si="445"/>
        <v>3.5152369753587091E-2</v>
      </c>
      <c r="P273" s="105">
        <f t="shared" si="445"/>
        <v>3.3750640460997398E-2</v>
      </c>
      <c r="Q273" s="105">
        <f t="shared" si="445"/>
        <v>2.9829146583855905E-2</v>
      </c>
      <c r="R273" s="105">
        <f t="shared" si="445"/>
        <v>3.1581469617071194E-2</v>
      </c>
      <c r="S273" s="105">
        <f t="shared" si="445"/>
        <v>2.9591031516222905E-2</v>
      </c>
      <c r="T273" s="105">
        <f t="shared" si="445"/>
        <v>2.9705787061546186E-2</v>
      </c>
      <c r="U273" s="105">
        <f t="shared" si="445"/>
        <v>2.9475794307563735E-2</v>
      </c>
      <c r="V273" s="105">
        <f t="shared" si="445"/>
        <v>2.958455650285682E-2</v>
      </c>
      <c r="W273" s="105">
        <f t="shared" ref="W273:Y273" si="446">IF(W55=0,0,W55/W$46)</f>
        <v>3.1448697892576462E-2</v>
      </c>
      <c r="X273" s="105">
        <f t="shared" si="446"/>
        <v>2.9885369442625227E-2</v>
      </c>
      <c r="Y273" s="105">
        <f t="shared" si="446"/>
        <v>2.5726649630017188E-2</v>
      </c>
      <c r="DA273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V26 W6:Y28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66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628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DA2" s="208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133" t="s">
        <v>51</v>
      </c>
      <c r="B4" s="145">
        <f t="shared" ref="B4:K4" si="0">B5+B9+B10+B15</f>
        <v>5715.7937231298365</v>
      </c>
      <c r="C4" s="145">
        <f t="shared" si="0"/>
        <v>5792.3149613069645</v>
      </c>
      <c r="D4" s="145">
        <f t="shared" si="0"/>
        <v>5965.8474634565773</v>
      </c>
      <c r="E4" s="145">
        <f t="shared" si="0"/>
        <v>6310.4786758383498</v>
      </c>
      <c r="F4" s="145">
        <f t="shared" si="0"/>
        <v>6485.1028374892503</v>
      </c>
      <c r="G4" s="145">
        <f t="shared" si="0"/>
        <v>6212.7207222699917</v>
      </c>
      <c r="H4" s="145">
        <f t="shared" si="0"/>
        <v>6223.813671539122</v>
      </c>
      <c r="I4" s="145">
        <f t="shared" si="0"/>
        <v>6175.9126397248492</v>
      </c>
      <c r="J4" s="145">
        <f t="shared" si="0"/>
        <v>6192.2583600078724</v>
      </c>
      <c r="K4" s="145">
        <f t="shared" si="0"/>
        <v>6133.7807038063147</v>
      </c>
      <c r="L4" s="145">
        <f t="shared" ref="L4" si="1">L5+L9+L10+L15</f>
        <v>6149.4419132496223</v>
      </c>
      <c r="M4" s="145">
        <f t="shared" ref="M4:V4" si="2">M5+M9+M10+M15</f>
        <v>5715.1361669368616</v>
      </c>
      <c r="N4" s="145">
        <f t="shared" si="2"/>
        <v>5246.7218428218066</v>
      </c>
      <c r="O4" s="145">
        <f t="shared" si="2"/>
        <v>5154.5614738745899</v>
      </c>
      <c r="P4" s="145">
        <f t="shared" si="2"/>
        <v>5222.881614520451</v>
      </c>
      <c r="Q4" s="145">
        <f t="shared" si="2"/>
        <v>5294.9818983523983</v>
      </c>
      <c r="R4" s="145">
        <f t="shared" si="2"/>
        <v>5394.4196120048546</v>
      </c>
      <c r="S4" s="145">
        <f t="shared" si="2"/>
        <v>5472.3035890068559</v>
      </c>
      <c r="T4" s="145">
        <f t="shared" si="2"/>
        <v>5519.3666655424804</v>
      </c>
      <c r="U4" s="145">
        <f t="shared" si="2"/>
        <v>5685.14542458506</v>
      </c>
      <c r="V4" s="145">
        <f t="shared" si="2"/>
        <v>4818.0580361519715</v>
      </c>
      <c r="W4" s="145">
        <f t="shared" ref="W4:Y4" si="3">W5+W9+W10+W15</f>
        <v>5247.9721985330652</v>
      </c>
      <c r="X4" s="145">
        <f t="shared" si="3"/>
        <v>5546.4035726382363</v>
      </c>
      <c r="Y4" s="145">
        <f t="shared" si="3"/>
        <v>5921.0775599911185</v>
      </c>
      <c r="DA4" s="206" t="s">
        <v>629</v>
      </c>
    </row>
    <row r="5" spans="1:105" ht="11.45" customHeight="1" x14ac:dyDescent="0.25">
      <c r="A5" s="92" t="s">
        <v>46</v>
      </c>
      <c r="B5" s="97">
        <f t="shared" ref="B5:K5" si="4">SUM(B6:B8)</f>
        <v>5714.6759243336201</v>
      </c>
      <c r="C5" s="97">
        <f t="shared" si="4"/>
        <v>5787.8007738607048</v>
      </c>
      <c r="D5" s="97">
        <f t="shared" si="4"/>
        <v>5958.9257093723127</v>
      </c>
      <c r="E5" s="97">
        <f t="shared" si="4"/>
        <v>6301.4717970765269</v>
      </c>
      <c r="F5" s="97">
        <f t="shared" si="4"/>
        <v>6475.7090283748912</v>
      </c>
      <c r="G5" s="97">
        <f t="shared" si="4"/>
        <v>6201.607222699914</v>
      </c>
      <c r="H5" s="97">
        <f t="shared" si="4"/>
        <v>6141.7815133275999</v>
      </c>
      <c r="I5" s="97">
        <f t="shared" si="4"/>
        <v>6042.5146173688736</v>
      </c>
      <c r="J5" s="97">
        <f t="shared" si="4"/>
        <v>6054.6718830610489</v>
      </c>
      <c r="K5" s="97">
        <f t="shared" si="4"/>
        <v>5914.6125537403259</v>
      </c>
      <c r="L5" s="97">
        <f t="shared" ref="L5" si="5">SUM(L6:L8)</f>
        <v>5827.5294067067916</v>
      </c>
      <c r="M5" s="97">
        <f t="shared" ref="M5:V5" si="6">SUM(M6:M8)</f>
        <v>5411.1014617368874</v>
      </c>
      <c r="N5" s="97">
        <f t="shared" si="6"/>
        <v>4962.9788478073942</v>
      </c>
      <c r="O5" s="97">
        <f t="shared" si="6"/>
        <v>4882.3207222699912</v>
      </c>
      <c r="P5" s="97">
        <f t="shared" si="6"/>
        <v>4951.0365434221831</v>
      </c>
      <c r="Q5" s="97">
        <f t="shared" si="6"/>
        <v>4956.3150472914876</v>
      </c>
      <c r="R5" s="97">
        <f t="shared" si="6"/>
        <v>5117.2494411006019</v>
      </c>
      <c r="S5" s="97">
        <f t="shared" si="6"/>
        <v>5214.6715391229573</v>
      </c>
      <c r="T5" s="97">
        <f t="shared" si="6"/>
        <v>5237.7709372312984</v>
      </c>
      <c r="U5" s="97">
        <f t="shared" si="6"/>
        <v>5387.8876182287177</v>
      </c>
      <c r="V5" s="97">
        <f t="shared" si="6"/>
        <v>4545.1558899398105</v>
      </c>
      <c r="W5" s="97">
        <f t="shared" ref="W5:Y5" si="7">SUM(W6:W8)</f>
        <v>4869.0917454858127</v>
      </c>
      <c r="X5" s="97">
        <f t="shared" si="7"/>
        <v>5150.3294067067927</v>
      </c>
      <c r="Y5" s="97">
        <f t="shared" si="7"/>
        <v>5493.7738607050733</v>
      </c>
      <c r="DA5" s="175"/>
    </row>
    <row r="6" spans="1:105" ht="11.45" customHeight="1" x14ac:dyDescent="0.25">
      <c r="A6" s="128" t="s">
        <v>52</v>
      </c>
      <c r="B6" s="97">
        <v>22.594840928632841</v>
      </c>
      <c r="C6" s="97">
        <v>22.594840928632841</v>
      </c>
      <c r="D6" s="97">
        <v>21.465090283748921</v>
      </c>
      <c r="E6" s="97">
        <v>22.594840928632841</v>
      </c>
      <c r="F6" s="97">
        <v>22.599570077386069</v>
      </c>
      <c r="G6" s="97">
        <v>24.859587274290629</v>
      </c>
      <c r="H6" s="97">
        <v>23.729578675838351</v>
      </c>
      <c r="I6" s="97">
        <v>24.171195184866718</v>
      </c>
      <c r="J6" s="97">
        <v>26.368615649183141</v>
      </c>
      <c r="K6" s="97">
        <v>32.960705073086842</v>
      </c>
      <c r="L6" s="97">
        <v>31.862080825451411</v>
      </c>
      <c r="M6" s="97">
        <v>27.467239896818569</v>
      </c>
      <c r="N6" s="97">
        <v>34.059415305245047</v>
      </c>
      <c r="O6" s="97">
        <v>36.256835769561476</v>
      </c>
      <c r="P6" s="97">
        <v>37.355460017196897</v>
      </c>
      <c r="Q6" s="97">
        <v>39.552880481513327</v>
      </c>
      <c r="R6" s="97">
        <v>40.651590713671538</v>
      </c>
      <c r="S6" s="97">
        <v>40.608684436801383</v>
      </c>
      <c r="T6" s="97">
        <v>39.859415305245051</v>
      </c>
      <c r="U6" s="97">
        <v>40.839466895958729</v>
      </c>
      <c r="V6" s="97">
        <v>30.79079965606191</v>
      </c>
      <c r="W6" s="97">
        <v>33.327687016337059</v>
      </c>
      <c r="X6" s="97">
        <v>36.888564058469477</v>
      </c>
      <c r="Y6" s="97">
        <v>46.737231298366289</v>
      </c>
      <c r="DA6" s="175" t="s">
        <v>630</v>
      </c>
    </row>
    <row r="7" spans="1:105" ht="11.45" customHeight="1" x14ac:dyDescent="0.25">
      <c r="A7" s="128" t="s">
        <v>53</v>
      </c>
      <c r="B7" s="97">
        <v>2271.672914875322</v>
      </c>
      <c r="C7" s="97">
        <v>2134.7091143594148</v>
      </c>
      <c r="D7" s="97">
        <v>2211.751246775581</v>
      </c>
      <c r="E7" s="97">
        <v>2145.409372312984</v>
      </c>
      <c r="F7" s="97">
        <v>2061.9470335339638</v>
      </c>
      <c r="G7" s="97">
        <v>1934.6135855545999</v>
      </c>
      <c r="H7" s="97">
        <v>1789.0895098882199</v>
      </c>
      <c r="I7" s="97">
        <v>1667.8131556319861</v>
      </c>
      <c r="J7" s="97">
        <v>1563.771883061049</v>
      </c>
      <c r="K7" s="97">
        <v>1528.040498710232</v>
      </c>
      <c r="L7" s="97">
        <v>1450.2723129836629</v>
      </c>
      <c r="M7" s="97">
        <v>1306.295958727429</v>
      </c>
      <c r="N7" s="97">
        <v>1182.287188306105</v>
      </c>
      <c r="O7" s="97">
        <v>1151.8104901117799</v>
      </c>
      <c r="P7" s="97">
        <v>1144.453998280309</v>
      </c>
      <c r="Q7" s="97">
        <v>1099.264316423044</v>
      </c>
      <c r="R7" s="97">
        <v>1082.4496130696471</v>
      </c>
      <c r="S7" s="97">
        <v>1080.0166809974201</v>
      </c>
      <c r="T7" s="97">
        <v>1067.987876182287</v>
      </c>
      <c r="U7" s="97">
        <v>1106.8761822871879</v>
      </c>
      <c r="V7" s="97">
        <v>916.12226999140148</v>
      </c>
      <c r="W7" s="97">
        <v>995.69707652622526</v>
      </c>
      <c r="X7" s="97">
        <v>1083.8987962166809</v>
      </c>
      <c r="Y7" s="97">
        <v>1210.5485812553741</v>
      </c>
      <c r="DA7" s="175" t="s">
        <v>631</v>
      </c>
    </row>
    <row r="8" spans="1:105" ht="11.45" customHeight="1" x14ac:dyDescent="0.25">
      <c r="A8" s="128" t="s">
        <v>54</v>
      </c>
      <c r="B8" s="97">
        <v>3420.4081685296651</v>
      </c>
      <c r="C8" s="97">
        <v>3630.496818572657</v>
      </c>
      <c r="D8" s="97">
        <v>3725.7093723129829</v>
      </c>
      <c r="E8" s="97">
        <v>4133.4675838349094</v>
      </c>
      <c r="F8" s="97">
        <v>4391.1624247635418</v>
      </c>
      <c r="G8" s="97">
        <v>4242.1340498710233</v>
      </c>
      <c r="H8" s="97">
        <v>4328.962424763542</v>
      </c>
      <c r="I8" s="97">
        <v>4350.5302665520203</v>
      </c>
      <c r="J8" s="97">
        <v>4464.5313843508166</v>
      </c>
      <c r="K8" s="97">
        <v>4353.6113499570074</v>
      </c>
      <c r="L8" s="97">
        <v>4345.3950128976776</v>
      </c>
      <c r="M8" s="97">
        <v>4077.3382631126401</v>
      </c>
      <c r="N8" s="97">
        <v>3746.6322441960442</v>
      </c>
      <c r="O8" s="97">
        <v>3694.2533963886499</v>
      </c>
      <c r="P8" s="97">
        <v>3769.2270851246772</v>
      </c>
      <c r="Q8" s="97">
        <v>3817.4978503869302</v>
      </c>
      <c r="R8" s="97">
        <v>3994.148237317283</v>
      </c>
      <c r="S8" s="97">
        <v>4094.046173688736</v>
      </c>
      <c r="T8" s="97">
        <v>4129.9236457437664</v>
      </c>
      <c r="U8" s="97">
        <v>4240.1719690455711</v>
      </c>
      <c r="V8" s="97">
        <v>3598.242820292347</v>
      </c>
      <c r="W8" s="97">
        <v>3840.0669819432501</v>
      </c>
      <c r="X8" s="97">
        <v>4029.5420464316421</v>
      </c>
      <c r="Y8" s="97">
        <v>4236.4880481513328</v>
      </c>
      <c r="DA8" s="175" t="s">
        <v>632</v>
      </c>
    </row>
    <row r="9" spans="1:105" ht="11.45" customHeight="1" x14ac:dyDescent="0.25">
      <c r="A9" s="92" t="s">
        <v>55</v>
      </c>
      <c r="B9" s="97">
        <v>1.1177987962166807</v>
      </c>
      <c r="C9" s="97">
        <v>4.5141874462596725</v>
      </c>
      <c r="D9" s="97">
        <v>6.9217540842648324</v>
      </c>
      <c r="E9" s="97">
        <v>9.0068787618228718</v>
      </c>
      <c r="F9" s="97">
        <v>9.3938091143594136</v>
      </c>
      <c r="G9" s="97">
        <v>11.113499570077385</v>
      </c>
      <c r="H9" s="97">
        <v>10.40412725709372</v>
      </c>
      <c r="I9" s="97">
        <v>11.5219260533104</v>
      </c>
      <c r="J9" s="97">
        <v>12.01633705932932</v>
      </c>
      <c r="K9" s="97">
        <v>11.951848667239901</v>
      </c>
      <c r="L9" s="97">
        <v>12.53224419604471</v>
      </c>
      <c r="M9" s="97">
        <v>12.55374032674119</v>
      </c>
      <c r="N9" s="97">
        <v>11.97334479793637</v>
      </c>
      <c r="O9" s="97">
        <v>12.381771281169391</v>
      </c>
      <c r="P9" s="97">
        <v>12.10232158211522</v>
      </c>
      <c r="Q9" s="97">
        <v>14.079965606190891</v>
      </c>
      <c r="R9" s="97">
        <v>13.86500429922614</v>
      </c>
      <c r="S9" s="97">
        <v>14.676268271711089</v>
      </c>
      <c r="T9" s="97">
        <v>16.072914875322439</v>
      </c>
      <c r="U9" s="97">
        <v>17.5079105760963</v>
      </c>
      <c r="V9" s="97">
        <v>20.09458297506449</v>
      </c>
      <c r="W9" s="97">
        <v>23.80326741186586</v>
      </c>
      <c r="X9" s="97">
        <v>32.727601031814267</v>
      </c>
      <c r="Y9" s="97">
        <v>34.099828030954427</v>
      </c>
      <c r="DA9" s="175" t="s">
        <v>633</v>
      </c>
    </row>
    <row r="10" spans="1:105" ht="11.45" customHeight="1" x14ac:dyDescent="0.25">
      <c r="A10" s="92" t="s">
        <v>56</v>
      </c>
      <c r="B10" s="97">
        <f>SUM(B11:B13)</f>
        <v>0</v>
      </c>
      <c r="C10" s="97">
        <f t="shared" ref="C10:W10" si="8">SUM(C11:C13)</f>
        <v>0</v>
      </c>
      <c r="D10" s="97">
        <f t="shared" si="8"/>
        <v>0</v>
      </c>
      <c r="E10" s="97">
        <f t="shared" si="8"/>
        <v>0</v>
      </c>
      <c r="F10" s="97">
        <f t="shared" si="8"/>
        <v>0</v>
      </c>
      <c r="G10" s="97">
        <f t="shared" si="8"/>
        <v>0</v>
      </c>
      <c r="H10" s="97">
        <f t="shared" si="8"/>
        <v>71.628030954428198</v>
      </c>
      <c r="I10" s="97">
        <f t="shared" si="8"/>
        <v>121.8760963026655</v>
      </c>
      <c r="J10" s="97">
        <f t="shared" si="8"/>
        <v>125.56569217540837</v>
      </c>
      <c r="K10" s="97">
        <f t="shared" si="8"/>
        <v>207.21169389509888</v>
      </c>
      <c r="L10" s="97">
        <f t="shared" si="8"/>
        <v>309.1304385210662</v>
      </c>
      <c r="M10" s="97">
        <f t="shared" si="8"/>
        <v>291.30834049871021</v>
      </c>
      <c r="N10" s="97">
        <f t="shared" si="8"/>
        <v>271.47067927772991</v>
      </c>
      <c r="O10" s="97">
        <f t="shared" si="8"/>
        <v>259.5348237317283</v>
      </c>
      <c r="P10" s="97">
        <f t="shared" si="8"/>
        <v>259.39604471195184</v>
      </c>
      <c r="Q10" s="97">
        <f t="shared" si="8"/>
        <v>324.09208942390364</v>
      </c>
      <c r="R10" s="97">
        <f t="shared" si="8"/>
        <v>262.44961306964746</v>
      </c>
      <c r="S10" s="97">
        <f t="shared" si="8"/>
        <v>240.76861564918312</v>
      </c>
      <c r="T10" s="97">
        <f t="shared" si="8"/>
        <v>260.10756663800515</v>
      </c>
      <c r="U10" s="97">
        <f t="shared" si="8"/>
        <v>270.47059329320712</v>
      </c>
      <c r="V10" s="97">
        <f t="shared" si="8"/>
        <v>242.1371453138434</v>
      </c>
      <c r="W10" s="97">
        <f t="shared" si="8"/>
        <v>337.88976784178851</v>
      </c>
      <c r="X10" s="97">
        <f t="shared" ref="X10:Y10" si="9">SUM(X11:X13)</f>
        <v>338.78374892519344</v>
      </c>
      <c r="Y10" s="97">
        <f t="shared" si="9"/>
        <v>352.51668099742045</v>
      </c>
      <c r="DA10" s="175"/>
    </row>
    <row r="11" spans="1:105" ht="11.45" customHeight="1" x14ac:dyDescent="0.25">
      <c r="A11" s="128" t="s">
        <v>57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X11" s="97">
        <v>0</v>
      </c>
      <c r="Y11" s="97">
        <v>0</v>
      </c>
      <c r="DA11" s="175" t="s">
        <v>634</v>
      </c>
    </row>
    <row r="12" spans="1:105" ht="11.45" customHeight="1" x14ac:dyDescent="0.25">
      <c r="A12" s="128" t="s">
        <v>58</v>
      </c>
      <c r="B12" s="97">
        <v>0</v>
      </c>
      <c r="C12" s="97">
        <v>0</v>
      </c>
      <c r="D12" s="97">
        <v>0</v>
      </c>
      <c r="E12" s="97">
        <v>0</v>
      </c>
      <c r="F12" s="97">
        <v>0</v>
      </c>
      <c r="G12" s="97">
        <v>0</v>
      </c>
      <c r="H12" s="97">
        <v>0</v>
      </c>
      <c r="I12" s="97">
        <v>0</v>
      </c>
      <c r="J12" s="97">
        <v>0</v>
      </c>
      <c r="K12" s="97">
        <v>0</v>
      </c>
      <c r="L12" s="97">
        <v>0</v>
      </c>
      <c r="M12" s="97">
        <v>0</v>
      </c>
      <c r="N12" s="97">
        <v>1.2897678417884779</v>
      </c>
      <c r="O12" s="97">
        <v>1.9346517626827171</v>
      </c>
      <c r="P12" s="97">
        <v>1.9346517626827171</v>
      </c>
      <c r="Q12" s="97">
        <v>21.281169389509891</v>
      </c>
      <c r="R12" s="97">
        <v>25.150472914875319</v>
      </c>
      <c r="S12" s="97">
        <v>2.9471195184866721</v>
      </c>
      <c r="T12" s="97">
        <v>5.5995700773860708</v>
      </c>
      <c r="U12" s="97">
        <v>8.184866723989682</v>
      </c>
      <c r="V12" s="97">
        <v>6.4172828890799636</v>
      </c>
      <c r="W12" s="97">
        <v>17.111349957007739</v>
      </c>
      <c r="X12" s="97">
        <v>25.719948409286321</v>
      </c>
      <c r="Y12" s="97">
        <v>25.392347377472049</v>
      </c>
      <c r="DA12" s="175" t="s">
        <v>635</v>
      </c>
    </row>
    <row r="13" spans="1:105" ht="11.45" customHeight="1" x14ac:dyDescent="0.25">
      <c r="A13" s="128" t="s">
        <v>177</v>
      </c>
      <c r="B13" s="97">
        <v>0</v>
      </c>
      <c r="C13" s="97">
        <v>0</v>
      </c>
      <c r="D13" s="97">
        <v>0</v>
      </c>
      <c r="E13" s="97">
        <v>0</v>
      </c>
      <c r="F13" s="97">
        <v>0</v>
      </c>
      <c r="G13" s="97">
        <v>0</v>
      </c>
      <c r="H13" s="97">
        <v>71.628030954428198</v>
      </c>
      <c r="I13" s="97">
        <v>121.8760963026655</v>
      </c>
      <c r="J13" s="97">
        <v>125.56569217540837</v>
      </c>
      <c r="K13" s="97">
        <v>207.21169389509888</v>
      </c>
      <c r="L13" s="97">
        <v>309.1304385210662</v>
      </c>
      <c r="M13" s="97">
        <v>291.30834049871021</v>
      </c>
      <c r="N13" s="97">
        <v>270.18091143594143</v>
      </c>
      <c r="O13" s="97">
        <v>257.60017196904556</v>
      </c>
      <c r="P13" s="97">
        <v>257.46139294926911</v>
      </c>
      <c r="Q13" s="97">
        <v>302.81092003439375</v>
      </c>
      <c r="R13" s="97">
        <v>237.29914015477215</v>
      </c>
      <c r="S13" s="97">
        <v>237.82149613069646</v>
      </c>
      <c r="T13" s="97">
        <v>254.50799656061906</v>
      </c>
      <c r="U13" s="97">
        <v>262.28572656921745</v>
      </c>
      <c r="V13" s="97">
        <v>235.71986242476345</v>
      </c>
      <c r="W13" s="97">
        <v>320.77841788478077</v>
      </c>
      <c r="X13" s="97">
        <v>313.06380051590713</v>
      </c>
      <c r="Y13" s="97">
        <v>327.1243336199484</v>
      </c>
      <c r="DA13" s="175" t="s">
        <v>636</v>
      </c>
    </row>
    <row r="14" spans="1:105" ht="11.45" hidden="1" customHeight="1" x14ac:dyDescent="0.25">
      <c r="A14" s="92" t="s">
        <v>178</v>
      </c>
      <c r="B14" s="97">
        <v>0</v>
      </c>
      <c r="C14" s="97">
        <v>0</v>
      </c>
      <c r="D14" s="97">
        <v>0</v>
      </c>
      <c r="E14" s="97">
        <v>0</v>
      </c>
      <c r="F14" s="97">
        <v>0</v>
      </c>
      <c r="G14" s="97">
        <v>0</v>
      </c>
      <c r="H14" s="97">
        <v>0</v>
      </c>
      <c r="I14" s="97">
        <v>0</v>
      </c>
      <c r="J14" s="97">
        <v>0</v>
      </c>
      <c r="K14" s="97">
        <v>0</v>
      </c>
      <c r="L14" s="97">
        <v>0</v>
      </c>
      <c r="M14" s="97">
        <v>0</v>
      </c>
      <c r="N14" s="97">
        <v>0</v>
      </c>
      <c r="O14" s="97">
        <v>0</v>
      </c>
      <c r="P14" s="97">
        <v>0</v>
      </c>
      <c r="Q14" s="97">
        <v>0</v>
      </c>
      <c r="R14" s="97">
        <v>0</v>
      </c>
      <c r="S14" s="97">
        <v>0</v>
      </c>
      <c r="T14" s="97">
        <v>0</v>
      </c>
      <c r="U14" s="97">
        <v>0</v>
      </c>
      <c r="V14" s="97">
        <v>0</v>
      </c>
      <c r="W14" s="97">
        <v>0</v>
      </c>
      <c r="X14" s="97">
        <v>0</v>
      </c>
      <c r="Y14" s="97">
        <v>0</v>
      </c>
      <c r="DA14" s="175" t="s">
        <v>637</v>
      </c>
    </row>
    <row r="15" spans="1:105" ht="11.45" customHeight="1" x14ac:dyDescent="0.25">
      <c r="A15" s="85" t="s">
        <v>91</v>
      </c>
      <c r="B15" s="98">
        <v>0</v>
      </c>
      <c r="C15" s="98">
        <v>0</v>
      </c>
      <c r="D15" s="98">
        <v>0</v>
      </c>
      <c r="E15" s="98">
        <v>0</v>
      </c>
      <c r="F15" s="98">
        <v>0</v>
      </c>
      <c r="G15" s="98">
        <v>0</v>
      </c>
      <c r="H15" s="98">
        <v>0</v>
      </c>
      <c r="I15" s="98">
        <v>0</v>
      </c>
      <c r="J15" s="98">
        <v>4.447712086543449E-3</v>
      </c>
      <c r="K15" s="98">
        <v>4.6075036503681506E-3</v>
      </c>
      <c r="L15" s="98">
        <v>0.24982382572021922</v>
      </c>
      <c r="M15" s="98">
        <v>0.17262437452317195</v>
      </c>
      <c r="N15" s="98">
        <v>0.29897093874692915</v>
      </c>
      <c r="O15" s="98">
        <v>0.32415659170042838</v>
      </c>
      <c r="P15" s="98">
        <v>0.34670480420146843</v>
      </c>
      <c r="Q15" s="98">
        <v>0.49479603081652646</v>
      </c>
      <c r="R15" s="98">
        <v>0.85555353537979495</v>
      </c>
      <c r="S15" s="98">
        <v>2.187165963005508</v>
      </c>
      <c r="T15" s="98">
        <v>5.4152467978546088</v>
      </c>
      <c r="U15" s="98">
        <v>9.2793024870385565</v>
      </c>
      <c r="V15" s="98">
        <v>10.670417923253135</v>
      </c>
      <c r="W15" s="98">
        <v>17.18741779359766</v>
      </c>
      <c r="X15" s="98">
        <v>24.56281597443575</v>
      </c>
      <c r="Y15" s="98">
        <v>40.687190257670053</v>
      </c>
      <c r="DA15" s="178" t="s">
        <v>638</v>
      </c>
    </row>
    <row r="16" spans="1:105" x14ac:dyDescent="0.25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96"/>
      <c r="X16" s="96"/>
      <c r="Y16" s="96"/>
      <c r="DA16" s="171"/>
    </row>
    <row r="17" spans="1:105" ht="11.45" customHeight="1" x14ac:dyDescent="0.25">
      <c r="A17" s="53" t="s">
        <v>61</v>
      </c>
      <c r="B17" s="79">
        <f t="shared" ref="B17:K17" si="10">B18+B42</f>
        <v>5715.7937231298365</v>
      </c>
      <c r="C17" s="79">
        <f t="shared" si="10"/>
        <v>5792.3149613069636</v>
      </c>
      <c r="D17" s="79">
        <f t="shared" si="10"/>
        <v>5965.8474634565773</v>
      </c>
      <c r="E17" s="79">
        <f t="shared" si="10"/>
        <v>6310.4786758383489</v>
      </c>
      <c r="F17" s="79">
        <f t="shared" si="10"/>
        <v>6485.1028374892503</v>
      </c>
      <c r="G17" s="79">
        <f t="shared" si="10"/>
        <v>6212.7207222699908</v>
      </c>
      <c r="H17" s="79">
        <f t="shared" si="10"/>
        <v>6223.8136715391229</v>
      </c>
      <c r="I17" s="79">
        <f t="shared" si="10"/>
        <v>6175.9126397248492</v>
      </c>
      <c r="J17" s="79">
        <f t="shared" si="10"/>
        <v>6192.2583600078724</v>
      </c>
      <c r="K17" s="79">
        <f t="shared" si="10"/>
        <v>6133.7807038063147</v>
      </c>
      <c r="L17" s="79">
        <f t="shared" ref="L17" si="11">L18+L42</f>
        <v>6149.4419132496232</v>
      </c>
      <c r="M17" s="79">
        <f t="shared" ref="M17:V17" si="12">M18+M42</f>
        <v>5715.1361669368616</v>
      </c>
      <c r="N17" s="79">
        <f t="shared" si="12"/>
        <v>5246.7218428218075</v>
      </c>
      <c r="O17" s="79">
        <f t="shared" si="12"/>
        <v>5154.5614738745899</v>
      </c>
      <c r="P17" s="79">
        <f t="shared" si="12"/>
        <v>5222.8816145204528</v>
      </c>
      <c r="Q17" s="79">
        <f t="shared" si="12"/>
        <v>5294.9818983523983</v>
      </c>
      <c r="R17" s="79">
        <f t="shared" si="12"/>
        <v>5394.4196120048555</v>
      </c>
      <c r="S17" s="79">
        <f t="shared" si="12"/>
        <v>5472.3035890068568</v>
      </c>
      <c r="T17" s="79">
        <f t="shared" si="12"/>
        <v>5519.3666655424804</v>
      </c>
      <c r="U17" s="79">
        <f t="shared" si="12"/>
        <v>5685.14542458506</v>
      </c>
      <c r="V17" s="79">
        <f t="shared" si="12"/>
        <v>4818.0580361519715</v>
      </c>
      <c r="W17" s="79">
        <f t="shared" ref="W17:Y17" si="13">W18+W42</f>
        <v>5247.9721985330643</v>
      </c>
      <c r="X17" s="79">
        <f t="shared" si="13"/>
        <v>5546.4035726382363</v>
      </c>
      <c r="Y17" s="79">
        <f t="shared" si="13"/>
        <v>5921.0775599911185</v>
      </c>
      <c r="DA17" s="172" t="s">
        <v>639</v>
      </c>
    </row>
    <row r="18" spans="1:105" ht="11.45" customHeight="1" x14ac:dyDescent="0.25">
      <c r="A18" s="27" t="s">
        <v>33</v>
      </c>
      <c r="B18" s="32">
        <f t="shared" ref="B18:K18" si="14">B19+B21+B33</f>
        <v>3336.4783077875841</v>
      </c>
      <c r="C18" s="32">
        <f t="shared" si="14"/>
        <v>3352.9962423265215</v>
      </c>
      <c r="D18" s="32">
        <f t="shared" si="14"/>
        <v>3556.0827469224714</v>
      </c>
      <c r="E18" s="32">
        <f t="shared" si="14"/>
        <v>3815.706488174505</v>
      </c>
      <c r="F18" s="32">
        <f t="shared" si="14"/>
        <v>3930.3677171808317</v>
      </c>
      <c r="G18" s="32">
        <f t="shared" si="14"/>
        <v>3734.74184345806</v>
      </c>
      <c r="H18" s="32">
        <f t="shared" si="14"/>
        <v>3752.229181661166</v>
      </c>
      <c r="I18" s="32">
        <f t="shared" si="14"/>
        <v>3755.3417104070836</v>
      </c>
      <c r="J18" s="32">
        <f t="shared" si="14"/>
        <v>3814.219614938032</v>
      </c>
      <c r="K18" s="32">
        <f t="shared" si="14"/>
        <v>3857.8652273383723</v>
      </c>
      <c r="L18" s="32">
        <f t="shared" ref="L18" si="15">L19+L21+L33</f>
        <v>3896.2418201156174</v>
      </c>
      <c r="M18" s="32">
        <f t="shared" ref="M18:V18" si="16">M19+M21+M33</f>
        <v>3670.8522584685693</v>
      </c>
      <c r="N18" s="32">
        <f t="shared" si="16"/>
        <v>3479.3915542630534</v>
      </c>
      <c r="O18" s="32">
        <f t="shared" si="16"/>
        <v>3475.0684424418546</v>
      </c>
      <c r="P18" s="32">
        <f t="shared" si="16"/>
        <v>3552.2026296556264</v>
      </c>
      <c r="Q18" s="32">
        <f t="shared" si="16"/>
        <v>3599.5932260672753</v>
      </c>
      <c r="R18" s="32">
        <f t="shared" si="16"/>
        <v>3685.4814798287134</v>
      </c>
      <c r="S18" s="32">
        <f t="shared" si="16"/>
        <v>3755.1789452782386</v>
      </c>
      <c r="T18" s="32">
        <f t="shared" si="16"/>
        <v>3800.9101231635</v>
      </c>
      <c r="U18" s="32">
        <f t="shared" si="16"/>
        <v>3935.3382842692299</v>
      </c>
      <c r="V18" s="32">
        <f t="shared" si="16"/>
        <v>3329.8752839447334</v>
      </c>
      <c r="W18" s="32">
        <f t="shared" ref="W18:Y18" si="17">W19+W21+W33</f>
        <v>3620.4423029572645</v>
      </c>
      <c r="X18" s="32">
        <f t="shared" si="17"/>
        <v>3791.749314452994</v>
      </c>
      <c r="Y18" s="32">
        <f t="shared" si="17"/>
        <v>4065.6478719626725</v>
      </c>
      <c r="DA18" s="173" t="s">
        <v>391</v>
      </c>
    </row>
    <row r="19" spans="1:105" ht="11.45" customHeight="1" x14ac:dyDescent="0.25">
      <c r="A19" s="107" t="s">
        <v>174</v>
      </c>
      <c r="B19" s="129">
        <v>55.557233670197313</v>
      </c>
      <c r="C19" s="129">
        <v>56.48474179580888</v>
      </c>
      <c r="D19" s="129">
        <v>60.278648894138826</v>
      </c>
      <c r="E19" s="129">
        <v>63.185450928234246</v>
      </c>
      <c r="F19" s="129">
        <v>67.184047450831699</v>
      </c>
      <c r="G19" s="129">
        <v>70.095999502019936</v>
      </c>
      <c r="H19" s="129">
        <v>73.071327557101071</v>
      </c>
      <c r="I19" s="129">
        <v>68.493781425069358</v>
      </c>
      <c r="J19" s="129">
        <v>68.882559378975714</v>
      </c>
      <c r="K19" s="129">
        <v>63.848720213818225</v>
      </c>
      <c r="L19" s="129">
        <v>60.503638795396562</v>
      </c>
      <c r="M19" s="129">
        <v>58.157443367407673</v>
      </c>
      <c r="N19" s="129">
        <v>57.857257177361753</v>
      </c>
      <c r="O19" s="129">
        <v>56.455748393657011</v>
      </c>
      <c r="P19" s="129">
        <v>54.83799200414758</v>
      </c>
      <c r="Q19" s="129">
        <v>52.145434454336893</v>
      </c>
      <c r="R19" s="129">
        <v>54.815931926805028</v>
      </c>
      <c r="S19" s="129">
        <v>54.329275356390625</v>
      </c>
      <c r="T19" s="129">
        <v>51.56222277309886</v>
      </c>
      <c r="U19" s="129">
        <v>54.760892752326647</v>
      </c>
      <c r="V19" s="129">
        <v>48.352863946549533</v>
      </c>
      <c r="W19" s="129">
        <v>50.195317046810288</v>
      </c>
      <c r="X19" s="129">
        <v>51.134569358620936</v>
      </c>
      <c r="Y19" s="129">
        <v>56.038302909373868</v>
      </c>
      <c r="DA19" s="203" t="s">
        <v>392</v>
      </c>
    </row>
    <row r="20" spans="1:105" ht="11.45" customHeight="1" x14ac:dyDescent="0.25">
      <c r="A20" s="159" t="s">
        <v>131</v>
      </c>
      <c r="B20" s="97">
        <v>0</v>
      </c>
      <c r="C20" s="97">
        <v>0</v>
      </c>
      <c r="D20" s="97">
        <v>0</v>
      </c>
      <c r="E20" s="97">
        <v>0</v>
      </c>
      <c r="F20" s="97">
        <v>0</v>
      </c>
      <c r="G20" s="97">
        <v>0</v>
      </c>
      <c r="H20" s="97">
        <v>0</v>
      </c>
      <c r="I20" s="97">
        <v>0</v>
      </c>
      <c r="J20" s="97">
        <v>0</v>
      </c>
      <c r="K20" s="97">
        <v>0</v>
      </c>
      <c r="L20" s="97">
        <v>0</v>
      </c>
      <c r="M20" s="97">
        <v>0</v>
      </c>
      <c r="N20" s="97">
        <v>6.3048227944818458E-2</v>
      </c>
      <c r="O20" s="97">
        <v>9.4667538938373985E-2</v>
      </c>
      <c r="P20" s="97">
        <v>9.2544895562971768E-2</v>
      </c>
      <c r="Q20" s="97">
        <v>0.9903353657327244</v>
      </c>
      <c r="R20" s="97">
        <v>1.2447151536678596</v>
      </c>
      <c r="S20" s="97">
        <v>0.14784877181654602</v>
      </c>
      <c r="T20" s="97">
        <v>0.26893596862525493</v>
      </c>
      <c r="U20" s="97">
        <v>0.40196060050878268</v>
      </c>
      <c r="V20" s="97">
        <v>0.33634764544605233</v>
      </c>
      <c r="W20" s="97">
        <v>0.84804748235884309</v>
      </c>
      <c r="X20" s="97">
        <v>1.1852525853626659</v>
      </c>
      <c r="Y20" s="97">
        <v>1.1513042581192241</v>
      </c>
      <c r="DA20" s="175" t="s">
        <v>640</v>
      </c>
    </row>
    <row r="21" spans="1:105" ht="11.45" customHeight="1" x14ac:dyDescent="0.25">
      <c r="A21" s="109" t="s">
        <v>20</v>
      </c>
      <c r="B21" s="130">
        <f t="shared" ref="B21:K21" si="18">B22+B24+B26+B27+B29+B32</f>
        <v>2958.1789792672553</v>
      </c>
      <c r="C21" s="130">
        <f t="shared" si="18"/>
        <v>2973.7341925214137</v>
      </c>
      <c r="D21" s="130">
        <f t="shared" si="18"/>
        <v>3172.383222539313</v>
      </c>
      <c r="E21" s="130">
        <f t="shared" si="18"/>
        <v>3434.7951577136218</v>
      </c>
      <c r="F21" s="130">
        <f t="shared" si="18"/>
        <v>3552.3785930630388</v>
      </c>
      <c r="G21" s="130">
        <f t="shared" si="18"/>
        <v>3469.8352804070018</v>
      </c>
      <c r="H21" s="130">
        <f t="shared" si="18"/>
        <v>3484.6403801074202</v>
      </c>
      <c r="I21" s="130">
        <f t="shared" si="18"/>
        <v>3488.1407869183549</v>
      </c>
      <c r="J21" s="130">
        <f t="shared" si="18"/>
        <v>3539.4665349602028</v>
      </c>
      <c r="K21" s="130">
        <f t="shared" si="18"/>
        <v>3583.8911225053084</v>
      </c>
      <c r="L21" s="130">
        <f t="shared" ref="L21" si="19">L22+L24+L26+L27+L29+L32</f>
        <v>3619.1658881033618</v>
      </c>
      <c r="M21" s="130">
        <f t="shared" ref="M21:V21" si="20">M22+M24+M26+M27+M29+M32</f>
        <v>3396.381736025236</v>
      </c>
      <c r="N21" s="130">
        <f t="shared" si="20"/>
        <v>3246.7140535663257</v>
      </c>
      <c r="O21" s="130">
        <f t="shared" si="20"/>
        <v>3250.4938771688003</v>
      </c>
      <c r="P21" s="130">
        <f t="shared" si="20"/>
        <v>3291.7214111311687</v>
      </c>
      <c r="Q21" s="130">
        <f t="shared" si="20"/>
        <v>3338.5385556264009</v>
      </c>
      <c r="R21" s="130">
        <f t="shared" si="20"/>
        <v>3409.8997521514689</v>
      </c>
      <c r="S21" s="130">
        <f t="shared" si="20"/>
        <v>3471.4651096375896</v>
      </c>
      <c r="T21" s="130">
        <f t="shared" si="20"/>
        <v>3508.9855476275516</v>
      </c>
      <c r="U21" s="130">
        <f t="shared" si="20"/>
        <v>3656.9143978107559</v>
      </c>
      <c r="V21" s="130">
        <f t="shared" si="20"/>
        <v>3109.619813894617</v>
      </c>
      <c r="W21" s="130">
        <f t="shared" ref="W21:Y21" si="21">W22+W24+W26+W27+W29+W32</f>
        <v>3354.2160671367092</v>
      </c>
      <c r="X21" s="130">
        <f t="shared" si="21"/>
        <v>3485.1925445905763</v>
      </c>
      <c r="Y21" s="130">
        <f t="shared" si="21"/>
        <v>3739.5501310053864</v>
      </c>
      <c r="DA21" s="176" t="s">
        <v>393</v>
      </c>
    </row>
    <row r="22" spans="1:105" ht="11.45" customHeight="1" x14ac:dyDescent="0.25">
      <c r="A22" s="111" t="s">
        <v>110</v>
      </c>
      <c r="B22" s="96">
        <v>2192.5942973488236</v>
      </c>
      <c r="C22" s="96">
        <v>2057.4154875817621</v>
      </c>
      <c r="D22" s="96">
        <v>2131.0048408110329</v>
      </c>
      <c r="E22" s="96">
        <v>2060.3160300349855</v>
      </c>
      <c r="F22" s="96">
        <v>1975.7116486750381</v>
      </c>
      <c r="G22" s="96">
        <v>1847.2571436196379</v>
      </c>
      <c r="H22" s="96">
        <v>1699.4127820478841</v>
      </c>
      <c r="I22" s="96">
        <v>1584.3006999633806</v>
      </c>
      <c r="J22" s="96">
        <v>1480.370938486745</v>
      </c>
      <c r="K22" s="96">
        <v>1449.9895629369507</v>
      </c>
      <c r="L22" s="96">
        <v>1376.3581278992165</v>
      </c>
      <c r="M22" s="96">
        <v>1237.5890032387192</v>
      </c>
      <c r="N22" s="96">
        <v>1116.7533207353333</v>
      </c>
      <c r="O22" s="96">
        <v>1089.413002329449</v>
      </c>
      <c r="P22" s="96">
        <v>1083.9672729394917</v>
      </c>
      <c r="Q22" s="96">
        <v>1060.1671127842535</v>
      </c>
      <c r="R22" s="96">
        <v>1045.0390609185197</v>
      </c>
      <c r="S22" s="96">
        <v>1020.2880836903389</v>
      </c>
      <c r="T22" s="96">
        <v>1013.3001995819853</v>
      </c>
      <c r="U22" s="96">
        <v>1048.8498568602511</v>
      </c>
      <c r="V22" s="96">
        <v>865.393813686626</v>
      </c>
      <c r="W22" s="96">
        <v>951.49807748017975</v>
      </c>
      <c r="X22" s="96">
        <v>1044.104633242335</v>
      </c>
      <c r="Y22" s="96">
        <v>1162.003835620043</v>
      </c>
      <c r="DA22" s="171" t="s">
        <v>641</v>
      </c>
    </row>
    <row r="23" spans="1:105" ht="11.45" customHeight="1" x14ac:dyDescent="0.25">
      <c r="A23" s="160" t="s">
        <v>131</v>
      </c>
      <c r="B23" s="96">
        <v>0</v>
      </c>
      <c r="C23" s="96">
        <v>0</v>
      </c>
      <c r="D23" s="96">
        <v>0</v>
      </c>
      <c r="E23" s="96">
        <v>0</v>
      </c>
      <c r="F23" s="96">
        <v>0</v>
      </c>
      <c r="G23" s="96">
        <v>0</v>
      </c>
      <c r="H23" s="96">
        <v>0</v>
      </c>
      <c r="I23" s="96">
        <v>0</v>
      </c>
      <c r="J23" s="96">
        <v>0</v>
      </c>
      <c r="K23" s="96">
        <v>0</v>
      </c>
      <c r="L23" s="96">
        <v>0</v>
      </c>
      <c r="M23" s="96">
        <v>0</v>
      </c>
      <c r="N23" s="96">
        <v>1.2169487694173626</v>
      </c>
      <c r="O23" s="96">
        <v>1.8267767366906655</v>
      </c>
      <c r="P23" s="96">
        <v>1.8293091049044496</v>
      </c>
      <c r="Q23" s="96">
        <v>20.134475747755115</v>
      </c>
      <c r="R23" s="96">
        <v>23.729888548406315</v>
      </c>
      <c r="S23" s="96">
        <v>2.7765571891606324</v>
      </c>
      <c r="T23" s="96">
        <v>5.2851265136870964</v>
      </c>
      <c r="U23" s="96">
        <v>7.6988576540177887</v>
      </c>
      <c r="V23" s="96">
        <v>6.0197710716543265</v>
      </c>
      <c r="W23" s="96">
        <v>16.075514541004818</v>
      </c>
      <c r="X23" s="96">
        <v>24.201391181384363</v>
      </c>
      <c r="Y23" s="96">
        <v>23.873313331129467</v>
      </c>
      <c r="DA23" s="171" t="s">
        <v>642</v>
      </c>
    </row>
    <row r="24" spans="1:105" ht="11.45" customHeight="1" x14ac:dyDescent="0.25">
      <c r="A24" s="111" t="s">
        <v>111</v>
      </c>
      <c r="B24" s="96">
        <v>744.5385132481041</v>
      </c>
      <c r="C24" s="96">
        <v>895.1288301219621</v>
      </c>
      <c r="D24" s="96">
        <v>1021.3118984860935</v>
      </c>
      <c r="E24" s="96">
        <v>1353.3744929636873</v>
      </c>
      <c r="F24" s="96">
        <v>1555.3923001874018</v>
      </c>
      <c r="G24" s="96">
        <v>1598.9428548090409</v>
      </c>
      <c r="H24" s="96">
        <v>1762.6914006004213</v>
      </c>
      <c r="I24" s="96">
        <v>1880.7733205559027</v>
      </c>
      <c r="J24" s="96">
        <v>2033.8010406531114</v>
      </c>
      <c r="K24" s="96">
        <v>2102.0000388140679</v>
      </c>
      <c r="L24" s="96">
        <v>2211.8446298986441</v>
      </c>
      <c r="M24" s="96">
        <v>2132.1349347187706</v>
      </c>
      <c r="N24" s="96">
        <v>2096.499674666089</v>
      </c>
      <c r="O24" s="96">
        <v>2125.3672436224697</v>
      </c>
      <c r="P24" s="96">
        <v>2170.9193895447138</v>
      </c>
      <c r="Q24" s="96">
        <v>2239.1364822118721</v>
      </c>
      <c r="R24" s="96">
        <v>2323.9147569863508</v>
      </c>
      <c r="S24" s="96">
        <v>2408.6347499452731</v>
      </c>
      <c r="T24" s="96">
        <v>2450.2768259988015</v>
      </c>
      <c r="U24" s="96">
        <v>2556.6657022808013</v>
      </c>
      <c r="V24" s="96">
        <v>2200.8408334202772</v>
      </c>
      <c r="W24" s="96">
        <v>2348.5280510030989</v>
      </c>
      <c r="X24" s="96">
        <v>2374.1442585390355</v>
      </c>
      <c r="Y24" s="96">
        <v>2485.2354046607688</v>
      </c>
      <c r="DA24" s="171" t="s">
        <v>643</v>
      </c>
    </row>
    <row r="25" spans="1:105" ht="11.45" customHeight="1" x14ac:dyDescent="0.25">
      <c r="A25" s="160" t="s">
        <v>131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28.69117575830218</v>
      </c>
      <c r="I25" s="96">
        <v>51.252344206318</v>
      </c>
      <c r="J25" s="96">
        <v>55.636216654908203</v>
      </c>
      <c r="K25" s="96">
        <v>95.500085055339056</v>
      </c>
      <c r="L25" s="96">
        <v>146.89972318716622</v>
      </c>
      <c r="M25" s="96">
        <v>142.17416648872677</v>
      </c>
      <c r="N25" s="96">
        <v>141.01581800792491</v>
      </c>
      <c r="O25" s="96">
        <v>138.54130928288711</v>
      </c>
      <c r="P25" s="96">
        <v>138.80585326037104</v>
      </c>
      <c r="Q25" s="96">
        <v>164.55926389026911</v>
      </c>
      <c r="R25" s="96">
        <v>130.3249040887994</v>
      </c>
      <c r="S25" s="96">
        <v>132.23513817268758</v>
      </c>
      <c r="T25" s="96">
        <v>142.2339534243726</v>
      </c>
      <c r="U25" s="96">
        <v>148.93575168300487</v>
      </c>
      <c r="V25" s="96">
        <v>135.31219299843872</v>
      </c>
      <c r="W25" s="96">
        <v>181.05866480642089</v>
      </c>
      <c r="X25" s="96">
        <v>171.1549817660042</v>
      </c>
      <c r="Y25" s="96">
        <v>178.1441778196801</v>
      </c>
      <c r="DA25" s="171" t="s">
        <v>644</v>
      </c>
    </row>
    <row r="26" spans="1:105" ht="11.45" customHeight="1" x14ac:dyDescent="0.25">
      <c r="A26" s="111" t="s">
        <v>112</v>
      </c>
      <c r="B26" s="96">
        <v>21.046168670327358</v>
      </c>
      <c r="C26" s="96">
        <v>21.189874817689695</v>
      </c>
      <c r="D26" s="96">
        <v>20.066483242186884</v>
      </c>
      <c r="E26" s="96">
        <v>21.10463471494905</v>
      </c>
      <c r="F26" s="96">
        <v>21.2746442005989</v>
      </c>
      <c r="G26" s="96">
        <v>23.635281978323359</v>
      </c>
      <c r="H26" s="96">
        <v>22.536197459115051</v>
      </c>
      <c r="I26" s="96">
        <v>23.066766399071721</v>
      </c>
      <c r="J26" s="96">
        <v>25.290108108259844</v>
      </c>
      <c r="K26" s="96">
        <v>31.896913250639315</v>
      </c>
      <c r="L26" s="96">
        <v>30.847459505634387</v>
      </c>
      <c r="M26" s="96">
        <v>26.605895662431717</v>
      </c>
      <c r="N26" s="96">
        <v>33.38305245319949</v>
      </c>
      <c r="O26" s="96">
        <v>35.59607394468469</v>
      </c>
      <c r="P26" s="96">
        <v>36.679151713861181</v>
      </c>
      <c r="Q26" s="96">
        <v>38.839687317056139</v>
      </c>
      <c r="R26" s="96">
        <v>39.982771777857465</v>
      </c>
      <c r="S26" s="96">
        <v>39.954638187143097</v>
      </c>
      <c r="T26" s="96">
        <v>39.230600864113974</v>
      </c>
      <c r="U26" s="96">
        <v>40.18555218874809</v>
      </c>
      <c r="V26" s="96">
        <v>30.266868656222361</v>
      </c>
      <c r="W26" s="96">
        <v>32.788307585756655</v>
      </c>
      <c r="X26" s="96">
        <v>36.296444044814173</v>
      </c>
      <c r="Y26" s="96">
        <v>46.11130870987914</v>
      </c>
      <c r="DA26" s="171" t="s">
        <v>645</v>
      </c>
    </row>
    <row r="27" spans="1:105" ht="11.45" customHeight="1" x14ac:dyDescent="0.25">
      <c r="A27" s="111" t="s">
        <v>113</v>
      </c>
      <c r="B27" s="96">
        <v>0</v>
      </c>
      <c r="C27" s="96">
        <v>0</v>
      </c>
      <c r="D27" s="96">
        <v>0</v>
      </c>
      <c r="E27" s="96">
        <v>0</v>
      </c>
      <c r="F27" s="96">
        <v>0</v>
      </c>
      <c r="G27" s="96">
        <v>0</v>
      </c>
      <c r="H27" s="96">
        <v>0</v>
      </c>
      <c r="I27" s="96">
        <v>0</v>
      </c>
      <c r="J27" s="96">
        <v>0</v>
      </c>
      <c r="K27" s="96">
        <v>0</v>
      </c>
      <c r="L27" s="96">
        <v>1.9524827755119081E-3</v>
      </c>
      <c r="M27" s="96">
        <v>1.810892701678962E-3</v>
      </c>
      <c r="N27" s="96">
        <v>5.4414747943199249E-3</v>
      </c>
      <c r="O27" s="96">
        <v>1.6163511755365578E-2</v>
      </c>
      <c r="P27" s="96">
        <v>1.6973231793683659E-2</v>
      </c>
      <c r="Q27" s="96">
        <v>2.0404876925407055E-2</v>
      </c>
      <c r="R27" s="96">
        <v>2.3283526930676843E-2</v>
      </c>
      <c r="S27" s="96">
        <v>2.7295853033949734E-2</v>
      </c>
      <c r="T27" s="96">
        <v>3.1819348831221526E-2</v>
      </c>
      <c r="U27" s="96">
        <v>5.7785754464843728E-2</v>
      </c>
      <c r="V27" s="96">
        <v>6.1331092901710356E-2</v>
      </c>
      <c r="W27" s="96">
        <v>7.6877638691442693E-2</v>
      </c>
      <c r="X27" s="96">
        <v>8.1863285137216357E-2</v>
      </c>
      <c r="Y27" s="96">
        <v>8.7391802889990655E-2</v>
      </c>
      <c r="DA27" s="171" t="s">
        <v>646</v>
      </c>
    </row>
    <row r="28" spans="1:105" ht="11.45" customHeight="1" x14ac:dyDescent="0.25">
      <c r="A28" s="160" t="s">
        <v>132</v>
      </c>
      <c r="B28" s="96">
        <v>0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0</v>
      </c>
      <c r="K28" s="96">
        <v>0</v>
      </c>
      <c r="L28" s="96">
        <v>0</v>
      </c>
      <c r="M28" s="96">
        <v>0</v>
      </c>
      <c r="N28" s="96">
        <v>0</v>
      </c>
      <c r="O28" s="96">
        <v>0</v>
      </c>
      <c r="P28" s="96">
        <v>0</v>
      </c>
      <c r="Q28" s="96">
        <v>0</v>
      </c>
      <c r="R28" s="96">
        <v>0</v>
      </c>
      <c r="S28" s="96">
        <v>0</v>
      </c>
      <c r="T28" s="96">
        <v>0</v>
      </c>
      <c r="U28" s="96">
        <v>0</v>
      </c>
      <c r="V28" s="96">
        <v>0</v>
      </c>
      <c r="W28" s="96">
        <v>0</v>
      </c>
      <c r="X28" s="96">
        <v>0</v>
      </c>
      <c r="Y28" s="96">
        <v>0</v>
      </c>
      <c r="DA28" s="171" t="s">
        <v>647</v>
      </c>
    </row>
    <row r="29" spans="1:105" ht="11.45" customHeight="1" x14ac:dyDescent="0.25">
      <c r="A29" s="111" t="s">
        <v>185</v>
      </c>
      <c r="B29" s="96">
        <v>0</v>
      </c>
      <c r="C29" s="96">
        <v>0</v>
      </c>
      <c r="D29" s="96">
        <v>0</v>
      </c>
      <c r="E29" s="96">
        <v>0</v>
      </c>
      <c r="F29" s="96">
        <v>0</v>
      </c>
      <c r="G29" s="96">
        <v>0</v>
      </c>
      <c r="H29" s="96">
        <v>0</v>
      </c>
      <c r="I29" s="96">
        <v>0</v>
      </c>
      <c r="J29" s="96">
        <v>0</v>
      </c>
      <c r="K29" s="96">
        <v>0</v>
      </c>
      <c r="L29" s="96">
        <v>0</v>
      </c>
      <c r="M29" s="96">
        <v>5.1959793408106331E-3</v>
      </c>
      <c r="N29" s="96">
        <v>1.7099470347798046E-2</v>
      </c>
      <c r="O29" s="96">
        <v>3.0464534497798193E-2</v>
      </c>
      <c r="P29" s="96">
        <v>5.91212874127637E-2</v>
      </c>
      <c r="Q29" s="96">
        <v>0.21495262767895207</v>
      </c>
      <c r="R29" s="96">
        <v>0.54483955353739699</v>
      </c>
      <c r="S29" s="96">
        <v>1.3145875595172543</v>
      </c>
      <c r="T29" s="96">
        <v>2.9813203733977396</v>
      </c>
      <c r="U29" s="96">
        <v>5.3411594502340201</v>
      </c>
      <c r="V29" s="96">
        <v>6.8713327680309604</v>
      </c>
      <c r="W29" s="96">
        <v>11.09459705304128</v>
      </c>
      <c r="X29" s="96">
        <v>16.661989376647998</v>
      </c>
      <c r="Y29" s="96">
        <v>24.854934200825504</v>
      </c>
      <c r="DA29" s="171" t="s">
        <v>648</v>
      </c>
    </row>
    <row r="30" spans="1:105" ht="11.45" customHeight="1" x14ac:dyDescent="0.25">
      <c r="A30" s="160" t="s">
        <v>131</v>
      </c>
      <c r="B30" s="96">
        <v>0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96">
        <v>0</v>
      </c>
      <c r="N30" s="96">
        <v>1.2348814014424638E-5</v>
      </c>
      <c r="O30" s="96">
        <v>3.3756314183470107E-5</v>
      </c>
      <c r="P30" s="96">
        <v>6.4354999939937412E-5</v>
      </c>
      <c r="Q30" s="96">
        <v>2.5799699944067511E-3</v>
      </c>
      <c r="R30" s="96">
        <v>7.7875883555366208E-3</v>
      </c>
      <c r="S30" s="96">
        <v>2.2659672616236826E-3</v>
      </c>
      <c r="T30" s="96">
        <v>9.8340732113714833E-3</v>
      </c>
      <c r="U30" s="96">
        <v>2.3741267586427053E-2</v>
      </c>
      <c r="V30" s="96">
        <v>2.6321614179498298E-2</v>
      </c>
      <c r="W30" s="96">
        <v>9.7598283622494772E-2</v>
      </c>
      <c r="X30" s="96">
        <v>0.19451193696264149</v>
      </c>
      <c r="Y30" s="96">
        <v>0.24679657063213592</v>
      </c>
      <c r="DA30" s="171" t="s">
        <v>649</v>
      </c>
    </row>
    <row r="31" spans="1:105" ht="11.45" customHeight="1" x14ac:dyDescent="0.25">
      <c r="A31" s="160" t="s">
        <v>133</v>
      </c>
      <c r="B31" s="96">
        <v>0</v>
      </c>
      <c r="C31" s="96">
        <v>0</v>
      </c>
      <c r="D31" s="96">
        <v>0</v>
      </c>
      <c r="E31" s="96">
        <v>0</v>
      </c>
      <c r="F31" s="96">
        <v>0</v>
      </c>
      <c r="G31" s="96">
        <v>0</v>
      </c>
      <c r="H31" s="96">
        <v>0</v>
      </c>
      <c r="I31" s="96">
        <v>0</v>
      </c>
      <c r="J31" s="96">
        <v>0</v>
      </c>
      <c r="K31" s="96">
        <v>0</v>
      </c>
      <c r="L31" s="96">
        <v>0</v>
      </c>
      <c r="M31" s="96">
        <v>1.4406868032916229E-3</v>
      </c>
      <c r="N31" s="96">
        <v>5.7673753538943686E-3</v>
      </c>
      <c r="O31" s="96">
        <v>1.0333684983691699E-2</v>
      </c>
      <c r="P31" s="96">
        <v>2.0987374670576368E-2</v>
      </c>
      <c r="Q31" s="96">
        <v>7.9106064087885036E-2</v>
      </c>
      <c r="R31" s="96">
        <v>0.2018824424962431</v>
      </c>
      <c r="S31" s="96">
        <v>0.48192349479255692</v>
      </c>
      <c r="T31" s="96">
        <v>1.0958653474905689</v>
      </c>
      <c r="U31" s="96">
        <v>2.1067802437669556</v>
      </c>
      <c r="V31" s="96">
        <v>3.0873745732678985</v>
      </c>
      <c r="W31" s="96">
        <v>5.3178252430134494</v>
      </c>
      <c r="X31" s="96">
        <v>8.2702893672761473</v>
      </c>
      <c r="Y31" s="96">
        <v>12.842418061372355</v>
      </c>
      <c r="DA31" s="171" t="s">
        <v>650</v>
      </c>
    </row>
    <row r="32" spans="1:105" ht="11.45" customHeight="1" x14ac:dyDescent="0.25">
      <c r="A32" s="111" t="s">
        <v>115</v>
      </c>
      <c r="B32" s="96">
        <v>0</v>
      </c>
      <c r="C32" s="96">
        <v>0</v>
      </c>
      <c r="D32" s="96">
        <v>0</v>
      </c>
      <c r="E32" s="96">
        <v>0</v>
      </c>
      <c r="F32" s="96">
        <v>0</v>
      </c>
      <c r="G32" s="96">
        <v>0</v>
      </c>
      <c r="H32" s="96">
        <v>0</v>
      </c>
      <c r="I32" s="96">
        <v>0</v>
      </c>
      <c r="J32" s="96">
        <v>4.447712086543449E-3</v>
      </c>
      <c r="K32" s="96">
        <v>4.6075036503681506E-3</v>
      </c>
      <c r="L32" s="96">
        <v>0.11371831709123066</v>
      </c>
      <c r="M32" s="96">
        <v>4.489553327199225E-2</v>
      </c>
      <c r="N32" s="96">
        <v>5.546476656181612E-2</v>
      </c>
      <c r="O32" s="96">
        <v>7.0929225943957008E-2</v>
      </c>
      <c r="P32" s="96">
        <v>7.9502413895153237E-2</v>
      </c>
      <c r="Q32" s="96">
        <v>0.15991580861400442</v>
      </c>
      <c r="R32" s="96">
        <v>0.39503938827267399</v>
      </c>
      <c r="S32" s="96">
        <v>1.2457544022829969</v>
      </c>
      <c r="T32" s="96">
        <v>3.1647814604215494</v>
      </c>
      <c r="U32" s="96">
        <v>5.8143412762565108</v>
      </c>
      <c r="V32" s="96">
        <v>6.1856342705587872</v>
      </c>
      <c r="W32" s="96">
        <v>10.230156375941709</v>
      </c>
      <c r="X32" s="96">
        <v>13.903356102606349</v>
      </c>
      <c r="Y32" s="96">
        <v>21.257256010979599</v>
      </c>
      <c r="DA32" s="171" t="s">
        <v>651</v>
      </c>
    </row>
    <row r="33" spans="1:105" ht="11.45" customHeight="1" x14ac:dyDescent="0.25">
      <c r="A33" s="109" t="s">
        <v>21</v>
      </c>
      <c r="B33" s="130">
        <f t="shared" ref="B33:K33" si="22">B34+B36+B38+B39+B41</f>
        <v>322.74209485013165</v>
      </c>
      <c r="C33" s="130">
        <f t="shared" si="22"/>
        <v>322.77730800929868</v>
      </c>
      <c r="D33" s="130">
        <f t="shared" si="22"/>
        <v>323.42087548901952</v>
      </c>
      <c r="E33" s="130">
        <f t="shared" si="22"/>
        <v>317.725879532649</v>
      </c>
      <c r="F33" s="130">
        <f t="shared" si="22"/>
        <v>310.80507666696133</v>
      </c>
      <c r="G33" s="130">
        <f t="shared" si="22"/>
        <v>194.81056354903822</v>
      </c>
      <c r="H33" s="130">
        <f t="shared" si="22"/>
        <v>194.51747399664487</v>
      </c>
      <c r="I33" s="130">
        <f t="shared" si="22"/>
        <v>198.70714206365918</v>
      </c>
      <c r="J33" s="130">
        <f t="shared" si="22"/>
        <v>205.8705205988536</v>
      </c>
      <c r="K33" s="130">
        <f t="shared" si="22"/>
        <v>210.12538461924572</v>
      </c>
      <c r="L33" s="130">
        <f t="shared" ref="L33" si="23">L34+L36+L38+L39+L41</f>
        <v>216.57229321685915</v>
      </c>
      <c r="M33" s="130">
        <f t="shared" ref="M33:V33" si="24">M34+M36+M38+M39+M41</f>
        <v>216.31307907592571</v>
      </c>
      <c r="N33" s="130">
        <f t="shared" si="24"/>
        <v>174.82024351936616</v>
      </c>
      <c r="O33" s="130">
        <f t="shared" si="24"/>
        <v>168.1188168793972</v>
      </c>
      <c r="P33" s="130">
        <f t="shared" si="24"/>
        <v>205.64322652031035</v>
      </c>
      <c r="Q33" s="130">
        <f t="shared" si="24"/>
        <v>208.90923598653757</v>
      </c>
      <c r="R33" s="130">
        <f t="shared" si="24"/>
        <v>220.76579575043925</v>
      </c>
      <c r="S33" s="130">
        <f t="shared" si="24"/>
        <v>229.38456028425853</v>
      </c>
      <c r="T33" s="130">
        <f t="shared" si="24"/>
        <v>240.36235276284964</v>
      </c>
      <c r="U33" s="130">
        <f t="shared" si="24"/>
        <v>223.66299370614746</v>
      </c>
      <c r="V33" s="130">
        <f t="shared" si="24"/>
        <v>171.90260610356697</v>
      </c>
      <c r="W33" s="130">
        <f t="shared" ref="W33:Y33" si="25">W34+W36+W38+W39+W41</f>
        <v>216.03091877374473</v>
      </c>
      <c r="X33" s="130">
        <f t="shared" si="25"/>
        <v>255.42220050379694</v>
      </c>
      <c r="Y33" s="130">
        <f t="shared" si="25"/>
        <v>270.05943804791224</v>
      </c>
      <c r="DA33" s="176" t="s">
        <v>394</v>
      </c>
    </row>
    <row r="34" spans="1:105" ht="11.45" customHeight="1" x14ac:dyDescent="0.25">
      <c r="A34" s="111" t="s">
        <v>110</v>
      </c>
      <c r="B34" s="97">
        <v>0</v>
      </c>
      <c r="C34" s="97">
        <v>0</v>
      </c>
      <c r="D34" s="97">
        <v>0</v>
      </c>
      <c r="E34" s="97">
        <v>0</v>
      </c>
      <c r="F34" s="97">
        <v>0</v>
      </c>
      <c r="G34" s="97">
        <v>0</v>
      </c>
      <c r="H34" s="97">
        <v>0</v>
      </c>
      <c r="I34" s="97">
        <v>0</v>
      </c>
      <c r="J34" s="97">
        <v>0</v>
      </c>
      <c r="K34" s="97">
        <v>0</v>
      </c>
      <c r="L34" s="97">
        <v>9.5338154262480032E-3</v>
      </c>
      <c r="M34" s="97">
        <v>9.8279245602538728E-3</v>
      </c>
      <c r="N34" s="97">
        <v>1.0034216554670281E-2</v>
      </c>
      <c r="O34" s="97">
        <v>1.1467316071565616E-2</v>
      </c>
      <c r="P34" s="97">
        <v>1.1466157915185097E-2</v>
      </c>
      <c r="Q34" s="97">
        <v>1.3384297987373455E-2</v>
      </c>
      <c r="R34" s="97">
        <v>1.555948678236746E-2</v>
      </c>
      <c r="S34" s="97">
        <v>1.3779506399384866E-2</v>
      </c>
      <c r="T34" s="97">
        <v>1.4410736918164664E-2</v>
      </c>
      <c r="U34" s="97">
        <v>1.2372396399159555E-2</v>
      </c>
      <c r="V34" s="97">
        <v>9.5270905362435272E-3</v>
      </c>
      <c r="W34" s="97">
        <v>1.2156449609135384E-2</v>
      </c>
      <c r="X34" s="97">
        <v>1.3406928492974085E-2</v>
      </c>
      <c r="Y34" s="97">
        <v>1.4492901743189998E-2</v>
      </c>
      <c r="DA34" s="175" t="s">
        <v>652</v>
      </c>
    </row>
    <row r="35" spans="1:105" ht="11.45" customHeight="1" x14ac:dyDescent="0.25">
      <c r="A35" s="160" t="s">
        <v>131</v>
      </c>
      <c r="B35" s="97">
        <v>0</v>
      </c>
      <c r="C35" s="97">
        <v>0</v>
      </c>
      <c r="D35" s="97">
        <v>0</v>
      </c>
      <c r="E35" s="97">
        <v>0</v>
      </c>
      <c r="F35" s="97">
        <v>0</v>
      </c>
      <c r="G35" s="97">
        <v>0</v>
      </c>
      <c r="H35" s="97">
        <v>0</v>
      </c>
      <c r="I35" s="97">
        <v>0</v>
      </c>
      <c r="J35" s="97">
        <v>0</v>
      </c>
      <c r="K35" s="97">
        <v>0</v>
      </c>
      <c r="L35" s="97">
        <v>0</v>
      </c>
      <c r="M35" s="97">
        <v>0</v>
      </c>
      <c r="N35" s="97">
        <v>1.0934489525612363E-5</v>
      </c>
      <c r="O35" s="97">
        <v>1.92289115211791E-5</v>
      </c>
      <c r="P35" s="97">
        <v>1.9350350878804787E-5</v>
      </c>
      <c r="Q35" s="97">
        <v>2.5419183445500766E-4</v>
      </c>
      <c r="R35" s="97">
        <v>3.5331204451961537E-4</v>
      </c>
      <c r="S35" s="97">
        <v>3.7498808589348282E-5</v>
      </c>
      <c r="T35" s="97">
        <v>7.5162886377976371E-5</v>
      </c>
      <c r="U35" s="97">
        <v>9.0816924932758279E-5</v>
      </c>
      <c r="V35" s="97">
        <v>6.62714513324199E-5</v>
      </c>
      <c r="W35" s="97">
        <v>2.0538263511385701E-4</v>
      </c>
      <c r="X35" s="97">
        <v>3.1076034974744307E-4</v>
      </c>
      <c r="Y35" s="97">
        <v>2.9775597445237841E-4</v>
      </c>
      <c r="DA35" s="175" t="s">
        <v>653</v>
      </c>
    </row>
    <row r="36" spans="1:105" ht="11.45" customHeight="1" x14ac:dyDescent="0.25">
      <c r="A36" s="111" t="s">
        <v>111</v>
      </c>
      <c r="B36" s="97">
        <v>321.62429605391497</v>
      </c>
      <c r="C36" s="97">
        <v>318.26312056303902</v>
      </c>
      <c r="D36" s="97">
        <v>316.4991214047547</v>
      </c>
      <c r="E36" s="97">
        <v>308.71900077082614</v>
      </c>
      <c r="F36" s="97">
        <v>301.41126755260188</v>
      </c>
      <c r="G36" s="97">
        <v>183.69706397896084</v>
      </c>
      <c r="H36" s="97">
        <v>184.11334673955116</v>
      </c>
      <c r="I36" s="97">
        <v>187.18521601034877</v>
      </c>
      <c r="J36" s="97">
        <v>193.85418353952429</v>
      </c>
      <c r="K36" s="97">
        <v>198.17353595200584</v>
      </c>
      <c r="L36" s="97">
        <v>203.87307229134171</v>
      </c>
      <c r="M36" s="97">
        <v>203.601555803114</v>
      </c>
      <c r="N36" s="97">
        <v>162.58992125267551</v>
      </c>
      <c r="O36" s="97">
        <v>155.4932239486869</v>
      </c>
      <c r="P36" s="97">
        <v>193.28758487676711</v>
      </c>
      <c r="Q36" s="97">
        <v>194.58320287479069</v>
      </c>
      <c r="R36" s="97">
        <v>206.65064432841882</v>
      </c>
      <c r="S36" s="97">
        <v>214.31817534381571</v>
      </c>
      <c r="T36" s="97">
        <v>223.29122780612317</v>
      </c>
      <c r="U36" s="97">
        <v>205.07615712545922</v>
      </c>
      <c r="V36" s="97">
        <v>150.75253353144467</v>
      </c>
      <c r="W36" s="97">
        <v>191.05536324116136</v>
      </c>
      <c r="X36" s="97">
        <v>220.97716043584194</v>
      </c>
      <c r="Y36" s="97">
        <v>230.44096110589143</v>
      </c>
      <c r="DA36" s="175" t="s">
        <v>654</v>
      </c>
    </row>
    <row r="37" spans="1:105" ht="11.45" customHeight="1" x14ac:dyDescent="0.25">
      <c r="A37" s="160" t="s">
        <v>131</v>
      </c>
      <c r="B37" s="97">
        <v>0</v>
      </c>
      <c r="C37" s="97">
        <v>0</v>
      </c>
      <c r="D37" s="97">
        <v>0</v>
      </c>
      <c r="E37" s="97">
        <v>0</v>
      </c>
      <c r="F37" s="97">
        <v>0</v>
      </c>
      <c r="G37" s="97">
        <v>0</v>
      </c>
      <c r="H37" s="97">
        <v>2.9967970507794806</v>
      </c>
      <c r="I37" s="97">
        <v>5.1009236554146602</v>
      </c>
      <c r="J37" s="97">
        <v>5.3030326660673959</v>
      </c>
      <c r="K37" s="97">
        <v>9.0036104613069021</v>
      </c>
      <c r="L37" s="97">
        <v>13.540235819496784</v>
      </c>
      <c r="M37" s="97">
        <v>13.576477276722553</v>
      </c>
      <c r="N37" s="97">
        <v>10.936205248370403</v>
      </c>
      <c r="O37" s="97">
        <v>10.135770603931837</v>
      </c>
      <c r="P37" s="97">
        <v>12.358564888529891</v>
      </c>
      <c r="Q37" s="97">
        <v>14.300364843707907</v>
      </c>
      <c r="R37" s="97">
        <v>11.588947193964552</v>
      </c>
      <c r="S37" s="97">
        <v>11.766164849258145</v>
      </c>
      <c r="T37" s="97">
        <v>12.961635093169935</v>
      </c>
      <c r="U37" s="97">
        <v>11.946486232632884</v>
      </c>
      <c r="V37" s="97">
        <v>9.268573902506775</v>
      </c>
      <c r="W37" s="97">
        <v>14.72932331286205</v>
      </c>
      <c r="X37" s="97">
        <v>15.930515481133321</v>
      </c>
      <c r="Y37" s="97">
        <v>16.518240274220382</v>
      </c>
      <c r="DA37" s="175" t="s">
        <v>655</v>
      </c>
    </row>
    <row r="38" spans="1:105" ht="11.45" customHeight="1" x14ac:dyDescent="0.25">
      <c r="A38" s="111" t="s">
        <v>112</v>
      </c>
      <c r="B38" s="97">
        <v>0</v>
      </c>
      <c r="C38" s="97">
        <v>0</v>
      </c>
      <c r="D38" s="97">
        <v>0</v>
      </c>
      <c r="E38" s="97">
        <v>0</v>
      </c>
      <c r="F38" s="97">
        <v>0</v>
      </c>
      <c r="G38" s="97">
        <v>0</v>
      </c>
      <c r="H38" s="97">
        <v>0</v>
      </c>
      <c r="I38" s="97">
        <v>0</v>
      </c>
      <c r="J38" s="97">
        <v>0</v>
      </c>
      <c r="K38" s="97">
        <v>0</v>
      </c>
      <c r="L38" s="97">
        <v>2.3289888192996478E-2</v>
      </c>
      <c r="M38" s="97">
        <v>2.4008359082277317E-2</v>
      </c>
      <c r="N38" s="97">
        <v>1.6341535975840708E-2</v>
      </c>
      <c r="O38" s="97">
        <v>1.614683467691027E-2</v>
      </c>
      <c r="P38" s="97">
        <v>3.2711010286518391E-2</v>
      </c>
      <c r="Q38" s="97">
        <v>3.3719916658798837E-2</v>
      </c>
      <c r="R38" s="97">
        <v>4.4190334553622694E-2</v>
      </c>
      <c r="S38" s="97">
        <v>4.4164390319264578E-2</v>
      </c>
      <c r="T38" s="97">
        <v>4.6187533253765289E-2</v>
      </c>
      <c r="U38" s="97">
        <v>3.5698265364786798E-2</v>
      </c>
      <c r="V38" s="97">
        <v>2.4961598878230223E-2</v>
      </c>
      <c r="W38" s="97">
        <v>3.1850691223335684E-2</v>
      </c>
      <c r="X38" s="97">
        <v>2.6514062836562546E-2</v>
      </c>
      <c r="Y38" s="97">
        <v>2.8661725741614959E-2</v>
      </c>
      <c r="DA38" s="175" t="s">
        <v>656</v>
      </c>
    </row>
    <row r="39" spans="1:105" ht="11.45" customHeight="1" x14ac:dyDescent="0.25">
      <c r="A39" s="111" t="s">
        <v>113</v>
      </c>
      <c r="B39" s="97">
        <v>1.1177987962166807</v>
      </c>
      <c r="C39" s="97">
        <v>4.5141874462596725</v>
      </c>
      <c r="D39" s="97">
        <v>6.9217540842648324</v>
      </c>
      <c r="E39" s="97">
        <v>9.0068787618228718</v>
      </c>
      <c r="F39" s="97">
        <v>9.3938091143594136</v>
      </c>
      <c r="G39" s="97">
        <v>11.113499570077385</v>
      </c>
      <c r="H39" s="97">
        <v>10.40412725709372</v>
      </c>
      <c r="I39" s="97">
        <v>11.5219260533104</v>
      </c>
      <c r="J39" s="97">
        <v>12.01633705932932</v>
      </c>
      <c r="K39" s="97">
        <v>11.951848667239901</v>
      </c>
      <c r="L39" s="97">
        <v>12.530291713269198</v>
      </c>
      <c r="M39" s="97">
        <v>12.551929434039511</v>
      </c>
      <c r="N39" s="97">
        <v>11.96790332314205</v>
      </c>
      <c r="O39" s="97">
        <v>12.361687766606023</v>
      </c>
      <c r="P39" s="97">
        <v>12.07505921200419</v>
      </c>
      <c r="Q39" s="97">
        <v>14.042294698466817</v>
      </c>
      <c r="R39" s="97">
        <v>13.819344529245425</v>
      </c>
      <c r="S39" s="97">
        <v>14.623436251505028</v>
      </c>
      <c r="T39" s="97">
        <v>16.001812929726558</v>
      </c>
      <c r="U39" s="97">
        <v>17.381042679843716</v>
      </c>
      <c r="V39" s="97">
        <v>19.963617762902633</v>
      </c>
      <c r="W39" s="97">
        <v>23.617272525898787</v>
      </c>
      <c r="X39" s="97">
        <v>32.517485827076257</v>
      </c>
      <c r="Y39" s="97">
        <v>33.869324711346401</v>
      </c>
      <c r="DA39" s="175" t="s">
        <v>657</v>
      </c>
    </row>
    <row r="40" spans="1:105" ht="11.45" customHeight="1" x14ac:dyDescent="0.25">
      <c r="A40" s="160" t="s">
        <v>132</v>
      </c>
      <c r="B40" s="97">
        <v>0</v>
      </c>
      <c r="C40" s="97">
        <v>0</v>
      </c>
      <c r="D40" s="97">
        <v>0</v>
      </c>
      <c r="E40" s="97">
        <v>0</v>
      </c>
      <c r="F40" s="97">
        <v>0</v>
      </c>
      <c r="G40" s="97">
        <v>0</v>
      </c>
      <c r="H40" s="97">
        <v>0</v>
      </c>
      <c r="I40" s="97">
        <v>0</v>
      </c>
      <c r="J40" s="97">
        <v>0</v>
      </c>
      <c r="K40" s="97">
        <v>0</v>
      </c>
      <c r="L40" s="97">
        <v>0</v>
      </c>
      <c r="M40" s="97">
        <v>0</v>
      </c>
      <c r="N40" s="97">
        <v>0</v>
      </c>
      <c r="O40" s="97">
        <v>0</v>
      </c>
      <c r="P40" s="97">
        <v>0</v>
      </c>
      <c r="Q40" s="97">
        <v>0</v>
      </c>
      <c r="R40" s="97">
        <v>0</v>
      </c>
      <c r="S40" s="97">
        <v>0</v>
      </c>
      <c r="T40" s="97">
        <v>0</v>
      </c>
      <c r="U40" s="97">
        <v>0</v>
      </c>
      <c r="V40" s="97">
        <v>0</v>
      </c>
      <c r="W40" s="97">
        <v>0</v>
      </c>
      <c r="X40" s="97">
        <v>0</v>
      </c>
      <c r="Y40" s="97">
        <v>0</v>
      </c>
      <c r="DA40" s="175" t="s">
        <v>658</v>
      </c>
    </row>
    <row r="41" spans="1:105" ht="11.45" customHeight="1" x14ac:dyDescent="0.25">
      <c r="A41" s="111" t="s">
        <v>115</v>
      </c>
      <c r="B41" s="97">
        <v>0</v>
      </c>
      <c r="C41" s="97">
        <v>0</v>
      </c>
      <c r="D41" s="97">
        <v>0</v>
      </c>
      <c r="E41" s="97">
        <v>0</v>
      </c>
      <c r="F41" s="97">
        <v>0</v>
      </c>
      <c r="G41" s="97">
        <v>0</v>
      </c>
      <c r="H41" s="97">
        <v>0</v>
      </c>
      <c r="I41" s="97">
        <v>0</v>
      </c>
      <c r="J41" s="97">
        <v>0</v>
      </c>
      <c r="K41" s="97">
        <v>0</v>
      </c>
      <c r="L41" s="97">
        <v>0.13610550862898857</v>
      </c>
      <c r="M41" s="97">
        <v>0.12575755512967671</v>
      </c>
      <c r="N41" s="97">
        <v>0.23604319101808607</v>
      </c>
      <c r="O41" s="97">
        <v>0.23629101335580688</v>
      </c>
      <c r="P41" s="97">
        <v>0.23640526333736131</v>
      </c>
      <c r="Q41" s="97">
        <v>0.23663419863387877</v>
      </c>
      <c r="R41" s="97">
        <v>0.23605707143901111</v>
      </c>
      <c r="S41" s="97">
        <v>0.38500479221915507</v>
      </c>
      <c r="T41" s="97">
        <v>1.008713756827966</v>
      </c>
      <c r="U41" s="97">
        <v>1.1577232390805472</v>
      </c>
      <c r="V41" s="97">
        <v>1.1519661198052031</v>
      </c>
      <c r="W41" s="97">
        <v>1.3142758658521114</v>
      </c>
      <c r="X41" s="97">
        <v>1.8876332495492136</v>
      </c>
      <c r="Y41" s="97">
        <v>5.7059976031895694</v>
      </c>
      <c r="DA41" s="175" t="s">
        <v>659</v>
      </c>
    </row>
    <row r="42" spans="1:105" ht="11.45" customHeight="1" x14ac:dyDescent="0.25">
      <c r="A42" s="27" t="s">
        <v>34</v>
      </c>
      <c r="B42" s="32">
        <f t="shared" ref="B42:K42" si="26">B43+B52</f>
        <v>2379.3154153422529</v>
      </c>
      <c r="C42" s="32">
        <f t="shared" si="26"/>
        <v>2439.3187189804426</v>
      </c>
      <c r="D42" s="32">
        <f t="shared" si="26"/>
        <v>2409.7647165341059</v>
      </c>
      <c r="E42" s="32">
        <f t="shared" si="26"/>
        <v>2494.7721876638439</v>
      </c>
      <c r="F42" s="32">
        <f t="shared" si="26"/>
        <v>2554.735120308419</v>
      </c>
      <c r="G42" s="32">
        <f t="shared" si="26"/>
        <v>2477.9788788119313</v>
      </c>
      <c r="H42" s="32">
        <f t="shared" si="26"/>
        <v>2471.5844898779565</v>
      </c>
      <c r="I42" s="32">
        <f t="shared" si="26"/>
        <v>2420.5709293177661</v>
      </c>
      <c r="J42" s="32">
        <f t="shared" si="26"/>
        <v>2378.0387450698408</v>
      </c>
      <c r="K42" s="32">
        <f t="shared" si="26"/>
        <v>2275.9154764679429</v>
      </c>
      <c r="L42" s="32">
        <f t="shared" ref="L42" si="27">L43+L52</f>
        <v>2253.2000931340058</v>
      </c>
      <c r="M42" s="32">
        <f t="shared" ref="M42:V42" si="28">M43+M52</f>
        <v>2044.2839084682926</v>
      </c>
      <c r="N42" s="32">
        <f t="shared" si="28"/>
        <v>1767.3302885587541</v>
      </c>
      <c r="O42" s="32">
        <f t="shared" si="28"/>
        <v>1679.4930314327348</v>
      </c>
      <c r="P42" s="32">
        <f t="shared" si="28"/>
        <v>1670.6789848648259</v>
      </c>
      <c r="Q42" s="32">
        <f t="shared" si="28"/>
        <v>1695.3886722851234</v>
      </c>
      <c r="R42" s="32">
        <f t="shared" si="28"/>
        <v>1708.9381321761421</v>
      </c>
      <c r="S42" s="32">
        <f t="shared" si="28"/>
        <v>1717.1246437286186</v>
      </c>
      <c r="T42" s="32">
        <f t="shared" si="28"/>
        <v>1718.4565423789807</v>
      </c>
      <c r="U42" s="32">
        <f t="shared" si="28"/>
        <v>1749.8071403158301</v>
      </c>
      <c r="V42" s="32">
        <f t="shared" si="28"/>
        <v>1488.1827522072376</v>
      </c>
      <c r="W42" s="32">
        <f t="shared" ref="W42:Y42" si="29">W43+W52</f>
        <v>1627.5298955757996</v>
      </c>
      <c r="X42" s="32">
        <f t="shared" si="29"/>
        <v>1754.6542581852423</v>
      </c>
      <c r="Y42" s="32">
        <f t="shared" si="29"/>
        <v>1855.4296880284462</v>
      </c>
      <c r="DA42" s="173" t="s">
        <v>399</v>
      </c>
    </row>
    <row r="43" spans="1:105" ht="11.45" customHeight="1" x14ac:dyDescent="0.25">
      <c r="A43" s="136" t="s">
        <v>153</v>
      </c>
      <c r="B43" s="141">
        <f t="shared" ref="B43:K43" si="30">B44+B46+B48+B49+B51</f>
        <v>1776.8881114194107</v>
      </c>
      <c r="C43" s="141">
        <f t="shared" si="30"/>
        <v>1716.8418589063488</v>
      </c>
      <c r="D43" s="141">
        <f t="shared" si="30"/>
        <v>1713.2581883572932</v>
      </c>
      <c r="E43" s="141">
        <f t="shared" si="30"/>
        <v>1677.9092843472972</v>
      </c>
      <c r="F43" s="141">
        <f t="shared" si="30"/>
        <v>1565.1777247411112</v>
      </c>
      <c r="G43" s="141">
        <f t="shared" si="30"/>
        <v>1459.2028068519774</v>
      </c>
      <c r="H43" s="141">
        <f t="shared" si="30"/>
        <v>1435.759927544663</v>
      </c>
      <c r="I43" s="141">
        <f t="shared" si="30"/>
        <v>1344.0461636464117</v>
      </c>
      <c r="J43" s="141">
        <f t="shared" si="30"/>
        <v>1324.8055147323314</v>
      </c>
      <c r="K43" s="141">
        <f t="shared" si="30"/>
        <v>1317.9591122942006</v>
      </c>
      <c r="L43" s="141">
        <f t="shared" ref="L43" si="31">L44+L46+L48+L49+L51</f>
        <v>1273.3640823452938</v>
      </c>
      <c r="M43" s="141">
        <f t="shared" ref="M43:V43" si="32">M44+M46+M48+M49+M51</f>
        <v>1109.0952522522339</v>
      </c>
      <c r="N43" s="141">
        <f t="shared" si="32"/>
        <v>935.96161675446706</v>
      </c>
      <c r="O43" s="141">
        <f t="shared" si="32"/>
        <v>889.54987196105492</v>
      </c>
      <c r="P43" s="141">
        <f t="shared" si="32"/>
        <v>937.33348507281607</v>
      </c>
      <c r="Q43" s="141">
        <f t="shared" si="32"/>
        <v>925.706781127824</v>
      </c>
      <c r="R43" s="141">
        <f t="shared" si="32"/>
        <v>951.31874548699341</v>
      </c>
      <c r="S43" s="141">
        <f t="shared" si="32"/>
        <v>975.73420499580391</v>
      </c>
      <c r="T43" s="141">
        <f t="shared" si="32"/>
        <v>988.21183806518388</v>
      </c>
      <c r="U43" s="141">
        <f t="shared" si="32"/>
        <v>1001.3833762701329</v>
      </c>
      <c r="V43" s="141">
        <f t="shared" si="32"/>
        <v>845.81940950456817</v>
      </c>
      <c r="W43" s="141">
        <f t="shared" ref="W43:Y43" si="33">W44+W46+W48+W49+W51</f>
        <v>938.99465152460016</v>
      </c>
      <c r="X43" s="141">
        <f t="shared" si="33"/>
        <v>1058.9777367947752</v>
      </c>
      <c r="Y43" s="141">
        <f t="shared" si="33"/>
        <v>1168.3249680688011</v>
      </c>
      <c r="DA43" s="174" t="s">
        <v>400</v>
      </c>
    </row>
    <row r="44" spans="1:105" ht="11.45" customHeight="1" x14ac:dyDescent="0.25">
      <c r="A44" s="111" t="s">
        <v>110</v>
      </c>
      <c r="B44" s="96">
        <v>23.521383856301291</v>
      </c>
      <c r="C44" s="96">
        <v>20.808884981843644</v>
      </c>
      <c r="D44" s="96">
        <v>20.467757070409395</v>
      </c>
      <c r="E44" s="96">
        <v>21.907891349764284</v>
      </c>
      <c r="F44" s="96">
        <v>19.051337408094049</v>
      </c>
      <c r="G44" s="96">
        <v>17.260442432942142</v>
      </c>
      <c r="H44" s="96">
        <v>16.605400283234793</v>
      </c>
      <c r="I44" s="96">
        <v>15.018674243536312</v>
      </c>
      <c r="J44" s="96">
        <v>14.518385195328342</v>
      </c>
      <c r="K44" s="96">
        <v>14.202215559462909</v>
      </c>
      <c r="L44" s="96">
        <v>13.401012473623728</v>
      </c>
      <c r="M44" s="96">
        <v>10.535928904204077</v>
      </c>
      <c r="N44" s="96">
        <v>8.9450119236499148</v>
      </c>
      <c r="O44" s="96">
        <v>7.8447929857707903</v>
      </c>
      <c r="P44" s="96">
        <v>7.5337850286951316</v>
      </c>
      <c r="Q44" s="96">
        <v>8.0837077123848164</v>
      </c>
      <c r="R44" s="96">
        <v>7.3865765413741409</v>
      </c>
      <c r="S44" s="96">
        <v>7.4999978980528708</v>
      </c>
      <c r="T44" s="96">
        <v>6.825158141763576</v>
      </c>
      <c r="U44" s="96">
        <v>8.2035477957336091</v>
      </c>
      <c r="V44" s="96">
        <v>4.9993899620066085</v>
      </c>
      <c r="W44" s="96">
        <v>5.3261036966060304</v>
      </c>
      <c r="X44" s="96">
        <v>5.974435087146583</v>
      </c>
      <c r="Y44" s="96">
        <v>5.8717810622331648</v>
      </c>
      <c r="DA44" s="171" t="s">
        <v>660</v>
      </c>
    </row>
    <row r="45" spans="1:105" ht="11.45" customHeight="1" x14ac:dyDescent="0.25">
      <c r="A45" s="160" t="s">
        <v>131</v>
      </c>
      <c r="B45" s="96">
        <v>0</v>
      </c>
      <c r="C45" s="96">
        <v>0</v>
      </c>
      <c r="D45" s="96">
        <v>0</v>
      </c>
      <c r="E45" s="96">
        <v>0</v>
      </c>
      <c r="F45" s="96">
        <v>0</v>
      </c>
      <c r="G45" s="96">
        <v>0</v>
      </c>
      <c r="H45" s="96">
        <v>0</v>
      </c>
      <c r="I45" s="96">
        <v>0</v>
      </c>
      <c r="J45" s="96">
        <v>0</v>
      </c>
      <c r="K45" s="96">
        <v>0</v>
      </c>
      <c r="L45" s="96">
        <v>0</v>
      </c>
      <c r="M45" s="96">
        <v>0</v>
      </c>
      <c r="N45" s="96">
        <v>9.7475611227568985E-3</v>
      </c>
      <c r="O45" s="96">
        <v>1.3154501827972903E-2</v>
      </c>
      <c r="P45" s="96">
        <v>1.2714056864477071E-2</v>
      </c>
      <c r="Q45" s="96">
        <v>0.15352411419318884</v>
      </c>
      <c r="R45" s="96">
        <v>0.16772831240108788</v>
      </c>
      <c r="S45" s="96">
        <v>2.0410091439280728E-2</v>
      </c>
      <c r="T45" s="96">
        <v>3.5598358975970468E-2</v>
      </c>
      <c r="U45" s="96">
        <v>6.0216384951749712E-2</v>
      </c>
      <c r="V45" s="96">
        <v>3.4776286348754036E-2</v>
      </c>
      <c r="W45" s="96">
        <v>8.9984267386471167E-2</v>
      </c>
      <c r="X45" s="96">
        <v>0.13848194522690488</v>
      </c>
      <c r="Y45" s="96">
        <v>0.12063546161677287</v>
      </c>
      <c r="DA45" s="171" t="s">
        <v>661</v>
      </c>
    </row>
    <row r="46" spans="1:105" ht="11.45" customHeight="1" x14ac:dyDescent="0.25">
      <c r="A46" s="111" t="s">
        <v>111</v>
      </c>
      <c r="B46" s="96">
        <v>1751.8180553048039</v>
      </c>
      <c r="C46" s="96">
        <v>1694.6280078135619</v>
      </c>
      <c r="D46" s="96">
        <v>1691.3918242453219</v>
      </c>
      <c r="E46" s="96">
        <v>1654.5111867838493</v>
      </c>
      <c r="F46" s="96">
        <v>1544.8014614562301</v>
      </c>
      <c r="G46" s="96">
        <v>1440.7180591230679</v>
      </c>
      <c r="H46" s="96">
        <v>1417.9611460447049</v>
      </c>
      <c r="I46" s="96">
        <v>1327.9230606170804</v>
      </c>
      <c r="J46" s="96">
        <v>1309.2086219960797</v>
      </c>
      <c r="K46" s="96">
        <v>1302.6931049122902</v>
      </c>
      <c r="L46" s="96">
        <v>1258.971738440046</v>
      </c>
      <c r="M46" s="96">
        <v>1097.7214568734071</v>
      </c>
      <c r="N46" s="96">
        <v>926.35488790893442</v>
      </c>
      <c r="O46" s="96">
        <v>881.04994131485921</v>
      </c>
      <c r="P46" s="96">
        <v>929.13600386045607</v>
      </c>
      <c r="Q46" s="96">
        <v>916.90719417736148</v>
      </c>
      <c r="R46" s="96">
        <v>943.26258946813687</v>
      </c>
      <c r="S46" s="96">
        <v>967.524305797529</v>
      </c>
      <c r="T46" s="96">
        <v>980.61888418566377</v>
      </c>
      <c r="U46" s="96">
        <v>992.29207216283112</v>
      </c>
      <c r="V46" s="96">
        <v>840.00597306271879</v>
      </c>
      <c r="W46" s="96">
        <v>932.72674153257094</v>
      </c>
      <c r="X46" s="96">
        <v>1051.8079065822051</v>
      </c>
      <c r="Y46" s="96">
        <v>1160.8312960449757</v>
      </c>
      <c r="DA46" s="171" t="s">
        <v>662</v>
      </c>
    </row>
    <row r="47" spans="1:105" ht="11.45" customHeight="1" x14ac:dyDescent="0.25">
      <c r="A47" s="160" t="s">
        <v>131</v>
      </c>
      <c r="B47" s="96">
        <v>0</v>
      </c>
      <c r="C47" s="96">
        <v>0</v>
      </c>
      <c r="D47" s="96">
        <v>0</v>
      </c>
      <c r="E47" s="96">
        <v>0</v>
      </c>
      <c r="F47" s="96">
        <v>0</v>
      </c>
      <c r="G47" s="96">
        <v>0</v>
      </c>
      <c r="H47" s="96">
        <v>23.080031164703293</v>
      </c>
      <c r="I47" s="96">
        <v>36.186800949588957</v>
      </c>
      <c r="J47" s="96">
        <v>35.814424854683381</v>
      </c>
      <c r="K47" s="96">
        <v>59.185204577977601</v>
      </c>
      <c r="L47" s="96">
        <v>83.614643351229859</v>
      </c>
      <c r="M47" s="96">
        <v>73.197821876293617</v>
      </c>
      <c r="N47" s="96">
        <v>62.308949465934752</v>
      </c>
      <c r="O47" s="96">
        <v>57.430927657156161</v>
      </c>
      <c r="P47" s="96">
        <v>59.407786595811629</v>
      </c>
      <c r="Q47" s="96">
        <v>67.385607857396124</v>
      </c>
      <c r="R47" s="96">
        <v>52.8980704362856</v>
      </c>
      <c r="S47" s="96">
        <v>53.117522391253729</v>
      </c>
      <c r="T47" s="96">
        <v>56.923078739672242</v>
      </c>
      <c r="U47" s="96">
        <v>57.804884512205227</v>
      </c>
      <c r="V47" s="96">
        <v>51.645284211790425</v>
      </c>
      <c r="W47" s="96">
        <v>71.90812917009869</v>
      </c>
      <c r="X47" s="96">
        <v>75.826126582213504</v>
      </c>
      <c r="Y47" s="96">
        <v>83.209556902925698</v>
      </c>
      <c r="DA47" s="171" t="s">
        <v>663</v>
      </c>
    </row>
    <row r="48" spans="1:105" ht="11.45" customHeight="1" x14ac:dyDescent="0.25">
      <c r="A48" s="111" t="s">
        <v>112</v>
      </c>
      <c r="B48" s="96">
        <v>1.5486722583054831</v>
      </c>
      <c r="C48" s="96">
        <v>1.4049661109431477</v>
      </c>
      <c r="D48" s="96">
        <v>1.3986070415620393</v>
      </c>
      <c r="E48" s="96">
        <v>1.490206213683791</v>
      </c>
      <c r="F48" s="96">
        <v>1.3249258767871677</v>
      </c>
      <c r="G48" s="96">
        <v>1.2243052959672687</v>
      </c>
      <c r="H48" s="96">
        <v>1.1933812167232978</v>
      </c>
      <c r="I48" s="96">
        <v>1.1044287857949984</v>
      </c>
      <c r="J48" s="96">
        <v>1.0785075409232958</v>
      </c>
      <c r="K48" s="96">
        <v>1.0637918224475289</v>
      </c>
      <c r="L48" s="96">
        <v>0.99133143162402948</v>
      </c>
      <c r="M48" s="96">
        <v>0.83733587530457365</v>
      </c>
      <c r="N48" s="96">
        <v>0.66002131606971826</v>
      </c>
      <c r="O48" s="96">
        <v>0.64461499019987623</v>
      </c>
      <c r="P48" s="96">
        <v>0.64359729304919389</v>
      </c>
      <c r="Q48" s="96">
        <v>0.6794732477983888</v>
      </c>
      <c r="R48" s="96">
        <v>0.6246286012604495</v>
      </c>
      <c r="S48" s="96">
        <v>0.60988185933901884</v>
      </c>
      <c r="T48" s="96">
        <v>0.58262690787730964</v>
      </c>
      <c r="U48" s="96">
        <v>0.61821644184585489</v>
      </c>
      <c r="V48" s="96">
        <v>0.49896940096131664</v>
      </c>
      <c r="W48" s="96">
        <v>0.5075287393570691</v>
      </c>
      <c r="X48" s="96">
        <v>0.56560595081874565</v>
      </c>
      <c r="Y48" s="96">
        <v>0.59726086274553403</v>
      </c>
      <c r="DA48" s="171" t="s">
        <v>664</v>
      </c>
    </row>
    <row r="49" spans="1:105" ht="11.45" customHeight="1" x14ac:dyDescent="0.25">
      <c r="A49" s="111" t="s">
        <v>113</v>
      </c>
      <c r="B49" s="96">
        <v>0</v>
      </c>
      <c r="C49" s="96">
        <v>0</v>
      </c>
      <c r="D49" s="96">
        <v>0</v>
      </c>
      <c r="E49" s="96">
        <v>0</v>
      </c>
      <c r="F49" s="96">
        <v>0</v>
      </c>
      <c r="G49" s="96">
        <v>0</v>
      </c>
      <c r="H49" s="96">
        <v>0</v>
      </c>
      <c r="I49" s="96">
        <v>0</v>
      </c>
      <c r="J49" s="96">
        <v>0</v>
      </c>
      <c r="K49" s="96">
        <v>0</v>
      </c>
      <c r="L49" s="96">
        <v>0</v>
      </c>
      <c r="M49" s="96">
        <v>0</v>
      </c>
      <c r="N49" s="96">
        <v>0</v>
      </c>
      <c r="O49" s="96">
        <v>3.920002808002347E-3</v>
      </c>
      <c r="P49" s="96">
        <v>1.0289138317347011E-2</v>
      </c>
      <c r="Q49" s="96">
        <v>1.7266030798665278E-2</v>
      </c>
      <c r="R49" s="96">
        <v>2.2376243050038554E-2</v>
      </c>
      <c r="S49" s="96">
        <v>2.5536167172111525E-2</v>
      </c>
      <c r="T49" s="96">
        <v>3.928259676466174E-2</v>
      </c>
      <c r="U49" s="96">
        <v>6.9082141787738541E-2</v>
      </c>
      <c r="V49" s="96">
        <v>6.9634119260147787E-2</v>
      </c>
      <c r="W49" s="96">
        <v>0.10911724727562903</v>
      </c>
      <c r="X49" s="96">
        <v>0.12825191960079405</v>
      </c>
      <c r="Y49" s="96">
        <v>0.14311151671803876</v>
      </c>
      <c r="DA49" s="171" t="s">
        <v>665</v>
      </c>
    </row>
    <row r="50" spans="1:105" ht="11.45" customHeight="1" x14ac:dyDescent="0.25">
      <c r="A50" s="160" t="s">
        <v>132</v>
      </c>
      <c r="B50" s="96">
        <v>0</v>
      </c>
      <c r="C50" s="96">
        <v>0</v>
      </c>
      <c r="D50" s="96">
        <v>0</v>
      </c>
      <c r="E50" s="96">
        <v>0</v>
      </c>
      <c r="F50" s="96">
        <v>0</v>
      </c>
      <c r="G50" s="96">
        <v>0</v>
      </c>
      <c r="H50" s="96">
        <v>0</v>
      </c>
      <c r="I50" s="96">
        <v>0</v>
      </c>
      <c r="J50" s="96">
        <v>0</v>
      </c>
      <c r="K50" s="96">
        <v>0</v>
      </c>
      <c r="L50" s="96">
        <v>0</v>
      </c>
      <c r="M50" s="96">
        <v>0</v>
      </c>
      <c r="N50" s="96">
        <v>0</v>
      </c>
      <c r="O50" s="96">
        <v>0</v>
      </c>
      <c r="P50" s="96">
        <v>0</v>
      </c>
      <c r="Q50" s="96">
        <v>0</v>
      </c>
      <c r="R50" s="96">
        <v>0</v>
      </c>
      <c r="S50" s="96">
        <v>0</v>
      </c>
      <c r="T50" s="96">
        <v>0</v>
      </c>
      <c r="U50" s="96">
        <v>0</v>
      </c>
      <c r="V50" s="96">
        <v>0</v>
      </c>
      <c r="W50" s="96">
        <v>0</v>
      </c>
      <c r="X50" s="96">
        <v>0</v>
      </c>
      <c r="Y50" s="96">
        <v>0</v>
      </c>
      <c r="DA50" s="171" t="s">
        <v>666</v>
      </c>
    </row>
    <row r="51" spans="1:105" ht="11.45" customHeight="1" x14ac:dyDescent="0.25">
      <c r="A51" s="111" t="s">
        <v>115</v>
      </c>
      <c r="B51" s="96">
        <v>0</v>
      </c>
      <c r="C51" s="96">
        <v>0</v>
      </c>
      <c r="D51" s="96">
        <v>0</v>
      </c>
      <c r="E51" s="96">
        <v>0</v>
      </c>
      <c r="F51" s="96">
        <v>0</v>
      </c>
      <c r="G51" s="96">
        <v>0</v>
      </c>
      <c r="H51" s="96">
        <v>0</v>
      </c>
      <c r="I51" s="96">
        <v>0</v>
      </c>
      <c r="J51" s="96">
        <v>0</v>
      </c>
      <c r="K51" s="96">
        <v>0</v>
      </c>
      <c r="L51" s="96">
        <v>0</v>
      </c>
      <c r="M51" s="96">
        <v>5.305993182113688E-4</v>
      </c>
      <c r="N51" s="96">
        <v>1.6956058131325365E-3</v>
      </c>
      <c r="O51" s="96">
        <v>6.6026674169728048E-3</v>
      </c>
      <c r="P51" s="96">
        <v>9.8097522983775273E-3</v>
      </c>
      <c r="Q51" s="96">
        <v>1.9139959480758195E-2</v>
      </c>
      <c r="R51" s="96">
        <v>2.2574633171866768E-2</v>
      </c>
      <c r="S51" s="96">
        <v>7.4483273710799075E-2</v>
      </c>
      <c r="T51" s="96">
        <v>0.14588623311452406</v>
      </c>
      <c r="U51" s="96">
        <v>0.20045772793454217</v>
      </c>
      <c r="V51" s="96">
        <v>0.24544295962124621</v>
      </c>
      <c r="W51" s="96">
        <v>0.32516030879039198</v>
      </c>
      <c r="X51" s="96">
        <v>0.50153725500404089</v>
      </c>
      <c r="Y51" s="96">
        <v>0.88151858212852763</v>
      </c>
      <c r="DA51" s="171" t="s">
        <v>667</v>
      </c>
    </row>
    <row r="52" spans="1:105" ht="11.45" customHeight="1" x14ac:dyDescent="0.25">
      <c r="A52" s="109" t="s">
        <v>186</v>
      </c>
      <c r="B52" s="130">
        <f t="shared" ref="B52:K52" si="34">B53+B55</f>
        <v>602.42730392284204</v>
      </c>
      <c r="C52" s="130">
        <f t="shared" si="34"/>
        <v>722.47686007409379</v>
      </c>
      <c r="D52" s="130">
        <f t="shared" si="34"/>
        <v>696.50652817681271</v>
      </c>
      <c r="E52" s="130">
        <f t="shared" si="34"/>
        <v>816.86290331654664</v>
      </c>
      <c r="F52" s="130">
        <f t="shared" si="34"/>
        <v>989.55739556730805</v>
      </c>
      <c r="G52" s="130">
        <f t="shared" si="34"/>
        <v>1018.7760719599537</v>
      </c>
      <c r="H52" s="130">
        <f t="shared" si="34"/>
        <v>1035.8245623332934</v>
      </c>
      <c r="I52" s="130">
        <f t="shared" si="34"/>
        <v>1076.5247656713543</v>
      </c>
      <c r="J52" s="130">
        <f t="shared" si="34"/>
        <v>1053.2332303375097</v>
      </c>
      <c r="K52" s="130">
        <f t="shared" si="34"/>
        <v>957.95636417374226</v>
      </c>
      <c r="L52" s="130">
        <f t="shared" ref="L52" si="35">L53+L55</f>
        <v>979.83601078871197</v>
      </c>
      <c r="M52" s="130">
        <f t="shared" ref="M52:V52" si="36">M53+M55</f>
        <v>935.18865621605869</v>
      </c>
      <c r="N52" s="130">
        <f t="shared" si="36"/>
        <v>831.36867180428692</v>
      </c>
      <c r="O52" s="130">
        <f t="shared" si="36"/>
        <v>789.94315947167991</v>
      </c>
      <c r="P52" s="130">
        <f t="shared" si="36"/>
        <v>733.34549979200983</v>
      </c>
      <c r="Q52" s="130">
        <f t="shared" si="36"/>
        <v>769.68189115729956</v>
      </c>
      <c r="R52" s="130">
        <f t="shared" si="36"/>
        <v>757.61938668914877</v>
      </c>
      <c r="S52" s="130">
        <f t="shared" si="36"/>
        <v>741.39043873281457</v>
      </c>
      <c r="T52" s="130">
        <f t="shared" si="36"/>
        <v>730.24470431379677</v>
      </c>
      <c r="U52" s="130">
        <f t="shared" si="36"/>
        <v>748.42376404569723</v>
      </c>
      <c r="V52" s="130">
        <f t="shared" si="36"/>
        <v>642.36334270266934</v>
      </c>
      <c r="W52" s="130">
        <f t="shared" ref="W52:Y52" si="37">W53+W55</f>
        <v>688.53524405119947</v>
      </c>
      <c r="X52" s="130">
        <f t="shared" si="37"/>
        <v>695.6765213904672</v>
      </c>
      <c r="Y52" s="130">
        <f t="shared" si="37"/>
        <v>687.10471995964508</v>
      </c>
      <c r="DA52" s="176" t="s">
        <v>401</v>
      </c>
    </row>
    <row r="53" spans="1:105" ht="11.45" customHeight="1" x14ac:dyDescent="0.25">
      <c r="A53" s="128" t="s">
        <v>27</v>
      </c>
      <c r="B53" s="97">
        <v>476.48472432268522</v>
      </c>
      <c r="C53" s="97">
        <v>581.24840123837839</v>
      </c>
      <c r="D53" s="97">
        <v>545.46519207159292</v>
      </c>
      <c r="E53" s="97">
        <v>634.04142975846844</v>
      </c>
      <c r="F53" s="97">
        <v>778.15045892325145</v>
      </c>
      <c r="G53" s="97">
        <v>802.73091775536409</v>
      </c>
      <c r="H53" s="97">
        <v>804.52878993321644</v>
      </c>
      <c r="I53" s="97">
        <v>824.6936394090734</v>
      </c>
      <c r="J53" s="97">
        <v>824.08015071131354</v>
      </c>
      <c r="K53" s="97">
        <v>725.52551837015596</v>
      </c>
      <c r="L53" s="97">
        <v>767.18110958860927</v>
      </c>
      <c r="M53" s="97">
        <v>716.54123215863899</v>
      </c>
      <c r="N53" s="97">
        <v>629.09270300755463</v>
      </c>
      <c r="O53" s="97">
        <v>561.7370851877215</v>
      </c>
      <c r="P53" s="97">
        <v>506.18440198056533</v>
      </c>
      <c r="Q53" s="97">
        <v>575.06623859957949</v>
      </c>
      <c r="R53" s="97">
        <v>544.64238737785445</v>
      </c>
      <c r="S53" s="97">
        <v>536.35568850662503</v>
      </c>
      <c r="T53" s="97">
        <v>519.90542407356179</v>
      </c>
      <c r="U53" s="97">
        <v>525.45122496807301</v>
      </c>
      <c r="V53" s="97">
        <v>449.67357887229082</v>
      </c>
      <c r="W53" s="97">
        <v>469.3520026086876</v>
      </c>
      <c r="X53" s="97">
        <v>456.58801044948643</v>
      </c>
      <c r="Y53" s="97">
        <v>447.16369393615685</v>
      </c>
      <c r="DA53" s="175" t="s">
        <v>668</v>
      </c>
    </row>
    <row r="54" spans="1:105" ht="11.45" customHeight="1" x14ac:dyDescent="0.25">
      <c r="A54" s="160" t="s">
        <v>131</v>
      </c>
      <c r="B54" s="97">
        <v>0</v>
      </c>
      <c r="C54" s="97">
        <v>0</v>
      </c>
      <c r="D54" s="97">
        <v>0</v>
      </c>
      <c r="E54" s="97">
        <v>0</v>
      </c>
      <c r="F54" s="97">
        <v>0</v>
      </c>
      <c r="G54" s="97">
        <v>0</v>
      </c>
      <c r="H54" s="97">
        <v>13.0952456605424</v>
      </c>
      <c r="I54" s="97">
        <v>22.473459087170518</v>
      </c>
      <c r="J54" s="97">
        <v>22.543356449095285</v>
      </c>
      <c r="K54" s="97">
        <v>32.962772328615422</v>
      </c>
      <c r="L54" s="97">
        <v>50.952354930171559</v>
      </c>
      <c r="M54" s="97">
        <v>47.78011502841256</v>
      </c>
      <c r="N54" s="97">
        <v>42.314350528843292</v>
      </c>
      <c r="O54" s="97">
        <v>36.616632484660371</v>
      </c>
      <c r="P54" s="97">
        <v>32.364793535119802</v>
      </c>
      <c r="Q54" s="97">
        <v>42.262933797859667</v>
      </c>
      <c r="R54" s="97">
        <v>30.543489895369895</v>
      </c>
      <c r="S54" s="97">
        <v>29.44617010984836</v>
      </c>
      <c r="T54" s="97">
        <v>30.179530364947407</v>
      </c>
      <c r="U54" s="97">
        <v>30.609583839436361</v>
      </c>
      <c r="V54" s="97">
        <v>27.646850770260475</v>
      </c>
      <c r="W54" s="97">
        <v>36.184471750402224</v>
      </c>
      <c r="X54" s="97">
        <v>32.915991655514205</v>
      </c>
      <c r="Y54" s="97">
        <v>32.053144123762053</v>
      </c>
      <c r="DA54" s="175" t="s">
        <v>669</v>
      </c>
    </row>
    <row r="55" spans="1:105" ht="11.45" customHeight="1" x14ac:dyDescent="0.25">
      <c r="A55" s="128" t="s">
        <v>116</v>
      </c>
      <c r="B55" s="97">
        <v>125.94257960015682</v>
      </c>
      <c r="C55" s="97">
        <v>141.22845883571546</v>
      </c>
      <c r="D55" s="97">
        <v>151.04133610521981</v>
      </c>
      <c r="E55" s="97">
        <v>182.82147355807825</v>
      </c>
      <c r="F55" s="97">
        <v>211.4069366440566</v>
      </c>
      <c r="G55" s="97">
        <v>216.04515420458964</v>
      </c>
      <c r="H55" s="97">
        <v>231.29577240007694</v>
      </c>
      <c r="I55" s="97">
        <v>251.831126262281</v>
      </c>
      <c r="J55" s="97">
        <v>229.15307962619605</v>
      </c>
      <c r="K55" s="97">
        <v>232.43084580358629</v>
      </c>
      <c r="L55" s="97">
        <v>212.6549012001027</v>
      </c>
      <c r="M55" s="97">
        <v>218.64742405741964</v>
      </c>
      <c r="N55" s="97">
        <v>202.27596879673231</v>
      </c>
      <c r="O55" s="97">
        <v>228.2060742839584</v>
      </c>
      <c r="P55" s="97">
        <v>227.16109781144451</v>
      </c>
      <c r="Q55" s="97">
        <v>194.6156525577201</v>
      </c>
      <c r="R55" s="97">
        <v>212.97699931129438</v>
      </c>
      <c r="S55" s="97">
        <v>205.03475022618949</v>
      </c>
      <c r="T55" s="97">
        <v>210.33928024023493</v>
      </c>
      <c r="U55" s="97">
        <v>222.97253907762425</v>
      </c>
      <c r="V55" s="97">
        <v>192.68976383037858</v>
      </c>
      <c r="W55" s="97">
        <v>219.18324144251187</v>
      </c>
      <c r="X55" s="97">
        <v>239.08851094098074</v>
      </c>
      <c r="Y55" s="97">
        <v>239.94102602348818</v>
      </c>
      <c r="DA55" s="175" t="s">
        <v>670</v>
      </c>
    </row>
    <row r="56" spans="1:105" ht="11.45" customHeight="1" x14ac:dyDescent="0.25">
      <c r="A56" s="161" t="s">
        <v>131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3.7647813201008491</v>
      </c>
      <c r="I56" s="98">
        <v>6.8625684041733654</v>
      </c>
      <c r="J56" s="98">
        <v>6.2686615506541097</v>
      </c>
      <c r="K56" s="98">
        <v>10.560021471859905</v>
      </c>
      <c r="L56" s="98">
        <v>14.123481233001774</v>
      </c>
      <c r="M56" s="98">
        <v>14.579759828554694</v>
      </c>
      <c r="N56" s="98">
        <v>13.605588184868067</v>
      </c>
      <c r="O56" s="98">
        <v>14.875531940410086</v>
      </c>
      <c r="P56" s="98">
        <v>14.524394669436772</v>
      </c>
      <c r="Q56" s="98">
        <v>14.302749645160953</v>
      </c>
      <c r="R56" s="98">
        <v>11.943728540352717</v>
      </c>
      <c r="S56" s="98">
        <v>11.256500607648668</v>
      </c>
      <c r="T56" s="98">
        <v>12.209798938456874</v>
      </c>
      <c r="U56" s="98">
        <v>12.989020301938107</v>
      </c>
      <c r="V56" s="98">
        <v>11.846960541767057</v>
      </c>
      <c r="W56" s="98">
        <v>16.897828844996923</v>
      </c>
      <c r="X56" s="98">
        <v>17.236185031041913</v>
      </c>
      <c r="Y56" s="98">
        <v>17.199214499360181</v>
      </c>
      <c r="DA56" s="178" t="s">
        <v>671</v>
      </c>
    </row>
    <row r="57" spans="1:105" x14ac:dyDescent="0.25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DA57" s="171"/>
    </row>
    <row r="58" spans="1:105" ht="11.45" customHeight="1" x14ac:dyDescent="0.25">
      <c r="A58" s="68" t="s">
        <v>36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DA58" s="179"/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DA59" s="171"/>
    </row>
    <row r="60" spans="1:105" ht="11.45" customHeight="1" x14ac:dyDescent="0.25">
      <c r="A60" s="53" t="s">
        <v>73</v>
      </c>
      <c r="B60" s="79">
        <f>IF(B17=0,0,B17/TrRoad_act!B30*100)</f>
        <v>8.3527370158878345</v>
      </c>
      <c r="C60" s="79">
        <f>IF(C17=0,0,C17/TrRoad_act!C30*100)</f>
        <v>8.3215891591733033</v>
      </c>
      <c r="D60" s="79">
        <f>IF(D17=0,0,D17/TrRoad_act!D30*100)</f>
        <v>8.0583136885983055</v>
      </c>
      <c r="E60" s="79">
        <f>IF(E17=0,0,E17/TrRoad_act!E30*100)</f>
        <v>8.310942043133398</v>
      </c>
      <c r="F60" s="79">
        <f>IF(F17=0,0,F17/TrRoad_act!F30*100)</f>
        <v>8.3636915263056117</v>
      </c>
      <c r="G60" s="79">
        <f>IF(G17=0,0,G17/TrRoad_act!G30*100)</f>
        <v>7.9576622826017092</v>
      </c>
      <c r="H60" s="79">
        <f>IF(H17=0,0,H17/TrRoad_act!H30*100)</f>
        <v>7.8733633269177039</v>
      </c>
      <c r="I60" s="79">
        <f>IF(I17=0,0,I17/TrRoad_act!I30*100)</f>
        <v>7.8616980842463517</v>
      </c>
      <c r="J60" s="79">
        <f>IF(J17=0,0,J17/TrRoad_act!J30*100)</f>
        <v>7.7752687126699058</v>
      </c>
      <c r="K60" s="79">
        <f>IF(K17=0,0,K17/TrRoad_act!K30*100)</f>
        <v>7.5718176290084536</v>
      </c>
      <c r="L60" s="79">
        <f>IF(L17=0,0,L17/TrRoad_act!L30*100)</f>
        <v>7.4802153814852836</v>
      </c>
      <c r="M60" s="79">
        <f>IF(M17=0,0,M17/TrRoad_act!M30*100)</f>
        <v>7.2417568760705375</v>
      </c>
      <c r="N60" s="79">
        <f>IF(N17=0,0,N17/TrRoad_act!N30*100)</f>
        <v>7.2780222454596606</v>
      </c>
      <c r="O60" s="79">
        <f>IF(O17=0,0,O17/TrRoad_act!O30*100)</f>
        <v>7.1708775656490822</v>
      </c>
      <c r="P60" s="79">
        <f>IF(P17=0,0,P17/TrRoad_act!P30*100)</f>
        <v>6.9544294575646193</v>
      </c>
      <c r="Q60" s="79">
        <f>IF(Q17=0,0,Q17/TrRoad_act!Q30*100)</f>
        <v>7.049205156941694</v>
      </c>
      <c r="R60" s="79">
        <f>IF(R17=0,0,R17/TrRoad_act!R30*100)</f>
        <v>6.952214752885304</v>
      </c>
      <c r="S60" s="79">
        <f>IF(S17=0,0,S17/TrRoad_act!S30*100)</f>
        <v>6.8137258544009942</v>
      </c>
      <c r="T60" s="79">
        <f>IF(T17=0,0,T17/TrRoad_act!T30*100)</f>
        <v>6.778815984016723</v>
      </c>
      <c r="U60" s="79">
        <f>IF(U17=0,0,U17/TrRoad_act!U30*100)</f>
        <v>6.8069498770474635</v>
      </c>
      <c r="V60" s="79">
        <f>IF(V17=0,0,V17/TrRoad_act!V30*100)</f>
        <v>6.6191665145935854</v>
      </c>
      <c r="W60" s="79">
        <f>IF(W17=0,0,W17/TrRoad_act!W30*100)</f>
        <v>6.7807308783077396</v>
      </c>
      <c r="X60" s="79">
        <f>IF(X17=0,0,X17/TrRoad_act!X30*100)</f>
        <v>6.8089701578970692</v>
      </c>
      <c r="Y60" s="79">
        <f>IF(Y17=0,0,Y17/TrRoad_act!Y30*100)</f>
        <v>6.7390891113521505</v>
      </c>
      <c r="DA60" s="172" t="s">
        <v>672</v>
      </c>
    </row>
    <row r="61" spans="1:105" ht="11.45" customHeight="1" x14ac:dyDescent="0.25">
      <c r="A61" s="27" t="s">
        <v>33</v>
      </c>
      <c r="B61" s="32">
        <f>IF(B18=0,0,B18/TrRoad_act!B31*100)</f>
        <v>6.5062441582908166</v>
      </c>
      <c r="C61" s="32">
        <f>IF(C18=0,0,C18/TrRoad_act!C31*100)</f>
        <v>6.4613434369029292</v>
      </c>
      <c r="D61" s="32">
        <f>IF(D18=0,0,D18/TrRoad_act!D31*100)</f>
        <v>6.3155439750106082</v>
      </c>
      <c r="E61" s="32">
        <f>IF(E18=0,0,E18/TrRoad_act!E31*100)</f>
        <v>6.5242930591997688</v>
      </c>
      <c r="F61" s="32">
        <f>IF(F18=0,0,F18/TrRoad_act!F31*100)</f>
        <v>6.5014789030877189</v>
      </c>
      <c r="G61" s="32">
        <f>IF(G18=0,0,G18/TrRoad_act!G31*100)</f>
        <v>6.0767545153412836</v>
      </c>
      <c r="H61" s="32">
        <f>IF(H18=0,0,H18/TrRoad_act!H31*100)</f>
        <v>6.031194321243218</v>
      </c>
      <c r="I61" s="32">
        <f>IF(I18=0,0,I18/TrRoad_act!I31*100)</f>
        <v>6.0441572692941339</v>
      </c>
      <c r="J61" s="32">
        <f>IF(J18=0,0,J18/TrRoad_act!J31*100)</f>
        <v>6.0397585734981911</v>
      </c>
      <c r="K61" s="32">
        <f>IF(K18=0,0,K18/TrRoad_act!K31*100)</f>
        <v>5.9858735340849112</v>
      </c>
      <c r="L61" s="32">
        <f>IF(L18=0,0,L18/TrRoad_act!L31*100)</f>
        <v>5.9246370638559771</v>
      </c>
      <c r="M61" s="32">
        <f>IF(M18=0,0,M18/TrRoad_act!M31*100)</f>
        <v>5.7233353456579579</v>
      </c>
      <c r="N61" s="32">
        <f>IF(N18=0,0,N18/TrRoad_act!N31*100)</f>
        <v>5.8544591568826121</v>
      </c>
      <c r="O61" s="32">
        <f>IF(O18=0,0,O18/TrRoad_act!O31*100)</f>
        <v>5.8103879837957315</v>
      </c>
      <c r="P61" s="32">
        <f>IF(P18=0,0,P18/TrRoad_act!P31*100)</f>
        <v>5.715635317825642</v>
      </c>
      <c r="Q61" s="32">
        <f>IF(Q18=0,0,Q18/TrRoad_act!Q31*100)</f>
        <v>5.8177877902390467</v>
      </c>
      <c r="R61" s="32">
        <f>IF(R18=0,0,R18/TrRoad_act!R31*100)</f>
        <v>5.7623815610390334</v>
      </c>
      <c r="S61" s="32">
        <f>IF(S18=0,0,S18/TrRoad_act!S31*100)</f>
        <v>5.6805263576946343</v>
      </c>
      <c r="T61" s="32">
        <f>IF(T18=0,0,T18/TrRoad_act!T31*100)</f>
        <v>5.6867187305704432</v>
      </c>
      <c r="U61" s="32">
        <f>IF(U18=0,0,U18/TrRoad_act!U31*100)</f>
        <v>5.7396584071452939</v>
      </c>
      <c r="V61" s="32">
        <f>IF(V18=0,0,V18/TrRoad_act!V31*100)</f>
        <v>5.5412450109391429</v>
      </c>
      <c r="W61" s="32">
        <f>IF(W18=0,0,W18/TrRoad_act!W31*100)</f>
        <v>5.7198125805986271</v>
      </c>
      <c r="X61" s="32">
        <f>IF(X18=0,0,X18/TrRoad_act!X31*100)</f>
        <v>5.7755776788214499</v>
      </c>
      <c r="Y61" s="32">
        <f>IF(Y18=0,0,Y18/TrRoad_act!Y31*100)</f>
        <v>5.7584914815248984</v>
      </c>
      <c r="DA61" s="173" t="s">
        <v>673</v>
      </c>
    </row>
    <row r="62" spans="1:105" ht="11.45" customHeight="1" x14ac:dyDescent="0.25">
      <c r="A62" s="136" t="s">
        <v>173</v>
      </c>
      <c r="B62" s="141">
        <f>IF(B19=0,0,B19/TrRoad_act!B32*100)</f>
        <v>4.2526825406013682</v>
      </c>
      <c r="C62" s="141">
        <f>IF(C19=0,0,C19/TrRoad_act!C32*100)</f>
        <v>4.004531715527146</v>
      </c>
      <c r="D62" s="141">
        <f>IF(D19=0,0,D19/TrRoad_act!D32*100)</f>
        <v>3.9682264206168818</v>
      </c>
      <c r="E62" s="141">
        <f>IF(E19=0,0,E19/TrRoad_act!E32*100)</f>
        <v>3.9393732157620738</v>
      </c>
      <c r="F62" s="141">
        <f>IF(F19=0,0,F19/TrRoad_act!F32*100)</f>
        <v>3.9093412094309854</v>
      </c>
      <c r="G62" s="141">
        <f>IF(G19=0,0,G19/TrRoad_act!G32*100)</f>
        <v>3.8794718916954642</v>
      </c>
      <c r="H62" s="141">
        <f>IF(H19=0,0,H19/TrRoad_act!H32*100)</f>
        <v>3.8457203224594374</v>
      </c>
      <c r="I62" s="141">
        <f>IF(I19=0,0,I19/TrRoad_act!I32*100)</f>
        <v>3.8093411769350132</v>
      </c>
      <c r="J62" s="141">
        <f>IF(J19=0,0,J19/TrRoad_act!J32*100)</f>
        <v>3.7886492933725293</v>
      </c>
      <c r="K62" s="141">
        <f>IF(K19=0,0,K19/TrRoad_act!K32*100)</f>
        <v>3.7539974429613592</v>
      </c>
      <c r="L62" s="141">
        <f>IF(L19=0,0,L19/TrRoad_act!L32*100)</f>
        <v>3.6710182309037833</v>
      </c>
      <c r="M62" s="141">
        <f>IF(M19=0,0,M19/TrRoad_act!M32*100)</f>
        <v>3.6046136555327339</v>
      </c>
      <c r="N62" s="141">
        <f>IF(N19=0,0,N19/TrRoad_act!N32*100)</f>
        <v>3.5449232262541797</v>
      </c>
      <c r="O62" s="141">
        <f>IF(O19=0,0,O19/TrRoad_act!O32*100)</f>
        <v>3.5158723156579224</v>
      </c>
      <c r="P62" s="141">
        <f>IF(P19=0,0,P19/TrRoad_act!P32*100)</f>
        <v>3.4714758870433577</v>
      </c>
      <c r="Q62" s="141">
        <f>IF(Q19=0,0,Q19/TrRoad_act!Q32*100)</f>
        <v>3.4094825019668762</v>
      </c>
      <c r="R62" s="141">
        <f>IF(R19=0,0,R19/TrRoad_act!R32*100)</f>
        <v>3.3626437553891044</v>
      </c>
      <c r="S62" s="141">
        <f>IF(S19=0,0,S19/TrRoad_act!S32*100)</f>
        <v>3.4911433256132884</v>
      </c>
      <c r="T62" s="141">
        <f>IF(T19=0,0,T19/TrRoad_act!T32*100)</f>
        <v>3.4541263240440747</v>
      </c>
      <c r="U62" s="141">
        <f>IF(U19=0,0,U19/TrRoad_act!U32*100)</f>
        <v>3.4264129681902231</v>
      </c>
      <c r="V62" s="141">
        <f>IF(V19=0,0,V19/TrRoad_act!V32*100)</f>
        <v>3.3529383591582516</v>
      </c>
      <c r="W62" s="141">
        <f>IF(W19=0,0,W19/TrRoad_act!W32*100)</f>
        <v>3.3224456442805432</v>
      </c>
      <c r="X62" s="141">
        <f>IF(X19=0,0,X19/TrRoad_act!X32*100)</f>
        <v>3.3173194573265854</v>
      </c>
      <c r="Y62" s="141">
        <f>IF(Y19=0,0,Y19/TrRoad_act!Y32*100)</f>
        <v>3.3122273717673179</v>
      </c>
      <c r="DA62" s="174" t="s">
        <v>674</v>
      </c>
    </row>
    <row r="63" spans="1:105" ht="11.45" customHeight="1" x14ac:dyDescent="0.25">
      <c r="A63" s="109" t="s">
        <v>20</v>
      </c>
      <c r="B63" s="130">
        <f>IF(B21=0,0,B21/TrRoad_act!B33*100)</f>
        <v>5.980950880937125</v>
      </c>
      <c r="C63" s="130">
        <f>IF(C21=0,0,C21/TrRoad_act!C33*100)</f>
        <v>5.9532186356382386</v>
      </c>
      <c r="D63" s="130">
        <f>IF(D21=0,0,D21/TrRoad_act!D33*100)</f>
        <v>5.8476311362538453</v>
      </c>
      <c r="E63" s="130">
        <f>IF(E21=0,0,E21/TrRoad_act!E33*100)</f>
        <v>6.0957642948421018</v>
      </c>
      <c r="F63" s="130">
        <f>IF(F21=0,0,F21/TrRoad_act!F33*100)</f>
        <v>6.1028819997485186</v>
      </c>
      <c r="G63" s="130">
        <f>IF(G21=0,0,G21/TrRoad_act!G33*100)</f>
        <v>5.8501517544459336</v>
      </c>
      <c r="H63" s="130">
        <f>IF(H21=0,0,H21/TrRoad_act!H33*100)</f>
        <v>5.810468455565009</v>
      </c>
      <c r="I63" s="130">
        <f>IF(I21=0,0,I21/TrRoad_act!I33*100)</f>
        <v>5.8152707918758049</v>
      </c>
      <c r="J63" s="130">
        <f>IF(J21=0,0,J21/TrRoad_act!J33*100)</f>
        <v>5.8054698968157101</v>
      </c>
      <c r="K63" s="130">
        <f>IF(K21=0,0,K21/TrRoad_act!K33*100)</f>
        <v>5.7459271022632485</v>
      </c>
      <c r="L63" s="130">
        <f>IF(L21=0,0,L21/TrRoad_act!L33*100)</f>
        <v>5.679351449937597</v>
      </c>
      <c r="M63" s="130">
        <f>IF(M21=0,0,M21/TrRoad_act!M33*100)</f>
        <v>5.4662514432726388</v>
      </c>
      <c r="N63" s="130">
        <f>IF(N21=0,0,N21/TrRoad_act!N33*100)</f>
        <v>5.6488496624476952</v>
      </c>
      <c r="O63" s="130">
        <f>IF(O21=0,0,O21/TrRoad_act!O33*100)</f>
        <v>5.6147000382461743</v>
      </c>
      <c r="P63" s="130">
        <f>IF(P21=0,0,P21/TrRoad_act!P33*100)</f>
        <v>5.468544837826637</v>
      </c>
      <c r="Q63" s="130">
        <f>IF(Q21=0,0,Q21/TrRoad_act!Q33*100)</f>
        <v>5.567350029428213</v>
      </c>
      <c r="R63" s="130">
        <f>IF(R21=0,0,R21/TrRoad_act!R33*100)</f>
        <v>5.5061432603851479</v>
      </c>
      <c r="S63" s="130">
        <f>IF(S21=0,0,S21/TrRoad_act!S33*100)</f>
        <v>5.4124693709498972</v>
      </c>
      <c r="T63" s="130">
        <f>IF(T21=0,0,T21/TrRoad_act!T33*100)</f>
        <v>5.4063768193358026</v>
      </c>
      <c r="U63" s="130">
        <f>IF(U21=0,0,U21/TrRoad_act!U33*100)</f>
        <v>5.4933904186651876</v>
      </c>
      <c r="V63" s="130">
        <f>IF(V21=0,0,V21/TrRoad_act!V33*100)</f>
        <v>5.329131503439184</v>
      </c>
      <c r="W63" s="130">
        <f>IF(W21=0,0,W21/TrRoad_act!W33*100)</f>
        <v>5.4630896466191112</v>
      </c>
      <c r="X63" s="130">
        <f>IF(X21=0,0,X21/TrRoad_act!X33*100)</f>
        <v>5.4751030094029733</v>
      </c>
      <c r="Y63" s="130">
        <f>IF(Y21=0,0,Y21/TrRoad_act!Y33*100)</f>
        <v>5.4660922586290361</v>
      </c>
      <c r="DA63" s="176" t="s">
        <v>675</v>
      </c>
    </row>
    <row r="64" spans="1:105" ht="11.45" customHeight="1" x14ac:dyDescent="0.25">
      <c r="A64" s="111" t="s">
        <v>110</v>
      </c>
      <c r="B64" s="96">
        <f>IF(B22=0,0,B22/TrRoad_act!B34*100)</f>
        <v>6.8891902935557354</v>
      </c>
      <c r="C64" s="96">
        <f>IF(C22=0,0,C22/TrRoad_act!C34*100)</f>
        <v>6.7536928076631977</v>
      </c>
      <c r="D64" s="96">
        <f>IF(D22=0,0,D22/TrRoad_act!D34*100)</f>
        <v>6.6783576863644019</v>
      </c>
      <c r="E64" s="96">
        <f>IF(E22=0,0,E22/TrRoad_act!E34*100)</f>
        <v>6.6497773143354451</v>
      </c>
      <c r="F64" s="96">
        <f>IF(F22=0,0,F22/TrRoad_act!F34*100)</f>
        <v>6.6339399516517084</v>
      </c>
      <c r="G64" s="96">
        <f>IF(G22=0,0,G22/TrRoad_act!G34*100)</f>
        <v>6.6066830529504443</v>
      </c>
      <c r="H64" s="96">
        <f>IF(H22=0,0,H22/TrRoad_act!H34*100)</f>
        <v>6.5845350588589868</v>
      </c>
      <c r="I64" s="96">
        <f>IF(I22=0,0,I22/TrRoad_act!I34*100)</f>
        <v>6.5583260538964296</v>
      </c>
      <c r="J64" s="96">
        <f>IF(J22=0,0,J22/TrRoad_act!J34*100)</f>
        <v>6.5228654978674454</v>
      </c>
      <c r="K64" s="96">
        <f>IF(K22=0,0,K22/TrRoad_act!K34*100)</f>
        <v>6.5095598750601651</v>
      </c>
      <c r="L64" s="96">
        <f>IF(L22=0,0,L22/TrRoad_act!L34*100)</f>
        <v>6.4067529467620439</v>
      </c>
      <c r="M64" s="96">
        <f>IF(M22=0,0,M22/TrRoad_act!M34*100)</f>
        <v>6.3650101182205763</v>
      </c>
      <c r="N64" s="96">
        <f>IF(N22=0,0,N22/TrRoad_act!N34*100)</f>
        <v>6.2525941622674646</v>
      </c>
      <c r="O64" s="96">
        <f>IF(O22=0,0,O22/TrRoad_act!O34*100)</f>
        <v>6.2411220876782023</v>
      </c>
      <c r="P64" s="96">
        <f>IF(P22=0,0,P22/TrRoad_act!P34*100)</f>
        <v>6.2105496681394374</v>
      </c>
      <c r="Q64" s="96">
        <f>IF(Q22=0,0,Q22/TrRoad_act!Q34*100)</f>
        <v>6.1450015343829127</v>
      </c>
      <c r="R64" s="96">
        <f>IF(R22=0,0,R22/TrRoad_act!R34*100)</f>
        <v>6.1714334555619779</v>
      </c>
      <c r="S64" s="96">
        <f>IF(S22=0,0,S22/TrRoad_act!S34*100)</f>
        <v>6.0864376009743255</v>
      </c>
      <c r="T64" s="96">
        <f>IF(T22=0,0,T22/TrRoad_act!T34*100)</f>
        <v>6.1176612273020581</v>
      </c>
      <c r="U64" s="96">
        <f>IF(U22=0,0,U22/TrRoad_act!U34*100)</f>
        <v>6.121143210466764</v>
      </c>
      <c r="V64" s="96">
        <f>IF(V22=0,0,V22/TrRoad_act!V34*100)</f>
        <v>6.0642535514748204</v>
      </c>
      <c r="W64" s="96">
        <f>IF(W22=0,0,W22/TrRoad_act!W34*100)</f>
        <v>6.0428928126503587</v>
      </c>
      <c r="X64" s="96">
        <f>IF(X22=0,0,X22/TrRoad_act!X34*100)</f>
        <v>6.2580626897496421</v>
      </c>
      <c r="Y64" s="96">
        <f>IF(Y22=0,0,Y22/TrRoad_act!Y34*100)</f>
        <v>6.3495074351526206</v>
      </c>
      <c r="DA64" s="171" t="s">
        <v>676</v>
      </c>
    </row>
    <row r="65" spans="1:105" ht="11.45" customHeight="1" x14ac:dyDescent="0.25">
      <c r="A65" s="111" t="s">
        <v>111</v>
      </c>
      <c r="B65" s="96">
        <f>IF(B24=0,0,B24/TrRoad_act!B35*100)</f>
        <v>4.2929383026213452</v>
      </c>
      <c r="C65" s="96">
        <f>IF(C24=0,0,C24/TrRoad_act!C35*100)</f>
        <v>4.6583129423461305</v>
      </c>
      <c r="D65" s="96">
        <f>IF(D24=0,0,D24/TrRoad_act!D35*100)</f>
        <v>4.623354626953561</v>
      </c>
      <c r="E65" s="96">
        <f>IF(E24=0,0,E24/TrRoad_act!E35*100)</f>
        <v>5.4002794895472208</v>
      </c>
      <c r="F65" s="96">
        <f>IF(F24=0,0,F24/TrRoad_act!F35*100)</f>
        <v>5.5323456729631175</v>
      </c>
      <c r="G65" s="96">
        <f>IF(G24=0,0,G24/TrRoad_act!G35*100)</f>
        <v>5.1541409584883509</v>
      </c>
      <c r="H65" s="96">
        <f>IF(H24=0,0,H24/TrRoad_act!H35*100)</f>
        <v>5.202481779999828</v>
      </c>
      <c r="I65" s="96">
        <f>IF(I24=0,0,I24/TrRoad_act!I35*100)</f>
        <v>5.2888266666098369</v>
      </c>
      <c r="J65" s="96">
        <f>IF(J24=0,0,J24/TrRoad_act!J35*100)</f>
        <v>5.3621543859054475</v>
      </c>
      <c r="K65" s="96">
        <f>IF(K24=0,0,K24/TrRoad_act!K35*100)</f>
        <v>5.3104855300411131</v>
      </c>
      <c r="L65" s="96">
        <f>IF(L24=0,0,L24/TrRoad_act!L35*100)</f>
        <v>5.3002829222800738</v>
      </c>
      <c r="M65" s="96">
        <f>IF(M24=0,0,M24/TrRoad_act!M35*100)</f>
        <v>5.0472065838900226</v>
      </c>
      <c r="N65" s="96">
        <f>IF(N24=0,0,N24/TrRoad_act!N35*100)</f>
        <v>5.3677332374048783</v>
      </c>
      <c r="O65" s="96">
        <f>IF(O24=0,0,O24/TrRoad_act!O35*100)</f>
        <v>5.3332476208467074</v>
      </c>
      <c r="P65" s="96">
        <f>IF(P24=0,0,P24/TrRoad_act!P35*100)</f>
        <v>5.1570877852148209</v>
      </c>
      <c r="Q65" s="96">
        <f>IF(Q24=0,0,Q24/TrRoad_act!Q35*100)</f>
        <v>5.3258120434430598</v>
      </c>
      <c r="R65" s="96">
        <f>IF(R24=0,0,R24/TrRoad_act!R35*100)</f>
        <v>5.248428097612285</v>
      </c>
      <c r="S65" s="96">
        <f>IF(S24=0,0,S24/TrRoad_act!S35*100)</f>
        <v>5.1758911602719735</v>
      </c>
      <c r="T65" s="96">
        <f>IF(T24=0,0,T24/TrRoad_act!T35*100)</f>
        <v>5.1797757940857228</v>
      </c>
      <c r="U65" s="96">
        <f>IF(U24=0,0,U24/TrRoad_act!U35*100)</f>
        <v>5.3085187229450108</v>
      </c>
      <c r="V65" s="96">
        <f>IF(V24=0,0,V24/TrRoad_act!V35*100)</f>
        <v>5.1345768360879891</v>
      </c>
      <c r="W65" s="96">
        <f>IF(W24=0,0,W24/TrRoad_act!W35*100)</f>
        <v>5.3417611731993793</v>
      </c>
      <c r="X65" s="96">
        <f>IF(X24=0,0,X24/TrRoad_act!X35*100)</f>
        <v>5.2989777201055395</v>
      </c>
      <c r="Y65" s="96">
        <f>IF(Y24=0,0,Y24/TrRoad_act!Y35*100)</f>
        <v>5.2841013770117105</v>
      </c>
      <c r="DA65" s="171" t="s">
        <v>677</v>
      </c>
    </row>
    <row r="66" spans="1:105" ht="11.45" customHeight="1" x14ac:dyDescent="0.25">
      <c r="A66" s="111" t="s">
        <v>112</v>
      </c>
      <c r="B66" s="96">
        <f>IF(B26=0,0,B26/TrRoad_act!B36*100)</f>
        <v>7.2550307002477918</v>
      </c>
      <c r="C66" s="96">
        <f>IF(C26=0,0,C26/TrRoad_act!C36*100)</f>
        <v>7.7786273620775015</v>
      </c>
      <c r="D66" s="96">
        <f>IF(D26=0,0,D26/TrRoad_act!D36*100)</f>
        <v>7.9835548570236297</v>
      </c>
      <c r="E66" s="96">
        <f>IF(E26=0,0,E26/TrRoad_act!E36*100)</f>
        <v>6.9694433575769921</v>
      </c>
      <c r="F66" s="96">
        <f>IF(F26=0,0,F26/TrRoad_act!F36*100)</f>
        <v>6.8226921503412168</v>
      </c>
      <c r="G66" s="96">
        <f>IF(G26=0,0,G26/TrRoad_act!G36*100)</f>
        <v>7.1847878283693243</v>
      </c>
      <c r="H66" s="96">
        <f>IF(H26=0,0,H26/TrRoad_act!H36*100)</f>
        <v>8.023758070719051</v>
      </c>
      <c r="I66" s="96">
        <f>IF(I26=0,0,I26/TrRoad_act!I36*100)</f>
        <v>8.7346687552323132</v>
      </c>
      <c r="J66" s="96">
        <f>IF(J26=0,0,J26/TrRoad_act!J36*100)</f>
        <v>7.3617386169764156</v>
      </c>
      <c r="K66" s="96">
        <f>IF(K26=0,0,K26/TrRoad_act!K36*100)</f>
        <v>6.1873019925008892</v>
      </c>
      <c r="L66" s="96">
        <f>IF(L26=0,0,L26/TrRoad_act!L36*100)</f>
        <v>6.1401000756992614</v>
      </c>
      <c r="M66" s="96">
        <f>IF(M26=0,0,M26/TrRoad_act!M36*100)</f>
        <v>6.0131617607022934</v>
      </c>
      <c r="N66" s="96">
        <f>IF(N26=0,0,N26/TrRoad_act!N36*100)</f>
        <v>6.0415371023837618</v>
      </c>
      <c r="O66" s="96">
        <f>IF(O26=0,0,O26/TrRoad_act!O36*100)</f>
        <v>6.1465785524876884</v>
      </c>
      <c r="P66" s="96">
        <f>IF(P26=0,0,P26/TrRoad_act!P36*100)</f>
        <v>5.7673966349257535</v>
      </c>
      <c r="Q66" s="96">
        <f>IF(Q26=0,0,Q26/TrRoad_act!Q36*100)</f>
        <v>5.9611952641514625</v>
      </c>
      <c r="R66" s="96">
        <f>IF(R26=0,0,R26/TrRoad_act!R36*100)</f>
        <v>5.9624691069746714</v>
      </c>
      <c r="S66" s="96">
        <f>IF(S26=0,0,S26/TrRoad_act!S36*100)</f>
        <v>5.6563837490480209</v>
      </c>
      <c r="T66" s="96">
        <f>IF(T26=0,0,T26/TrRoad_act!T36*100)</f>
        <v>5.3047909069311121</v>
      </c>
      <c r="U66" s="96">
        <f>IF(U26=0,0,U26/TrRoad_act!U36*100)</f>
        <v>5.3354350984153713</v>
      </c>
      <c r="V66" s="96">
        <f>IF(V26=0,0,V26/TrRoad_act!V36*100)</f>
        <v>4.7495477856526511</v>
      </c>
      <c r="W66" s="96">
        <f>IF(W26=0,0,W26/TrRoad_act!W36*100)</f>
        <v>4.5693435148598107</v>
      </c>
      <c r="X66" s="96">
        <f>IF(X26=0,0,X26/TrRoad_act!X36*100)</f>
        <v>4.6022121040246544</v>
      </c>
      <c r="Y66" s="96">
        <f>IF(Y26=0,0,Y26/TrRoad_act!Y36*100)</f>
        <v>4.8765450487491018</v>
      </c>
      <c r="DA66" s="171" t="s">
        <v>678</v>
      </c>
    </row>
    <row r="67" spans="1:105" ht="11.45" customHeight="1" x14ac:dyDescent="0.25">
      <c r="A67" s="111" t="s">
        <v>113</v>
      </c>
      <c r="B67" s="96">
        <f>IF(B27=0,0,B27/TrRoad_act!B37*100)</f>
        <v>0</v>
      </c>
      <c r="C67" s="96">
        <f>IF(C27=0,0,C27/TrRoad_act!C37*100)</f>
        <v>0</v>
      </c>
      <c r="D67" s="96">
        <f>IF(D27=0,0,D27/TrRoad_act!D37*100)</f>
        <v>0</v>
      </c>
      <c r="E67" s="96">
        <f>IF(E27=0,0,E27/TrRoad_act!E37*100)</f>
        <v>0</v>
      </c>
      <c r="F67" s="96">
        <f>IF(F27=0,0,F27/TrRoad_act!F37*100)</f>
        <v>0</v>
      </c>
      <c r="G67" s="96">
        <f>IF(G27=0,0,G27/TrRoad_act!G37*100)</f>
        <v>0</v>
      </c>
      <c r="H67" s="96">
        <f>IF(H27=0,0,H27/TrRoad_act!H37*100)</f>
        <v>0</v>
      </c>
      <c r="I67" s="96">
        <f>IF(I27=0,0,I27/TrRoad_act!I37*100)</f>
        <v>0</v>
      </c>
      <c r="J67" s="96">
        <f>IF(J27=0,0,J27/TrRoad_act!J37*100)</f>
        <v>0</v>
      </c>
      <c r="K67" s="96">
        <f>IF(K27=0,0,K27/TrRoad_act!K37*100)</f>
        <v>0</v>
      </c>
      <c r="L67" s="96">
        <f>IF(L27=0,0,L27/TrRoad_act!L37*100)</f>
        <v>7.9540246746792178</v>
      </c>
      <c r="M67" s="96">
        <f>IF(M27=0,0,M27/TrRoad_act!M37*100)</f>
        <v>7.9540246746792178</v>
      </c>
      <c r="N67" s="96">
        <f>IF(N27=0,0,N27/TrRoad_act!N37*100)</f>
        <v>6.5264831616344141</v>
      </c>
      <c r="O67" s="96">
        <f>IF(O27=0,0,O27/TrRoad_act!O37*100)</f>
        <v>6.1106052297575086</v>
      </c>
      <c r="P67" s="96">
        <f>IF(P27=0,0,P27/TrRoad_act!P37*100)</f>
        <v>5.8823252904162544</v>
      </c>
      <c r="Q67" s="96">
        <f>IF(Q27=0,0,Q27/TrRoad_act!Q37*100)</f>
        <v>5.566663420247437</v>
      </c>
      <c r="R67" s="96">
        <f>IF(R27=0,0,R27/TrRoad_act!R37*100)</f>
        <v>5.3568389963589933</v>
      </c>
      <c r="S67" s="96">
        <f>IF(S27=0,0,S27/TrRoad_act!S37*100)</f>
        <v>5.2494302310960554</v>
      </c>
      <c r="T67" s="96">
        <f>IF(T27=0,0,T27/TrRoad_act!T37*100)</f>
        <v>5.3669077920382033</v>
      </c>
      <c r="U67" s="96">
        <f>IF(U27=0,0,U27/TrRoad_act!U37*100)</f>
        <v>5.2721762332545534</v>
      </c>
      <c r="V67" s="96">
        <f>IF(V27=0,0,V27/TrRoad_act!V37*100)</f>
        <v>5.2248143274502974</v>
      </c>
      <c r="W67" s="96">
        <f>IF(W27=0,0,W27/TrRoad_act!W37*100)</f>
        <v>5.1607880214511672</v>
      </c>
      <c r="X67" s="96">
        <f>IF(X27=0,0,X27/TrRoad_act!X37*100)</f>
        <v>5.1406640593008008</v>
      </c>
      <c r="Y67" s="96">
        <f>IF(Y27=0,0,Y27/TrRoad_act!Y37*100)</f>
        <v>5.1304868219192468</v>
      </c>
      <c r="DA67" s="171" t="s">
        <v>679</v>
      </c>
    </row>
    <row r="68" spans="1:105" ht="11.45" customHeight="1" x14ac:dyDescent="0.25">
      <c r="A68" s="111" t="s">
        <v>114</v>
      </c>
      <c r="B68" s="96">
        <f>IF(B29=0,0,B29/TrRoad_act!B38*100)</f>
        <v>0</v>
      </c>
      <c r="C68" s="96">
        <f>IF(C29=0,0,C29/TrRoad_act!C38*100)</f>
        <v>0</v>
      </c>
      <c r="D68" s="96">
        <f>IF(D29=0,0,D29/TrRoad_act!D38*100)</f>
        <v>0</v>
      </c>
      <c r="E68" s="96">
        <f>IF(E29=0,0,E29/TrRoad_act!E38*100)</f>
        <v>0</v>
      </c>
      <c r="F68" s="96">
        <f>IF(F29=0,0,F29/TrRoad_act!F38*100)</f>
        <v>0</v>
      </c>
      <c r="G68" s="96">
        <f>IF(G29=0,0,G29/TrRoad_act!G38*100)</f>
        <v>0</v>
      </c>
      <c r="H68" s="96">
        <f>IF(H29=0,0,H29/TrRoad_act!H38*100)</f>
        <v>0</v>
      </c>
      <c r="I68" s="96">
        <f>IF(I29=0,0,I29/TrRoad_act!I38*100)</f>
        <v>0</v>
      </c>
      <c r="J68" s="96">
        <f>IF(J29=0,0,J29/TrRoad_act!J38*100)</f>
        <v>0</v>
      </c>
      <c r="K68" s="96">
        <f>IF(K29=0,0,K29/TrRoad_act!K38*100)</f>
        <v>0</v>
      </c>
      <c r="L68" s="96">
        <f>IF(L29=0,0,L29/TrRoad_act!L38*100)</f>
        <v>0</v>
      </c>
      <c r="M68" s="96">
        <f>IF(M29=0,0,M29/TrRoad_act!M38*100)</f>
        <v>3.3000571260564326</v>
      </c>
      <c r="N68" s="96">
        <f>IF(N29=0,0,N29/TrRoad_act!N38*100)</f>
        <v>2.8926785746736199</v>
      </c>
      <c r="O68" s="96">
        <f>IF(O29=0,0,O29/TrRoad_act!O38*100)</f>
        <v>2.9801580235587188</v>
      </c>
      <c r="P68" s="96">
        <f>IF(P29=0,0,P29/TrRoad_act!P38*100)</f>
        <v>3.0970456135222846</v>
      </c>
      <c r="Q68" s="96">
        <f>IF(Q29=0,0,Q29/TrRoad_act!Q38*100)</f>
        <v>3.2209722564286767</v>
      </c>
      <c r="R68" s="96">
        <f>IF(R29=0,0,R29/TrRoad_act!R38*100)</f>
        <v>3.283572861247507</v>
      </c>
      <c r="S68" s="96">
        <f>IF(S29=0,0,S29/TrRoad_act!S38*100)</f>
        <v>3.3289372814737037</v>
      </c>
      <c r="T68" s="96">
        <f>IF(T29=0,0,T29/TrRoad_act!T38*100)</f>
        <v>3.4647299196221066</v>
      </c>
      <c r="U68" s="96">
        <f>IF(U29=0,0,U29/TrRoad_act!U38*100)</f>
        <v>3.4459914930903106</v>
      </c>
      <c r="V68" s="96">
        <f>IF(V29=0,0,V29/TrRoad_act!V38*100)</f>
        <v>3.3881350035216586</v>
      </c>
      <c r="W68" s="96">
        <f>IF(W29=0,0,W29/TrRoad_act!W38*100)</f>
        <v>3.2497089436025526</v>
      </c>
      <c r="X68" s="96">
        <f>IF(X29=0,0,X29/TrRoad_act!X38*100)</f>
        <v>3.1913614144358831</v>
      </c>
      <c r="Y68" s="96">
        <f>IF(Y29=0,0,Y29/TrRoad_act!Y38*100)</f>
        <v>3.0867920816024039</v>
      </c>
      <c r="DA68" s="171" t="s">
        <v>680</v>
      </c>
    </row>
    <row r="69" spans="1:105" ht="11.45" customHeight="1" x14ac:dyDescent="0.25">
      <c r="A69" s="111" t="s">
        <v>115</v>
      </c>
      <c r="B69" s="96">
        <f>IF(B32=0,0,B32/TrRoad_act!B39*100)</f>
        <v>0</v>
      </c>
      <c r="C69" s="96">
        <f>IF(C32=0,0,C32/TrRoad_act!C39*100)</f>
        <v>0</v>
      </c>
      <c r="D69" s="96">
        <f>IF(D32=0,0,D32/TrRoad_act!D39*100)</f>
        <v>0</v>
      </c>
      <c r="E69" s="96">
        <f>IF(E32=0,0,E32/TrRoad_act!E39*100)</f>
        <v>0</v>
      </c>
      <c r="F69" s="96">
        <f>IF(F32=0,0,F32/TrRoad_act!F39*100)</f>
        <v>0</v>
      </c>
      <c r="G69" s="96">
        <f>IF(G32=0,0,G32/TrRoad_act!G39*100)</f>
        <v>0</v>
      </c>
      <c r="H69" s="96">
        <f>IF(H32=0,0,H32/TrRoad_act!H39*100)</f>
        <v>0</v>
      </c>
      <c r="I69" s="96">
        <f>IF(I32=0,0,I32/TrRoad_act!I39*100)</f>
        <v>0</v>
      </c>
      <c r="J69" s="96">
        <f>IF(J32=0,0,J32/TrRoad_act!J39*100)</f>
        <v>1.2812151420517373</v>
      </c>
      <c r="K69" s="96">
        <f>IF(K32=0,0,K32/TrRoad_act!K39*100)</f>
        <v>1.2812893627829747</v>
      </c>
      <c r="L69" s="96">
        <f>IF(L32=0,0,L32/TrRoad_act!L39*100)</f>
        <v>1.270660170064158</v>
      </c>
      <c r="M69" s="96">
        <f>IF(M32=0,0,M32/TrRoad_act!M39*100)</f>
        <v>1.2748751053956204</v>
      </c>
      <c r="N69" s="96">
        <f>IF(N32=0,0,N32/TrRoad_act!N39*100)</f>
        <v>1.2764320333237997</v>
      </c>
      <c r="O69" s="96">
        <f>IF(O32=0,0,O32/TrRoad_act!O39*100)</f>
        <v>1.2945339195945633</v>
      </c>
      <c r="P69" s="96">
        <f>IF(P32=0,0,P32/TrRoad_act!P39*100)</f>
        <v>1.3076672479101337</v>
      </c>
      <c r="Q69" s="96">
        <f>IF(Q32=0,0,Q32/TrRoad_act!Q39*100)</f>
        <v>1.3117236692299057</v>
      </c>
      <c r="R69" s="96">
        <f>IF(R32=0,0,R32/TrRoad_act!R39*100)</f>
        <v>1.3339865169508547</v>
      </c>
      <c r="S69" s="96">
        <f>IF(S32=0,0,S32/TrRoad_act!S39*100)</f>
        <v>1.3401638291318609</v>
      </c>
      <c r="T69" s="96">
        <f>IF(T32=0,0,T32/TrRoad_act!T39*100)</f>
        <v>1.5057129187234775</v>
      </c>
      <c r="U69" s="96">
        <f>IF(U32=0,0,U32/TrRoad_act!U39*100)</f>
        <v>1.5989132491981115</v>
      </c>
      <c r="V69" s="96">
        <f>IF(V32=0,0,V32/TrRoad_act!V39*100)</f>
        <v>1.6426833423649558</v>
      </c>
      <c r="W69" s="96">
        <f>IF(W32=0,0,W32/TrRoad_act!W39*100)</f>
        <v>1.6337990102179463</v>
      </c>
      <c r="X69" s="96">
        <f>IF(X32=0,0,X32/TrRoad_act!X39*100)</f>
        <v>1.6262060518204298</v>
      </c>
      <c r="Y69" s="96">
        <f>IF(Y32=0,0,Y32/TrRoad_act!Y39*100)</f>
        <v>1.600573356322212</v>
      </c>
      <c r="DA69" s="171" t="s">
        <v>681</v>
      </c>
    </row>
    <row r="70" spans="1:105" ht="11.45" customHeight="1" x14ac:dyDescent="0.25">
      <c r="A70" s="109" t="s">
        <v>21</v>
      </c>
      <c r="B70" s="130">
        <f>IF(B33=0,0,B33/TrRoad_act!B40*100)</f>
        <v>62.697943452202729</v>
      </c>
      <c r="C70" s="130">
        <f>IF(C33=0,0,C33/TrRoad_act!C40*100)</f>
        <v>60.792462309766307</v>
      </c>
      <c r="D70" s="130">
        <f>IF(D33=0,0,D33/TrRoad_act!D40*100)</f>
        <v>60.220771199862085</v>
      </c>
      <c r="E70" s="130">
        <f>IF(E33=0,0,E33/TrRoad_act!E40*100)</f>
        <v>59.565447660836391</v>
      </c>
      <c r="F70" s="130">
        <f>IF(F33=0,0,F33/TrRoad_act!F40*100)</f>
        <v>59.012600973936543</v>
      </c>
      <c r="G70" s="130">
        <f>IF(G33=0,0,G33/TrRoad_act!G40*100)</f>
        <v>57.170594043981552</v>
      </c>
      <c r="H70" s="130">
        <f>IF(H33=0,0,H33/TrRoad_act!H40*100)</f>
        <v>56.898276786211213</v>
      </c>
      <c r="I70" s="130">
        <f>IF(I33=0,0,I33/TrRoad_act!I40*100)</f>
        <v>56.565297103566351</v>
      </c>
      <c r="J70" s="130">
        <f>IF(J33=0,0,J33/TrRoad_act!J40*100)</f>
        <v>56.258205056782693</v>
      </c>
      <c r="K70" s="130">
        <f>IF(K33=0,0,K33/TrRoad_act!K40*100)</f>
        <v>55.891373181521409</v>
      </c>
      <c r="L70" s="130">
        <f>IF(L33=0,0,L33/TrRoad_act!L40*100)</f>
        <v>55.495042008471586</v>
      </c>
      <c r="M70" s="130">
        <f>IF(M33=0,0,M33/TrRoad_act!M40*100)</f>
        <v>55.284982343912013</v>
      </c>
      <c r="N70" s="130">
        <f>IF(N33=0,0,N33/TrRoad_act!N40*100)</f>
        <v>54.00793876674571</v>
      </c>
      <c r="O70" s="130">
        <f>IF(O33=0,0,O33/TrRoad_act!O40*100)</f>
        <v>54.310574110316956</v>
      </c>
      <c r="P70" s="130">
        <f>IF(P33=0,0,P33/TrRoad_act!P40*100)</f>
        <v>54.771222895736074</v>
      </c>
      <c r="Q70" s="130">
        <f>IF(Q33=0,0,Q33/TrRoad_act!Q40*100)</f>
        <v>55.50339700484539</v>
      </c>
      <c r="R70" s="130">
        <f>IF(R33=0,0,R33/TrRoad_act!R40*100)</f>
        <v>55.404757253033999</v>
      </c>
      <c r="S70" s="130">
        <f>IF(S33=0,0,S33/TrRoad_act!S40*100)</f>
        <v>55.717787724807145</v>
      </c>
      <c r="T70" s="130">
        <f>IF(T33=0,0,T33/TrRoad_act!T40*100)</f>
        <v>54.500227368398903</v>
      </c>
      <c r="U70" s="130">
        <f>IF(U33=0,0,U33/TrRoad_act!U40*100)</f>
        <v>56.419290595098119</v>
      </c>
      <c r="V70" s="130">
        <f>IF(V33=0,0,V33/TrRoad_act!V40*100)</f>
        <v>57.473288566889657</v>
      </c>
      <c r="W70" s="130">
        <f>IF(W33=0,0,W33/TrRoad_act!W40*100)</f>
        <v>55.686683191664891</v>
      </c>
      <c r="X70" s="130">
        <f>IF(X33=0,0,X33/TrRoad_act!X40*100)</f>
        <v>56.173785023927195</v>
      </c>
      <c r="Y70" s="130">
        <f>IF(Y33=0,0,Y33/TrRoad_act!Y40*100)</f>
        <v>54.3160575317603</v>
      </c>
      <c r="DA70" s="176" t="s">
        <v>682</v>
      </c>
    </row>
    <row r="71" spans="1:105" ht="11.45" customHeight="1" x14ac:dyDescent="0.25">
      <c r="A71" s="111" t="s">
        <v>110</v>
      </c>
      <c r="B71" s="97">
        <f>IF(B34=0,0,B34/TrRoad_act!B41*100)</f>
        <v>0</v>
      </c>
      <c r="C71" s="97">
        <f>IF(C34=0,0,C34/TrRoad_act!C41*100)</f>
        <v>0</v>
      </c>
      <c r="D71" s="97">
        <f>IF(D34=0,0,D34/TrRoad_act!D41*100)</f>
        <v>0</v>
      </c>
      <c r="E71" s="97">
        <f>IF(E34=0,0,E34/TrRoad_act!E41*100)</f>
        <v>0</v>
      </c>
      <c r="F71" s="97">
        <f>IF(F34=0,0,F34/TrRoad_act!F41*100)</f>
        <v>0</v>
      </c>
      <c r="G71" s="97">
        <f>IF(G34=0,0,G34/TrRoad_act!G41*100)</f>
        <v>0</v>
      </c>
      <c r="H71" s="97">
        <f>IF(H34=0,0,H34/TrRoad_act!H41*100)</f>
        <v>0</v>
      </c>
      <c r="I71" s="97">
        <f>IF(I34=0,0,I34/TrRoad_act!I41*100)</f>
        <v>0</v>
      </c>
      <c r="J71" s="97">
        <f>IF(J34=0,0,J34/TrRoad_act!J41*100)</f>
        <v>0</v>
      </c>
      <c r="K71" s="97">
        <f>IF(K34=0,0,K34/TrRoad_act!K41*100)</f>
        <v>0</v>
      </c>
      <c r="L71" s="97">
        <f>IF(L34=0,0,L34/TrRoad_act!L41*100)</f>
        <v>13.498980064729176</v>
      </c>
      <c r="M71" s="97">
        <f>IF(M34=0,0,M34/TrRoad_act!M41*100)</f>
        <v>13.49898006472918</v>
      </c>
      <c r="N71" s="97">
        <f>IF(N34=0,0,N34/TrRoad_act!N41*100)</f>
        <v>13.498980064729176</v>
      </c>
      <c r="O71" s="97">
        <f>IF(O34=0,0,O34/TrRoad_act!O41*100)</f>
        <v>13.382521677226952</v>
      </c>
      <c r="P71" s="97">
        <f>IF(P34=0,0,P34/TrRoad_act!P41*100)</f>
        <v>13.382521677226952</v>
      </c>
      <c r="Q71" s="97">
        <f>IF(Q34=0,0,Q34/TrRoad_act!Q41*100)</f>
        <v>13.259622260014501</v>
      </c>
      <c r="R71" s="97">
        <f>IF(R34=0,0,R34/TrRoad_act!R41*100)</f>
        <v>13.148394265953694</v>
      </c>
      <c r="S71" s="97">
        <f>IF(S34=0,0,S34/TrRoad_act!S41*100)</f>
        <v>13.107464302213364</v>
      </c>
      <c r="T71" s="97">
        <f>IF(T34=0,0,T34/TrRoad_act!T41*100)</f>
        <v>13.107464302213367</v>
      </c>
      <c r="U71" s="97">
        <f>IF(U34=0,0,U34/TrRoad_act!U41*100)</f>
        <v>12.942299691966857</v>
      </c>
      <c r="V71" s="97">
        <f>IF(V34=0,0,V34/TrRoad_act!V41*100)</f>
        <v>12.880155708153524</v>
      </c>
      <c r="W71" s="97">
        <f>IF(W34=0,0,W34/TrRoad_act!W41*100)</f>
        <v>12.880155708153524</v>
      </c>
      <c r="X71" s="97">
        <f>IF(X34=0,0,X34/TrRoad_act!X41*100)</f>
        <v>12.880155708153524</v>
      </c>
      <c r="Y71" s="97">
        <f>IF(Y34=0,0,Y34/TrRoad_act!Y41*100)</f>
        <v>12.880155708153524</v>
      </c>
      <c r="DA71" s="175" t="s">
        <v>683</v>
      </c>
    </row>
    <row r="72" spans="1:105" ht="11.45" customHeight="1" x14ac:dyDescent="0.25">
      <c r="A72" s="111" t="s">
        <v>111</v>
      </c>
      <c r="B72" s="97">
        <f>IF(B36=0,0,B36/TrRoad_act!B42*100)</f>
        <v>62.692372234806072</v>
      </c>
      <c r="C72" s="97">
        <f>IF(C36=0,0,C36/TrRoad_act!C42*100)</f>
        <v>60.844392635945745</v>
      </c>
      <c r="D72" s="97">
        <f>IF(D36=0,0,D36/TrRoad_act!D42*100)</f>
        <v>60.283751469481693</v>
      </c>
      <c r="E72" s="97">
        <f>IF(E36=0,0,E36/TrRoad_act!E42*100)</f>
        <v>59.708082634542869</v>
      </c>
      <c r="F72" s="97">
        <f>IF(F36=0,0,F36/TrRoad_act!F42*100)</f>
        <v>59.141647965178244</v>
      </c>
      <c r="G72" s="97">
        <f>IF(G36=0,0,G36/TrRoad_act!G42*100)</f>
        <v>57.300075487789812</v>
      </c>
      <c r="H72" s="97">
        <f>IF(H36=0,0,H36/TrRoad_act!H42*100)</f>
        <v>56.989987897441239</v>
      </c>
      <c r="I72" s="97">
        <f>IF(I36=0,0,I36/TrRoad_act!I42*100)</f>
        <v>56.633740054065449</v>
      </c>
      <c r="J72" s="97">
        <f>IF(J36=0,0,J36/TrRoad_act!J42*100)</f>
        <v>56.389585394251441</v>
      </c>
      <c r="K72" s="97">
        <f>IF(K36=0,0,K36/TrRoad_act!K42*100)</f>
        <v>56.180208856783395</v>
      </c>
      <c r="L72" s="97">
        <f>IF(L36=0,0,L36/TrRoad_act!L42*100)</f>
        <v>55.81273393841338</v>
      </c>
      <c r="M72" s="97">
        <f>IF(M36=0,0,M36/TrRoad_act!M42*100)</f>
        <v>55.622062262763372</v>
      </c>
      <c r="N72" s="97">
        <f>IF(N36=0,0,N36/TrRoad_act!N42*100)</f>
        <v>54.524593583564275</v>
      </c>
      <c r="O72" s="97">
        <f>IF(O36=0,0,O36/TrRoad_act!O42*100)</f>
        <v>54.358134625273124</v>
      </c>
      <c r="P72" s="97">
        <f>IF(P36=0,0,P36/TrRoad_act!P42*100)</f>
        <v>54.662135228087763</v>
      </c>
      <c r="Q72" s="97">
        <f>IF(Q36=0,0,Q36/TrRoad_act!Q42*100)</f>
        <v>54.8439536606517</v>
      </c>
      <c r="R72" s="97">
        <f>IF(R36=0,0,R36/TrRoad_act!R42*100)</f>
        <v>54.809540964228432</v>
      </c>
      <c r="S72" s="97">
        <f>IF(S36=0,0,S36/TrRoad_act!S42*100)</f>
        <v>54.840721133436865</v>
      </c>
      <c r="T72" s="97">
        <f>IF(T36=0,0,T36/TrRoad_act!T42*100)</f>
        <v>54.843934484595593</v>
      </c>
      <c r="U72" s="97">
        <f>IF(U36=0,0,U36/TrRoad_act!U42*100)</f>
        <v>54.507264957323009</v>
      </c>
      <c r="V72" s="97">
        <f>IF(V36=0,0,V36/TrRoad_act!V42*100)</f>
        <v>54.269499127557161</v>
      </c>
      <c r="W72" s="97">
        <f>IF(W36=0,0,W36/TrRoad_act!W42*100)</f>
        <v>54.078151333415789</v>
      </c>
      <c r="X72" s="97">
        <f>IF(X36=0,0,X36/TrRoad_act!X42*100)</f>
        <v>53.237838930428147</v>
      </c>
      <c r="Y72" s="97">
        <f>IF(Y36=0,0,Y36/TrRoad_act!Y42*100)</f>
        <v>52.801047693522463</v>
      </c>
      <c r="DA72" s="175" t="s">
        <v>684</v>
      </c>
    </row>
    <row r="73" spans="1:105" ht="11.45" customHeight="1" x14ac:dyDescent="0.25">
      <c r="A73" s="111" t="s">
        <v>112</v>
      </c>
      <c r="B73" s="97">
        <f>IF(B38=0,0,B38/TrRoad_act!B43*100)</f>
        <v>0</v>
      </c>
      <c r="C73" s="97">
        <f>IF(C38=0,0,C38/TrRoad_act!C43*100)</f>
        <v>0</v>
      </c>
      <c r="D73" s="97">
        <f>IF(D38=0,0,D38/TrRoad_act!D43*100)</f>
        <v>0</v>
      </c>
      <c r="E73" s="97">
        <f>IF(E38=0,0,E38/TrRoad_act!E43*100)</f>
        <v>0</v>
      </c>
      <c r="F73" s="97">
        <f>IF(F38=0,0,F38/TrRoad_act!F43*100)</f>
        <v>0</v>
      </c>
      <c r="G73" s="97">
        <f>IF(G38=0,0,G38/TrRoad_act!G43*100)</f>
        <v>0</v>
      </c>
      <c r="H73" s="97">
        <f>IF(H38=0,0,H38/TrRoad_act!H43*100)</f>
        <v>0</v>
      </c>
      <c r="I73" s="97">
        <f>IF(I38=0,0,I38/TrRoad_act!I43*100)</f>
        <v>0</v>
      </c>
      <c r="J73" s="97">
        <f>IF(J38=0,0,J38/TrRoad_act!J43*100)</f>
        <v>0</v>
      </c>
      <c r="K73" s="97">
        <f>IF(K38=0,0,K38/TrRoad_act!K43*100)</f>
        <v>0</v>
      </c>
      <c r="L73" s="97">
        <f>IF(L38=0,0,L38/TrRoad_act!L43*100)</f>
        <v>45.220053292240955</v>
      </c>
      <c r="M73" s="97">
        <f>IF(M38=0,0,M38/TrRoad_act!M43*100)</f>
        <v>45.220053292240969</v>
      </c>
      <c r="N73" s="97">
        <f>IF(N38=0,0,N38/TrRoad_act!N43*100)</f>
        <v>45.220053292240969</v>
      </c>
      <c r="O73" s="97">
        <f>IF(O38=0,0,O38/TrRoad_act!O43*100)</f>
        <v>45.220053292240962</v>
      </c>
      <c r="P73" s="97">
        <f>IF(P38=0,0,P38/TrRoad_act!P43*100)</f>
        <v>45.80907237111014</v>
      </c>
      <c r="Q73" s="97">
        <f>IF(Q38=0,0,Q38/TrRoad_act!Q43*100)</f>
        <v>45.80907237111014</v>
      </c>
      <c r="R73" s="97">
        <f>IF(R38=0,0,R38/TrRoad_act!R43*100)</f>
        <v>46.08681537977553</v>
      </c>
      <c r="S73" s="97">
        <f>IF(S38=0,0,S38/TrRoad_act!S43*100)</f>
        <v>46.086815379775537</v>
      </c>
      <c r="T73" s="97">
        <f>IF(T38=0,0,T38/TrRoad_act!T43*100)</f>
        <v>46.08681537977553</v>
      </c>
      <c r="U73" s="97">
        <f>IF(U38=0,0,U38/TrRoad_act!U43*100)</f>
        <v>46.086815379775523</v>
      </c>
      <c r="V73" s="97">
        <f>IF(V38=0,0,V38/TrRoad_act!V43*100)</f>
        <v>46.276730805797101</v>
      </c>
      <c r="W73" s="97">
        <f>IF(W38=0,0,W38/TrRoad_act!W43*100)</f>
        <v>46.276730805797115</v>
      </c>
      <c r="X73" s="97">
        <f>IF(X38=0,0,X38/TrRoad_act!X43*100)</f>
        <v>46.573222421351261</v>
      </c>
      <c r="Y73" s="97">
        <f>IF(Y38=0,0,Y38/TrRoad_act!Y43*100)</f>
        <v>46.573222421351261</v>
      </c>
      <c r="DA73" s="175" t="s">
        <v>685</v>
      </c>
    </row>
    <row r="74" spans="1:105" ht="11.45" customHeight="1" x14ac:dyDescent="0.25">
      <c r="A74" s="111" t="s">
        <v>113</v>
      </c>
      <c r="B74" s="97">
        <f>IF(B39=0,0,B39/TrRoad_act!B44*100)</f>
        <v>64.343159728178463</v>
      </c>
      <c r="C74" s="97">
        <f>IF(C39=0,0,C39/TrRoad_act!C44*100)</f>
        <v>57.341979265527989</v>
      </c>
      <c r="D74" s="97">
        <f>IF(D39=0,0,D39/TrRoad_act!D44*100)</f>
        <v>57.475149506458557</v>
      </c>
      <c r="E74" s="97">
        <f>IF(E39=0,0,E39/TrRoad_act!E44*100)</f>
        <v>55.057312267386273</v>
      </c>
      <c r="F74" s="97">
        <f>IF(F39=0,0,F39/TrRoad_act!F44*100)</f>
        <v>55.151347252332883</v>
      </c>
      <c r="G74" s="97">
        <f>IF(G39=0,0,G39/TrRoad_act!G44*100)</f>
        <v>55.11209514587032</v>
      </c>
      <c r="H74" s="97">
        <f>IF(H39=0,0,H39/TrRoad_act!H44*100)</f>
        <v>55.322817100234303</v>
      </c>
      <c r="I74" s="97">
        <f>IF(I39=0,0,I39/TrRoad_act!I44*100)</f>
        <v>55.476101510241904</v>
      </c>
      <c r="J74" s="97">
        <f>IF(J39=0,0,J39/TrRoad_act!J44*100)</f>
        <v>54.220243391749669</v>
      </c>
      <c r="K74" s="97">
        <f>IF(K39=0,0,K39/TrRoad_act!K44*100)</f>
        <v>51.501071891458764</v>
      </c>
      <c r="L74" s="97">
        <f>IF(L39=0,0,L39/TrRoad_act!L44*100)</f>
        <v>51.526646548662747</v>
      </c>
      <c r="M74" s="97">
        <f>IF(M39=0,0,M39/TrRoad_act!M44*100)</f>
        <v>51.01404415921138</v>
      </c>
      <c r="N74" s="97">
        <f>IF(N39=0,0,N39/TrRoad_act!N44*100)</f>
        <v>48.967235502952775</v>
      </c>
      <c r="O74" s="97">
        <f>IF(O39=0,0,O39/TrRoad_act!O44*100)</f>
        <v>55.116705112626121</v>
      </c>
      <c r="P74" s="97">
        <f>IF(P39=0,0,P39/TrRoad_act!P44*100)</f>
        <v>58.196156387553003</v>
      </c>
      <c r="Q74" s="97">
        <f>IF(Q39=0,0,Q39/TrRoad_act!Q44*100)</f>
        <v>68.593080220235024</v>
      </c>
      <c r="R74" s="97">
        <f>IF(R39=0,0,R39/TrRoad_act!R44*100)</f>
        <v>68.194109546889408</v>
      </c>
      <c r="S74" s="97">
        <f>IF(S39=0,0,S39/TrRoad_act!S44*100)</f>
        <v>76.302203779915658</v>
      </c>
      <c r="T74" s="97">
        <f>IF(T39=0,0,T39/TrRoad_act!T44*100)</f>
        <v>53.805775615380611</v>
      </c>
      <c r="U74" s="97">
        <f>IF(U39=0,0,U39/TrRoad_act!U44*100)</f>
        <v>112.00784185672002</v>
      </c>
      <c r="V74" s="97">
        <f>IF(V39=0,0,V39/TrRoad_act!V44*100)</f>
        <v>119.47389051442956</v>
      </c>
      <c r="W74" s="97">
        <f>IF(W39=0,0,W39/TrRoad_act!W44*100)</f>
        <v>80.438837750404176</v>
      </c>
      <c r="X74" s="97">
        <f>IF(X39=0,0,X39/TrRoad_act!X44*100)</f>
        <v>101.35815593921652</v>
      </c>
      <c r="Y74" s="97">
        <f>IF(Y39=0,0,Y39/TrRoad_act!Y44*100)</f>
        <v>88.893654388983308</v>
      </c>
      <c r="DA74" s="175" t="s">
        <v>686</v>
      </c>
    </row>
    <row r="75" spans="1:105" ht="11.45" customHeight="1" x14ac:dyDescent="0.25">
      <c r="A75" s="111" t="s">
        <v>115</v>
      </c>
      <c r="B75" s="97">
        <f>IF(B41=0,0,B41/TrRoad_act!B45*100)</f>
        <v>0</v>
      </c>
      <c r="C75" s="97">
        <f>IF(C41=0,0,C41/TrRoad_act!C45*100)</f>
        <v>0</v>
      </c>
      <c r="D75" s="97">
        <f>IF(D41=0,0,D41/TrRoad_act!D45*100)</f>
        <v>0</v>
      </c>
      <c r="E75" s="97">
        <f>IF(E41=0,0,E41/TrRoad_act!E45*100)</f>
        <v>0</v>
      </c>
      <c r="F75" s="97">
        <f>IF(F41=0,0,F41/TrRoad_act!F45*100)</f>
        <v>0</v>
      </c>
      <c r="G75" s="97">
        <f>IF(G41=0,0,G41/TrRoad_act!G45*100)</f>
        <v>0</v>
      </c>
      <c r="H75" s="97">
        <f>IF(H41=0,0,H41/TrRoad_act!H45*100)</f>
        <v>0</v>
      </c>
      <c r="I75" s="97">
        <f>IF(I41=0,0,I41/TrRoad_act!I45*100)</f>
        <v>0</v>
      </c>
      <c r="J75" s="97">
        <f>IF(J41=0,0,J41/TrRoad_act!J45*100)</f>
        <v>0</v>
      </c>
      <c r="K75" s="97">
        <f>IF(K41=0,0,K41/TrRoad_act!K45*100)</f>
        <v>0</v>
      </c>
      <c r="L75" s="97">
        <f>IF(L41=0,0,L41/TrRoad_act!L45*100)</f>
        <v>25.467378938200568</v>
      </c>
      <c r="M75" s="97">
        <f>IF(M41=0,0,M41/TrRoad_act!M45*100)</f>
        <v>25.467378938200568</v>
      </c>
      <c r="N75" s="97">
        <f>IF(N41=0,0,N41/TrRoad_act!N45*100)</f>
        <v>24.927188461982794</v>
      </c>
      <c r="O75" s="97">
        <f>IF(O41=0,0,O41/TrRoad_act!O45*100)</f>
        <v>24.927188461982794</v>
      </c>
      <c r="P75" s="97">
        <f>IF(P41=0,0,P41/TrRoad_act!P45*100)</f>
        <v>24.927188461982798</v>
      </c>
      <c r="Q75" s="97">
        <f>IF(Q41=0,0,Q41/TrRoad_act!Q45*100)</f>
        <v>24.927188461982798</v>
      </c>
      <c r="R75" s="97">
        <f>IF(R41=0,0,R41/TrRoad_act!R45*100)</f>
        <v>24.927188461982801</v>
      </c>
      <c r="S75" s="97">
        <f>IF(S41=0,0,S41/TrRoad_act!S45*100)</f>
        <v>25.283909790330089</v>
      </c>
      <c r="T75" s="97">
        <f>IF(T41=0,0,T41/TrRoad_act!T45*100)</f>
        <v>25.598274417119494</v>
      </c>
      <c r="U75" s="97">
        <f>IF(U41=0,0,U41/TrRoad_act!U45*100)</f>
        <v>25.710789425017676</v>
      </c>
      <c r="V75" s="97">
        <f>IF(V41=0,0,V41/TrRoad_act!V45*100)</f>
        <v>25.728025146688658</v>
      </c>
      <c r="W75" s="97">
        <f>IF(W41=0,0,W41/TrRoad_act!W45*100)</f>
        <v>25.662760748224795</v>
      </c>
      <c r="X75" s="97">
        <f>IF(X41=0,0,X41/TrRoad_act!X45*100)</f>
        <v>25.571316600653134</v>
      </c>
      <c r="Y75" s="97">
        <f>IF(Y41=0,0,Y41/TrRoad_act!Y45*100)</f>
        <v>25.368517952596658</v>
      </c>
      <c r="DA75" s="175" t="s">
        <v>687</v>
      </c>
    </row>
    <row r="76" spans="1:105" ht="11.45" customHeight="1" x14ac:dyDescent="0.25">
      <c r="A76" s="27" t="s">
        <v>34</v>
      </c>
      <c r="B76" s="32">
        <f>IF(B42=0,0,B42/TrRoad_act!B46*100)</f>
        <v>13.874355179102253</v>
      </c>
      <c r="C76" s="32">
        <f>IF(C42=0,0,C42/TrRoad_act!C46*100)</f>
        <v>13.771580085440247</v>
      </c>
      <c r="D76" s="32">
        <f>IF(D42=0,0,D42/TrRoad_act!D46*100)</f>
        <v>13.59404839933817</v>
      </c>
      <c r="E76" s="32">
        <f>IF(E42=0,0,E42/TrRoad_act!E46*100)</f>
        <v>14.300649354725619</v>
      </c>
      <c r="F76" s="32">
        <f>IF(F42=0,0,F42/TrRoad_act!F46*100)</f>
        <v>14.952807636007901</v>
      </c>
      <c r="G76" s="32">
        <f>IF(G42=0,0,G42/TrRoad_act!G46*100)</f>
        <v>14.916170174165492</v>
      </c>
      <c r="H76" s="32">
        <f>IF(H42=0,0,H42/TrRoad_act!H46*100)</f>
        <v>14.680979968837621</v>
      </c>
      <c r="I76" s="32">
        <f>IF(I42=0,0,I42/TrRoad_act!I46*100)</f>
        <v>14.73692204913784</v>
      </c>
      <c r="J76" s="32">
        <f>IF(J42=0,0,J42/TrRoad_act!J46*100)</f>
        <v>14.422332574293575</v>
      </c>
      <c r="K76" s="32">
        <f>IF(K42=0,0,K42/TrRoad_act!K46*100)</f>
        <v>13.744661908266002</v>
      </c>
      <c r="L76" s="32">
        <f>IF(L42=0,0,L42/TrRoad_act!L46*100)</f>
        <v>13.700563827174006</v>
      </c>
      <c r="M76" s="32">
        <f>IF(M42=0,0,M42/TrRoad_act!M46*100)</f>
        <v>13.83062055391146</v>
      </c>
      <c r="N76" s="32">
        <f>IF(N42=0,0,N42/TrRoad_act!N46*100)</f>
        <v>13.961650456219967</v>
      </c>
      <c r="O76" s="32">
        <f>IF(O42=0,0,O42/TrRoad_act!O46*100)</f>
        <v>13.909970718967754</v>
      </c>
      <c r="P76" s="32">
        <f>IF(P42=0,0,P42/TrRoad_act!P46*100)</f>
        <v>12.898363073288529</v>
      </c>
      <c r="Q76" s="32">
        <f>IF(Q42=0,0,Q42/TrRoad_act!Q46*100)</f>
        <v>12.802733393450266</v>
      </c>
      <c r="R76" s="32">
        <f>IF(R42=0,0,R42/TrRoad_act!R46*100)</f>
        <v>12.533270799735433</v>
      </c>
      <c r="S76" s="32">
        <f>IF(S42=0,0,S42/TrRoad_act!S46*100)</f>
        <v>12.086672229611652</v>
      </c>
      <c r="T76" s="32">
        <f>IF(T42=0,0,T42/TrRoad_act!T46*100)</f>
        <v>11.784426716520086</v>
      </c>
      <c r="U76" s="32">
        <f>IF(U42=0,0,U42/TrRoad_act!U46*100)</f>
        <v>11.69990463415472</v>
      </c>
      <c r="V76" s="32">
        <f>IF(V42=0,0,V42/TrRoad_act!V46*100)</f>
        <v>11.720789275006533</v>
      </c>
      <c r="W76" s="32">
        <f>IF(W42=0,0,W42/TrRoad_act!W46*100)</f>
        <v>11.543701173969152</v>
      </c>
      <c r="X76" s="32">
        <f>IF(X42=0,0,X42/TrRoad_act!X46*100)</f>
        <v>11.101278742884601</v>
      </c>
      <c r="Y76" s="32">
        <f>IF(Y42=0,0,Y42/TrRoad_act!Y46*100)</f>
        <v>10.750483572495723</v>
      </c>
      <c r="DA76" s="173" t="s">
        <v>688</v>
      </c>
    </row>
    <row r="77" spans="1:105" ht="11.45" customHeight="1" x14ac:dyDescent="0.25">
      <c r="A77" s="136" t="s">
        <v>153</v>
      </c>
      <c r="B77" s="141">
        <f>IF(B43=0,0,B43/TrRoad_act!B47*100)</f>
        <v>11.595345912564555</v>
      </c>
      <c r="C77" s="141">
        <f>IF(C43=0,0,C43/TrRoad_act!C47*100)</f>
        <v>10.98681076298409</v>
      </c>
      <c r="D77" s="141">
        <f>IF(D43=0,0,D43/TrRoad_act!D47*100)</f>
        <v>10.866651399000132</v>
      </c>
      <c r="E77" s="141">
        <f>IF(E43=0,0,E43/TrRoad_act!E47*100)</f>
        <v>10.814993436028852</v>
      </c>
      <c r="F77" s="141">
        <f>IF(F43=0,0,F43/TrRoad_act!F47*100)</f>
        <v>10.639861007464829</v>
      </c>
      <c r="G77" s="141">
        <f>IF(G43=0,0,G43/TrRoad_act!G47*100)</f>
        <v>10.31866675468202</v>
      </c>
      <c r="H77" s="141">
        <f>IF(H43=0,0,H43/TrRoad_act!H47*100)</f>
        <v>10.011637878329321</v>
      </c>
      <c r="I77" s="141">
        <f>IF(I43=0,0,I43/TrRoad_act!I47*100)</f>
        <v>9.7171143925715242</v>
      </c>
      <c r="J77" s="141">
        <f>IF(J43=0,0,J43/TrRoad_act!J47*100)</f>
        <v>9.4426363907240987</v>
      </c>
      <c r="K77" s="141">
        <f>IF(K43=0,0,K43/TrRoad_act!K47*100)</f>
        <v>9.1803063322905558</v>
      </c>
      <c r="L77" s="141">
        <f>IF(L43=0,0,L43/TrRoad_act!L47*100)</f>
        <v>8.9616441264970099</v>
      </c>
      <c r="M77" s="141">
        <f>IF(M43=0,0,M43/TrRoad_act!M47*100)</f>
        <v>8.8022116900619682</v>
      </c>
      <c r="N77" s="141">
        <f>IF(N43=0,0,N43/TrRoad_act!N47*100)</f>
        <v>8.5689837188660167</v>
      </c>
      <c r="O77" s="141">
        <f>IF(O43=0,0,O43/TrRoad_act!O47*100)</f>
        <v>8.5315494295885799</v>
      </c>
      <c r="P77" s="141">
        <f>IF(P43=0,0,P43/TrRoad_act!P47*100)</f>
        <v>8.244292601732484</v>
      </c>
      <c r="Q77" s="141">
        <f>IF(Q43=0,0,Q43/TrRoad_act!Q47*100)</f>
        <v>8.0753341085933226</v>
      </c>
      <c r="R77" s="141">
        <f>IF(R43=0,0,R43/TrRoad_act!R47*100)</f>
        <v>7.9992544410389765</v>
      </c>
      <c r="S77" s="141">
        <f>IF(S43=0,0,S43/TrRoad_act!S47*100)</f>
        <v>7.82693225452212</v>
      </c>
      <c r="T77" s="141">
        <f>IF(T43=0,0,T43/TrRoad_act!T47*100)</f>
        <v>7.6860257861629142</v>
      </c>
      <c r="U77" s="141">
        <f>IF(U43=0,0,U43/TrRoad_act!U47*100)</f>
        <v>7.5565232652061134</v>
      </c>
      <c r="V77" s="141">
        <f>IF(V43=0,0,V43/TrRoad_act!V47*100)</f>
        <v>7.5168470479224325</v>
      </c>
      <c r="W77" s="141">
        <f>IF(W43=0,0,W43/TrRoad_act!W47*100)</f>
        <v>7.5146828826350927</v>
      </c>
      <c r="X77" s="141">
        <f>IF(X43=0,0,X43/TrRoad_act!X47*100)</f>
        <v>7.4431694815666862</v>
      </c>
      <c r="Y77" s="141">
        <f>IF(Y43=0,0,Y43/TrRoad_act!Y47*100)</f>
        <v>7.393985640395762</v>
      </c>
      <c r="DA77" s="174" t="s">
        <v>689</v>
      </c>
    </row>
    <row r="78" spans="1:105" ht="11.45" customHeight="1" x14ac:dyDescent="0.25">
      <c r="A78" s="111" t="s">
        <v>110</v>
      </c>
      <c r="B78" s="96">
        <f>IF(B44=0,0,B44/TrRoad_act!B48*100)</f>
        <v>12.2021763925156</v>
      </c>
      <c r="C78" s="96">
        <f>IF(C44=0,0,C44/TrRoad_act!C48*100)</f>
        <v>12.01788119307202</v>
      </c>
      <c r="D78" s="96">
        <f>IF(D44=0,0,D44/TrRoad_act!D48*100)</f>
        <v>12.007870309083527</v>
      </c>
      <c r="E78" s="96">
        <f>IF(E44=0,0,E44/TrRoad_act!E48*100)</f>
        <v>11.559919339127385</v>
      </c>
      <c r="F78" s="96">
        <f>IF(F44=0,0,F44/TrRoad_act!F48*100)</f>
        <v>11.51810046754008</v>
      </c>
      <c r="G78" s="96">
        <f>IF(G44=0,0,G44/TrRoad_act!G48*100)</f>
        <v>11.25835405624202</v>
      </c>
      <c r="H78" s="96">
        <f>IF(H44=0,0,H44/TrRoad_act!H48*100)</f>
        <v>10.969576743842207</v>
      </c>
      <c r="I78" s="96">
        <f>IF(I44=0,0,I44/TrRoad_act!I48*100)</f>
        <v>10.673899266260243</v>
      </c>
      <c r="J78" s="96">
        <f>IF(J44=0,0,J44/TrRoad_act!J48*100)</f>
        <v>10.42361786569616</v>
      </c>
      <c r="K78" s="96">
        <f>IF(K44=0,0,K44/TrRoad_act!K48*100)</f>
        <v>10.192630841150645</v>
      </c>
      <c r="L78" s="96">
        <f>IF(L44=0,0,L44/TrRoad_act!L48*100)</f>
        <v>9.9630142801881991</v>
      </c>
      <c r="M78" s="96">
        <f>IF(M44=0,0,M44/TrRoad_act!M48*100)</f>
        <v>9.7925444540879969</v>
      </c>
      <c r="N78" s="96">
        <f>IF(N44=0,0,N44/TrRoad_act!N48*100)</f>
        <v>9.5808211340296836</v>
      </c>
      <c r="O78" s="96">
        <f>IF(O44=0,0,O44/TrRoad_act!O48*100)</f>
        <v>9.4374894319786851</v>
      </c>
      <c r="P78" s="96">
        <f>IF(P44=0,0,P44/TrRoad_act!P48*100)</f>
        <v>9.4100756312504821</v>
      </c>
      <c r="Q78" s="96">
        <f>IF(Q44=0,0,Q44/TrRoad_act!Q48*100)</f>
        <v>9.0041440349558712</v>
      </c>
      <c r="R78" s="96">
        <f>IF(R44=0,0,R44/TrRoad_act!R48*100)</f>
        <v>8.804804589693644</v>
      </c>
      <c r="S78" s="96">
        <f>IF(S44=0,0,S44/TrRoad_act!S48*100)</f>
        <v>8.6164000026439549</v>
      </c>
      <c r="T78" s="96">
        <f>IF(T44=0,0,T44/TrRoad_act!T48*100)</f>
        <v>8.4990484434337716</v>
      </c>
      <c r="U78" s="96">
        <f>IF(U44=0,0,U44/TrRoad_act!U48*100)</f>
        <v>8.3364223599392222</v>
      </c>
      <c r="V78" s="96">
        <f>IF(V44=0,0,V44/TrRoad_act!V48*100)</f>
        <v>8.1586993694086178</v>
      </c>
      <c r="W78" s="96">
        <f>IF(W44=0,0,W44/TrRoad_act!W48*100)</f>
        <v>8.1267539068305883</v>
      </c>
      <c r="X78" s="96">
        <f>IF(X44=0,0,X44/TrRoad_act!X48*100)</f>
        <v>8.1329167442317321</v>
      </c>
      <c r="Y78" s="96">
        <f>IF(Y44=0,0,Y44/TrRoad_act!Y48*100)</f>
        <v>8.1501510599851326</v>
      </c>
      <c r="DA78" s="171" t="s">
        <v>690</v>
      </c>
    </row>
    <row r="79" spans="1:105" ht="11.45" customHeight="1" x14ac:dyDescent="0.25">
      <c r="A79" s="111" t="s">
        <v>111</v>
      </c>
      <c r="B79" s="96">
        <f>IF(B46=0,0,B46/TrRoad_act!B49*100)</f>
        <v>11.583504879890548</v>
      </c>
      <c r="C79" s="96">
        <f>IF(C46=0,0,C46/TrRoad_act!C49*100)</f>
        <v>10.971402683619733</v>
      </c>
      <c r="D79" s="96">
        <f>IF(D46=0,0,D46/TrRoad_act!D49*100)</f>
        <v>10.850380580191201</v>
      </c>
      <c r="E79" s="96">
        <f>IF(E46=0,0,E46/TrRoad_act!E49*100)</f>
        <v>10.801857707713184</v>
      </c>
      <c r="F79" s="96">
        <f>IF(F46=0,0,F46/TrRoad_act!F49*100)</f>
        <v>10.626142231971999</v>
      </c>
      <c r="G79" s="96">
        <f>IF(G46=0,0,G46/TrRoad_act!G49*100)</f>
        <v>10.304798922192703</v>
      </c>
      <c r="H79" s="96">
        <f>IF(H46=0,0,H46/TrRoad_act!H49*100)</f>
        <v>9.9980303282390324</v>
      </c>
      <c r="I79" s="96">
        <f>IF(I46=0,0,I46/TrRoad_act!I49*100)</f>
        <v>9.7040826451879667</v>
      </c>
      <c r="J79" s="96">
        <f>IF(J46=0,0,J46/TrRoad_act!J49*100)</f>
        <v>9.4297611797314609</v>
      </c>
      <c r="K79" s="96">
        <f>IF(K46=0,0,K46/TrRoad_act!K49*100)</f>
        <v>9.1674967822479285</v>
      </c>
      <c r="L79" s="96">
        <f>IF(L46=0,0,L46/TrRoad_act!L49*100)</f>
        <v>8.9493618386137985</v>
      </c>
      <c r="M79" s="96">
        <f>IF(M46=0,0,M46/TrRoad_act!M49*100)</f>
        <v>8.7911435315199817</v>
      </c>
      <c r="N79" s="96">
        <f>IF(N46=0,0,N46/TrRoad_act!N49*100)</f>
        <v>8.5580748059193272</v>
      </c>
      <c r="O79" s="96">
        <f>IF(O46=0,0,O46/TrRoad_act!O49*100)</f>
        <v>8.522218618954966</v>
      </c>
      <c r="P79" s="96">
        <f>IF(P46=0,0,P46/TrRoad_act!P49*100)</f>
        <v>8.2342799515138907</v>
      </c>
      <c r="Q79" s="96">
        <f>IF(Q46=0,0,Q46/TrRoad_act!Q49*100)</f>
        <v>8.0664120856307946</v>
      </c>
      <c r="R79" s="96">
        <f>IF(R46=0,0,R46/TrRoad_act!R49*100)</f>
        <v>7.992305384978506</v>
      </c>
      <c r="S79" s="96">
        <f>IF(S46=0,0,S46/TrRoad_act!S49*100)</f>
        <v>7.8216037270523939</v>
      </c>
      <c r="T79" s="96">
        <f>IF(T46=0,0,T46/TrRoad_act!T49*100)</f>
        <v>7.6827788467813782</v>
      </c>
      <c r="U79" s="96">
        <f>IF(U46=0,0,U46/TrRoad_act!U49*100)</f>
        <v>7.5533920110895991</v>
      </c>
      <c r="V79" s="96">
        <f>IF(V46=0,0,V46/TrRoad_act!V49*100)</f>
        <v>7.5175248640343684</v>
      </c>
      <c r="W79" s="96">
        <f>IF(W46=0,0,W46/TrRoad_act!W49*100)</f>
        <v>7.5163504598034336</v>
      </c>
      <c r="X79" s="96">
        <f>IF(X46=0,0,X46/TrRoad_act!X49*100)</f>
        <v>7.4457278491145331</v>
      </c>
      <c r="Y79" s="96">
        <f>IF(Y46=0,0,Y46/TrRoad_act!Y49*100)</f>
        <v>7.40079163873546</v>
      </c>
      <c r="DA79" s="171" t="s">
        <v>691</v>
      </c>
    </row>
    <row r="80" spans="1:105" ht="11.45" customHeight="1" x14ac:dyDescent="0.25">
      <c r="A80" s="111" t="s">
        <v>112</v>
      </c>
      <c r="B80" s="96">
        <f>IF(B48=0,0,B48/TrRoad_act!B50*100)</f>
        <v>19.357790767796594</v>
      </c>
      <c r="C80" s="96">
        <f>IF(C48=0,0,C48/TrRoad_act!C50*100)</f>
        <v>19.048750832997122</v>
      </c>
      <c r="D80" s="96">
        <f>IF(D48=0,0,D48/TrRoad_act!D50*100)</f>
        <v>18.821264437724423</v>
      </c>
      <c r="E80" s="96">
        <f>IF(E48=0,0,E48/TrRoad_act!E50*100)</f>
        <v>18.109085674277235</v>
      </c>
      <c r="F80" s="96">
        <f>IF(F48=0,0,F48/TrRoad_act!F50*100)</f>
        <v>18.000100905723706</v>
      </c>
      <c r="G80" s="96">
        <f>IF(G48=0,0,G48/TrRoad_act!G50*100)</f>
        <v>17.398837872991141</v>
      </c>
      <c r="H80" s="96">
        <f>IF(H48=0,0,H48/TrRoad_act!H50*100)</f>
        <v>16.74282840433542</v>
      </c>
      <c r="I80" s="96">
        <f>IF(I48=0,0,I48/TrRoad_act!I50*100)</f>
        <v>16.080502734094285</v>
      </c>
      <c r="J80" s="96">
        <f>IF(J48=0,0,J48/TrRoad_act!J50*100)</f>
        <v>15.493956494191941</v>
      </c>
      <c r="K80" s="96">
        <f>IF(K48=0,0,K48/TrRoad_act!K50*100)</f>
        <v>14.929889879980648</v>
      </c>
      <c r="L80" s="96">
        <f>IF(L48=0,0,L48/TrRoad_act!L50*100)</f>
        <v>14.554041787870878</v>
      </c>
      <c r="M80" s="96">
        <f>IF(M48=0,0,M48/TrRoad_act!M50*100)</f>
        <v>14.214708576704108</v>
      </c>
      <c r="N80" s="96">
        <f>IF(N48=0,0,N48/TrRoad_act!N50*100)</f>
        <v>13.570401046447827</v>
      </c>
      <c r="O80" s="96">
        <f>IF(O48=0,0,O48/TrRoad_act!O50*100)</f>
        <v>13.519666130964156</v>
      </c>
      <c r="P80" s="96">
        <f>IF(P48=0,0,P48/TrRoad_act!P50*100)</f>
        <v>12.916141418609808</v>
      </c>
      <c r="Q80" s="96">
        <f>IF(Q48=0,0,Q48/TrRoad_act!Q50*100)</f>
        <v>12.658748634312273</v>
      </c>
      <c r="R80" s="96">
        <f>IF(R48=0,0,R48/TrRoad_act!R50*100)</f>
        <v>12.3438222502258</v>
      </c>
      <c r="S80" s="96">
        <f>IF(S48=0,0,S48/TrRoad_act!S50*100)</f>
        <v>12.009626018334481</v>
      </c>
      <c r="T80" s="96">
        <f>IF(T48=0,0,T48/TrRoad_act!T50*100)</f>
        <v>11.51643112499716</v>
      </c>
      <c r="U80" s="96">
        <f>IF(U48=0,0,U48/TrRoad_act!U50*100)</f>
        <v>10.699949632995736</v>
      </c>
      <c r="V80" s="96">
        <f>IF(V48=0,0,V48/TrRoad_act!V50*100)</f>
        <v>10.533113471229104</v>
      </c>
      <c r="W80" s="96">
        <f>IF(W48=0,0,W48/TrRoad_act!W50*100)</f>
        <v>10.440581208816418</v>
      </c>
      <c r="X80" s="96">
        <f>IF(X48=0,0,X48/TrRoad_act!X50*100)</f>
        <v>10.370384251749314</v>
      </c>
      <c r="Y80" s="96">
        <f>IF(Y48=0,0,Y48/TrRoad_act!Y50*100)</f>
        <v>10.200176234594853</v>
      </c>
      <c r="DA80" s="171" t="s">
        <v>692</v>
      </c>
    </row>
    <row r="81" spans="1:105" ht="11.45" customHeight="1" x14ac:dyDescent="0.25">
      <c r="A81" s="111" t="s">
        <v>113</v>
      </c>
      <c r="B81" s="96">
        <f>IF(B49=0,0,B49/TrRoad_act!B51*100)</f>
        <v>0</v>
      </c>
      <c r="C81" s="96">
        <f>IF(C49=0,0,C49/TrRoad_act!C51*100)</f>
        <v>0</v>
      </c>
      <c r="D81" s="96">
        <f>IF(D49=0,0,D49/TrRoad_act!D51*100)</f>
        <v>0</v>
      </c>
      <c r="E81" s="96">
        <f>IF(E49=0,0,E49/TrRoad_act!E51*100)</f>
        <v>0</v>
      </c>
      <c r="F81" s="96">
        <f>IF(F49=0,0,F49/TrRoad_act!F51*100)</f>
        <v>0</v>
      </c>
      <c r="G81" s="96">
        <f>IF(G49=0,0,G49/TrRoad_act!G51*100)</f>
        <v>0</v>
      </c>
      <c r="H81" s="96">
        <f>IF(H49=0,0,H49/TrRoad_act!H51*100)</f>
        <v>0</v>
      </c>
      <c r="I81" s="96">
        <f>IF(I49=0,0,I49/TrRoad_act!I51*100)</f>
        <v>0</v>
      </c>
      <c r="J81" s="96">
        <f>IF(J49=0,0,J49/TrRoad_act!J51*100)</f>
        <v>0</v>
      </c>
      <c r="K81" s="96">
        <f>IF(K49=0,0,K49/TrRoad_act!K51*100)</f>
        <v>0</v>
      </c>
      <c r="L81" s="96">
        <f>IF(L49=0,0,L49/TrRoad_act!L51*100)</f>
        <v>0</v>
      </c>
      <c r="M81" s="96">
        <f>IF(M49=0,0,M49/TrRoad_act!M51*100)</f>
        <v>0</v>
      </c>
      <c r="N81" s="96">
        <f>IF(N49=0,0,N49/TrRoad_act!N51*100)</f>
        <v>0</v>
      </c>
      <c r="O81" s="96">
        <f>IF(O49=0,0,O49/TrRoad_act!O51*100)</f>
        <v>8.8834915396954592</v>
      </c>
      <c r="P81" s="96">
        <f>IF(P49=0,0,P49/TrRoad_act!P51*100)</f>
        <v>8.8005550606957073</v>
      </c>
      <c r="Q81" s="96">
        <f>IF(Q49=0,0,Q49/TrRoad_act!Q51*100)</f>
        <v>9.6299155098693046</v>
      </c>
      <c r="R81" s="96">
        <f>IF(R49=0,0,R49/TrRoad_act!R51*100)</f>
        <v>9.056452837786793</v>
      </c>
      <c r="S81" s="96">
        <f>IF(S49=0,0,S49/TrRoad_act!S51*100)</f>
        <v>8.9502344588518294</v>
      </c>
      <c r="T81" s="96">
        <f>IF(T49=0,0,T49/TrRoad_act!T51*100)</f>
        <v>9.1499319330724926</v>
      </c>
      <c r="U81" s="96">
        <f>IF(U49=0,0,U49/TrRoad_act!U51*100)</f>
        <v>10.198668397149513</v>
      </c>
      <c r="V81" s="96">
        <f>IF(V49=0,0,V49/TrRoad_act!V51*100)</f>
        <v>10.185018257936321</v>
      </c>
      <c r="W81" s="96">
        <f>IF(W49=0,0,W49/TrRoad_act!W51*100)</f>
        <v>10.267849587811787</v>
      </c>
      <c r="X81" s="96">
        <f>IF(X49=0,0,X49/TrRoad_act!X51*100)</f>
        <v>10.094342730287227</v>
      </c>
      <c r="Y81" s="96">
        <f>IF(Y49=0,0,Y49/TrRoad_act!Y51*100)</f>
        <v>9.8842791639520087</v>
      </c>
      <c r="DA81" s="171" t="s">
        <v>693</v>
      </c>
    </row>
    <row r="82" spans="1:105" ht="11.45" customHeight="1" x14ac:dyDescent="0.25">
      <c r="A82" s="111" t="s">
        <v>115</v>
      </c>
      <c r="B82" s="96">
        <f>IF(B51=0,0,B51/TrRoad_act!B52*100)</f>
        <v>0</v>
      </c>
      <c r="C82" s="96">
        <f>IF(C51=0,0,C51/TrRoad_act!C52*100)</f>
        <v>0</v>
      </c>
      <c r="D82" s="96">
        <f>IF(D51=0,0,D51/TrRoad_act!D52*100)</f>
        <v>0</v>
      </c>
      <c r="E82" s="96">
        <f>IF(E51=0,0,E51/TrRoad_act!E52*100)</f>
        <v>0</v>
      </c>
      <c r="F82" s="96">
        <f>IF(F51=0,0,F51/TrRoad_act!F52*100)</f>
        <v>0</v>
      </c>
      <c r="G82" s="96">
        <f>IF(G51=0,0,G51/TrRoad_act!G52*100)</f>
        <v>0</v>
      </c>
      <c r="H82" s="96">
        <f>IF(H51=0,0,H51/TrRoad_act!H52*100)</f>
        <v>0</v>
      </c>
      <c r="I82" s="96">
        <f>IF(I51=0,0,I51/TrRoad_act!I52*100)</f>
        <v>0</v>
      </c>
      <c r="J82" s="96">
        <f>IF(J51=0,0,J51/TrRoad_act!J52*100)</f>
        <v>0</v>
      </c>
      <c r="K82" s="96">
        <f>IF(K51=0,0,K51/TrRoad_act!K52*100)</f>
        <v>0</v>
      </c>
      <c r="L82" s="96">
        <f>IF(L51=0,0,L51/TrRoad_act!L52*100)</f>
        <v>0</v>
      </c>
      <c r="M82" s="96">
        <f>IF(M51=0,0,M51/TrRoad_act!M52*100)</f>
        <v>1.6514689086655814</v>
      </c>
      <c r="N82" s="96">
        <f>IF(N51=0,0,N51/TrRoad_act!N52*100)</f>
        <v>1.6472914875411704</v>
      </c>
      <c r="O82" s="96">
        <f>IF(O51=0,0,O51/TrRoad_act!O52*100)</f>
        <v>1.707148831878665</v>
      </c>
      <c r="P82" s="96">
        <f>IF(P51=0,0,P51/TrRoad_act!P52*100)</f>
        <v>1.7286070990691158</v>
      </c>
      <c r="Q82" s="96">
        <f>IF(Q51=0,0,Q51/TrRoad_act!Q52*100)</f>
        <v>1.7634603571108929</v>
      </c>
      <c r="R82" s="96">
        <f>IF(R51=0,0,R51/TrRoad_act!R52*100)</f>
        <v>1.7933812872721289</v>
      </c>
      <c r="S82" s="96">
        <f>IF(S51=0,0,S51/TrRoad_act!S52*100)</f>
        <v>1.8324367627887705</v>
      </c>
      <c r="T82" s="96">
        <f>IF(T51=0,0,T51/TrRoad_act!T52*100)</f>
        <v>1.9186367491788152</v>
      </c>
      <c r="U82" s="96">
        <f>IF(U51=0,0,U51/TrRoad_act!U52*100)</f>
        <v>2.0034216866334611</v>
      </c>
      <c r="V82" s="96">
        <f>IF(V51=0,0,V51/TrRoad_act!V52*100)</f>
        <v>2.1070400325198158</v>
      </c>
      <c r="W82" s="96">
        <f>IF(W51=0,0,W51/TrRoad_act!W52*100)</f>
        <v>2.2118456499272252</v>
      </c>
      <c r="X82" s="96">
        <f>IF(X51=0,0,X51/TrRoad_act!X52*100)</f>
        <v>2.3884274429935228</v>
      </c>
      <c r="Y82" s="96">
        <f>IF(Y51=0,0,Y51/TrRoad_act!Y52*100)</f>
        <v>2.4192428505995021</v>
      </c>
      <c r="DA82" s="171" t="s">
        <v>694</v>
      </c>
    </row>
    <row r="83" spans="1:105" ht="11.45" customHeight="1" x14ac:dyDescent="0.25">
      <c r="A83" s="109" t="s">
        <v>154</v>
      </c>
      <c r="B83" s="130">
        <f>IF(B52=0,0,B52/TrRoad_act!B53*100)</f>
        <v>33.01212190429559</v>
      </c>
      <c r="C83" s="130">
        <f>IF(C52=0,0,C52/TrRoad_act!C53*100)</f>
        <v>34.629398406637954</v>
      </c>
      <c r="D83" s="130">
        <f>IF(D52=0,0,D52/TrRoad_act!D53*100)</f>
        <v>35.528544823095743</v>
      </c>
      <c r="E83" s="130">
        <f>IF(E52=0,0,E52/TrRoad_act!E53*100)</f>
        <v>42.313347621073135</v>
      </c>
      <c r="F83" s="130">
        <f>IF(F52=0,0,F52/TrRoad_act!F53*100)</f>
        <v>41.668882592634695</v>
      </c>
      <c r="G83" s="130">
        <f>IF(G52=0,0,G52/TrRoad_act!G53*100)</f>
        <v>41.224083662666935</v>
      </c>
      <c r="H83" s="130">
        <f>IF(H52=0,0,H52/TrRoad_act!H53*100)</f>
        <v>41.526445868987786</v>
      </c>
      <c r="I83" s="130">
        <f>IF(I52=0,0,I52/TrRoad_act!I53*100)</f>
        <v>41.509019365966097</v>
      </c>
      <c r="J83" s="130">
        <f>IF(J52=0,0,J52/TrRoad_act!J53*100)</f>
        <v>42.839648074439047</v>
      </c>
      <c r="K83" s="130">
        <f>IF(K52=0,0,K52/TrRoad_act!K53*100)</f>
        <v>43.500623308317095</v>
      </c>
      <c r="L83" s="130">
        <f>IF(L52=0,0,L52/TrRoad_act!L53*100)</f>
        <v>43.801463568320408</v>
      </c>
      <c r="M83" s="130">
        <f>IF(M52=0,0,M52/TrRoad_act!M53*100)</f>
        <v>42.885456502493035</v>
      </c>
      <c r="N83" s="130">
        <f>IF(N52=0,0,N52/TrRoad_act!N53*100)</f>
        <v>47.89556156471842</v>
      </c>
      <c r="O83" s="130">
        <f>IF(O52=0,0,O52/TrRoad_act!O53*100)</f>
        <v>47.950013877981021</v>
      </c>
      <c r="P83" s="130">
        <f>IF(P52=0,0,P52/TrRoad_act!P53*100)</f>
        <v>46.32162848791635</v>
      </c>
      <c r="Q83" s="130">
        <f>IF(Q52=0,0,Q52/TrRoad_act!Q53*100)</f>
        <v>43.264633776783647</v>
      </c>
      <c r="R83" s="130">
        <f>IF(R52=0,0,R52/TrRoad_act!R53*100)</f>
        <v>43.475878991022277</v>
      </c>
      <c r="S83" s="130">
        <f>IF(S52=0,0,S52/TrRoad_act!S53*100)</f>
        <v>42.599031394345765</v>
      </c>
      <c r="T83" s="130">
        <f>IF(T52=0,0,T52/TrRoad_act!T53*100)</f>
        <v>42.328541882114642</v>
      </c>
      <c r="U83" s="130">
        <f>IF(U52=0,0,U52/TrRoad_act!U53*100)</f>
        <v>43.925906125003337</v>
      </c>
      <c r="V83" s="130">
        <f>IF(V52=0,0,V52/TrRoad_act!V53*100)</f>
        <v>44.465484359685917</v>
      </c>
      <c r="W83" s="130">
        <f>IF(W52=0,0,W52/TrRoad_act!W53*100)</f>
        <v>42.942449985716259</v>
      </c>
      <c r="X83" s="130">
        <f>IF(X52=0,0,X52/TrRoad_act!X53*100)</f>
        <v>44.075785880330059</v>
      </c>
      <c r="Y83" s="130">
        <f>IF(Y52=0,0,Y52/TrRoad_act!Y53*100)</f>
        <v>47.12597005727909</v>
      </c>
      <c r="DA83" s="176" t="s">
        <v>695</v>
      </c>
    </row>
    <row r="84" spans="1:105" ht="11.45" customHeight="1" x14ac:dyDescent="0.25">
      <c r="A84" s="128" t="s">
        <v>27</v>
      </c>
      <c r="B84" s="97">
        <f>IF(B53=0,0,B53/TrRoad_act!B54*100)</f>
        <v>31.765648288179015</v>
      </c>
      <c r="C84" s="97">
        <f>IF(C53=0,0,C53/TrRoad_act!C54*100)</f>
        <v>33.44352136009082</v>
      </c>
      <c r="D84" s="97">
        <f>IF(D53=0,0,D53/TrRoad_act!D54*100)</f>
        <v>34.219899126197802</v>
      </c>
      <c r="E84" s="97">
        <f>IF(E53=0,0,E53/TrRoad_act!E54*100)</f>
        <v>40.748163866225475</v>
      </c>
      <c r="F84" s="97">
        <f>IF(F53=0,0,F53/TrRoad_act!F54*100)</f>
        <v>40.276938867663119</v>
      </c>
      <c r="G84" s="97">
        <f>IF(G53=0,0,G53/TrRoad_act!G54*100)</f>
        <v>39.877343157246102</v>
      </c>
      <c r="H84" s="97">
        <f>IF(H53=0,0,H53/TrRoad_act!H54*100)</f>
        <v>40.126124186195334</v>
      </c>
      <c r="I84" s="97">
        <f>IF(I53=0,0,I53/TrRoad_act!I54*100)</f>
        <v>40.072577230761588</v>
      </c>
      <c r="J84" s="97">
        <f>IF(J53=0,0,J53/TrRoad_act!J54*100)</f>
        <v>41.473585843548747</v>
      </c>
      <c r="K84" s="97">
        <f>IF(K53=0,0,K53/TrRoad_act!K54*100)</f>
        <v>41.962146811460727</v>
      </c>
      <c r="L84" s="97">
        <f>IF(L53=0,0,L53/TrRoad_act!L54*100)</f>
        <v>42.409127119326108</v>
      </c>
      <c r="M84" s="97">
        <f>IF(M53=0,0,M53/TrRoad_act!M54*100)</f>
        <v>41.442523548793467</v>
      </c>
      <c r="N84" s="97">
        <f>IF(N53=0,0,N53/TrRoad_act!N54*100)</f>
        <v>46.222829023332451</v>
      </c>
      <c r="O84" s="97">
        <f>IF(O53=0,0,O53/TrRoad_act!O54*100)</f>
        <v>45.931078102021381</v>
      </c>
      <c r="P84" s="97">
        <f>IF(P53=0,0,P53/TrRoad_act!P54*100)</f>
        <v>44.169668584691564</v>
      </c>
      <c r="Q84" s="97">
        <f>IF(Q53=0,0,Q53/TrRoad_act!Q54*100)</f>
        <v>41.551028800547648</v>
      </c>
      <c r="R84" s="97">
        <f>IF(R53=0,0,R53/TrRoad_act!R54*100)</f>
        <v>41.512377086726708</v>
      </c>
      <c r="S84" s="97">
        <f>IF(S53=0,0,S53/TrRoad_act!S54*100)</f>
        <v>40.63300670504735</v>
      </c>
      <c r="T84" s="97">
        <f>IF(T53=0,0,T53/TrRoad_act!T54*100)</f>
        <v>40.240357900430482</v>
      </c>
      <c r="U84" s="97">
        <f>IF(U53=0,0,U53/TrRoad_act!U54*100)</f>
        <v>41.603422404439669</v>
      </c>
      <c r="V84" s="97">
        <f>IF(V53=0,0,V53/TrRoad_act!V54*100)</f>
        <v>42.064881091888758</v>
      </c>
      <c r="W84" s="97">
        <f>IF(W53=0,0,W53/TrRoad_act!W54*100)</f>
        <v>40.461379535231693</v>
      </c>
      <c r="X84" s="97">
        <f>IF(X53=0,0,X53/TrRoad_act!X54*100)</f>
        <v>41.28282192129172</v>
      </c>
      <c r="Y84" s="97">
        <f>IF(Y53=0,0,Y53/TrRoad_act!Y54*100)</f>
        <v>44.098983622895155</v>
      </c>
      <c r="DA84" s="175" t="s">
        <v>696</v>
      </c>
    </row>
    <row r="85" spans="1:105" ht="11.45" customHeight="1" x14ac:dyDescent="0.25">
      <c r="A85" s="138" t="s">
        <v>116</v>
      </c>
      <c r="B85" s="98">
        <f>IF(B55=0,0,B55/TrRoad_act!B55*100)</f>
        <v>38.767433095030476</v>
      </c>
      <c r="C85" s="98">
        <f>IF(C55=0,0,C55/TrRoad_act!C55*100)</f>
        <v>40.54668443148973</v>
      </c>
      <c r="D85" s="98">
        <f>IF(D55=0,0,D55/TrRoad_act!D55*100)</f>
        <v>41.221509224753227</v>
      </c>
      <c r="E85" s="98">
        <f>IF(E55=0,0,E55/TrRoad_act!E55*100)</f>
        <v>48.816334633239066</v>
      </c>
      <c r="F85" s="98">
        <f>IF(F55=0,0,F55/TrRoad_act!F55*100)</f>
        <v>47.74197593038555</v>
      </c>
      <c r="G85" s="98">
        <f>IF(G55=0,0,G55/TrRoad_act!G55*100)</f>
        <v>47.139232468950013</v>
      </c>
      <c r="H85" s="98">
        <f>IF(H55=0,0,H55/TrRoad_act!H55*100)</f>
        <v>47.263671813152257</v>
      </c>
      <c r="I85" s="98">
        <f>IF(I55=0,0,I55/TrRoad_act!I55*100)</f>
        <v>47.029753037839399</v>
      </c>
      <c r="J85" s="98">
        <f>IF(J55=0,0,J55/TrRoad_act!J55*100)</f>
        <v>48.595937435938417</v>
      </c>
      <c r="K85" s="98">
        <f>IF(K55=0,0,K55/TrRoad_act!K55*100)</f>
        <v>49.122371982742003</v>
      </c>
      <c r="L85" s="98">
        <f>IF(L55=0,0,L55/TrRoad_act!L55*100)</f>
        <v>49.686447926039165</v>
      </c>
      <c r="M85" s="98">
        <f>IF(M55=0,0,M55/TrRoad_act!M55*100)</f>
        <v>48.409073405808698</v>
      </c>
      <c r="N85" s="98">
        <f>IF(N55=0,0,N55/TrRoad_act!N55*100)</f>
        <v>53.969789192209369</v>
      </c>
      <c r="O85" s="98">
        <f>IF(O55=0,0,O55/TrRoad_act!O55*100)</f>
        <v>53.767593858901044</v>
      </c>
      <c r="P85" s="98">
        <f>IF(P55=0,0,P55/TrRoad_act!P55*100)</f>
        <v>51.962917657355831</v>
      </c>
      <c r="Q85" s="98">
        <f>IF(Q55=0,0,Q55/TrRoad_act!Q55*100)</f>
        <v>49.268616047360425</v>
      </c>
      <c r="R85" s="98">
        <f>IF(R55=0,0,R55/TrRoad_act!R55*100)</f>
        <v>49.45821647006013</v>
      </c>
      <c r="S85" s="98">
        <f>IF(S55=0,0,S55/TrRoad_act!S55*100)</f>
        <v>48.772194015486406</v>
      </c>
      <c r="T85" s="98">
        <f>IF(T55=0,0,T55/TrRoad_act!T55*100)</f>
        <v>48.55670697685045</v>
      </c>
      <c r="U85" s="98">
        <f>IF(U55=0,0,U55/TrRoad_act!U55*100)</f>
        <v>50.579903868892437</v>
      </c>
      <c r="V85" s="98">
        <f>IF(V55=0,0,V55/TrRoad_act!V55*100)</f>
        <v>51.297260481752502</v>
      </c>
      <c r="W85" s="98">
        <f>IF(W55=0,0,W55/TrRoad_act!W55*100)</f>
        <v>49.43343367969468</v>
      </c>
      <c r="X85" s="98">
        <f>IF(X55=0,0,X55/TrRoad_act!X55*100)</f>
        <v>50.615266881608413</v>
      </c>
      <c r="Y85" s="98">
        <f>IF(Y55=0,0,Y55/TrRoad_act!Y55*100)</f>
        <v>54.038685762756892</v>
      </c>
      <c r="DA85" s="178" t="s">
        <v>697</v>
      </c>
    </row>
    <row r="86" spans="1:105" x14ac:dyDescent="0.25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DA86" s="171"/>
    </row>
    <row r="87" spans="1:105" ht="11.45" customHeight="1" x14ac:dyDescent="0.25">
      <c r="A87" s="53" t="s">
        <v>74</v>
      </c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DA87" s="172"/>
    </row>
    <row r="88" spans="1:105" ht="11.45" customHeight="1" x14ac:dyDescent="0.25">
      <c r="A88" s="27" t="s">
        <v>155</v>
      </c>
      <c r="B88" s="29">
        <f>IF(TrRoad_act!B4=0,0,B18/TrRoad_act!B4*1000)</f>
        <v>39.533874389690837</v>
      </c>
      <c r="C88" s="29">
        <f>IF(TrRoad_act!C4=0,0,C18/TrRoad_act!C4*1000)</f>
        <v>38.961656132398197</v>
      </c>
      <c r="D88" s="29">
        <f>IF(TrRoad_act!D4=0,0,D18/TrRoad_act!D4*1000)</f>
        <v>39.747722330493509</v>
      </c>
      <c r="E88" s="29">
        <f>IF(TrRoad_act!E4=0,0,E18/TrRoad_act!E4*1000)</f>
        <v>40.605384821223645</v>
      </c>
      <c r="F88" s="29">
        <f>IF(TrRoad_act!F4=0,0,F18/TrRoad_act!F4*1000)</f>
        <v>40.992194344006066</v>
      </c>
      <c r="G88" s="29">
        <f>IF(TrRoad_act!G4=0,0,G18/TrRoad_act!G4*1000)</f>
        <v>39.921297494222962</v>
      </c>
      <c r="H88" s="29">
        <f>IF(TrRoad_act!H4=0,0,H18/TrRoad_act!H4*1000)</f>
        <v>39.767726777772808</v>
      </c>
      <c r="I88" s="29">
        <f>IF(TrRoad_act!I4=0,0,I18/TrRoad_act!I4*1000)</f>
        <v>39.522183848511084</v>
      </c>
      <c r="J88" s="29">
        <f>IF(TrRoad_act!J4=0,0,J18/TrRoad_act!J4*1000)</f>
        <v>39.948734335500305</v>
      </c>
      <c r="K88" s="29">
        <f>IF(TrRoad_act!K4=0,0,K18/TrRoad_act!K4*1000)</f>
        <v>41.017149334714603</v>
      </c>
      <c r="L88" s="29">
        <f>IF(TrRoad_act!L4=0,0,L18/TrRoad_act!L4*1000)</f>
        <v>42.458874488909821</v>
      </c>
      <c r="M88" s="29">
        <f>IF(TrRoad_act!M4=0,0,M18/TrRoad_act!M4*1000)</f>
        <v>40.346119370413192</v>
      </c>
      <c r="N88" s="29">
        <f>IF(TrRoad_act!N4=0,0,N18/TrRoad_act!N4*1000)</f>
        <v>38.687802138741446</v>
      </c>
      <c r="O88" s="29">
        <f>IF(TrRoad_act!O4=0,0,O18/TrRoad_act!O4*1000)</f>
        <v>38.693258089018713</v>
      </c>
      <c r="P88" s="29">
        <f>IF(TrRoad_act!P4=0,0,P18/TrRoad_act!P4*1000)</f>
        <v>39.083485110183517</v>
      </c>
      <c r="Q88" s="29">
        <f>IF(TrRoad_act!Q4=0,0,Q18/TrRoad_act!Q4*1000)</f>
        <v>39.224746274506124</v>
      </c>
      <c r="R88" s="29">
        <f>IF(TrRoad_act!R4=0,0,R18/TrRoad_act!R4*1000)</f>
        <v>37.712843197139378</v>
      </c>
      <c r="S88" s="29">
        <f>IF(TrRoad_act!S4=0,0,S18/TrRoad_act!S4*1000)</f>
        <v>37.445676538313634</v>
      </c>
      <c r="T88" s="29">
        <f>IF(TrRoad_act!T4=0,0,T18/TrRoad_act!T4*1000)</f>
        <v>36.570251935393493</v>
      </c>
      <c r="U88" s="29">
        <f>IF(TrRoad_act!U4=0,0,U18/TrRoad_act!U4*1000)</f>
        <v>36.912352968960498</v>
      </c>
      <c r="V88" s="29">
        <f>IF(TrRoad_act!V4=0,0,V18/TrRoad_act!V4*1000)</f>
        <v>36.706540813742784</v>
      </c>
      <c r="W88" s="29">
        <f>IF(TrRoad_act!W4=0,0,W18/TrRoad_act!W4*1000)</f>
        <v>36.907993509893153</v>
      </c>
      <c r="X88" s="29">
        <f>IF(TrRoad_act!X4=0,0,X18/TrRoad_act!X4*1000)</f>
        <v>35.545341622428744</v>
      </c>
      <c r="Y88" s="29">
        <f>IF(TrRoad_act!Y4=0,0,Y18/TrRoad_act!Y4*1000)</f>
        <v>36.600277234129877</v>
      </c>
      <c r="DA88" s="173" t="s">
        <v>416</v>
      </c>
    </row>
    <row r="89" spans="1:105" ht="11.45" customHeight="1" x14ac:dyDescent="0.25">
      <c r="A89" s="136" t="s">
        <v>173</v>
      </c>
      <c r="B89" s="152">
        <f>IF(TrRoad_act!B5=0,0,B19/TrRoad_act!B5*1000)</f>
        <v>35.28721653036915</v>
      </c>
      <c r="C89" s="152">
        <f>IF(TrRoad_act!C5=0,0,C19/TrRoad_act!C5*1000)</f>
        <v>33.228788367330935</v>
      </c>
      <c r="D89" s="152">
        <f>IF(TrRoad_act!D5=0,0,D19/TrRoad_act!D5*1000)</f>
        <v>32.933257012604344</v>
      </c>
      <c r="E89" s="152">
        <f>IF(TrRoad_act!E5=0,0,E19/TrRoad_act!E5*1000)</f>
        <v>32.680072752577772</v>
      </c>
      <c r="F89" s="152">
        <f>IF(TrRoad_act!F5=0,0,F19/TrRoad_act!F5*1000)</f>
        <v>32.42659209248346</v>
      </c>
      <c r="G89" s="152">
        <f>IF(TrRoad_act!G5=0,0,G19/TrRoad_act!G5*1000)</f>
        <v>32.208001949473584</v>
      </c>
      <c r="H89" s="152">
        <f>IF(TrRoad_act!H5=0,0,H19/TrRoad_act!H5*1000)</f>
        <v>31.91888736300713</v>
      </c>
      <c r="I89" s="152">
        <f>IF(TrRoad_act!I5=0,0,I19/TrRoad_act!I5*1000)</f>
        <v>31.56628002138244</v>
      </c>
      <c r="J89" s="152">
        <f>IF(TrRoad_act!J5=0,0,J19/TrRoad_act!J5*1000)</f>
        <v>31.378302137114691</v>
      </c>
      <c r="K89" s="152">
        <f>IF(TrRoad_act!K5=0,0,K19/TrRoad_act!K5*1000)</f>
        <v>31.076395754590926</v>
      </c>
      <c r="L89" s="152">
        <f>IF(TrRoad_act!L5=0,0,L19/TrRoad_act!L5*1000)</f>
        <v>30.441774753708955</v>
      </c>
      <c r="M89" s="152">
        <f>IF(TrRoad_act!M5=0,0,M19/TrRoad_act!M5*1000)</f>
        <v>29.917325058609432</v>
      </c>
      <c r="N89" s="152">
        <f>IF(TrRoad_act!N5=0,0,N19/TrRoad_act!N5*1000)</f>
        <v>29.604624275833725</v>
      </c>
      <c r="O89" s="152">
        <f>IF(TrRoad_act!O5=0,0,O19/TrRoad_act!O5*1000)</f>
        <v>29.377124872437161</v>
      </c>
      <c r="P89" s="152">
        <f>IF(TrRoad_act!P5=0,0,P19/TrRoad_act!P5*1000)</f>
        <v>28.943323319339274</v>
      </c>
      <c r="Q89" s="152">
        <f>IF(TrRoad_act!Q5=0,0,Q19/TrRoad_act!Q5*1000)</f>
        <v>28.377409995917045</v>
      </c>
      <c r="R89" s="152">
        <f>IF(TrRoad_act!R5=0,0,R19/TrRoad_act!R5*1000)</f>
        <v>27.969542962650301</v>
      </c>
      <c r="S89" s="152">
        <f>IF(TrRoad_act!S5=0,0,S19/TrRoad_act!S5*1000)</f>
        <v>29.051985730286596</v>
      </c>
      <c r="T89" s="152">
        <f>IF(TrRoad_act!T5=0,0,T19/TrRoad_act!T5*1000)</f>
        <v>28.756029050254252</v>
      </c>
      <c r="U89" s="152">
        <f>IF(TrRoad_act!U5=0,0,U19/TrRoad_act!U5*1000)</f>
        <v>28.505655653786576</v>
      </c>
      <c r="V89" s="152">
        <f>IF(TrRoad_act!V5=0,0,V19/TrRoad_act!V5*1000)</f>
        <v>27.923364739641446</v>
      </c>
      <c r="W89" s="152">
        <f>IF(TrRoad_act!W5=0,0,W19/TrRoad_act!W5*1000)</f>
        <v>27.656418363791889</v>
      </c>
      <c r="X89" s="152">
        <f>IF(TrRoad_act!X5=0,0,X19/TrRoad_act!X5*1000)</f>
        <v>27.611963824674042</v>
      </c>
      <c r="Y89" s="152">
        <f>IF(TrRoad_act!Y5=0,0,Y19/TrRoad_act!Y5*1000)</f>
        <v>27.532806328323037</v>
      </c>
      <c r="DA89" s="174" t="s">
        <v>417</v>
      </c>
    </row>
    <row r="90" spans="1:105" ht="11.45" customHeight="1" x14ac:dyDescent="0.25">
      <c r="A90" s="109" t="s">
        <v>20</v>
      </c>
      <c r="B90" s="116">
        <f>IF(TrRoad_act!B6=0,0,B21/TrRoad_act!B6*1000)</f>
        <v>41.664492665735992</v>
      </c>
      <c r="C90" s="116">
        <f>IF(TrRoad_act!C6=0,0,C21/TrRoad_act!C6*1000)</f>
        <v>40.624784050838983</v>
      </c>
      <c r="D90" s="116">
        <f>IF(TrRoad_act!D6=0,0,D21/TrRoad_act!D6*1000)</f>
        <v>40.828612902693862</v>
      </c>
      <c r="E90" s="116">
        <f>IF(TrRoad_act!E6=0,0,E21/TrRoad_act!E6*1000)</f>
        <v>42.144725861516839</v>
      </c>
      <c r="F90" s="116">
        <f>IF(TrRoad_act!F6=0,0,F21/TrRoad_act!F6*1000)</f>
        <v>42.799742085096852</v>
      </c>
      <c r="G90" s="116">
        <f>IF(TrRoad_act!G6=0,0,G21/TrRoad_act!G6*1000)</f>
        <v>40.821591534200024</v>
      </c>
      <c r="H90" s="116">
        <f>IF(TrRoad_act!H6=0,0,H21/TrRoad_act!H6*1000)</f>
        <v>40.519074187295587</v>
      </c>
      <c r="I90" s="116">
        <f>IF(TrRoad_act!I6=0,0,I21/TrRoad_act!I6*1000)</f>
        <v>40.278761973653047</v>
      </c>
      <c r="J90" s="116">
        <f>IF(TrRoad_act!J6=0,0,J21/TrRoad_act!J6*1000)</f>
        <v>40.683523390347148</v>
      </c>
      <c r="K90" s="116">
        <f>IF(TrRoad_act!K6=0,0,K21/TrRoad_act!K6*1000)</f>
        <v>41.673152587271026</v>
      </c>
      <c r="L90" s="116">
        <f>IF(TrRoad_act!L6=0,0,L21/TrRoad_act!L6*1000)</f>
        <v>43.23973581963395</v>
      </c>
      <c r="M90" s="116">
        <f>IF(TrRoad_act!M6=0,0,M21/TrRoad_act!M6*1000)</f>
        <v>40.826761449491315</v>
      </c>
      <c r="N90" s="116">
        <f>IF(TrRoad_act!N6=0,0,N21/TrRoad_act!N6*1000)</f>
        <v>39.531029823042822</v>
      </c>
      <c r="O90" s="116">
        <f>IF(TrRoad_act!O6=0,0,O21/TrRoad_act!O6*1000)</f>
        <v>39.705083524488366</v>
      </c>
      <c r="P90" s="116">
        <f>IF(TrRoad_act!P6=0,0,P21/TrRoad_act!P6*1000)</f>
        <v>39.499443815541248</v>
      </c>
      <c r="Q90" s="116">
        <f>IF(TrRoad_act!Q6=0,0,Q21/TrRoad_act!Q6*1000)</f>
        <v>39.524366473344088</v>
      </c>
      <c r="R90" s="116">
        <f>IF(TrRoad_act!R6=0,0,R21/TrRoad_act!R6*1000)</f>
        <v>37.694280231157123</v>
      </c>
      <c r="S90" s="116">
        <f>IF(TrRoad_act!S6=0,0,S21/TrRoad_act!S6*1000)</f>
        <v>37.654933856490871</v>
      </c>
      <c r="T90" s="116">
        <f>IF(TrRoad_act!T6=0,0,T21/TrRoad_act!T6*1000)</f>
        <v>36.758516594818339</v>
      </c>
      <c r="U90" s="116">
        <f>IF(TrRoad_act!U6=0,0,U21/TrRoad_act!U6*1000)</f>
        <v>37.300970496361955</v>
      </c>
      <c r="V90" s="116">
        <f>IF(TrRoad_act!V6=0,0,V21/TrRoad_act!V6*1000)</f>
        <v>36.504469922676925</v>
      </c>
      <c r="W90" s="116">
        <f>IF(TrRoad_act!W6=0,0,W21/TrRoad_act!W6*1000)</f>
        <v>37.020022608216344</v>
      </c>
      <c r="X90" s="116">
        <f>IF(TrRoad_act!X6=0,0,X21/TrRoad_act!X6*1000)</f>
        <v>36.095601482761211</v>
      </c>
      <c r="Y90" s="116">
        <f>IF(TrRoad_act!Y6=0,0,Y21/TrRoad_act!Y6*1000)</f>
        <v>37.214228805210624</v>
      </c>
      <c r="DA90" s="176" t="s">
        <v>418</v>
      </c>
    </row>
    <row r="91" spans="1:105" ht="11.45" customHeight="1" x14ac:dyDescent="0.25">
      <c r="A91" s="111" t="s">
        <v>110</v>
      </c>
      <c r="B91" s="87">
        <f>IF(TrRoad_act!B7=0,0,B22/TrRoad_act!B7*1000)</f>
        <v>48.753289994627217</v>
      </c>
      <c r="C91" s="87">
        <f>IF(TrRoad_act!C7=0,0,C22/TrRoad_act!C7*1000)</f>
        <v>46.890861082962552</v>
      </c>
      <c r="D91" s="87">
        <f>IF(TrRoad_act!D7=0,0,D22/TrRoad_act!D7*1000)</f>
        <v>47.490366968626773</v>
      </c>
      <c r="E91" s="87">
        <f>IF(TrRoad_act!E7=0,0,E22/TrRoad_act!E7*1000)</f>
        <v>46.903147844153615</v>
      </c>
      <c r="F91" s="87">
        <f>IF(TrRoad_act!F7=0,0,F22/TrRoad_act!F7*1000)</f>
        <v>47.544652656281706</v>
      </c>
      <c r="G91" s="87">
        <f>IF(TrRoad_act!G7=0,0,G22/TrRoad_act!G7*1000)</f>
        <v>47.196251532894223</v>
      </c>
      <c r="H91" s="87">
        <f>IF(TrRoad_act!H7=0,0,H22/TrRoad_act!H7*1000)</f>
        <v>47.096605393729376</v>
      </c>
      <c r="I91" s="87">
        <f>IF(TrRoad_act!I7=0,0,I22/TrRoad_act!I7*1000)</f>
        <v>46.650418598990342</v>
      </c>
      <c r="J91" s="87">
        <f>IF(TrRoad_act!J7=0,0,J22/TrRoad_act!J7*1000)</f>
        <v>47.004508750240589</v>
      </c>
      <c r="K91" s="87">
        <f>IF(TrRoad_act!K7=0,0,K22/TrRoad_act!K7*1000)</f>
        <v>48.574345400104264</v>
      </c>
      <c r="L91" s="87">
        <f>IF(TrRoad_act!L7=0,0,L22/TrRoad_act!L7*1000)</f>
        <v>50.230715337226762</v>
      </c>
      <c r="M91" s="87">
        <f>IF(TrRoad_act!M7=0,0,M22/TrRoad_act!M7*1000)</f>
        <v>49.010377177669845</v>
      </c>
      <c r="N91" s="87">
        <f>IF(TrRoad_act!N7=0,0,N22/TrRoad_act!N7*1000)</f>
        <v>45.109169929858481</v>
      </c>
      <c r="O91" s="87">
        <f>IF(TrRoad_act!O7=0,0,O22/TrRoad_act!O7*1000)</f>
        <v>45.517547644039539</v>
      </c>
      <c r="P91" s="87">
        <f>IF(TrRoad_act!P7=0,0,P22/TrRoad_act!P7*1000)</f>
        <v>46.286914559221515</v>
      </c>
      <c r="Q91" s="87">
        <f>IF(TrRoad_act!Q7=0,0,Q22/TrRoad_act!Q7*1000)</f>
        <v>45.017225690078881</v>
      </c>
      <c r="R91" s="87">
        <f>IF(TrRoad_act!R7=0,0,R22/TrRoad_act!R7*1000)</f>
        <v>43.622920417813361</v>
      </c>
      <c r="S91" s="87">
        <f>IF(TrRoad_act!S7=0,0,S22/TrRoad_act!S7*1000)</f>
        <v>43.738741448642969</v>
      </c>
      <c r="T91" s="87">
        <f>IF(TrRoad_act!T7=0,0,T22/TrRoad_act!T7*1000)</f>
        <v>42.965980172142004</v>
      </c>
      <c r="U91" s="87">
        <f>IF(TrRoad_act!U7=0,0,U22/TrRoad_act!U7*1000)</f>
        <v>42.916989221739279</v>
      </c>
      <c r="V91" s="87">
        <f>IF(TrRoad_act!V7=0,0,V22/TrRoad_act!V7*1000)</f>
        <v>42.911235511112942</v>
      </c>
      <c r="W91" s="87">
        <f>IF(TrRoad_act!W7=0,0,W22/TrRoad_act!W7*1000)</f>
        <v>42.25446329868857</v>
      </c>
      <c r="X91" s="87">
        <f>IF(TrRoad_act!X7=0,0,X22/TrRoad_act!X7*1000)</f>
        <v>42.539294956260363</v>
      </c>
      <c r="Y91" s="87">
        <f>IF(TrRoad_act!Y7=0,0,Y22/TrRoad_act!Y7*1000)</f>
        <v>44.518760451650763</v>
      </c>
      <c r="DA91" s="171" t="s">
        <v>698</v>
      </c>
    </row>
    <row r="92" spans="1:105" ht="11.45" customHeight="1" x14ac:dyDescent="0.25">
      <c r="A92" s="111" t="s">
        <v>111</v>
      </c>
      <c r="B92" s="87">
        <f>IF(TrRoad_act!B8=0,0,B24/TrRoad_act!B8*1000)</f>
        <v>29.057646527130828</v>
      </c>
      <c r="C92" s="87">
        <f>IF(TrRoad_act!C8=0,0,C24/TrRoad_act!C8*1000)</f>
        <v>30.934678601293633</v>
      </c>
      <c r="D92" s="87">
        <f>IF(TrRoad_act!D8=0,0,D24/TrRoad_act!D8*1000)</f>
        <v>31.44583263184516</v>
      </c>
      <c r="E92" s="87">
        <f>IF(TrRoad_act!E8=0,0,E24/TrRoad_act!E8*1000)</f>
        <v>36.431845221846189</v>
      </c>
      <c r="F92" s="87">
        <f>IF(TrRoad_act!F8=0,0,F24/TrRoad_act!F8*1000)</f>
        <v>37.92359439934507</v>
      </c>
      <c r="G92" s="87">
        <f>IF(TrRoad_act!G8=0,0,G24/TrRoad_act!G8*1000)</f>
        <v>35.216838719559682</v>
      </c>
      <c r="H92" s="87">
        <f>IF(TrRoad_act!H8=0,0,H24/TrRoad_act!H8*1000)</f>
        <v>35.591402436202543</v>
      </c>
      <c r="I92" s="87">
        <f>IF(TrRoad_act!I8=0,0,I24/TrRoad_act!I8*1000)</f>
        <v>35.982548295343719</v>
      </c>
      <c r="J92" s="87">
        <f>IF(TrRoad_act!J8=0,0,J24/TrRoad_act!J8*1000)</f>
        <v>36.95816933282682</v>
      </c>
      <c r="K92" s="87">
        <f>IF(TrRoad_act!K8=0,0,K24/TrRoad_act!K8*1000)</f>
        <v>37.901779676787484</v>
      </c>
      <c r="L92" s="87">
        <f>IF(TrRoad_act!L8=0,0,L24/TrRoad_act!L8*1000)</f>
        <v>39.746645398387024</v>
      </c>
      <c r="M92" s="87">
        <f>IF(TrRoad_act!M8=0,0,M24/TrRoad_act!M8*1000)</f>
        <v>37.171498533330755</v>
      </c>
      <c r="N92" s="87">
        <f>IF(TrRoad_act!N8=0,0,N24/TrRoad_act!N8*1000)</f>
        <v>37.039538032404749</v>
      </c>
      <c r="O92" s="87">
        <f>IF(TrRoad_act!O8=0,0,O24/TrRoad_act!O8*1000)</f>
        <v>37.203000475940016</v>
      </c>
      <c r="P92" s="87">
        <f>IF(TrRoad_act!P8=0,0,P24/TrRoad_act!P8*1000)</f>
        <v>36.762307139771707</v>
      </c>
      <c r="Q92" s="87">
        <f>IF(TrRoad_act!Q8=0,0,Q24/TrRoad_act!Q8*1000)</f>
        <v>37.31750579399344</v>
      </c>
      <c r="R92" s="87">
        <f>IF(TrRoad_act!R8=0,0,R24/TrRoad_act!R8*1000)</f>
        <v>35.4836249674957</v>
      </c>
      <c r="S92" s="87">
        <f>IF(TrRoad_act!S8=0,0,S24/TrRoad_act!S8*1000)</f>
        <v>35.57609580870411</v>
      </c>
      <c r="T92" s="87">
        <f>IF(TrRoad_act!T8=0,0,T24/TrRoad_act!T8*1000)</f>
        <v>34.795277463690333</v>
      </c>
      <c r="U92" s="87">
        <f>IF(TrRoad_act!U8=0,0,U24/TrRoad_act!U8*1000)</f>
        <v>35.599188848112064</v>
      </c>
      <c r="V92" s="87">
        <f>IF(TrRoad_act!V8=0,0,V24/TrRoad_act!V8*1000)</f>
        <v>34.75108488767453</v>
      </c>
      <c r="W92" s="87">
        <f>IF(TrRoad_act!W8=0,0,W24/TrRoad_act!W8*1000)</f>
        <v>35.725820206061293</v>
      </c>
      <c r="X92" s="87">
        <f>IF(TrRoad_act!X8=0,0,X24/TrRoad_act!X8*1000)</f>
        <v>34.451847334481016</v>
      </c>
      <c r="Y92" s="87">
        <f>IF(TrRoad_act!Y8=0,0,Y24/TrRoad_act!Y8*1000)</f>
        <v>35.435960664053447</v>
      </c>
      <c r="DA92" s="171" t="s">
        <v>699</v>
      </c>
    </row>
    <row r="93" spans="1:105" ht="11.45" customHeight="1" x14ac:dyDescent="0.25">
      <c r="A93" s="111" t="s">
        <v>112</v>
      </c>
      <c r="B93" s="87">
        <f>IF(TrRoad_act!B9=0,0,B26/TrRoad_act!B9*1000)</f>
        <v>52.103078283449207</v>
      </c>
      <c r="C93" s="87">
        <f>IF(TrRoad_act!C9=0,0,C26/TrRoad_act!C9*1000)</f>
        <v>54.723071502558945</v>
      </c>
      <c r="D93" s="87">
        <f>IF(TrRoad_act!D9=0,0,D26/TrRoad_act!D9*1000)</f>
        <v>57.465770652596831</v>
      </c>
      <c r="E93" s="87">
        <f>IF(TrRoad_act!E9=0,0,E26/TrRoad_act!E9*1000)</f>
        <v>49.675406079937915</v>
      </c>
      <c r="F93" s="87">
        <f>IF(TrRoad_act!F9=0,0,F26/TrRoad_act!F9*1000)</f>
        <v>49.32762667216236</v>
      </c>
      <c r="G93" s="87">
        <f>IF(TrRoad_act!G9=0,0,G26/TrRoad_act!G9*1000)</f>
        <v>51.685058746189981</v>
      </c>
      <c r="H93" s="87">
        <f>IF(TrRoad_act!H9=0,0,H26/TrRoad_act!H9*1000)</f>
        <v>57.683878997156206</v>
      </c>
      <c r="I93" s="87">
        <f>IF(TrRoad_act!I9=0,0,I26/TrRoad_act!I9*1000)</f>
        <v>62.370737056934232</v>
      </c>
      <c r="J93" s="87">
        <f>IF(TrRoad_act!J9=0,0,J26/TrRoad_act!J9*1000)</f>
        <v>53.185082795912578</v>
      </c>
      <c r="K93" s="87">
        <f>IF(TrRoad_act!K9=0,0,K26/TrRoad_act!K9*1000)</f>
        <v>46.262151217871505</v>
      </c>
      <c r="L93" s="87">
        <f>IF(TrRoad_act!L9=0,0,L26/TrRoad_act!L9*1000)</f>
        <v>48.193448411392097</v>
      </c>
      <c r="M93" s="87">
        <f>IF(TrRoad_act!M9=0,0,M26/TrRoad_act!M9*1000)</f>
        <v>46.300585069441418</v>
      </c>
      <c r="N93" s="87">
        <f>IF(TrRoad_act!N9=0,0,N26/TrRoad_act!N9*1000)</f>
        <v>43.586683439126062</v>
      </c>
      <c r="O93" s="87">
        <f>IF(TrRoad_act!O9=0,0,O26/TrRoad_act!O9*1000)</f>
        <v>44.810651339558319</v>
      </c>
      <c r="P93" s="87">
        <f>IF(TrRoad_act!P9=0,0,P26/TrRoad_act!P9*1000)</f>
        <v>42.946451793995045</v>
      </c>
      <c r="Q93" s="87">
        <f>IF(TrRoad_act!Q9=0,0,Q26/TrRoad_act!Q9*1000)</f>
        <v>43.629275768093784</v>
      </c>
      <c r="R93" s="87">
        <f>IF(TrRoad_act!R9=0,0,R26/TrRoad_act!R9*1000)</f>
        <v>42.080641877769082</v>
      </c>
      <c r="S93" s="87">
        <f>IF(TrRoad_act!S9=0,0,S26/TrRoad_act!S9*1000)</f>
        <v>40.568931453542966</v>
      </c>
      <c r="T93" s="87">
        <f>IF(TrRoad_act!T9=0,0,T26/TrRoad_act!T9*1000)</f>
        <v>37.183323136796311</v>
      </c>
      <c r="U93" s="87">
        <f>IF(TrRoad_act!U9=0,0,U26/TrRoad_act!U9*1000)</f>
        <v>37.348896334074752</v>
      </c>
      <c r="V93" s="87">
        <f>IF(TrRoad_act!V9=0,0,V26/TrRoad_act!V9*1000)</f>
        <v>33.540546651245833</v>
      </c>
      <c r="W93" s="87">
        <f>IF(TrRoad_act!W9=0,0,W26/TrRoad_act!W9*1000)</f>
        <v>31.921289506767252</v>
      </c>
      <c r="X93" s="87">
        <f>IF(TrRoad_act!X9=0,0,X26/TrRoad_act!X9*1000)</f>
        <v>31.279289864307064</v>
      </c>
      <c r="Y93" s="87">
        <f>IF(TrRoad_act!Y9=0,0,Y26/TrRoad_act!Y9*1000)</f>
        <v>34.22729453919343</v>
      </c>
      <c r="DA93" s="171" t="s">
        <v>700</v>
      </c>
    </row>
    <row r="94" spans="1:105" ht="11.45" customHeight="1" x14ac:dyDescent="0.25">
      <c r="A94" s="111" t="s">
        <v>113</v>
      </c>
      <c r="B94" s="87">
        <f>IF(TrRoad_act!B10=0,0,B27/TrRoad_act!B10*1000)</f>
        <v>0</v>
      </c>
      <c r="C94" s="87">
        <f>IF(TrRoad_act!C10=0,0,C27/TrRoad_act!C10*1000)</f>
        <v>0</v>
      </c>
      <c r="D94" s="87">
        <f>IF(TrRoad_act!D10=0,0,D27/TrRoad_act!D10*1000)</f>
        <v>0</v>
      </c>
      <c r="E94" s="87">
        <f>IF(TrRoad_act!E10=0,0,E27/TrRoad_act!E10*1000)</f>
        <v>0</v>
      </c>
      <c r="F94" s="87">
        <f>IF(TrRoad_act!F10=0,0,F27/TrRoad_act!F10*1000)</f>
        <v>0</v>
      </c>
      <c r="G94" s="87">
        <f>IF(TrRoad_act!G10=0,0,G27/TrRoad_act!G10*1000)</f>
        <v>0</v>
      </c>
      <c r="H94" s="87">
        <f>IF(TrRoad_act!H10=0,0,H27/TrRoad_act!H10*1000)</f>
        <v>0</v>
      </c>
      <c r="I94" s="87">
        <f>IF(TrRoad_act!I10=0,0,I27/TrRoad_act!I10*1000)</f>
        <v>0</v>
      </c>
      <c r="J94" s="87">
        <f>IF(TrRoad_act!J10=0,0,J27/TrRoad_act!J10*1000)</f>
        <v>0</v>
      </c>
      <c r="K94" s="87">
        <f>IF(TrRoad_act!K10=0,0,K27/TrRoad_act!K10*1000)</f>
        <v>0</v>
      </c>
      <c r="L94" s="87">
        <f>IF(TrRoad_act!L10=0,0,L27/TrRoad_act!L10*1000)</f>
        <v>62.430884366072341</v>
      </c>
      <c r="M94" s="87">
        <f>IF(TrRoad_act!M10=0,0,M27/TrRoad_act!M10*1000)</f>
        <v>61.244984045034109</v>
      </c>
      <c r="N94" s="87">
        <f>IF(TrRoad_act!N10=0,0,N27/TrRoad_act!N10*1000)</f>
        <v>47.085327908473104</v>
      </c>
      <c r="O94" s="87">
        <f>IF(TrRoad_act!O10=0,0,O27/TrRoad_act!O10*1000)</f>
        <v>44.548393563362644</v>
      </c>
      <c r="P94" s="87">
        <f>IF(TrRoad_act!P10=0,0,P27/TrRoad_act!P10*1000)</f>
        <v>43.802258716113379</v>
      </c>
      <c r="Q94" s="87">
        <f>IF(TrRoad_act!Q10=0,0,Q27/TrRoad_act!Q10*1000)</f>
        <v>40.741744349605106</v>
      </c>
      <c r="R94" s="87">
        <f>IF(TrRoad_act!R10=0,0,R27/TrRoad_act!R10*1000)</f>
        <v>37.806354944290426</v>
      </c>
      <c r="S94" s="87">
        <f>IF(TrRoad_act!S10=0,0,S27/TrRoad_act!S10*1000)</f>
        <v>37.650163896912801</v>
      </c>
      <c r="T94" s="87">
        <f>IF(TrRoad_act!T10=0,0,T27/TrRoad_act!T10*1000)</f>
        <v>37.618724315035095</v>
      </c>
      <c r="U94" s="87">
        <f>IF(TrRoad_act!U10=0,0,U27/TrRoad_act!U10*1000)</f>
        <v>36.906074192389568</v>
      </c>
      <c r="V94" s="87">
        <f>IF(TrRoad_act!V10=0,0,V27/TrRoad_act!V10*1000)</f>
        <v>36.896802938443031</v>
      </c>
      <c r="W94" s="87">
        <f>IF(TrRoad_act!W10=0,0,W27/TrRoad_act!W10*1000)</f>
        <v>36.053102153527526</v>
      </c>
      <c r="X94" s="87">
        <f>IF(TrRoad_act!X10=0,0,X27/TrRoad_act!X10*1000)</f>
        <v>34.938920147830231</v>
      </c>
      <c r="Y94" s="87">
        <f>IF(TrRoad_act!Y10=0,0,Y27/TrRoad_act!Y10*1000)</f>
        <v>36.009650649761745</v>
      </c>
      <c r="DA94" s="171" t="s">
        <v>701</v>
      </c>
    </row>
    <row r="95" spans="1:105" ht="11.45" customHeight="1" x14ac:dyDescent="0.25">
      <c r="A95" s="111" t="s">
        <v>114</v>
      </c>
      <c r="B95" s="87">
        <f>IF(TrRoad_act!B11=0,0,B29/TrRoad_act!B11*1000)</f>
        <v>0</v>
      </c>
      <c r="C95" s="87">
        <f>IF(TrRoad_act!C11=0,0,C29/TrRoad_act!C11*1000)</f>
        <v>0</v>
      </c>
      <c r="D95" s="87">
        <f>IF(TrRoad_act!D11=0,0,D29/TrRoad_act!D11*1000)</f>
        <v>0</v>
      </c>
      <c r="E95" s="87">
        <f>IF(TrRoad_act!E11=0,0,E29/TrRoad_act!E11*1000)</f>
        <v>0</v>
      </c>
      <c r="F95" s="87">
        <f>IF(TrRoad_act!F11=0,0,F29/TrRoad_act!F11*1000)</f>
        <v>0</v>
      </c>
      <c r="G95" s="87">
        <f>IF(TrRoad_act!G11=0,0,G29/TrRoad_act!G11*1000)</f>
        <v>0</v>
      </c>
      <c r="H95" s="87">
        <f>IF(TrRoad_act!H11=0,0,H29/TrRoad_act!H11*1000)</f>
        <v>0</v>
      </c>
      <c r="I95" s="87">
        <f>IF(TrRoad_act!I11=0,0,I29/TrRoad_act!I11*1000)</f>
        <v>0</v>
      </c>
      <c r="J95" s="87">
        <f>IF(TrRoad_act!J11=0,0,J29/TrRoad_act!J11*1000)</f>
        <v>0</v>
      </c>
      <c r="K95" s="87">
        <f>IF(TrRoad_act!K11=0,0,K29/TrRoad_act!K11*1000)</f>
        <v>0</v>
      </c>
      <c r="L95" s="87">
        <f>IF(TrRoad_act!L11=0,0,L29/TrRoad_act!L11*1000)</f>
        <v>0</v>
      </c>
      <c r="M95" s="87">
        <f>IF(TrRoad_act!M11=0,0,M29/TrRoad_act!M11*1000)</f>
        <v>25.410022510544756</v>
      </c>
      <c r="N95" s="87">
        <f>IF(TrRoad_act!N11=0,0,N29/TrRoad_act!N11*1000)</f>
        <v>20.869236286853919</v>
      </c>
      <c r="O95" s="87">
        <f>IF(TrRoad_act!O11=0,0,O29/TrRoad_act!O11*1000)</f>
        <v>21.726367114665539</v>
      </c>
      <c r="P95" s="87">
        <f>IF(TrRoad_act!P11=0,0,P29/TrRoad_act!P11*1000)</f>
        <v>23.061899252686111</v>
      </c>
      <c r="Q95" s="87">
        <f>IF(TrRoad_act!Q11=0,0,Q29/TrRoad_act!Q11*1000)</f>
        <v>23.573911034620231</v>
      </c>
      <c r="R95" s="87">
        <f>IF(TrRoad_act!R11=0,0,R29/TrRoad_act!R11*1000)</f>
        <v>23.17409971853543</v>
      </c>
      <c r="S95" s="87">
        <f>IF(TrRoad_act!S11=0,0,S29/TrRoad_act!S11*1000)</f>
        <v>23.875931050113024</v>
      </c>
      <c r="T95" s="87">
        <f>IF(TrRoad_act!T11=0,0,T29/TrRoad_act!T11*1000)</f>
        <v>24.285626793453567</v>
      </c>
      <c r="U95" s="87">
        <f>IF(TrRoad_act!U11=0,0,U29/TrRoad_act!U11*1000)</f>
        <v>24.122489856873845</v>
      </c>
      <c r="V95" s="87">
        <f>IF(TrRoad_act!V11=0,0,V29/TrRoad_act!V11*1000)</f>
        <v>23.926467376456031</v>
      </c>
      <c r="W95" s="87">
        <f>IF(TrRoad_act!W11=0,0,W29/TrRoad_act!W11*1000)</f>
        <v>22.702364062608783</v>
      </c>
      <c r="X95" s="87">
        <f>IF(TrRoad_act!X11=0,0,X29/TrRoad_act!X11*1000)</f>
        <v>21.690334232229077</v>
      </c>
      <c r="Y95" s="87">
        <f>IF(TrRoad_act!Y11=0,0,Y29/TrRoad_act!Y11*1000)</f>
        <v>21.665449760452184</v>
      </c>
      <c r="DA95" s="171" t="s">
        <v>702</v>
      </c>
    </row>
    <row r="96" spans="1:105" ht="11.45" customHeight="1" x14ac:dyDescent="0.25">
      <c r="A96" s="111" t="s">
        <v>115</v>
      </c>
      <c r="B96" s="87">
        <f>IF(TrRoad_act!B12=0,0,B32/TrRoad_act!B12*1000)</f>
        <v>0</v>
      </c>
      <c r="C96" s="87">
        <f>IF(TrRoad_act!C12=0,0,C32/TrRoad_act!C12*1000)</f>
        <v>0</v>
      </c>
      <c r="D96" s="87">
        <f>IF(TrRoad_act!D12=0,0,D32/TrRoad_act!D12*1000)</f>
        <v>0</v>
      </c>
      <c r="E96" s="87">
        <f>IF(TrRoad_act!E12=0,0,E32/TrRoad_act!E12*1000)</f>
        <v>0</v>
      </c>
      <c r="F96" s="87">
        <f>IF(TrRoad_act!F12=0,0,F32/TrRoad_act!F12*1000)</f>
        <v>0</v>
      </c>
      <c r="G96" s="87">
        <f>IF(TrRoad_act!G12=0,0,G32/TrRoad_act!G12*1000)</f>
        <v>0</v>
      </c>
      <c r="H96" s="87">
        <f>IF(TrRoad_act!H12=0,0,H32/TrRoad_act!H12*1000)</f>
        <v>0</v>
      </c>
      <c r="I96" s="87">
        <f>IF(TrRoad_act!I12=0,0,I32/TrRoad_act!I12*1000)</f>
        <v>0</v>
      </c>
      <c r="J96" s="87">
        <f>IF(TrRoad_act!J12=0,0,J32/TrRoad_act!J12*1000)</f>
        <v>9.9760986192844943</v>
      </c>
      <c r="K96" s="87">
        <f>IF(TrRoad_act!K12=0,0,K32/TrRoad_act!K12*1000)</f>
        <v>10.325259029066656</v>
      </c>
      <c r="L96" s="87">
        <f>IF(TrRoad_act!L12=0,0,L32/TrRoad_act!L12*1000)</f>
        <v>10.749077514379653</v>
      </c>
      <c r="M96" s="87">
        <f>IF(TrRoad_act!M12=0,0,M32/TrRoad_act!M12*1000)</f>
        <v>10.579873072277845</v>
      </c>
      <c r="N96" s="87">
        <f>IF(TrRoad_act!N12=0,0,N32/TrRoad_act!N12*1000)</f>
        <v>9.9250635658616044</v>
      </c>
      <c r="O96" s="87">
        <f>IF(TrRoad_act!O12=0,0,O32/TrRoad_act!O12*1000)</f>
        <v>10.171628256117804</v>
      </c>
      <c r="P96" s="87">
        <f>IF(TrRoad_act!P12=0,0,P32/TrRoad_act!P12*1000)</f>
        <v>10.494794526398659</v>
      </c>
      <c r="Q96" s="87">
        <f>IF(TrRoad_act!Q12=0,0,Q32/TrRoad_act!Q12*1000)</f>
        <v>10.347042576681087</v>
      </c>
      <c r="R96" s="87">
        <f>IF(TrRoad_act!R12=0,0,R32/TrRoad_act!R12*1000)</f>
        <v>10.14698173710905</v>
      </c>
      <c r="S96" s="87">
        <f>IF(TrRoad_act!S12=0,0,S32/TrRoad_act!S12*1000)</f>
        <v>10.359572166546821</v>
      </c>
      <c r="T96" s="87">
        <f>IF(TrRoad_act!T12=0,0,T32/TrRoad_act!T12*1000)</f>
        <v>11.374998072642054</v>
      </c>
      <c r="U96" s="87">
        <f>IF(TrRoad_act!U12=0,0,U32/TrRoad_act!U12*1000)</f>
        <v>12.06318692691241</v>
      </c>
      <c r="V96" s="87">
        <f>IF(TrRoad_act!V12=0,0,V32/TrRoad_act!V12*1000)</f>
        <v>12.502617739483236</v>
      </c>
      <c r="W96" s="87">
        <f>IF(TrRoad_act!W12=0,0,W32/TrRoad_act!W12*1000)</f>
        <v>12.301398050456374</v>
      </c>
      <c r="X96" s="87">
        <f>IF(TrRoad_act!X12=0,0,X32/TrRoad_act!X12*1000)</f>
        <v>11.912284364443302</v>
      </c>
      <c r="Y96" s="87">
        <f>IF(TrRoad_act!Y12=0,0,Y32/TrRoad_act!Y12*1000)</f>
        <v>12.107797243119453</v>
      </c>
      <c r="DA96" s="171" t="s">
        <v>703</v>
      </c>
    </row>
    <row r="97" spans="1:105" ht="11.45" customHeight="1" x14ac:dyDescent="0.25">
      <c r="A97" s="109" t="s">
        <v>21</v>
      </c>
      <c r="B97" s="116">
        <f>IF(TrRoad_act!B13=0,0,B33/TrRoad_act!B13*1000)</f>
        <v>27.302435906448832</v>
      </c>
      <c r="C97" s="116">
        <f>IF(TrRoad_act!C13=0,0,C33/TrRoad_act!C13*1000)</f>
        <v>28.92528972213448</v>
      </c>
      <c r="D97" s="116">
        <f>IF(TrRoad_act!D13=0,0,D33/TrRoad_act!D13*1000)</f>
        <v>32.550410174015653</v>
      </c>
      <c r="E97" s="116">
        <f>IF(TrRoad_act!E13=0,0,E33/TrRoad_act!E13*1000)</f>
        <v>30.153352902405715</v>
      </c>
      <c r="F97" s="116">
        <f>IF(TrRoad_act!F13=0,0,F33/TrRoad_act!F13*1000)</f>
        <v>28.754285934587966</v>
      </c>
      <c r="G97" s="116">
        <f>IF(TrRoad_act!G13=0,0,G33/TrRoad_act!G13*1000)</f>
        <v>30.552465991066484</v>
      </c>
      <c r="H97" s="116">
        <f>IF(TrRoad_act!H13=0,0,H33/TrRoad_act!H13*1000)</f>
        <v>32.075604145615863</v>
      </c>
      <c r="I97" s="116">
        <f>IF(TrRoad_act!I13=0,0,I33/TrRoad_act!I13*1000)</f>
        <v>31.799564190123622</v>
      </c>
      <c r="J97" s="116">
        <f>IF(TrRoad_act!J13=0,0,J33/TrRoad_act!J13*1000)</f>
        <v>32.768208330978922</v>
      </c>
      <c r="K97" s="116">
        <f>IF(TrRoad_act!K13=0,0,K33/TrRoad_act!K13*1000)</f>
        <v>35.018796400913587</v>
      </c>
      <c r="L97" s="116">
        <f>IF(TrRoad_act!L13=0,0,L33/TrRoad_act!L13*1000)</f>
        <v>35.634771056382533</v>
      </c>
      <c r="M97" s="116">
        <f>IF(TrRoad_act!M13=0,0,M33/TrRoad_act!M13*1000)</f>
        <v>36.976594713833457</v>
      </c>
      <c r="N97" s="116">
        <f>IF(TrRoad_act!N13=0,0,N33/TrRoad_act!N13*1000)</f>
        <v>29.883802311002764</v>
      </c>
      <c r="O97" s="116">
        <f>IF(TrRoad_act!O13=0,0,O33/TrRoad_act!O13*1000)</f>
        <v>27.912803732259203</v>
      </c>
      <c r="P97" s="116">
        <f>IF(TrRoad_act!P13=0,0,P33/TrRoad_act!P13*1000)</f>
        <v>36.351993374635029</v>
      </c>
      <c r="Q97" s="116">
        <f>IF(TrRoad_act!Q13=0,0,Q33/TrRoad_act!Q13*1000)</f>
        <v>38.240753429715838</v>
      </c>
      <c r="R97" s="116">
        <f>IF(TrRoad_act!R13=0,0,R33/TrRoad_act!R13*1000)</f>
        <v>41.63035937213639</v>
      </c>
      <c r="S97" s="116">
        <f>IF(TrRoad_act!S13=0,0,S33/TrRoad_act!S13*1000)</f>
        <v>36.867877508801072</v>
      </c>
      <c r="T97" s="116">
        <f>IF(TrRoad_act!T13=0,0,T33/TrRoad_act!T13*1000)</f>
        <v>35.977487013423264</v>
      </c>
      <c r="U97" s="116">
        <f>IF(TrRoad_act!U13=0,0,U33/TrRoad_act!U13*1000)</f>
        <v>33.613617451637296</v>
      </c>
      <c r="V97" s="116">
        <f>IF(TrRoad_act!V13=0,0,V33/TrRoad_act!V13*1000)</f>
        <v>45.239075574576759</v>
      </c>
      <c r="W97" s="116">
        <f>IF(TrRoad_act!W13=0,0,W33/TrRoad_act!W13*1000)</f>
        <v>38.078529034908215</v>
      </c>
      <c r="X97" s="116">
        <f>IF(TrRoad_act!X13=0,0,X33/TrRoad_act!X13*1000)</f>
        <v>30.895853554262256</v>
      </c>
      <c r="Y97" s="116">
        <f>IF(TrRoad_act!Y13=0,0,Y33/TrRoad_act!Y13*1000)</f>
        <v>31.548999771952364</v>
      </c>
      <c r="DA97" s="176" t="s">
        <v>419</v>
      </c>
    </row>
    <row r="98" spans="1:105" ht="11.45" customHeight="1" x14ac:dyDescent="0.25">
      <c r="A98" s="111" t="s">
        <v>110</v>
      </c>
      <c r="B98" s="101">
        <f>IF(TrRoad_act!B14=0,0,B34/TrRoad_act!B14*1000)</f>
        <v>0</v>
      </c>
      <c r="C98" s="101">
        <f>IF(TrRoad_act!C14=0,0,C34/TrRoad_act!C14*1000)</f>
        <v>0</v>
      </c>
      <c r="D98" s="101">
        <f>IF(TrRoad_act!D14=0,0,D34/TrRoad_act!D14*1000)</f>
        <v>0</v>
      </c>
      <c r="E98" s="101">
        <f>IF(TrRoad_act!E14=0,0,E34/TrRoad_act!E14*1000)</f>
        <v>0</v>
      </c>
      <c r="F98" s="101">
        <f>IF(TrRoad_act!F14=0,0,F34/TrRoad_act!F14*1000)</f>
        <v>0</v>
      </c>
      <c r="G98" s="101">
        <f>IF(TrRoad_act!G14=0,0,G34/TrRoad_act!G14*1000)</f>
        <v>0</v>
      </c>
      <c r="H98" s="101">
        <f>IF(TrRoad_act!H14=0,0,H34/TrRoad_act!H14*1000)</f>
        <v>0</v>
      </c>
      <c r="I98" s="101">
        <f>IF(TrRoad_act!I14=0,0,I34/TrRoad_act!I14*1000)</f>
        <v>0</v>
      </c>
      <c r="J98" s="101">
        <f>IF(TrRoad_act!J14=0,0,J34/TrRoad_act!J14*1000)</f>
        <v>0</v>
      </c>
      <c r="K98" s="101">
        <f>IF(TrRoad_act!K14=0,0,K34/TrRoad_act!K14*1000)</f>
        <v>0</v>
      </c>
      <c r="L98" s="101">
        <f>IF(TrRoad_act!L14=0,0,L34/TrRoad_act!L14*1000)</f>
        <v>20.456184839381621</v>
      </c>
      <c r="M98" s="101">
        <f>IF(TrRoad_act!M14=0,0,M34/TrRoad_act!M14*1000)</f>
        <v>20.530606632045004</v>
      </c>
      <c r="N98" s="101">
        <f>IF(TrRoad_act!N14=0,0,N34/TrRoad_act!N14*1000)</f>
        <v>19.420148930912198</v>
      </c>
      <c r="O98" s="101">
        <f>IF(TrRoad_act!O14=0,0,O34/TrRoad_act!O14*1000)</f>
        <v>17.882588032986209</v>
      </c>
      <c r="P98" s="101">
        <f>IF(TrRoad_act!P14=0,0,P34/TrRoad_act!P14*1000)</f>
        <v>20.339735059624569</v>
      </c>
      <c r="Q98" s="101">
        <f>IF(TrRoad_act!Q14=0,0,Q34/TrRoad_act!Q14*1000)</f>
        <v>20.2182678834379</v>
      </c>
      <c r="R98" s="101">
        <f>IF(TrRoad_act!R14=0,0,R34/TrRoad_act!R14*1000)</f>
        <v>20.191412070823912</v>
      </c>
      <c r="S98" s="101">
        <f>IF(TrRoad_act!S14=0,0,S34/TrRoad_act!S14*1000)</f>
        <v>19.916336876174487</v>
      </c>
      <c r="T98" s="101">
        <f>IF(TrRoad_act!T14=0,0,T34/TrRoad_act!T14*1000)</f>
        <v>19.912194418709802</v>
      </c>
      <c r="U98" s="101">
        <f>IF(TrRoad_act!U14=0,0,U34/TrRoad_act!U14*1000)</f>
        <v>19.475097243507374</v>
      </c>
      <c r="V98" s="101">
        <f>IF(TrRoad_act!V14=0,0,V34/TrRoad_act!V14*1000)</f>
        <v>19.850350960885379</v>
      </c>
      <c r="W98" s="101">
        <f>IF(TrRoad_act!W14=0,0,W34/TrRoad_act!W14*1000)</f>
        <v>19.626999562325569</v>
      </c>
      <c r="X98" s="101">
        <f>IF(TrRoad_act!X14=0,0,X34/TrRoad_act!X14*1000)</f>
        <v>18.418784692874556</v>
      </c>
      <c r="Y98" s="101">
        <f>IF(TrRoad_act!Y14=0,0,Y34/TrRoad_act!Y14*1000)</f>
        <v>19.33327475876909</v>
      </c>
      <c r="DA98" s="175" t="s">
        <v>704</v>
      </c>
    </row>
    <row r="99" spans="1:105" ht="11.45" customHeight="1" x14ac:dyDescent="0.25">
      <c r="A99" s="111" t="s">
        <v>111</v>
      </c>
      <c r="B99" s="101">
        <f>IF(TrRoad_act!B15=0,0,B36/TrRoad_act!B15*1000)</f>
        <v>27.300009865058669</v>
      </c>
      <c r="C99" s="101">
        <f>IF(TrRoad_act!C15=0,0,C36/TrRoad_act!C15*1000)</f>
        <v>28.949998373059849</v>
      </c>
      <c r="D99" s="101">
        <f>IF(TrRoad_act!D15=0,0,D36/TrRoad_act!D15*1000)</f>
        <v>32.584452142727486</v>
      </c>
      <c r="E99" s="101">
        <f>IF(TrRoad_act!E15=0,0,E36/TrRoad_act!E15*1000)</f>
        <v>30.225557894851775</v>
      </c>
      <c r="F99" s="101">
        <f>IF(TrRoad_act!F15=0,0,F36/TrRoad_act!F15*1000)</f>
        <v>28.817164947272072</v>
      </c>
      <c r="G99" s="101">
        <f>IF(TrRoad_act!G15=0,0,G36/TrRoad_act!G15*1000)</f>
        <v>30.621662008259918</v>
      </c>
      <c r="H99" s="101">
        <f>IF(TrRoad_act!H15=0,0,H36/TrRoad_act!H15*1000)</f>
        <v>32.127304996076099</v>
      </c>
      <c r="I99" s="101">
        <f>IF(TrRoad_act!I15=0,0,I36/TrRoad_act!I15*1000)</f>
        <v>31.838041067453069</v>
      </c>
      <c r="J99" s="101">
        <f>IF(TrRoad_act!J15=0,0,J36/TrRoad_act!J15*1000)</f>
        <v>32.844732248946535</v>
      </c>
      <c r="K99" s="101">
        <f>IF(TrRoad_act!K15=0,0,K36/TrRoad_act!K15*1000)</f>
        <v>35.199766685405791</v>
      </c>
      <c r="L99" s="101">
        <f>IF(TrRoad_act!L15=0,0,L36/TrRoad_act!L15*1000)</f>
        <v>35.835031213557293</v>
      </c>
      <c r="M99" s="101">
        <f>IF(TrRoad_act!M15=0,0,M36/TrRoad_act!M15*1000)</f>
        <v>37.198167489602248</v>
      </c>
      <c r="N99" s="101">
        <f>IF(TrRoad_act!N15=0,0,N36/TrRoad_act!N15*1000)</f>
        <v>30.165415123126717</v>
      </c>
      <c r="O99" s="101">
        <f>IF(TrRoad_act!O15=0,0,O36/TrRoad_act!O15*1000)</f>
        <v>27.932487780182868</v>
      </c>
      <c r="P99" s="101">
        <f>IF(TrRoad_act!P15=0,0,P36/TrRoad_act!P15*1000)</f>
        <v>36.274927051958898</v>
      </c>
      <c r="Q99" s="101">
        <f>IF(TrRoad_act!Q15=0,0,Q36/TrRoad_act!Q15*1000)</f>
        <v>37.780854495921425</v>
      </c>
      <c r="R99" s="101">
        <f>IF(TrRoad_act!R15=0,0,R36/TrRoad_act!R15*1000)</f>
        <v>41.176874887828873</v>
      </c>
      <c r="S99" s="101">
        <f>IF(TrRoad_act!S15=0,0,S36/TrRoad_act!S15*1000)</f>
        <v>36.282300130689165</v>
      </c>
      <c r="T99" s="101">
        <f>IF(TrRoad_act!T15=0,0,T36/TrRoad_act!T15*1000)</f>
        <v>36.199276016233235</v>
      </c>
      <c r="U99" s="101">
        <f>IF(TrRoad_act!U15=0,0,U36/TrRoad_act!U15*1000)</f>
        <v>32.469735403134457</v>
      </c>
      <c r="V99" s="101">
        <f>IF(TrRoad_act!V15=0,0,V36/TrRoad_act!V15*1000)</f>
        <v>42.712100611459825</v>
      </c>
      <c r="W99" s="101">
        <f>IF(TrRoad_act!W15=0,0,W36/TrRoad_act!W15*1000)</f>
        <v>36.97365575093103</v>
      </c>
      <c r="X99" s="101">
        <f>IF(TrRoad_act!X15=0,0,X36/TrRoad_act!X15*1000)</f>
        <v>29.276943702397936</v>
      </c>
      <c r="Y99" s="101">
        <f>IF(TrRoad_act!Y15=0,0,Y36/TrRoad_act!Y15*1000)</f>
        <v>30.664764504745381</v>
      </c>
      <c r="DA99" s="175" t="s">
        <v>705</v>
      </c>
    </row>
    <row r="100" spans="1:105" ht="11.45" customHeight="1" x14ac:dyDescent="0.25">
      <c r="A100" s="111" t="s">
        <v>112</v>
      </c>
      <c r="B100" s="101">
        <f>IF(TrRoad_act!B16=0,0,B38/TrRoad_act!B16*1000)</f>
        <v>0</v>
      </c>
      <c r="C100" s="101">
        <f>IF(TrRoad_act!C16=0,0,C38/TrRoad_act!C16*1000)</f>
        <v>0</v>
      </c>
      <c r="D100" s="101">
        <f>IF(TrRoad_act!D16=0,0,D38/TrRoad_act!D16*1000)</f>
        <v>0</v>
      </c>
      <c r="E100" s="101">
        <f>IF(TrRoad_act!E16=0,0,E38/TrRoad_act!E16*1000)</f>
        <v>0</v>
      </c>
      <c r="F100" s="101">
        <f>IF(TrRoad_act!F16=0,0,F38/TrRoad_act!F16*1000)</f>
        <v>0</v>
      </c>
      <c r="G100" s="101">
        <f>IF(TrRoad_act!G16=0,0,G38/TrRoad_act!G16*1000)</f>
        <v>0</v>
      </c>
      <c r="H100" s="101">
        <f>IF(TrRoad_act!H16=0,0,H38/TrRoad_act!H16*1000)</f>
        <v>0</v>
      </c>
      <c r="I100" s="101">
        <f>IF(TrRoad_act!I16=0,0,I38/TrRoad_act!I16*1000)</f>
        <v>0</v>
      </c>
      <c r="J100" s="101">
        <f>IF(TrRoad_act!J16=0,0,J38/TrRoad_act!J16*1000)</f>
        <v>0</v>
      </c>
      <c r="K100" s="101">
        <f>IF(TrRoad_act!K16=0,0,K38/TrRoad_act!K16*1000)</f>
        <v>0</v>
      </c>
      <c r="L100" s="101">
        <f>IF(TrRoad_act!L16=0,0,L38/TrRoad_act!L16*1000)</f>
        <v>29.033912278769204</v>
      </c>
      <c r="M100" s="101">
        <f>IF(TrRoad_act!M16=0,0,M38/TrRoad_act!M16*1000)</f>
        <v>30.241653182636778</v>
      </c>
      <c r="N100" s="101">
        <f>IF(TrRoad_act!N16=0,0,N38/TrRoad_act!N16*1000)</f>
        <v>25.017732179145426</v>
      </c>
      <c r="O100" s="101">
        <f>IF(TrRoad_act!O16=0,0,O38/TrRoad_act!O16*1000)</f>
        <v>23.23679049533596</v>
      </c>
      <c r="P100" s="101">
        <f>IF(TrRoad_act!P16=0,0,P38/TrRoad_act!P16*1000)</f>
        <v>30.399850859211639</v>
      </c>
      <c r="Q100" s="101">
        <f>IF(TrRoad_act!Q16=0,0,Q38/TrRoad_act!Q16*1000)</f>
        <v>31.556913430326919</v>
      </c>
      <c r="R100" s="101">
        <f>IF(TrRoad_act!R16=0,0,R38/TrRoad_act!R16*1000)</f>
        <v>34.623735165197424</v>
      </c>
      <c r="S100" s="101">
        <f>IF(TrRoad_act!S16=0,0,S38/TrRoad_act!S16*1000)</f>
        <v>30.490767318833839</v>
      </c>
      <c r="T100" s="101">
        <f>IF(TrRoad_act!T16=0,0,T38/TrRoad_act!T16*1000)</f>
        <v>30.41921347036595</v>
      </c>
      <c r="U100" s="101">
        <f>IF(TrRoad_act!U16=0,0,U38/TrRoad_act!U16*1000)</f>
        <v>27.453711025971689</v>
      </c>
      <c r="V100" s="101">
        <f>IF(TrRoad_act!V16=0,0,V38/TrRoad_act!V16*1000)</f>
        <v>36.421496677181885</v>
      </c>
      <c r="W100" s="101">
        <f>IF(TrRoad_act!W16=0,0,W38/TrRoad_act!W16*1000)</f>
        <v>31.639763414670952</v>
      </c>
      <c r="X100" s="101">
        <f>IF(TrRoad_act!X16=0,0,X38/TrRoad_act!X16*1000)</f>
        <v>25.611888804333791</v>
      </c>
      <c r="Y100" s="101">
        <f>IF(TrRoad_act!Y16=0,0,Y38/TrRoad_act!Y16*1000)</f>
        <v>27.047889391654394</v>
      </c>
      <c r="DA100" s="175" t="s">
        <v>706</v>
      </c>
    </row>
    <row r="101" spans="1:105" ht="11.45" customHeight="1" x14ac:dyDescent="0.25">
      <c r="A101" s="111" t="s">
        <v>113</v>
      </c>
      <c r="B101" s="101">
        <f>IF(TrRoad_act!B17=0,0,B39/TrRoad_act!B17*1000)</f>
        <v>28.018861509169241</v>
      </c>
      <c r="C101" s="101">
        <f>IF(TrRoad_act!C17=0,0,C39/TrRoad_act!C17*1000)</f>
        <v>27.283536485896974</v>
      </c>
      <c r="D101" s="101">
        <f>IF(TrRoad_act!D17=0,0,D39/TrRoad_act!D17*1000)</f>
        <v>31.066352256418519</v>
      </c>
      <c r="E101" s="101">
        <f>IF(TrRoad_act!E17=0,0,E39/TrRoad_act!E17*1000)</f>
        <v>27.871234614223972</v>
      </c>
      <c r="F101" s="101">
        <f>IF(TrRoad_act!F17=0,0,F39/TrRoad_act!F17*1000)</f>
        <v>26.872864140859203</v>
      </c>
      <c r="G101" s="101">
        <f>IF(TrRoad_act!G17=0,0,G39/TrRoad_act!G17*1000)</f>
        <v>29.452386157563129</v>
      </c>
      <c r="H101" s="101">
        <f>IF(TrRoad_act!H17=0,0,H39/TrRoad_act!H17*1000)</f>
        <v>31.187460882074742</v>
      </c>
      <c r="I101" s="101">
        <f>IF(TrRoad_act!I17=0,0,I39/TrRoad_act!I17*1000)</f>
        <v>31.187246268021941</v>
      </c>
      <c r="J101" s="101">
        <f>IF(TrRoad_act!J17=0,0,J39/TrRoad_act!J17*1000)</f>
        <v>31.581175215668051</v>
      </c>
      <c r="K101" s="101">
        <f>IF(TrRoad_act!K17=0,0,K39/TrRoad_act!K17*1000)</f>
        <v>32.268048686842349</v>
      </c>
      <c r="L101" s="101">
        <f>IF(TrRoad_act!L17=0,0,L39/TrRoad_act!L17*1000)</f>
        <v>33.083113065895333</v>
      </c>
      <c r="M101" s="101">
        <f>IF(TrRoad_act!M17=0,0,M39/TrRoad_act!M17*1000)</f>
        <v>34.116479716119635</v>
      </c>
      <c r="N101" s="101">
        <f>IF(TrRoad_act!N17=0,0,N39/TrRoad_act!N17*1000)</f>
        <v>27.090839001205087</v>
      </c>
      <c r="O101" s="101">
        <f>IF(TrRoad_act!O17=0,0,O39/TrRoad_act!O17*1000)</f>
        <v>28.322287044165407</v>
      </c>
      <c r="P101" s="101">
        <f>IF(TrRoad_act!P17=0,0,P39/TrRoad_act!P17*1000)</f>
        <v>38.620176816256574</v>
      </c>
      <c r="Q101" s="101">
        <f>IF(TrRoad_act!Q17=0,0,Q39/TrRoad_act!Q17*1000)</f>
        <v>47.252340691241308</v>
      </c>
      <c r="R101" s="101">
        <f>IF(TrRoad_act!R17=0,0,R39/TrRoad_act!R17*1000)</f>
        <v>51.232326844915967</v>
      </c>
      <c r="S101" s="101">
        <f>IF(TrRoad_act!S17=0,0,S39/TrRoad_act!S17*1000)</f>
        <v>50.481091440060858</v>
      </c>
      <c r="T101" s="101">
        <f>IF(TrRoad_act!T17=0,0,T39/TrRoad_act!T17*1000)</f>
        <v>35.51404801775751</v>
      </c>
      <c r="U101" s="101">
        <f>IF(TrRoad_act!U17=0,0,U39/TrRoad_act!U17*1000)</f>
        <v>66.722573422301522</v>
      </c>
      <c r="V101" s="101">
        <f>IF(TrRoad_act!V17=0,0,V39/TrRoad_act!V17*1000)</f>
        <v>94.030365382599243</v>
      </c>
      <c r="W101" s="101">
        <f>IF(TrRoad_act!W17=0,0,W39/TrRoad_act!W17*1000)</f>
        <v>54.996663581409862</v>
      </c>
      <c r="X101" s="101">
        <f>IF(TrRoad_act!X17=0,0,X39/TrRoad_act!X17*1000)</f>
        <v>55.739622133971693</v>
      </c>
      <c r="Y101" s="101">
        <f>IF(TrRoad_act!Y17=0,0,Y39/TrRoad_act!Y17*1000)</f>
        <v>51.62592594045833</v>
      </c>
      <c r="DA101" s="175" t="s">
        <v>707</v>
      </c>
    </row>
    <row r="102" spans="1:105" ht="11.45" customHeight="1" x14ac:dyDescent="0.25">
      <c r="A102" s="111" t="s">
        <v>115</v>
      </c>
      <c r="B102" s="101">
        <f>IF(TrRoad_act!B18=0,0,B41/TrRoad_act!B18*1000)</f>
        <v>0</v>
      </c>
      <c r="C102" s="101">
        <f>IF(TrRoad_act!C18=0,0,C41/TrRoad_act!C18*1000)</f>
        <v>0</v>
      </c>
      <c r="D102" s="101">
        <f>IF(TrRoad_act!D18=0,0,D41/TrRoad_act!D18*1000)</f>
        <v>0</v>
      </c>
      <c r="E102" s="101">
        <f>IF(TrRoad_act!E18=0,0,E41/TrRoad_act!E18*1000)</f>
        <v>0</v>
      </c>
      <c r="F102" s="101">
        <f>IF(TrRoad_act!F18=0,0,F41/TrRoad_act!F18*1000)</f>
        <v>0</v>
      </c>
      <c r="G102" s="101">
        <f>IF(TrRoad_act!G18=0,0,G41/TrRoad_act!G18*1000)</f>
        <v>0</v>
      </c>
      <c r="H102" s="101">
        <f>IF(TrRoad_act!H18=0,0,H41/TrRoad_act!H18*1000)</f>
        <v>0</v>
      </c>
      <c r="I102" s="101">
        <f>IF(TrRoad_act!I18=0,0,I41/TrRoad_act!I18*1000)</f>
        <v>0</v>
      </c>
      <c r="J102" s="101">
        <f>IF(TrRoad_act!J18=0,0,J41/TrRoad_act!J18*1000)</f>
        <v>0</v>
      </c>
      <c r="K102" s="101">
        <f>IF(TrRoad_act!K18=0,0,K41/TrRoad_act!K18*1000)</f>
        <v>0</v>
      </c>
      <c r="L102" s="101">
        <f>IF(TrRoad_act!L18=0,0,L41/TrRoad_act!L18*1000)</f>
        <v>16.351543004235292</v>
      </c>
      <c r="M102" s="101">
        <f>IF(TrRoad_act!M18=0,0,M41/TrRoad_act!M18*1000)</f>
        <v>17.031727856278309</v>
      </c>
      <c r="N102" s="101">
        <f>IF(TrRoad_act!N18=0,0,N41/TrRoad_act!N18*1000)</f>
        <v>13.790822423200748</v>
      </c>
      <c r="O102" s="101">
        <f>IF(TrRoad_act!O18=0,0,O41/TrRoad_act!O18*1000)</f>
        <v>12.809092731171907</v>
      </c>
      <c r="P102" s="101">
        <f>IF(TrRoad_act!P18=0,0,P41/TrRoad_act!P18*1000)</f>
        <v>16.542199445663517</v>
      </c>
      <c r="Q102" s="101">
        <f>IF(TrRoad_act!Q18=0,0,Q41/TrRoad_act!Q18*1000)</f>
        <v>17.171819633971161</v>
      </c>
      <c r="R102" s="101">
        <f>IF(TrRoad_act!R18=0,0,R41/TrRoad_act!R18*1000)</f>
        <v>18.72709937991079</v>
      </c>
      <c r="S102" s="101">
        <f>IF(TrRoad_act!S18=0,0,S41/TrRoad_act!S18*1000)</f>
        <v>16.727686735882557</v>
      </c>
      <c r="T102" s="101">
        <f>IF(TrRoad_act!T18=0,0,T41/TrRoad_act!T18*1000)</f>
        <v>16.895924952737708</v>
      </c>
      <c r="U102" s="101">
        <f>IF(TrRoad_act!U18=0,0,U41/TrRoad_act!U18*1000)</f>
        <v>15.315802953783571</v>
      </c>
      <c r="V102" s="101">
        <f>IF(TrRoad_act!V18=0,0,V41/TrRoad_act!V18*1000)</f>
        <v>20.248906222934576</v>
      </c>
      <c r="W102" s="101">
        <f>IF(TrRoad_act!W18=0,0,W41/TrRoad_act!W18*1000)</f>
        <v>17.545830582730385</v>
      </c>
      <c r="X102" s="101">
        <f>IF(TrRoad_act!X18=0,0,X41/TrRoad_act!X18*1000)</f>
        <v>14.062366383651682</v>
      </c>
      <c r="Y102" s="101">
        <f>IF(TrRoad_act!Y18=0,0,Y41/TrRoad_act!Y18*1000)</f>
        <v>14.733033961108612</v>
      </c>
      <c r="DA102" s="175" t="s">
        <v>708</v>
      </c>
    </row>
    <row r="103" spans="1:105" ht="11.45" customHeight="1" x14ac:dyDescent="0.25">
      <c r="A103" s="27" t="s">
        <v>156</v>
      </c>
      <c r="B103" s="29">
        <f>IF(TrRoad_act!B19=0,0,B42/TrRoad_act!B19*1000)</f>
        <v>111.91651042495911</v>
      </c>
      <c r="C103" s="29">
        <f>IF(TrRoad_act!C19=0,0,C42/TrRoad_act!C19*1000)</f>
        <v>102.45922322618456</v>
      </c>
      <c r="D103" s="29">
        <f>IF(TrRoad_act!D19=0,0,D42/TrRoad_act!D19*1000)</f>
        <v>106.29780305288672</v>
      </c>
      <c r="E103" s="29">
        <f>IF(TrRoad_act!E19=0,0,E42/TrRoad_act!E19*1000)</f>
        <v>113.58146653018214</v>
      </c>
      <c r="F103" s="29">
        <f>IF(TrRoad_act!F19=0,0,F42/TrRoad_act!F19*1000)</f>
        <v>98.427047553568229</v>
      </c>
      <c r="G103" s="29">
        <f>IF(TrRoad_act!G19=0,0,G42/TrRoad_act!G19*1000)</f>
        <v>94.877899154274075</v>
      </c>
      <c r="H103" s="29">
        <f>IF(TrRoad_act!H19=0,0,H42/TrRoad_act!H19*1000)</f>
        <v>92.488926254604635</v>
      </c>
      <c r="I103" s="29">
        <f>IF(TrRoad_act!I19=0,0,I42/TrRoad_act!I19*1000)</f>
        <v>86.119324482343373</v>
      </c>
      <c r="J103" s="29">
        <f>IF(TrRoad_act!J19=0,0,J42/TrRoad_act!J19*1000)</f>
        <v>91.70158932532901</v>
      </c>
      <c r="K103" s="29">
        <f>IF(TrRoad_act!K19=0,0,K42/TrRoad_act!K19*1000)</f>
        <v>98.01076397835709</v>
      </c>
      <c r="L103" s="29">
        <f>IF(TrRoad_act!L19=0,0,L42/TrRoad_act!L19*1000)</f>
        <v>106.1313106854017</v>
      </c>
      <c r="M103" s="29">
        <f>IF(TrRoad_act!M19=0,0,M42/TrRoad_act!M19*1000)</f>
        <v>96.775441636384215</v>
      </c>
      <c r="N103" s="29">
        <f>IF(TrRoad_act!N19=0,0,N42/TrRoad_act!N19*1000)</f>
        <v>96.785820959693126</v>
      </c>
      <c r="O103" s="29">
        <f>IF(TrRoad_act!O19=0,0,O42/TrRoad_act!O19*1000)</f>
        <v>96.011839477374394</v>
      </c>
      <c r="P103" s="29">
        <f>IF(TrRoad_act!P19=0,0,P42/TrRoad_act!P19*1000)</f>
        <v>90.128541520873014</v>
      </c>
      <c r="Q103" s="29">
        <f>IF(TrRoad_act!Q19=0,0,Q42/TrRoad_act!Q19*1000)</f>
        <v>93.093255372914541</v>
      </c>
      <c r="R103" s="29">
        <f>IF(TrRoad_act!R19=0,0,R42/TrRoad_act!R19*1000)</f>
        <v>93.251423675093619</v>
      </c>
      <c r="S103" s="29">
        <f>IF(TrRoad_act!S19=0,0,S42/TrRoad_act!S19*1000)</f>
        <v>91.484314860277351</v>
      </c>
      <c r="T103" s="29">
        <f>IF(TrRoad_act!T19=0,0,T42/TrRoad_act!T19*1000)</f>
        <v>91.685911599353872</v>
      </c>
      <c r="U103" s="29">
        <f>IF(TrRoad_act!U19=0,0,U42/TrRoad_act!U19*1000)</f>
        <v>93.130056295332949</v>
      </c>
      <c r="V103" s="29">
        <f>IF(TrRoad_act!V19=0,0,V42/TrRoad_act!V19*1000)</f>
        <v>94.130199857859765</v>
      </c>
      <c r="W103" s="29">
        <f>IF(TrRoad_act!W19=0,0,W42/TrRoad_act!W19*1000)</f>
        <v>92.147672520921731</v>
      </c>
      <c r="X103" s="29">
        <f>IF(TrRoad_act!X19=0,0,X42/TrRoad_act!X19*1000)</f>
        <v>97.828755901681845</v>
      </c>
      <c r="Y103" s="29">
        <f>IF(TrRoad_act!Y19=0,0,Y42/TrRoad_act!Y19*1000)</f>
        <v>114.1912083473126</v>
      </c>
      <c r="DA103" s="173" t="s">
        <v>425</v>
      </c>
    </row>
    <row r="104" spans="1:105" ht="11.45" customHeight="1" x14ac:dyDescent="0.25">
      <c r="A104" s="136" t="s">
        <v>153</v>
      </c>
      <c r="B104" s="152">
        <f>IF(TrRoad_act!B20=0,0,B43/TrRoad_act!B20*1000)</f>
        <v>737.91945229865678</v>
      </c>
      <c r="C104" s="152">
        <f>IF(TrRoad_act!C20=0,0,C43/TrRoad_act!C20*1000)</f>
        <v>688.11414726706721</v>
      </c>
      <c r="D104" s="152">
        <f>IF(TrRoad_act!D20=0,0,D43/TrRoad_act!D20*1000)</f>
        <v>685.28258683418881</v>
      </c>
      <c r="E104" s="152">
        <f>IF(TrRoad_act!E20=0,0,E43/TrRoad_act!E20*1000)</f>
        <v>691.26556282140234</v>
      </c>
      <c r="F104" s="152">
        <f>IF(TrRoad_act!F20=0,0,F43/TrRoad_act!F20*1000)</f>
        <v>673.39773400764818</v>
      </c>
      <c r="G104" s="152">
        <f>IF(TrRoad_act!G20=0,0,G43/TrRoad_act!G20*1000)</f>
        <v>646.6807870117018</v>
      </c>
      <c r="H104" s="152">
        <f>IF(TrRoad_act!H20=0,0,H43/TrRoad_act!H20*1000)</f>
        <v>627.42819510635013</v>
      </c>
      <c r="I104" s="152">
        <f>IF(TrRoad_act!I20=0,0,I43/TrRoad_act!I20*1000)</f>
        <v>602.75225205780453</v>
      </c>
      <c r="J104" s="152">
        <f>IF(TrRoad_act!J20=0,0,J43/TrRoad_act!J20*1000)</f>
        <v>587.09017598771345</v>
      </c>
      <c r="K104" s="152">
        <f>IF(TrRoad_act!K20=0,0,K43/TrRoad_act!K20*1000)</f>
        <v>573.11499065514113</v>
      </c>
      <c r="L104" s="152">
        <f>IF(TrRoad_act!L20=0,0,L43/TrRoad_act!L20*1000)</f>
        <v>558.27028780550393</v>
      </c>
      <c r="M104" s="152">
        <f>IF(TrRoad_act!M20=0,0,M43/TrRoad_act!M20*1000)</f>
        <v>536.4416027036475</v>
      </c>
      <c r="N104" s="152">
        <f>IF(TrRoad_act!N20=0,0,N43/TrRoad_act!N20*1000)</f>
        <v>519.77665737010307</v>
      </c>
      <c r="O104" s="152">
        <f>IF(TrRoad_act!O20=0,0,O43/TrRoad_act!O20*1000)</f>
        <v>513.33053568062235</v>
      </c>
      <c r="P104" s="152">
        <f>IF(TrRoad_act!P20=0,0,P43/TrRoad_act!P20*1000)</f>
        <v>496.7414943359019</v>
      </c>
      <c r="Q104" s="152">
        <f>IF(TrRoad_act!Q20=0,0,Q43/TrRoad_act!Q20*1000)</f>
        <v>490.20747328427308</v>
      </c>
      <c r="R104" s="152">
        <f>IF(TrRoad_act!R20=0,0,R43/TrRoad_act!R20*1000)</f>
        <v>489.3151866822401</v>
      </c>
      <c r="S104" s="152">
        <f>IF(TrRoad_act!S20=0,0,S43/TrRoad_act!S20*1000)</f>
        <v>481.83254902223672</v>
      </c>
      <c r="T104" s="152">
        <f>IF(TrRoad_act!T20=0,0,T43/TrRoad_act!T20*1000)</f>
        <v>473.99350282896069</v>
      </c>
      <c r="U104" s="152">
        <f>IF(TrRoad_act!U20=0,0,U43/TrRoad_act!U20*1000)</f>
        <v>460.01377908049881</v>
      </c>
      <c r="V104" s="152">
        <f>IF(TrRoad_act!V20=0,0,V43/TrRoad_act!V20*1000)</f>
        <v>449.70465279460927</v>
      </c>
      <c r="W104" s="152">
        <f>IF(TrRoad_act!W20=0,0,W43/TrRoad_act!W20*1000)</f>
        <v>459.12295565865179</v>
      </c>
      <c r="X104" s="152">
        <f>IF(TrRoad_act!X20=0,0,X43/TrRoad_act!X20*1000)</f>
        <v>466.30943923191825</v>
      </c>
      <c r="Y104" s="152">
        <f>IF(TrRoad_act!Y20=0,0,Y43/TrRoad_act!Y20*1000)</f>
        <v>475.03581908106446</v>
      </c>
      <c r="DA104" s="174" t="s">
        <v>426</v>
      </c>
    </row>
    <row r="105" spans="1:105" ht="11.45" customHeight="1" x14ac:dyDescent="0.25">
      <c r="A105" s="111" t="s">
        <v>110</v>
      </c>
      <c r="B105" s="87">
        <f>IF(TrRoad_act!B21=0,0,B44/TrRoad_act!B21*1000)</f>
        <v>958.21046817544266</v>
      </c>
      <c r="C105" s="87">
        <f>IF(TrRoad_act!C21=0,0,C44/TrRoad_act!C21*1000)</f>
        <v>926.28451432633392</v>
      </c>
      <c r="D105" s="87">
        <f>IF(TrRoad_act!D21=0,0,D44/TrRoad_act!D21*1000)</f>
        <v>933.27778226302166</v>
      </c>
      <c r="E105" s="87">
        <f>IF(TrRoad_act!E21=0,0,E44/TrRoad_act!E21*1000)</f>
        <v>912.66297380389551</v>
      </c>
      <c r="F105" s="87">
        <f>IF(TrRoad_act!F21=0,0,F44/TrRoad_act!F21*1000)</f>
        <v>898.94796011891867</v>
      </c>
      <c r="G105" s="87">
        <f>IF(TrRoad_act!G21=0,0,G44/TrRoad_act!G21*1000)</f>
        <v>868.48053136659234</v>
      </c>
      <c r="H105" s="87">
        <f>IF(TrRoad_act!H21=0,0,H44/TrRoad_act!H21*1000)</f>
        <v>846.26994643083231</v>
      </c>
      <c r="I105" s="87">
        <f>IF(TrRoad_act!I21=0,0,I44/TrRoad_act!I21*1000)</f>
        <v>813.47057021646401</v>
      </c>
      <c r="J105" s="87">
        <f>IF(TrRoad_act!J21=0,0,J44/TrRoad_act!J21*1000)</f>
        <v>796.69037760113167</v>
      </c>
      <c r="K105" s="87">
        <f>IF(TrRoad_act!K21=0,0,K44/TrRoad_act!K21*1000)</f>
        <v>782.93015721419363</v>
      </c>
      <c r="L105" s="87">
        <f>IF(TrRoad_act!L21=0,0,L44/TrRoad_act!L21*1000)</f>
        <v>764.0658207504755</v>
      </c>
      <c r="M105" s="87">
        <f>IF(TrRoad_act!M21=0,0,M44/TrRoad_act!M21*1000)</f>
        <v>734.67110223482018</v>
      </c>
      <c r="N105" s="87">
        <f>IF(TrRoad_act!N21=0,0,N44/TrRoad_act!N21*1000)</f>
        <v>717.65491881539037</v>
      </c>
      <c r="O105" s="87">
        <f>IF(TrRoad_act!O21=0,0,O44/TrRoad_act!O21*1000)</f>
        <v>703.04808561550703</v>
      </c>
      <c r="P105" s="87">
        <f>IF(TrRoad_act!P21=0,0,P44/TrRoad_act!P21*1000)</f>
        <v>705.26356063571711</v>
      </c>
      <c r="Q105" s="87">
        <f>IF(TrRoad_act!Q21=0,0,Q44/TrRoad_act!Q21*1000)</f>
        <v>683.49120463714382</v>
      </c>
      <c r="R105" s="87">
        <f>IF(TrRoad_act!R21=0,0,R44/TrRoad_act!R21*1000)</f>
        <v>668.26357756436755</v>
      </c>
      <c r="S105" s="87">
        <f>IF(TrRoad_act!S21=0,0,S44/TrRoad_act!S21*1000)</f>
        <v>652.94336926935432</v>
      </c>
      <c r="T105" s="87">
        <f>IF(TrRoad_act!T21=0,0,T44/TrRoad_act!T21*1000)</f>
        <v>640.16828659733392</v>
      </c>
      <c r="U105" s="87">
        <f>IF(TrRoad_act!U21=0,0,U44/TrRoad_act!U21*1000)</f>
        <v>614.79217133525174</v>
      </c>
      <c r="V105" s="87">
        <f>IF(TrRoad_act!V21=0,0,V44/TrRoad_act!V21*1000)</f>
        <v>587.25341087705863</v>
      </c>
      <c r="W105" s="87">
        <f>IF(TrRoad_act!W21=0,0,W44/TrRoad_act!W21*1000)</f>
        <v>596.88957620942347</v>
      </c>
      <c r="X105" s="87">
        <f>IF(TrRoad_act!X21=0,0,X44/TrRoad_act!X21*1000)</f>
        <v>613.52139946642342</v>
      </c>
      <c r="Y105" s="87">
        <f>IF(TrRoad_act!Y21=0,0,Y44/TrRoad_act!Y21*1000)</f>
        <v>629.63711153532836</v>
      </c>
      <c r="DA105" s="171" t="s">
        <v>709</v>
      </c>
    </row>
    <row r="106" spans="1:105" ht="11.45" customHeight="1" x14ac:dyDescent="0.25">
      <c r="A106" s="111" t="s">
        <v>111</v>
      </c>
      <c r="B106" s="87">
        <f>IF(TrRoad_act!B22=0,0,B46/TrRoad_act!B22*1000)</f>
        <v>735.31807827178773</v>
      </c>
      <c r="C106" s="87">
        <f>IF(TrRoad_act!C22=0,0,C46/TrRoad_act!C22*1000)</f>
        <v>685.64892756826043</v>
      </c>
      <c r="D106" s="87">
        <f>IF(TrRoad_act!D22=0,0,D46/TrRoad_act!D22*1000)</f>
        <v>682.78890306267112</v>
      </c>
      <c r="E106" s="87">
        <f>IF(TrRoad_act!E22=0,0,E46/TrRoad_act!E22*1000)</f>
        <v>688.73587931834447</v>
      </c>
      <c r="F106" s="87">
        <f>IF(TrRoad_act!F22=0,0,F46/TrRoad_act!F22*1000)</f>
        <v>671.02399563736503</v>
      </c>
      <c r="G106" s="87">
        <f>IF(TrRoad_act!G22=0,0,G46/TrRoad_act!G22*1000)</f>
        <v>644.42667038970023</v>
      </c>
      <c r="H106" s="87">
        <f>IF(TrRoad_act!H22=0,0,H46/TrRoad_act!H22*1000)</f>
        <v>625.26488581787589</v>
      </c>
      <c r="I106" s="87">
        <f>IF(TrRoad_act!I22=0,0,I46/TrRoad_act!I22*1000)</f>
        <v>600.73819037156727</v>
      </c>
      <c r="J106" s="87">
        <f>IF(TrRoad_act!J22=0,0,J46/TrRoad_act!J22*1000)</f>
        <v>585.13941038327062</v>
      </c>
      <c r="K106" s="87">
        <f>IF(TrRoad_act!K22=0,0,K46/TrRoad_act!K22*1000)</f>
        <v>571.21194284396529</v>
      </c>
      <c r="L106" s="87">
        <f>IF(TrRoad_act!L22=0,0,L46/TrRoad_act!L22*1000)</f>
        <v>556.45482120521751</v>
      </c>
      <c r="M106" s="87">
        <f>IF(TrRoad_act!M22=0,0,M46/TrRoad_act!M22*1000)</f>
        <v>534.8533505060301</v>
      </c>
      <c r="N106" s="87">
        <f>IF(TrRoad_act!N22=0,0,N46/TrRoad_act!N22*1000)</f>
        <v>518.21935843185486</v>
      </c>
      <c r="O106" s="87">
        <f>IF(TrRoad_act!O22=0,0,O46/TrRoad_act!O22*1000)</f>
        <v>511.93068117795258</v>
      </c>
      <c r="P106" s="87">
        <f>IF(TrRoad_act!P22=0,0,P46/TrRoad_act!P22*1000)</f>
        <v>495.40468011524649</v>
      </c>
      <c r="Q106" s="87">
        <f>IF(TrRoad_act!Q22=0,0,Q46/TrRoad_act!Q22*1000)</f>
        <v>488.84543300599222</v>
      </c>
      <c r="R106" s="87">
        <f>IF(TrRoad_act!R22=0,0,R46/TrRoad_act!R22*1000)</f>
        <v>488.17509471124487</v>
      </c>
      <c r="S106" s="87">
        <f>IF(TrRoad_act!S22=0,0,S46/TrRoad_act!S22*1000)</f>
        <v>480.83466718831778</v>
      </c>
      <c r="T106" s="87">
        <f>IF(TrRoad_act!T22=0,0,T46/TrRoad_act!T22*1000)</f>
        <v>473.22458742097911</v>
      </c>
      <c r="U106" s="87">
        <f>IF(TrRoad_act!U22=0,0,U46/TrRoad_act!U22*1000)</f>
        <v>459.18805370054736</v>
      </c>
      <c r="V106" s="87">
        <f>IF(TrRoad_act!V22=0,0,V46/TrRoad_act!V22*1000)</f>
        <v>449.2960623495278</v>
      </c>
      <c r="W106" s="87">
        <f>IF(TrRoad_act!W22=0,0,W46/TrRoad_act!W22*1000)</f>
        <v>458.7906970948261</v>
      </c>
      <c r="X106" s="87">
        <f>IF(TrRoad_act!X22=0,0,X46/TrRoad_act!X22*1000)</f>
        <v>466.0540772106981</v>
      </c>
      <c r="Y106" s="87">
        <f>IF(TrRoad_act!Y22=0,0,Y46/TrRoad_act!Y22*1000)</f>
        <v>475.15306236523105</v>
      </c>
      <c r="DA106" s="171" t="s">
        <v>710</v>
      </c>
    </row>
    <row r="107" spans="1:105" ht="11.45" customHeight="1" x14ac:dyDescent="0.25">
      <c r="A107" s="111" t="s">
        <v>112</v>
      </c>
      <c r="B107" s="87">
        <f>IF(TrRoad_act!B23=0,0,B48/TrRoad_act!B23*1000)</f>
        <v>1506.2554619595924</v>
      </c>
      <c r="C107" s="87">
        <f>IF(TrRoad_act!C23=0,0,C48/TrRoad_act!C23*1000)</f>
        <v>1459.3296796339955</v>
      </c>
      <c r="D107" s="87">
        <f>IF(TrRoad_act!D23=0,0,D48/TrRoad_act!D23*1000)</f>
        <v>1451.9759123555075</v>
      </c>
      <c r="E107" s="87">
        <f>IF(TrRoad_act!E23=0,0,E48/TrRoad_act!E23*1000)</f>
        <v>1415.4114783468435</v>
      </c>
      <c r="F107" s="87">
        <f>IF(TrRoad_act!F23=0,0,F48/TrRoad_act!F23*1000)</f>
        <v>1393.4546747246197</v>
      </c>
      <c r="G107" s="87">
        <f>IF(TrRoad_act!G23=0,0,G48/TrRoad_act!G23*1000)</f>
        <v>1335.1691296528456</v>
      </c>
      <c r="H107" s="87">
        <f>IF(TrRoad_act!H23=0,0,H48/TrRoad_act!H23*1000)</f>
        <v>1287.4964701977683</v>
      </c>
      <c r="I107" s="87">
        <f>IF(TrRoad_act!I23=0,0,I48/TrRoad_act!I23*1000)</f>
        <v>1226.515063130134</v>
      </c>
      <c r="J107" s="87">
        <f>IF(TrRoad_act!J23=0,0,J48/TrRoad_act!J23*1000)</f>
        <v>1187.0039869405909</v>
      </c>
      <c r="K107" s="87">
        <f>IF(TrRoad_act!K23=0,0,K48/TrRoad_act!K23*1000)</f>
        <v>1150.8642725231491</v>
      </c>
      <c r="L107" s="87">
        <f>IF(TrRoad_act!L23=0,0,L48/TrRoad_act!L23*1000)</f>
        <v>1121.8346461352191</v>
      </c>
      <c r="M107" s="87">
        <f>IF(TrRoad_act!M23=0,0,M48/TrRoad_act!M23*1000)</f>
        <v>1074.3397711223697</v>
      </c>
      <c r="N107" s="87">
        <f>IF(TrRoad_act!N23=0,0,N48/TrRoad_act!N23*1000)</f>
        <v>1022.9081107996963</v>
      </c>
      <c r="O107" s="87">
        <f>IF(TrRoad_act!O23=0,0,O48/TrRoad_act!O23*1000)</f>
        <v>1013.0562539381129</v>
      </c>
      <c r="P107" s="87">
        <f>IF(TrRoad_act!P23=0,0,P48/TrRoad_act!P23*1000)</f>
        <v>971.4098661350024</v>
      </c>
      <c r="Q107" s="87">
        <f>IF(TrRoad_act!Q23=0,0,Q48/TrRoad_act!Q23*1000)</f>
        <v>960.90681353780656</v>
      </c>
      <c r="R107" s="87">
        <f>IF(TrRoad_act!R23=0,0,R48/TrRoad_act!R23*1000)</f>
        <v>938.16125475683941</v>
      </c>
      <c r="S107" s="87">
        <f>IF(TrRoad_act!S23=0,0,S48/TrRoad_act!S23*1000)</f>
        <v>912.81199583368948</v>
      </c>
      <c r="T107" s="87">
        <f>IF(TrRoad_act!T23=0,0,T48/TrRoad_act!T23*1000)</f>
        <v>872.10936920985444</v>
      </c>
      <c r="U107" s="87">
        <f>IF(TrRoad_act!U23=0,0,U48/TrRoad_act!U23*1000)</f>
        <v>797.21985012392861</v>
      </c>
      <c r="V107" s="87">
        <f>IF(TrRoad_act!V23=0,0,V48/TrRoad_act!V23*1000)</f>
        <v>770.11542977097918</v>
      </c>
      <c r="W107" s="87">
        <f>IF(TrRoad_act!W23=0,0,W48/TrRoad_act!W23*1000)</f>
        <v>775.3104639185583</v>
      </c>
      <c r="X107" s="87">
        <f>IF(TrRoad_act!X23=0,0,X48/TrRoad_act!X23*1000)</f>
        <v>788.51010558073324</v>
      </c>
      <c r="Y107" s="87">
        <f>IF(TrRoad_act!Y23=0,0,Y48/TrRoad_act!Y23*1000)</f>
        <v>790.56144607605916</v>
      </c>
      <c r="DA107" s="171" t="s">
        <v>711</v>
      </c>
    </row>
    <row r="108" spans="1:105" ht="11.45" customHeight="1" x14ac:dyDescent="0.25">
      <c r="A108" s="111" t="s">
        <v>113</v>
      </c>
      <c r="B108" s="87">
        <f>IF(TrRoad_act!B24=0,0,B49/TrRoad_act!B24*1000)</f>
        <v>0</v>
      </c>
      <c r="C108" s="87">
        <f>IF(TrRoad_act!C24=0,0,C49/TrRoad_act!C24*1000)</f>
        <v>0</v>
      </c>
      <c r="D108" s="87">
        <f>IF(TrRoad_act!D24=0,0,D49/TrRoad_act!D24*1000)</f>
        <v>0</v>
      </c>
      <c r="E108" s="87">
        <f>IF(TrRoad_act!E24=0,0,E49/TrRoad_act!E24*1000)</f>
        <v>0</v>
      </c>
      <c r="F108" s="87">
        <f>IF(TrRoad_act!F24=0,0,F49/TrRoad_act!F24*1000)</f>
        <v>0</v>
      </c>
      <c r="G108" s="87">
        <f>IF(TrRoad_act!G24=0,0,G49/TrRoad_act!G24*1000)</f>
        <v>0</v>
      </c>
      <c r="H108" s="87">
        <f>IF(TrRoad_act!H24=0,0,H49/TrRoad_act!H24*1000)</f>
        <v>0</v>
      </c>
      <c r="I108" s="87">
        <f>IF(TrRoad_act!I24=0,0,I49/TrRoad_act!I24*1000)</f>
        <v>0</v>
      </c>
      <c r="J108" s="87">
        <f>IF(TrRoad_act!J24=0,0,J49/TrRoad_act!J24*1000)</f>
        <v>0</v>
      </c>
      <c r="K108" s="87">
        <f>IF(TrRoad_act!K24=0,0,K49/TrRoad_act!K24*1000)</f>
        <v>0</v>
      </c>
      <c r="L108" s="87">
        <f>IF(TrRoad_act!L24=0,0,L49/TrRoad_act!L24*1000)</f>
        <v>0</v>
      </c>
      <c r="M108" s="87">
        <f>IF(TrRoad_act!M24=0,0,M49/TrRoad_act!M24*1000)</f>
        <v>0</v>
      </c>
      <c r="N108" s="87">
        <f>IF(TrRoad_act!N24=0,0,N49/TrRoad_act!N24*1000)</f>
        <v>0</v>
      </c>
      <c r="O108" s="87">
        <f>IF(TrRoad_act!O24=0,0,O49/TrRoad_act!O24*1000)</f>
        <v>665.36115020406692</v>
      </c>
      <c r="P108" s="87">
        <f>IF(TrRoad_act!P24=0,0,P49/TrRoad_act!P24*1000)</f>
        <v>661.64097387362528</v>
      </c>
      <c r="Q108" s="87">
        <f>IF(TrRoad_act!Q24=0,0,Q49/TrRoad_act!Q24*1000)</f>
        <v>730.99258817295731</v>
      </c>
      <c r="R108" s="87">
        <f>IF(TrRoad_act!R24=0,0,R49/TrRoad_act!R24*1000)</f>
        <v>688.4247545925266</v>
      </c>
      <c r="S108" s="87">
        <f>IF(TrRoad_act!S24=0,0,S49/TrRoad_act!S24*1000)</f>
        <v>680.45848104243169</v>
      </c>
      <c r="T108" s="87">
        <f>IF(TrRoad_act!T24=0,0,T49/TrRoad_act!T24*1000)</f>
        <v>693.02670845635157</v>
      </c>
      <c r="U108" s="87">
        <f>IF(TrRoad_act!U24=0,0,U49/TrRoad_act!U24*1000)</f>
        <v>759.46843333364507</v>
      </c>
      <c r="V108" s="87">
        <f>IF(TrRoad_act!V24=0,0,V49/TrRoad_act!V24*1000)</f>
        <v>743.64308261158931</v>
      </c>
      <c r="W108" s="87">
        <f>IF(TrRoad_act!W24=0,0,W49/TrRoad_act!W24*1000)</f>
        <v>762.10599820704203</v>
      </c>
      <c r="X108" s="87">
        <f>IF(TrRoad_act!X24=0,0,X49/TrRoad_act!X24*1000)</f>
        <v>768.1253419115161</v>
      </c>
      <c r="Y108" s="87">
        <f>IF(TrRoad_act!Y24=0,0,Y49/TrRoad_act!Y24*1000)</f>
        <v>767.49227997997752</v>
      </c>
      <c r="DA108" s="171" t="s">
        <v>712</v>
      </c>
    </row>
    <row r="109" spans="1:105" ht="11.45" customHeight="1" x14ac:dyDescent="0.25">
      <c r="A109" s="111" t="s">
        <v>115</v>
      </c>
      <c r="B109" s="87">
        <f>IF(TrRoad_act!B25=0,0,B51/TrRoad_act!B25*1000)</f>
        <v>0</v>
      </c>
      <c r="C109" s="87">
        <f>IF(TrRoad_act!C25=0,0,C51/TrRoad_act!C25*1000)</f>
        <v>0</v>
      </c>
      <c r="D109" s="87">
        <f>IF(TrRoad_act!D25=0,0,D51/TrRoad_act!D25*1000)</f>
        <v>0</v>
      </c>
      <c r="E109" s="87">
        <f>IF(TrRoad_act!E25=0,0,E51/TrRoad_act!E25*1000)</f>
        <v>0</v>
      </c>
      <c r="F109" s="87">
        <f>IF(TrRoad_act!F25=0,0,F51/TrRoad_act!F25*1000)</f>
        <v>0</v>
      </c>
      <c r="G109" s="87">
        <f>IF(TrRoad_act!G25=0,0,G51/TrRoad_act!G25*1000)</f>
        <v>0</v>
      </c>
      <c r="H109" s="87">
        <f>IF(TrRoad_act!H25=0,0,H51/TrRoad_act!H25*1000)</f>
        <v>0</v>
      </c>
      <c r="I109" s="87">
        <f>IF(TrRoad_act!I25=0,0,I51/TrRoad_act!I25*1000)</f>
        <v>0</v>
      </c>
      <c r="J109" s="87">
        <f>IF(TrRoad_act!J25=0,0,J51/TrRoad_act!J25*1000)</f>
        <v>0</v>
      </c>
      <c r="K109" s="87">
        <f>IF(TrRoad_act!K25=0,0,K51/TrRoad_act!K25*1000)</f>
        <v>0</v>
      </c>
      <c r="L109" s="87">
        <f>IF(TrRoad_act!L25=0,0,L51/TrRoad_act!L25*1000)</f>
        <v>0</v>
      </c>
      <c r="M109" s="87">
        <f>IF(TrRoad_act!M25=0,0,M51/TrRoad_act!M25*1000)</f>
        <v>98.701762104374836</v>
      </c>
      <c r="N109" s="87">
        <f>IF(TrRoad_act!N25=0,0,N51/TrRoad_act!N25*1000)</f>
        <v>98.475137108487473</v>
      </c>
      <c r="O109" s="87">
        <f>IF(TrRoad_act!O25=0,0,O51/TrRoad_act!O25*1000)</f>
        <v>102.09394613044924</v>
      </c>
      <c r="P109" s="87">
        <f>IF(TrRoad_act!P25=0,0,P51/TrRoad_act!P25*1000)</f>
        <v>103.38591020052138</v>
      </c>
      <c r="Q109" s="87">
        <f>IF(TrRoad_act!Q25=0,0,Q51/TrRoad_act!Q25*1000)</f>
        <v>105.50867164747667</v>
      </c>
      <c r="R109" s="87">
        <f>IF(TrRoad_act!R25=0,0,R51/TrRoad_act!R25*1000)</f>
        <v>107.28143479366557</v>
      </c>
      <c r="S109" s="87">
        <f>IF(TrRoad_act!S25=0,0,S51/TrRoad_act!S25*1000)</f>
        <v>109.60644356638129</v>
      </c>
      <c r="T109" s="87">
        <f>IF(TrRoad_act!T25=0,0,T51/TrRoad_act!T25*1000)</f>
        <v>114.75286994514143</v>
      </c>
      <c r="U109" s="87">
        <f>IF(TrRoad_act!U25=0,0,U51/TrRoad_act!U25*1000)</f>
        <v>119.73854669263226</v>
      </c>
      <c r="V109" s="87">
        <f>IF(TrRoad_act!V25=0,0,V51/TrRoad_act!V25*1000)</f>
        <v>124.34866831882192</v>
      </c>
      <c r="W109" s="87">
        <f>IF(TrRoad_act!W25=0,0,W51/TrRoad_act!W25*1000)</f>
        <v>132.19085242830351</v>
      </c>
      <c r="X109" s="87">
        <f>IF(TrRoad_act!X25=0,0,X51/TrRoad_act!X25*1000)</f>
        <v>142.58032126600901</v>
      </c>
      <c r="Y109" s="87">
        <f>IF(TrRoad_act!Y25=0,0,Y51/TrRoad_act!Y25*1000)</f>
        <v>144.2671915885571</v>
      </c>
      <c r="DA109" s="171" t="s">
        <v>713</v>
      </c>
    </row>
    <row r="110" spans="1:105" ht="11.45" customHeight="1" x14ac:dyDescent="0.25">
      <c r="A110" s="109" t="s">
        <v>154</v>
      </c>
      <c r="B110" s="116">
        <f>IF(TrRoad_act!B26=0,0,B52/TrRoad_act!B26*1000)</f>
        <v>31.956015542345298</v>
      </c>
      <c r="C110" s="116">
        <f>IF(TrRoad_act!C26=0,0,C52/TrRoad_act!C26*1000)</f>
        <v>33.89887841160612</v>
      </c>
      <c r="D110" s="116">
        <f>IF(TrRoad_act!D26=0,0,D52/TrRoad_act!D26*1000)</f>
        <v>34.532039619797622</v>
      </c>
      <c r="E110" s="116">
        <f>IF(TrRoad_act!E26=0,0,E52/TrRoad_act!E26*1000)</f>
        <v>41.810417300989712</v>
      </c>
      <c r="F110" s="116">
        <f>IF(TrRoad_act!F26=0,0,F52/TrRoad_act!F26*1000)</f>
        <v>41.874822228918255</v>
      </c>
      <c r="G110" s="116">
        <f>IF(TrRoad_act!G26=0,0,G52/TrRoad_act!G26*1000)</f>
        <v>42.696095177177718</v>
      </c>
      <c r="H110" s="116">
        <f>IF(TrRoad_act!H26=0,0,H52/TrRoad_act!H26*1000)</f>
        <v>42.391529553403046</v>
      </c>
      <c r="I110" s="116">
        <f>IF(TrRoad_act!I26=0,0,I52/TrRoad_act!I26*1000)</f>
        <v>41.601081173961113</v>
      </c>
      <c r="J110" s="116">
        <f>IF(TrRoad_act!J26=0,0,J52/TrRoad_act!J26*1000)</f>
        <v>44.485646613429751</v>
      </c>
      <c r="K110" s="116">
        <f>IF(TrRoad_act!K26=0,0,K52/TrRoad_act!K26*1000)</f>
        <v>45.78827210380156</v>
      </c>
      <c r="L110" s="116">
        <f>IF(TrRoad_act!L26=0,0,L52/TrRoad_act!L26*1000)</f>
        <v>51.708035725133549</v>
      </c>
      <c r="M110" s="116">
        <f>IF(TrRoad_act!M26=0,0,M52/TrRoad_act!M26*1000)</f>
        <v>49.074548056413995</v>
      </c>
      <c r="N110" s="116">
        <f>IF(TrRoad_act!N26=0,0,N52/TrRoad_act!N26*1000)</f>
        <v>50.509899497825494</v>
      </c>
      <c r="O110" s="116">
        <f>IF(TrRoad_act!O26=0,0,O52/TrRoad_act!O26*1000)</f>
        <v>50.124368896925674</v>
      </c>
      <c r="P110" s="116">
        <f>IF(TrRoad_act!P26=0,0,P52/TrRoad_act!P26*1000)</f>
        <v>44.045672181386848</v>
      </c>
      <c r="Q110" s="116">
        <f>IF(TrRoad_act!Q26=0,0,Q52/TrRoad_act!Q26*1000)</f>
        <v>47.15227084199045</v>
      </c>
      <c r="R110" s="116">
        <f>IF(TrRoad_act!R26=0,0,R52/TrRoad_act!R26*1000)</f>
        <v>46.247202725549108</v>
      </c>
      <c r="S110" s="116">
        <f>IF(TrRoad_act!S26=0,0,S52/TrRoad_act!S26*1000)</f>
        <v>44.276499038585911</v>
      </c>
      <c r="T110" s="116">
        <f>IF(TrRoad_act!T26=0,0,T52/TrRoad_act!T26*1000)</f>
        <v>43.837477747256379</v>
      </c>
      <c r="U110" s="116">
        <f>IF(TrRoad_act!U26=0,0,U52/TrRoad_act!U26*1000)</f>
        <v>45.053200339856559</v>
      </c>
      <c r="V110" s="116">
        <f>IF(TrRoad_act!V26=0,0,V52/TrRoad_act!V26*1000)</f>
        <v>46.116974851221862</v>
      </c>
      <c r="W110" s="116">
        <f>IF(TrRoad_act!W26=0,0,W52/TrRoad_act!W26*1000)</f>
        <v>44.08882909977585</v>
      </c>
      <c r="X110" s="116">
        <f>IF(TrRoad_act!X26=0,0,X52/TrRoad_act!X26*1000)</f>
        <v>44.409608770537325</v>
      </c>
      <c r="Y110" s="116">
        <f>IF(TrRoad_act!Y26=0,0,Y52/TrRoad_act!Y26*1000)</f>
        <v>49.829916597261956</v>
      </c>
      <c r="DA110" s="176" t="s">
        <v>427</v>
      </c>
    </row>
    <row r="111" spans="1:105" ht="11.45" customHeight="1" x14ac:dyDescent="0.25">
      <c r="A111" s="128" t="s">
        <v>27</v>
      </c>
      <c r="B111" s="101">
        <f>IF(TrRoad_act!B27=0,0,B53/TrRoad_act!B27*1000)</f>
        <v>33.508067814534826</v>
      </c>
      <c r="C111" s="101">
        <f>IF(TrRoad_act!C27=0,0,C53/TrRoad_act!C27*1000)</f>
        <v>35.548186730987609</v>
      </c>
      <c r="D111" s="101">
        <f>IF(TrRoad_act!D27=0,0,D53/TrRoad_act!D27*1000)</f>
        <v>36.569133284499394</v>
      </c>
      <c r="E111" s="101">
        <f>IF(TrRoad_act!E27=0,0,E53/TrRoad_act!E27*1000)</f>
        <v>44.653949556903186</v>
      </c>
      <c r="F111" s="101">
        <f>IF(TrRoad_act!F27=0,0,F53/TrRoad_act!F27*1000)</f>
        <v>44.631514707384653</v>
      </c>
      <c r="G111" s="101">
        <f>IF(TrRoad_act!G27=0,0,G53/TrRoad_act!G27*1000)</f>
        <v>46.014956592454233</v>
      </c>
      <c r="H111" s="101">
        <f>IF(TrRoad_act!H27=0,0,H53/TrRoad_act!H27*1000)</f>
        <v>45.868232037241533</v>
      </c>
      <c r="I111" s="101">
        <f>IF(TrRoad_act!I27=0,0,I53/TrRoad_act!I27*1000)</f>
        <v>45.01848569294576</v>
      </c>
      <c r="J111" s="101">
        <f>IF(TrRoad_act!J27=0,0,J53/TrRoad_act!J27*1000)</f>
        <v>48.152398662575294</v>
      </c>
      <c r="K111" s="101">
        <f>IF(TrRoad_act!K27=0,0,K53/TrRoad_act!K27*1000)</f>
        <v>50.299883414458954</v>
      </c>
      <c r="L111" s="101">
        <f>IF(TrRoad_act!L27=0,0,L53/TrRoad_act!L27*1000)</f>
        <v>59.559126588666196</v>
      </c>
      <c r="M111" s="101">
        <f>IF(TrRoad_act!M27=0,0,M53/TrRoad_act!M27*1000)</f>
        <v>56.540774256974586</v>
      </c>
      <c r="N111" s="101">
        <f>IF(TrRoad_act!N27=0,0,N53/TrRoad_act!N27*1000)</f>
        <v>56.269472540926188</v>
      </c>
      <c r="O111" s="101">
        <f>IF(TrRoad_act!O27=0,0,O53/TrRoad_act!O27*1000)</f>
        <v>57.47846978284268</v>
      </c>
      <c r="P111" s="101">
        <f>IF(TrRoad_act!P27=0,0,P53/TrRoad_act!P27*1000)</f>
        <v>48.350788230066414</v>
      </c>
      <c r="Q111" s="101">
        <f>IF(TrRoad_act!Q27=0,0,Q53/TrRoad_act!Q27*1000)</f>
        <v>53.291283347194835</v>
      </c>
      <c r="R111" s="101">
        <f>IF(TrRoad_act!R27=0,0,R53/TrRoad_act!R27*1000)</f>
        <v>52.460256923314816</v>
      </c>
      <c r="S111" s="101">
        <f>IF(TrRoad_act!S27=0,0,S53/TrRoad_act!S27*1000)</f>
        <v>49.415486319018335</v>
      </c>
      <c r="T111" s="101">
        <f>IF(TrRoad_act!T27=0,0,T53/TrRoad_act!T27*1000)</f>
        <v>49.373734479920401</v>
      </c>
      <c r="U111" s="101">
        <f>IF(TrRoad_act!U27=0,0,U53/TrRoad_act!U27*1000)</f>
        <v>50.461079897058774</v>
      </c>
      <c r="V111" s="101">
        <f>IF(TrRoad_act!V27=0,0,V53/TrRoad_act!V27*1000)</f>
        <v>51.556246144495624</v>
      </c>
      <c r="W111" s="101">
        <f>IF(TrRoad_act!W27=0,0,W53/TrRoad_act!W27*1000)</f>
        <v>49.989562531546234</v>
      </c>
      <c r="X111" s="101">
        <f>IF(TrRoad_act!X27=0,0,X53/TrRoad_act!X27*1000)</f>
        <v>50.423855378187348</v>
      </c>
      <c r="Y111" s="101">
        <f>IF(TrRoad_act!Y27=0,0,Y53/TrRoad_act!Y27*1000)</f>
        <v>58.490999860844582</v>
      </c>
      <c r="DA111" s="175" t="s">
        <v>714</v>
      </c>
    </row>
    <row r="112" spans="1:105" ht="11.45" customHeight="1" x14ac:dyDescent="0.25">
      <c r="A112" s="138" t="s">
        <v>116</v>
      </c>
      <c r="B112" s="88">
        <f>IF(TrRoad_act!B28=0,0,B55/TrRoad_act!B28*1000)</f>
        <v>27.191054014538285</v>
      </c>
      <c r="C112" s="88">
        <f>IF(TrRoad_act!C28=0,0,C55/TrRoad_act!C28*1000)</f>
        <v>28.463684266962893</v>
      </c>
      <c r="D112" s="88">
        <f>IF(TrRoad_act!D28=0,0,D55/TrRoad_act!D28*1000)</f>
        <v>28.748621634974771</v>
      </c>
      <c r="E112" s="88">
        <f>IF(TrRoad_act!E28=0,0,E55/TrRoad_act!E28*1000)</f>
        <v>34.247097225240331</v>
      </c>
      <c r="F112" s="88">
        <f>IF(TrRoad_act!F28=0,0,F55/TrRoad_act!F28*1000)</f>
        <v>34.118134370365681</v>
      </c>
      <c r="G112" s="88">
        <f>IF(TrRoad_act!G28=0,0,G55/TrRoad_act!G28*1000)</f>
        <v>33.672314500564156</v>
      </c>
      <c r="H112" s="88">
        <f>IF(TrRoad_act!H28=0,0,H55/TrRoad_act!H28*1000)</f>
        <v>33.546865053067656</v>
      </c>
      <c r="I112" s="88">
        <f>IF(TrRoad_act!I28=0,0,I55/TrRoad_act!I28*1000)</f>
        <v>33.318370402975255</v>
      </c>
      <c r="J112" s="88">
        <f>IF(TrRoad_act!J28=0,0,J55/TrRoad_act!J28*1000)</f>
        <v>34.922294553794103</v>
      </c>
      <c r="K112" s="88">
        <f>IF(TrRoad_act!K28=0,0,K55/TrRoad_act!K28*1000)</f>
        <v>35.772707450703251</v>
      </c>
      <c r="L112" s="88">
        <f>IF(TrRoad_act!L28=0,0,L55/TrRoad_act!L28*1000)</f>
        <v>35.04302036555913</v>
      </c>
      <c r="M112" s="88">
        <f>IF(TrRoad_act!M28=0,0,M55/TrRoad_act!M28*1000)</f>
        <v>34.252017118383478</v>
      </c>
      <c r="N112" s="88">
        <f>IF(TrRoad_act!N28=0,0,N55/TrRoad_act!N28*1000)</f>
        <v>38.313329796889782</v>
      </c>
      <c r="O112" s="88">
        <f>IF(TrRoad_act!O28=0,0,O55/TrRoad_act!O28*1000)</f>
        <v>38.119078380247579</v>
      </c>
      <c r="P112" s="88">
        <f>IF(TrRoad_act!P28=0,0,P55/TrRoad_act!P28*1000)</f>
        <v>36.753529535239849</v>
      </c>
      <c r="Q112" s="88">
        <f>IF(TrRoad_act!Q28=0,0,Q55/TrRoad_act!Q28*1000)</f>
        <v>35.177907203127752</v>
      </c>
      <c r="R112" s="88">
        <f>IF(TrRoad_act!R28=0,0,R55/TrRoad_act!R28*1000)</f>
        <v>35.496459285644526</v>
      </c>
      <c r="S112" s="88">
        <f>IF(TrRoad_act!S28=0,0,S55/TrRoad_act!S28*1000)</f>
        <v>34.807351806393712</v>
      </c>
      <c r="T112" s="88">
        <f>IF(TrRoad_act!T28=0,0,T55/TrRoad_act!T28*1000)</f>
        <v>34.324295078367314</v>
      </c>
      <c r="U112" s="88">
        <f>IF(TrRoad_act!U28=0,0,U55/TrRoad_act!U28*1000)</f>
        <v>35.969114224491733</v>
      </c>
      <c r="V112" s="88">
        <f>IF(TrRoad_act!V28=0,0,V55/TrRoad_act!V28*1000)</f>
        <v>37.005908167923678</v>
      </c>
      <c r="W112" s="88">
        <f>IF(TrRoad_act!W28=0,0,W55/TrRoad_act!W28*1000)</f>
        <v>35.193198690191373</v>
      </c>
      <c r="X112" s="88">
        <f>IF(TrRoad_act!X28=0,0,X55/TrRoad_act!X28*1000)</f>
        <v>36.170727827682406</v>
      </c>
      <c r="Y112" s="88">
        <f>IF(TrRoad_act!Y28=0,0,Y55/TrRoad_act!Y28*1000)</f>
        <v>39.052901371010442</v>
      </c>
      <c r="DA112" s="178" t="s">
        <v>715</v>
      </c>
    </row>
    <row r="113" spans="1:105" x14ac:dyDescent="0.25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DA113" s="171"/>
    </row>
    <row r="114" spans="1:105" ht="11.45" customHeight="1" x14ac:dyDescent="0.25">
      <c r="A114" s="53" t="s">
        <v>96</v>
      </c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DA114" s="172"/>
    </row>
    <row r="115" spans="1:105" ht="11.45" customHeight="1" x14ac:dyDescent="0.25">
      <c r="A115" s="27" t="s">
        <v>33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DA115" s="173"/>
    </row>
    <row r="116" spans="1:105" ht="11.45" customHeight="1" x14ac:dyDescent="0.25">
      <c r="A116" s="136" t="s">
        <v>173</v>
      </c>
      <c r="B116" s="152">
        <f>IF(B19=0,0,1000000*B19/TrRoad_act!B59)</f>
        <v>103.44543646278929</v>
      </c>
      <c r="C116" s="152">
        <f>IF(C19=0,0,1000000*C19/TrRoad_act!C59)</f>
        <v>102.4233599146463</v>
      </c>
      <c r="D116" s="152">
        <f>IF(D19=0,0,1000000*D19/TrRoad_act!D59)</f>
        <v>107.07504994899935</v>
      </c>
      <c r="E116" s="152">
        <f>IF(E19=0,0,1000000*E19/TrRoad_act!E59)</f>
        <v>110.5889709851235</v>
      </c>
      <c r="F116" s="152">
        <f>IF(F19=0,0,1000000*F19/TrRoad_act!F59)</f>
        <v>115.81978756302075</v>
      </c>
      <c r="G116" s="152">
        <f>IF(G19=0,0,1000000*G19/TrRoad_act!G59)</f>
        <v>119.12579365422647</v>
      </c>
      <c r="H116" s="152">
        <f>IF(H19=0,0,1000000*H19/TrRoad_act!H59)</f>
        <v>130.78344708816772</v>
      </c>
      <c r="I116" s="152">
        <f>IF(I19=0,0,1000000*I19/TrRoad_act!I59)</f>
        <v>127.63331704398506</v>
      </c>
      <c r="J116" s="152">
        <f>IF(J19=0,0,1000000*J19/TrRoad_act!J59)</f>
        <v>128.75244743733779</v>
      </c>
      <c r="K116" s="152">
        <f>IF(K19=0,0,1000000*K19/TrRoad_act!K59)</f>
        <v>119.73056840590736</v>
      </c>
      <c r="L116" s="152">
        <f>IF(L19=0,0,1000000*L19/TrRoad_act!L59)</f>
        <v>121.49325059316578</v>
      </c>
      <c r="M116" s="152">
        <f>IF(M19=0,0,1000000*M19/TrRoad_act!M59)</f>
        <v>117.01698866681625</v>
      </c>
      <c r="N116" s="152">
        <f>IF(N19=0,0,1000000*N19/TrRoad_act!N59)</f>
        <v>115.52620663790371</v>
      </c>
      <c r="O116" s="152">
        <f>IF(O19=0,0,1000000*O19/TrRoad_act!O59)</f>
        <v>111.03369493851388</v>
      </c>
      <c r="P116" s="152">
        <f>IF(P19=0,0,1000000*P19/TrRoad_act!P59)</f>
        <v>107.59488376648383</v>
      </c>
      <c r="Q116" s="152">
        <f>IF(Q19=0,0,1000000*Q19/TrRoad_act!Q59)</f>
        <v>98.838352362257496</v>
      </c>
      <c r="R116" s="152">
        <f>IF(R19=0,0,1000000*R19/TrRoad_act!R59)</f>
        <v>99.286777372101326</v>
      </c>
      <c r="S116" s="152">
        <f>IF(S19=0,0,1000000*S19/TrRoad_act!S59)</f>
        <v>91.692348669136294</v>
      </c>
      <c r="T116" s="152">
        <f>IF(T19=0,0,1000000*T19/TrRoad_act!T59)</f>
        <v>83.694716995656137</v>
      </c>
      <c r="U116" s="152">
        <f>IF(U19=0,0,1000000*U19/TrRoad_act!U59)</f>
        <v>82.853172157077495</v>
      </c>
      <c r="V116" s="152">
        <f>IF(V19=0,0,1000000*V19/TrRoad_act!V59)</f>
        <v>78.997879267919345</v>
      </c>
      <c r="W116" s="152">
        <f>IF(W19=0,0,1000000*W19/TrRoad_act!W59)</f>
        <v>82.008039901467285</v>
      </c>
      <c r="X116" s="152">
        <f>IF(X19=0,0,1000000*X19/TrRoad_act!X59)</f>
        <v>78.75034745100055</v>
      </c>
      <c r="Y116" s="152">
        <f>IF(Y19=0,0,1000000*Y19/TrRoad_act!Y59)</f>
        <v>78.898850285283274</v>
      </c>
      <c r="DA116" s="174" t="s">
        <v>716</v>
      </c>
    </row>
    <row r="117" spans="1:105" ht="11.45" customHeight="1" x14ac:dyDescent="0.25">
      <c r="A117" s="109" t="s">
        <v>20</v>
      </c>
      <c r="B117" s="116">
        <f>IF(B21=0,0,1000000*B21/TrRoad_act!B60)</f>
        <v>859.18645927018747</v>
      </c>
      <c r="C117" s="116">
        <f>IF(C21=0,0,1000000*C21/TrRoad_act!C60)</f>
        <v>828.56901435536747</v>
      </c>
      <c r="D117" s="116">
        <f>IF(D21=0,0,1000000*D21/TrRoad_act!D60)</f>
        <v>816.57225805387714</v>
      </c>
      <c r="E117" s="116">
        <f>IF(E21=0,0,1000000*E21/TrRoad_act!E60)</f>
        <v>866.06030199536599</v>
      </c>
      <c r="F117" s="116">
        <f>IF(F21=0,0,1000000*F21/TrRoad_act!F60)</f>
        <v>866.43380318610707</v>
      </c>
      <c r="G117" s="116">
        <f>IF(G21=0,0,1000000*G21/TrRoad_act!G60)</f>
        <v>826.15125723976234</v>
      </c>
      <c r="H117" s="116">
        <f>IF(H21=0,0,1000000*H21/TrRoad_act!H60)</f>
        <v>812.27048487352454</v>
      </c>
      <c r="I117" s="116">
        <f>IF(I21=0,0,1000000*I21/TrRoad_act!I60)</f>
        <v>796.56103834627879</v>
      </c>
      <c r="J117" s="116">
        <f>IF(J21=0,0,1000000*J21/TrRoad_act!J60)</f>
        <v>802.96427744106234</v>
      </c>
      <c r="K117" s="116">
        <f>IF(K21=0,0,1000000*K21/TrRoad_act!K60)</f>
        <v>804.10390902071094</v>
      </c>
      <c r="L117" s="116">
        <f>IF(L21=0,0,1000000*L21/TrRoad_act!L60)</f>
        <v>771.34822849602767</v>
      </c>
      <c r="M117" s="116">
        <f>IF(M21=0,0,1000000*M21/TrRoad_act!M60)</f>
        <v>720.76349391478209</v>
      </c>
      <c r="N117" s="116">
        <f>IF(N21=0,0,1000000*N21/TrRoad_act!N60)</f>
        <v>762.31839717453056</v>
      </c>
      <c r="O117" s="116">
        <f>IF(O21=0,0,1000000*O21/TrRoad_act!O60)</f>
        <v>751.12892016292176</v>
      </c>
      <c r="P117" s="116">
        <f>IF(P21=0,0,1000000*P21/TrRoad_act!P60)</f>
        <v>700.41916168799321</v>
      </c>
      <c r="Q117" s="116">
        <f>IF(Q21=0,0,1000000*Q21/TrRoad_act!Q60)</f>
        <v>706.87374760852481</v>
      </c>
      <c r="R117" s="116">
        <f>IF(R21=0,0,1000000*R21/TrRoad_act!R60)</f>
        <v>703.03891881217749</v>
      </c>
      <c r="S117" s="116">
        <f>IF(S21=0,0,1000000*S21/TrRoad_act!S60)</f>
        <v>686.13189471897249</v>
      </c>
      <c r="T117" s="116">
        <f>IF(T21=0,0,1000000*T21/TrRoad_act!T60)</f>
        <v>664.2069797154918</v>
      </c>
      <c r="U117" s="116">
        <f>IF(U21=0,0,1000000*U21/TrRoad_act!U60)</f>
        <v>665.49356006820619</v>
      </c>
      <c r="V117" s="116">
        <f>IF(V21=0,0,1000000*V21/TrRoad_act!V60)</f>
        <v>558.68495961877886</v>
      </c>
      <c r="W117" s="116">
        <f>IF(W21=0,0,1000000*W21/TrRoad_act!W60)</f>
        <v>595.41761526228447</v>
      </c>
      <c r="X117" s="116">
        <f>IF(X21=0,0,1000000*X21/TrRoad_act!X60)</f>
        <v>603.12224319843347</v>
      </c>
      <c r="Y117" s="116">
        <f>IF(Y21=0,0,1000000*Y21/TrRoad_act!Y60)</f>
        <v>639.50060469241043</v>
      </c>
      <c r="DA117" s="176" t="s">
        <v>717</v>
      </c>
    </row>
    <row r="118" spans="1:105" ht="11.45" customHeight="1" x14ac:dyDescent="0.25">
      <c r="A118" s="111" t="s">
        <v>110</v>
      </c>
      <c r="B118" s="87">
        <f>IF(B22=0,0,1000000*B22/TrRoad_act!B61)</f>
        <v>933.49552850341604</v>
      </c>
      <c r="C118" s="87">
        <f>IF(C22=0,0,1000000*C22/TrRoad_act!C61)</f>
        <v>834.9737860552076</v>
      </c>
      <c r="D118" s="87">
        <f>IF(D22=0,0,1000000*D22/TrRoad_act!D61)</f>
        <v>803.12567844783894</v>
      </c>
      <c r="E118" s="87">
        <f>IF(E22=0,0,1000000*E22/TrRoad_act!E61)</f>
        <v>776.78977525753066</v>
      </c>
      <c r="F118" s="87">
        <f>IF(F22=0,0,1000000*F22/TrRoad_act!F61)</f>
        <v>732.77446749268063</v>
      </c>
      <c r="G118" s="87">
        <f>IF(G22=0,0,1000000*G22/TrRoad_act!G61)</f>
        <v>690.90357518809742</v>
      </c>
      <c r="H118" s="87">
        <f>IF(H22=0,0,1000000*H22/TrRoad_act!H61)</f>
        <v>640.90958470091005</v>
      </c>
      <c r="I118" s="87">
        <f>IF(I22=0,0,1000000*I22/TrRoad_act!I61)</f>
        <v>606.26519678961643</v>
      </c>
      <c r="J118" s="87">
        <f>IF(J22=0,0,1000000*J22/TrRoad_act!J61)</f>
        <v>584.33465242250418</v>
      </c>
      <c r="K118" s="87">
        <f>IF(K22=0,0,1000000*K22/TrRoad_act!K61)</f>
        <v>584.86116826131251</v>
      </c>
      <c r="L118" s="87">
        <f>IF(L22=0,0,1000000*L22/TrRoad_act!L61)</f>
        <v>533.46531920297775</v>
      </c>
      <c r="M118" s="87">
        <f>IF(M22=0,0,1000000*M22/TrRoad_act!M61)</f>
        <v>493.22153249895655</v>
      </c>
      <c r="N118" s="87">
        <f>IF(N22=0,0,1000000*N22/TrRoad_act!N61)</f>
        <v>514.64804525817033</v>
      </c>
      <c r="O118" s="87">
        <f>IF(O22=0,0,1000000*O22/TrRoad_act!O61)</f>
        <v>503.15309930548193</v>
      </c>
      <c r="P118" s="87">
        <f>IF(P22=0,0,1000000*P22/TrRoad_act!P61)</f>
        <v>474.60139194610912</v>
      </c>
      <c r="Q118" s="87">
        <f>IF(Q22=0,0,1000000*Q22/TrRoad_act!Q61)</f>
        <v>482.45905787151383</v>
      </c>
      <c r="R118" s="87">
        <f>IF(R22=0,0,1000000*R22/TrRoad_act!R61)</f>
        <v>481.24462288802283</v>
      </c>
      <c r="S118" s="87">
        <f>IF(S22=0,0,1000000*S22/TrRoad_act!S61)</f>
        <v>466.38542897188256</v>
      </c>
      <c r="T118" s="87">
        <f>IF(T22=0,0,1000000*T22/TrRoad_act!T61)</f>
        <v>452.14311671340045</v>
      </c>
      <c r="U118" s="87">
        <f>IF(U22=0,0,1000000*U22/TrRoad_act!U61)</f>
        <v>448.64094811541736</v>
      </c>
      <c r="V118" s="87">
        <f>IF(V22=0,0,1000000*V22/TrRoad_act!V61)</f>
        <v>378.97792316801616</v>
      </c>
      <c r="W118" s="87">
        <f>IF(W22=0,0,1000000*W22/TrRoad_act!W61)</f>
        <v>417.8014411566997</v>
      </c>
      <c r="X118" s="87">
        <f>IF(X22=0,0,1000000*X22/TrRoad_act!X61)</f>
        <v>450.56402599991668</v>
      </c>
      <c r="Y118" s="87">
        <f>IF(Y22=0,0,1000000*Y22/TrRoad_act!Y61)</f>
        <v>500.77155438203533</v>
      </c>
      <c r="DA118" s="171" t="s">
        <v>718</v>
      </c>
    </row>
    <row r="119" spans="1:105" ht="11.45" customHeight="1" x14ac:dyDescent="0.25">
      <c r="A119" s="111" t="s">
        <v>111</v>
      </c>
      <c r="B119" s="87">
        <f>IF(B24=0,0,1000000*B24/TrRoad_act!B62)</f>
        <v>691.17945901235066</v>
      </c>
      <c r="C119" s="87">
        <f>IF(C24=0,0,1000000*C24/TrRoad_act!C62)</f>
        <v>807.72273030722624</v>
      </c>
      <c r="D119" s="87">
        <f>IF(D24=0,0,1000000*D24/TrRoad_act!D62)</f>
        <v>839.84906944696547</v>
      </c>
      <c r="E119" s="87">
        <f>IF(E24=0,0,1000000*E24/TrRoad_act!E62)</f>
        <v>1043.7356886315094</v>
      </c>
      <c r="F119" s="87">
        <f>IF(F24=0,0,1000000*F24/TrRoad_act!F62)</f>
        <v>1121.8176364304773</v>
      </c>
      <c r="G119" s="87">
        <f>IF(G24=0,0,1000000*G24/TrRoad_act!G62)</f>
        <v>1061.4965410898428</v>
      </c>
      <c r="H119" s="87">
        <f>IF(H24=0,0,1000000*H24/TrRoad_act!H62)</f>
        <v>1087.4152374597909</v>
      </c>
      <c r="I119" s="87">
        <f>IF(I24=0,0,1000000*I24/TrRoad_act!I62)</f>
        <v>1075.6059208095655</v>
      </c>
      <c r="J119" s="87">
        <f>IF(J24=0,0,1000000*J24/TrRoad_act!J62)</f>
        <v>1097.3340056032698</v>
      </c>
      <c r="K119" s="87">
        <f>IF(K24=0,0,1000000*K24/TrRoad_act!K62)</f>
        <v>1080.2660470198728</v>
      </c>
      <c r="L119" s="87">
        <f>IF(L24=0,0,1000000*L24/TrRoad_act!L62)</f>
        <v>1063.7724588137451</v>
      </c>
      <c r="M119" s="87">
        <f>IF(M24=0,0,1000000*M24/TrRoad_act!M62)</f>
        <v>981.7801673243398</v>
      </c>
      <c r="N119" s="87">
        <f>IF(N24=0,0,1000000*N24/TrRoad_act!N62)</f>
        <v>1021.8617894141092</v>
      </c>
      <c r="O119" s="87">
        <f>IF(O24=0,0,1000000*O24/TrRoad_act!O62)</f>
        <v>1001.9196969881463</v>
      </c>
      <c r="P119" s="87">
        <f>IF(P24=0,0,1000000*P24/TrRoad_act!P62)</f>
        <v>916.76642219134908</v>
      </c>
      <c r="Q119" s="87">
        <f>IF(Q24=0,0,1000000*Q24/TrRoad_act!Q62)</f>
        <v>904.42973191568763</v>
      </c>
      <c r="R119" s="87">
        <f>IF(R24=0,0,1000000*R24/TrRoad_act!R62)</f>
        <v>885.23712273148737</v>
      </c>
      <c r="S119" s="87">
        <f>IF(S24=0,0,1000000*S24/TrRoad_act!S62)</f>
        <v>857.86206091397821</v>
      </c>
      <c r="T119" s="87">
        <f>IF(T24=0,0,1000000*T24/TrRoad_act!T62)</f>
        <v>828.04128045962307</v>
      </c>
      <c r="U119" s="87">
        <f>IF(U24=0,0,1000000*U24/TrRoad_act!U62)</f>
        <v>837.39717936163493</v>
      </c>
      <c r="V119" s="87">
        <f>IF(V24=0,0,1000000*V24/TrRoad_act!V62)</f>
        <v>696.02193067875339</v>
      </c>
      <c r="W119" s="87">
        <f>IF(W24=0,0,1000000*W24/TrRoad_act!W62)</f>
        <v>733.75840437903378</v>
      </c>
      <c r="X119" s="87">
        <f>IF(X24=0,0,1000000*X24/TrRoad_act!X62)</f>
        <v>728.24612196891655</v>
      </c>
      <c r="Y119" s="87">
        <f>IF(Y24=0,0,1000000*Y24/TrRoad_act!Y62)</f>
        <v>764.30401861611927</v>
      </c>
      <c r="DA119" s="171" t="s">
        <v>719</v>
      </c>
    </row>
    <row r="120" spans="1:105" ht="11.45" customHeight="1" x14ac:dyDescent="0.25">
      <c r="A120" s="111" t="s">
        <v>112</v>
      </c>
      <c r="B120" s="87">
        <f>IF(B26=0,0,1000000*B26/TrRoad_act!B63)</f>
        <v>1238.0099217839622</v>
      </c>
      <c r="C120" s="87">
        <f>IF(C26=0,0,1000000*C26/TrRoad_act!C63)</f>
        <v>1265.8984896164463</v>
      </c>
      <c r="D120" s="87">
        <f>IF(D26=0,0,1000000*D26/TrRoad_act!D63)</f>
        <v>1290.8641519579855</v>
      </c>
      <c r="E120" s="87">
        <f>IF(E26=0,0,1000000*E26/TrRoad_act!E63)</f>
        <v>1242.2529115868533</v>
      </c>
      <c r="F120" s="87">
        <f>IF(F26=0,0,1000000*F26/TrRoad_act!F63)</f>
        <v>1229.7482196877977</v>
      </c>
      <c r="G120" s="87">
        <f>IF(G26=0,0,1000000*G26/TrRoad_act!G63)</f>
        <v>1181.350626196999</v>
      </c>
      <c r="H120" s="87">
        <f>IF(H26=0,0,1000000*H26/TrRoad_act!H63)</f>
        <v>1291.9168458561712</v>
      </c>
      <c r="I120" s="87">
        <f>IF(I26=0,0,1000000*I26/TrRoad_act!I63)</f>
        <v>1339.9225326210699</v>
      </c>
      <c r="J120" s="87">
        <f>IF(J26=0,0,1000000*J26/TrRoad_act!J63)</f>
        <v>1196.3154261239283</v>
      </c>
      <c r="K120" s="87">
        <f>IF(K26=0,0,1000000*K26/TrRoad_act!K63)</f>
        <v>998.30719697785094</v>
      </c>
      <c r="L120" s="87">
        <f>IF(L26=0,0,1000000*L26/TrRoad_act!L63)</f>
        <v>963.98310955107456</v>
      </c>
      <c r="M120" s="87">
        <f>IF(M26=0,0,1000000*M26/TrRoad_act!M63)</f>
        <v>858.25469878811987</v>
      </c>
      <c r="N120" s="87">
        <f>IF(N26=0,0,1000000*N26/TrRoad_act!N63)</f>
        <v>902.24466089728355</v>
      </c>
      <c r="O120" s="87">
        <f>IF(O26=0,0,1000000*O26/TrRoad_act!O63)</f>
        <v>880.1541415000047</v>
      </c>
      <c r="P120" s="87">
        <f>IF(P26=0,0,1000000*P26/TrRoad_act!P63)</f>
        <v>781.15539801642387</v>
      </c>
      <c r="Q120" s="87">
        <f>IF(Q26=0,0,1000000*Q26/TrRoad_act!Q63)</f>
        <v>808.1163355053086</v>
      </c>
      <c r="R120" s="87">
        <f>IF(R26=0,0,1000000*R26/TrRoad_act!R63)</f>
        <v>810.99311936588447</v>
      </c>
      <c r="S120" s="87">
        <f>IF(S26=0,0,1000000*S26/TrRoad_act!S63)</f>
        <v>763.73197337557292</v>
      </c>
      <c r="T120" s="87">
        <f>IF(T26=0,0,1000000*T26/TrRoad_act!T63)</f>
        <v>697.89196207485759</v>
      </c>
      <c r="U120" s="87">
        <f>IF(U26=0,0,1000000*U26/TrRoad_act!U63)</f>
        <v>699.7066476659021</v>
      </c>
      <c r="V120" s="87">
        <f>IF(V26=0,0,1000000*V26/TrRoad_act!V63)</f>
        <v>515.4702838398141</v>
      </c>
      <c r="W120" s="87">
        <f>IF(W26=0,0,1000000*W26/TrRoad_act!W63)</f>
        <v>532.51112639885434</v>
      </c>
      <c r="X120" s="87">
        <f>IF(X26=0,0,1000000*X26/TrRoad_act!X63)</f>
        <v>542.08587667927429</v>
      </c>
      <c r="Y120" s="87">
        <f>IF(Y26=0,0,1000000*Y26/TrRoad_act!Y63)</f>
        <v>610.70536666285864</v>
      </c>
      <c r="DA120" s="171" t="s">
        <v>720</v>
      </c>
    </row>
    <row r="121" spans="1:105" ht="11.45" customHeight="1" x14ac:dyDescent="0.25">
      <c r="A121" s="111" t="s">
        <v>113</v>
      </c>
      <c r="B121" s="87">
        <f>IF(B27=0,0,1000000*B27/TrRoad_act!B64)</f>
        <v>0</v>
      </c>
      <c r="C121" s="87">
        <f>IF(C27=0,0,1000000*C27/TrRoad_act!C64)</f>
        <v>0</v>
      </c>
      <c r="D121" s="87">
        <f>IF(D27=0,0,1000000*D27/TrRoad_act!D64)</f>
        <v>0</v>
      </c>
      <c r="E121" s="87">
        <f>IF(E27=0,0,1000000*E27/TrRoad_act!E64)</f>
        <v>0</v>
      </c>
      <c r="F121" s="87">
        <f>IF(F27=0,0,1000000*F27/TrRoad_act!F64)</f>
        <v>0</v>
      </c>
      <c r="G121" s="87">
        <f>IF(G27=0,0,1000000*G27/TrRoad_act!G64)</f>
        <v>0</v>
      </c>
      <c r="H121" s="87">
        <f>IF(H27=0,0,1000000*H27/TrRoad_act!H64)</f>
        <v>0</v>
      </c>
      <c r="I121" s="87">
        <f>IF(I27=0,0,1000000*I27/TrRoad_act!I64)</f>
        <v>0</v>
      </c>
      <c r="J121" s="87">
        <f>IF(J27=0,0,1000000*J27/TrRoad_act!J64)</f>
        <v>0</v>
      </c>
      <c r="K121" s="87">
        <f>IF(K27=0,0,1000000*K27/TrRoad_act!K64)</f>
        <v>0</v>
      </c>
      <c r="L121" s="87">
        <f>IF(L27=0,0,1000000*L27/TrRoad_act!L64)</f>
        <v>976.24138775595407</v>
      </c>
      <c r="M121" s="87">
        <f>IF(M27=0,0,1000000*M27/TrRoad_act!M64)</f>
        <v>905.44635083948106</v>
      </c>
      <c r="N121" s="87">
        <f>IF(N27=0,0,1000000*N27/TrRoad_act!N64)</f>
        <v>777.35354204570353</v>
      </c>
      <c r="O121" s="87">
        <f>IF(O27=0,0,1000000*O27/TrRoad_act!O64)</f>
        <v>702.76138066806857</v>
      </c>
      <c r="P121" s="87">
        <f>IF(P27=0,0,1000000*P27/TrRoad_act!P64)</f>
        <v>652.81660744937153</v>
      </c>
      <c r="Q121" s="87">
        <f>IF(Q27=0,0,1000000*Q27/TrRoad_act!Q64)</f>
        <v>618.3296038002137</v>
      </c>
      <c r="R121" s="87">
        <f>IF(R27=0,0,1000000*R27/TrRoad_act!R64)</f>
        <v>597.0135110429959</v>
      </c>
      <c r="S121" s="87">
        <f>IF(S27=0,0,1000000*S27/TrRoad_act!S64)</f>
        <v>580.76283050956886</v>
      </c>
      <c r="T121" s="87">
        <f>IF(T27=0,0,1000000*T27/TrRoad_act!T64)</f>
        <v>578.53361511311869</v>
      </c>
      <c r="U121" s="87">
        <f>IF(U27=0,0,1000000*U27/TrRoad_act!U64)</f>
        <v>566.52700455729143</v>
      </c>
      <c r="V121" s="87">
        <f>IF(V27=0,0,1000000*V27/TrRoad_act!V64)</f>
        <v>464.62949167962392</v>
      </c>
      <c r="W121" s="87">
        <f>IF(W27=0,0,1000000*W27/TrRoad_act!W64)</f>
        <v>492.8053762271968</v>
      </c>
      <c r="X121" s="87">
        <f>IF(X27=0,0,1000000*X27/TrRoad_act!X64)</f>
        <v>496.14112204373549</v>
      </c>
      <c r="Y121" s="87">
        <f>IF(Y27=0,0,1000000*Y27/TrRoad_act!Y64)</f>
        <v>526.45664391560638</v>
      </c>
      <c r="DA121" s="171" t="s">
        <v>721</v>
      </c>
    </row>
    <row r="122" spans="1:105" ht="11.45" customHeight="1" x14ac:dyDescent="0.25">
      <c r="A122" s="111" t="s">
        <v>114</v>
      </c>
      <c r="B122" s="87">
        <f>IF(B29=0,0,1000000*B29/TrRoad_act!B65)</f>
        <v>0</v>
      </c>
      <c r="C122" s="87">
        <f>IF(C29=0,0,1000000*C29/TrRoad_act!C65)</f>
        <v>0</v>
      </c>
      <c r="D122" s="87">
        <f>IF(D29=0,0,1000000*D29/TrRoad_act!D65)</f>
        <v>0</v>
      </c>
      <c r="E122" s="87">
        <f>IF(E29=0,0,1000000*E29/TrRoad_act!E65)</f>
        <v>0</v>
      </c>
      <c r="F122" s="87">
        <f>IF(F29=0,0,1000000*F29/TrRoad_act!F65)</f>
        <v>0</v>
      </c>
      <c r="G122" s="87">
        <f>IF(G29=0,0,1000000*G29/TrRoad_act!G65)</f>
        <v>0</v>
      </c>
      <c r="H122" s="87">
        <f>IF(H29=0,0,1000000*H29/TrRoad_act!H65)</f>
        <v>0</v>
      </c>
      <c r="I122" s="87">
        <f>IF(I29=0,0,1000000*I29/TrRoad_act!I65)</f>
        <v>0</v>
      </c>
      <c r="J122" s="87">
        <f>IF(J29=0,0,1000000*J29/TrRoad_act!J65)</f>
        <v>0</v>
      </c>
      <c r="K122" s="87">
        <f>IF(K29=0,0,1000000*K29/TrRoad_act!K65)</f>
        <v>0</v>
      </c>
      <c r="L122" s="87">
        <f>IF(L29=0,0,1000000*L29/TrRoad_act!L65)</f>
        <v>0</v>
      </c>
      <c r="M122" s="87">
        <f>IF(M29=0,0,1000000*M29/TrRoad_act!M65)</f>
        <v>288.66551893392409</v>
      </c>
      <c r="N122" s="87">
        <f>IF(N29=0,0,1000000*N29/TrRoad_act!N65)</f>
        <v>271.42016425076264</v>
      </c>
      <c r="O122" s="87">
        <f>IF(O29=0,0,1000000*O29/TrRoad_act!O65)</f>
        <v>282.07902312776105</v>
      </c>
      <c r="P122" s="87">
        <f>IF(P29=0,0,1000000*P29/TrRoad_act!P65)</f>
        <v>282.87697326681194</v>
      </c>
      <c r="Q122" s="87">
        <f>IF(Q29=0,0,1000000*Q29/TrRoad_act!Q65)</f>
        <v>294.45565435472884</v>
      </c>
      <c r="R122" s="87">
        <f>IF(R29=0,0,1000000*R29/TrRoad_act!R65)</f>
        <v>301.18272721801929</v>
      </c>
      <c r="S122" s="87">
        <f>IF(S29=0,0,1000000*S29/TrRoad_act!S65)</f>
        <v>303.10988229588526</v>
      </c>
      <c r="T122" s="87">
        <f>IF(T29=0,0,1000000*T29/TrRoad_act!T65)</f>
        <v>307.38430491779974</v>
      </c>
      <c r="U122" s="87">
        <f>IF(U29=0,0,1000000*U29/TrRoad_act!U65)</f>
        <v>304.75633060789801</v>
      </c>
      <c r="V122" s="87">
        <f>IF(V29=0,0,1000000*V29/TrRoad_act!V65)</f>
        <v>247.97303385171276</v>
      </c>
      <c r="W122" s="87">
        <f>IF(W29=0,0,1000000*W29/TrRoad_act!W65)</f>
        <v>255.39460539677447</v>
      </c>
      <c r="X122" s="87">
        <f>IF(X29=0,0,1000000*X29/TrRoad_act!X65)</f>
        <v>253.49525136009976</v>
      </c>
      <c r="Y122" s="87">
        <f>IF(Y29=0,0,1000000*Y29/TrRoad_act!Y65)</f>
        <v>265.95332777805066</v>
      </c>
      <c r="DA122" s="171" t="s">
        <v>722</v>
      </c>
    </row>
    <row r="123" spans="1:105" ht="11.45" customHeight="1" x14ac:dyDescent="0.25">
      <c r="A123" s="111" t="s">
        <v>115</v>
      </c>
      <c r="B123" s="87">
        <f>IF(B32=0,0,1000000*B32/TrRoad_act!B66)</f>
        <v>0</v>
      </c>
      <c r="C123" s="87">
        <f>IF(C32=0,0,1000000*C32/TrRoad_act!C66)</f>
        <v>0</v>
      </c>
      <c r="D123" s="87">
        <f>IF(D32=0,0,1000000*D32/TrRoad_act!D66)</f>
        <v>0</v>
      </c>
      <c r="E123" s="87">
        <f>IF(E32=0,0,1000000*E32/TrRoad_act!E66)</f>
        <v>0</v>
      </c>
      <c r="F123" s="87">
        <f>IF(F32=0,0,1000000*F32/TrRoad_act!F66)</f>
        <v>0</v>
      </c>
      <c r="G123" s="87">
        <f>IF(G32=0,0,1000000*G32/TrRoad_act!G66)</f>
        <v>0</v>
      </c>
      <c r="H123" s="87">
        <f>IF(H32=0,0,1000000*H32/TrRoad_act!H66)</f>
        <v>0</v>
      </c>
      <c r="I123" s="87">
        <f>IF(I32=0,0,1000000*I32/TrRoad_act!I66)</f>
        <v>0</v>
      </c>
      <c r="J123" s="87">
        <f>IF(J32=0,0,1000000*J32/TrRoad_act!J66)</f>
        <v>158.8468602336946</v>
      </c>
      <c r="K123" s="87">
        <f>IF(K32=0,0,1000000*K32/TrRoad_act!K66)</f>
        <v>158.87943621959138</v>
      </c>
      <c r="L123" s="87">
        <f>IF(L32=0,0,1000000*L32/TrRoad_act!L66)</f>
        <v>158.16177620477143</v>
      </c>
      <c r="M123" s="87">
        <f>IF(M32=0,0,1000000*M32/TrRoad_act!M66)</f>
        <v>159.20401869500799</v>
      </c>
      <c r="N123" s="87">
        <f>IF(N32=0,0,1000000*N32/TrRoad_act!N66)</f>
        <v>159.84082582655941</v>
      </c>
      <c r="O123" s="87">
        <f>IF(O32=0,0,1000000*O32/TrRoad_act!O66)</f>
        <v>162.30944151935242</v>
      </c>
      <c r="P123" s="87">
        <f>IF(P32=0,0,1000000*P32/TrRoad_act!P66)</f>
        <v>164.26118573378767</v>
      </c>
      <c r="Q123" s="87">
        <f>IF(Q32=0,0,1000000*Q32/TrRoad_act!Q66)</f>
        <v>164.86165836495303</v>
      </c>
      <c r="R123" s="87">
        <f>IF(R32=0,0,1000000*R32/TrRoad_act!R66)</f>
        <v>167.60262548692151</v>
      </c>
      <c r="S123" s="87">
        <f>IF(S32=0,0,1000000*S32/TrRoad_act!S66)</f>
        <v>168.23151955205901</v>
      </c>
      <c r="T123" s="87">
        <f>IF(T32=0,0,1000000*T32/TrRoad_act!T66)</f>
        <v>188.67184096944973</v>
      </c>
      <c r="U123" s="87">
        <f>IF(U32=0,0,1000000*U32/TrRoad_act!U66)</f>
        <v>200.26663714588611</v>
      </c>
      <c r="V123" s="87">
        <f>IF(V32=0,0,1000000*V32/TrRoad_act!V66)</f>
        <v>182.56402427716154</v>
      </c>
      <c r="W123" s="87">
        <f>IF(W32=0,0,1000000*W32/TrRoad_act!W66)</f>
        <v>204.03997718181236</v>
      </c>
      <c r="X123" s="87">
        <f>IF(X32=0,0,1000000*X32/TrRoad_act!X66)</f>
        <v>203.50345583440205</v>
      </c>
      <c r="Y123" s="87">
        <f>IF(Y32=0,0,1000000*Y32/TrRoad_act!Y66)</f>
        <v>199.74118630177028</v>
      </c>
      <c r="DA123" s="171" t="s">
        <v>723</v>
      </c>
    </row>
    <row r="124" spans="1:105" ht="11.45" customHeight="1" x14ac:dyDescent="0.25">
      <c r="A124" s="109" t="s">
        <v>21</v>
      </c>
      <c r="B124" s="116">
        <f>IF(B33=0,0,1000000*B33/TrRoad_act!B67)</f>
        <v>16316.587201725562</v>
      </c>
      <c r="C124" s="116">
        <f>IF(C33=0,0,1000000*C33/TrRoad_act!C67)</f>
        <v>15548.039884840977</v>
      </c>
      <c r="D124" s="116">
        <f>IF(D33=0,0,1000000*D33/TrRoad_act!D67)</f>
        <v>15122.311473746646</v>
      </c>
      <c r="E124" s="116">
        <f>IF(E33=0,0,1000000*E33/TrRoad_act!E67)</f>
        <v>14673.526972366368</v>
      </c>
      <c r="F124" s="116">
        <f>IF(F33=0,0,1000000*F33/TrRoad_act!F67)</f>
        <v>14257.113608576206</v>
      </c>
      <c r="G124" s="116">
        <f>IF(G33=0,0,1000000*G33/TrRoad_act!G67)</f>
        <v>13275.90047356128</v>
      </c>
      <c r="H124" s="116">
        <f>IF(H33=0,0,1000000*H33/TrRoad_act!H67)</f>
        <v>12967.831599776324</v>
      </c>
      <c r="I124" s="116">
        <f>IF(I33=0,0,1000000*I33/TrRoad_act!I67)</f>
        <v>13159.413381699283</v>
      </c>
      <c r="J124" s="116">
        <f>IF(J33=0,0,1000000*J33/TrRoad_act!J67)</f>
        <v>13368.215623302181</v>
      </c>
      <c r="K124" s="116">
        <f>IF(K33=0,0,1000000*K33/TrRoad_act!K67)</f>
        <v>13556.47642704811</v>
      </c>
      <c r="L124" s="116">
        <f>IF(L33=0,0,1000000*L33/TrRoad_act!L67)</f>
        <v>13746.25790014974</v>
      </c>
      <c r="M124" s="116">
        <f>IF(M33=0,0,1000000*M33/TrRoad_act!M67)</f>
        <v>13961.987934933564</v>
      </c>
      <c r="N124" s="116">
        <f>IF(N33=0,0,1000000*N33/TrRoad_act!N67)</f>
        <v>13779.478483437073</v>
      </c>
      <c r="O124" s="116">
        <f>IF(O33=0,0,1000000*O33/TrRoad_act!O67)</f>
        <v>13568.911773962649</v>
      </c>
      <c r="P124" s="116">
        <f>IF(P33=0,0,1000000*P33/TrRoad_act!P67)</f>
        <v>13552.341275887065</v>
      </c>
      <c r="Q124" s="116">
        <f>IF(Q33=0,0,1000000*Q33/TrRoad_act!Q67)</f>
        <v>14001.959516523966</v>
      </c>
      <c r="R124" s="116">
        <f>IF(R33=0,0,1000000*R33/TrRoad_act!R67)</f>
        <v>14676.625166230506</v>
      </c>
      <c r="S124" s="116">
        <f>IF(S33=0,0,1000000*S33/TrRoad_act!S67)</f>
        <v>14893.167139609046</v>
      </c>
      <c r="T124" s="116">
        <f>IF(T33=0,0,1000000*T33/TrRoad_act!T67)</f>
        <v>15223.405710485124</v>
      </c>
      <c r="U124" s="116">
        <f>IF(U33=0,0,1000000*U33/TrRoad_act!U67)</f>
        <v>12551.938588369014</v>
      </c>
      <c r="V124" s="116">
        <f>IF(V33=0,0,1000000*V33/TrRoad_act!V67)</f>
        <v>11311.614535998353</v>
      </c>
      <c r="W124" s="116">
        <f>IF(W33=0,0,1000000*W33/TrRoad_act!W67)</f>
        <v>13956.387284304201</v>
      </c>
      <c r="X124" s="116">
        <f>IF(X33=0,0,1000000*X33/TrRoad_act!X67)</f>
        <v>15603.066615992482</v>
      </c>
      <c r="Y124" s="116">
        <f>IF(Y33=0,0,1000000*Y33/TrRoad_act!Y67)</f>
        <v>16405.019927585483</v>
      </c>
      <c r="DA124" s="176" t="s">
        <v>724</v>
      </c>
    </row>
    <row r="125" spans="1:105" ht="11.45" customHeight="1" x14ac:dyDescent="0.25">
      <c r="A125" s="111" t="s">
        <v>110</v>
      </c>
      <c r="B125" s="101">
        <f>IF(B34=0,0,1000000*B34/TrRoad_act!B68)</f>
        <v>0</v>
      </c>
      <c r="C125" s="101">
        <f>IF(C34=0,0,1000000*C34/TrRoad_act!C68)</f>
        <v>0</v>
      </c>
      <c r="D125" s="101">
        <f>IF(D34=0,0,1000000*D34/TrRoad_act!D68)</f>
        <v>0</v>
      </c>
      <c r="E125" s="101">
        <f>IF(E34=0,0,1000000*E34/TrRoad_act!E68)</f>
        <v>0</v>
      </c>
      <c r="F125" s="101">
        <f>IF(F34=0,0,1000000*F34/TrRoad_act!F68)</f>
        <v>0</v>
      </c>
      <c r="G125" s="101">
        <f>IF(G34=0,0,1000000*G34/TrRoad_act!G68)</f>
        <v>0</v>
      </c>
      <c r="H125" s="101">
        <f>IF(H34=0,0,1000000*H34/TrRoad_act!H68)</f>
        <v>0</v>
      </c>
      <c r="I125" s="101">
        <f>IF(I34=0,0,1000000*I34/TrRoad_act!I68)</f>
        <v>0</v>
      </c>
      <c r="J125" s="101">
        <f>IF(J34=0,0,1000000*J34/TrRoad_act!J68)</f>
        <v>0</v>
      </c>
      <c r="K125" s="101">
        <f>IF(K34=0,0,1000000*K34/TrRoad_act!K68)</f>
        <v>0</v>
      </c>
      <c r="L125" s="101">
        <f>IF(L34=0,0,1000000*L34/TrRoad_act!L68)</f>
        <v>1588.9692377080007</v>
      </c>
      <c r="M125" s="101">
        <f>IF(M34=0,0,1000000*M34/TrRoad_act!M68)</f>
        <v>1637.9874267089788</v>
      </c>
      <c r="N125" s="101">
        <f>IF(N34=0,0,1000000*N34/TrRoad_act!N68)</f>
        <v>1672.36942577838</v>
      </c>
      <c r="O125" s="101">
        <f>IF(O34=0,0,1000000*O34/TrRoad_act!O68)</f>
        <v>1638.1880102236594</v>
      </c>
      <c r="P125" s="101">
        <f>IF(P34=0,0,1000000*P34/TrRoad_act!P68)</f>
        <v>1638.0225593121565</v>
      </c>
      <c r="Q125" s="101">
        <f>IF(Q34=0,0,1000000*Q34/TrRoad_act!Q68)</f>
        <v>1673.0372484216819</v>
      </c>
      <c r="R125" s="101">
        <f>IF(R34=0,0,1000000*R34/TrRoad_act!R68)</f>
        <v>1728.8318647074955</v>
      </c>
      <c r="S125" s="101">
        <f>IF(S34=0,0,1000000*S34/TrRoad_act!S68)</f>
        <v>1722.4382999231082</v>
      </c>
      <c r="T125" s="101">
        <f>IF(T34=0,0,1000000*T34/TrRoad_act!T68)</f>
        <v>1801.3421147705831</v>
      </c>
      <c r="U125" s="101">
        <f>IF(U34=0,0,1000000*U34/TrRoad_act!U68)</f>
        <v>1374.7107110177285</v>
      </c>
      <c r="V125" s="101">
        <f>IF(V34=0,0,1000000*V34/TrRoad_act!V68)</f>
        <v>1190.886317030441</v>
      </c>
      <c r="W125" s="101">
        <f>IF(W34=0,0,1000000*W34/TrRoad_act!W68)</f>
        <v>1519.5562011419231</v>
      </c>
      <c r="X125" s="101">
        <f>IF(X34=0,0,1000000*X34/TrRoad_act!X68)</f>
        <v>1675.8660616217608</v>
      </c>
      <c r="Y125" s="101">
        <f>IF(Y34=0,0,1000000*Y34/TrRoad_act!Y68)</f>
        <v>1811.6127178987497</v>
      </c>
      <c r="DA125" s="175" t="s">
        <v>725</v>
      </c>
    </row>
    <row r="126" spans="1:105" ht="11.45" customHeight="1" x14ac:dyDescent="0.25">
      <c r="A126" s="111" t="s">
        <v>111</v>
      </c>
      <c r="B126" s="101">
        <f>IF(B36=0,0,1000000*B36/TrRoad_act!B69)</f>
        <v>16293.849539182074</v>
      </c>
      <c r="C126" s="101">
        <f>IF(C36=0,0,1000000*C36/TrRoad_act!C69)</f>
        <v>15474.455222591481</v>
      </c>
      <c r="D126" s="101">
        <f>IF(D36=0,0,1000000*D36/TrRoad_act!D69)</f>
        <v>15014.1898199599</v>
      </c>
      <c r="E126" s="101">
        <f>IF(E36=0,0,1000000*E36/TrRoad_act!E69)</f>
        <v>14537.530644698914</v>
      </c>
      <c r="F126" s="101">
        <f>IF(F36=0,0,1000000*F36/TrRoad_act!F69)</f>
        <v>14118.946390884479</v>
      </c>
      <c r="G126" s="101">
        <f>IF(G36=0,0,1000000*G36/TrRoad_act!G69)</f>
        <v>13023.542288476487</v>
      </c>
      <c r="H126" s="101">
        <f>IF(H36=0,0,1000000*H36/TrRoad_act!H69)</f>
        <v>12743.171839669931</v>
      </c>
      <c r="I126" s="101">
        <f>IF(I36=0,0,1000000*I36/TrRoad_act!I69)</f>
        <v>12913.778269082357</v>
      </c>
      <c r="J126" s="101">
        <f>IF(J36=0,0,1000000*J36/TrRoad_act!J69)</f>
        <v>13137.312519620784</v>
      </c>
      <c r="K126" s="101">
        <f>IF(K36=0,0,1000000*K36/TrRoad_act!K69)</f>
        <v>13359.413236618971</v>
      </c>
      <c r="L126" s="101">
        <f>IF(L36=0,0,1000000*L36/TrRoad_act!L69)</f>
        <v>13533.793965171384</v>
      </c>
      <c r="M126" s="101">
        <f>IF(M36=0,0,1000000*M36/TrRoad_act!M69)</f>
        <v>13736.442841931857</v>
      </c>
      <c r="N126" s="101">
        <f>IF(N36=0,0,1000000*N36/TrRoad_act!N69)</f>
        <v>13515.371675201621</v>
      </c>
      <c r="O126" s="101">
        <f>IF(O36=0,0,1000000*O36/TrRoad_act!O69)</f>
        <v>13223.3373542552</v>
      </c>
      <c r="P126" s="101">
        <f>IF(P36=0,0,1000000*P36/TrRoad_act!P69)</f>
        <v>13267.045430487136</v>
      </c>
      <c r="Q126" s="101">
        <f>IF(Q36=0,0,1000000*Q36/TrRoad_act!Q69)</f>
        <v>13565.477054851555</v>
      </c>
      <c r="R126" s="101">
        <f>IF(R36=0,0,1000000*R36/TrRoad_act!R69)</f>
        <v>14256.684672536656</v>
      </c>
      <c r="S126" s="101">
        <f>IF(S36=0,0,1000000*S36/TrRoad_act!S69)</f>
        <v>14408.913227364241</v>
      </c>
      <c r="T126" s="101">
        <f>IF(T36=0,0,1000000*T36/TrRoad_act!T69)</f>
        <v>14909.937754148181</v>
      </c>
      <c r="U126" s="101">
        <f>IF(U36=0,0,1000000*U36/TrRoad_act!U69)</f>
        <v>11902.963441027292</v>
      </c>
      <c r="V126" s="101">
        <f>IF(V36=0,0,1000000*V36/TrRoad_act!V69)</f>
        <v>10398.160679503702</v>
      </c>
      <c r="W126" s="101">
        <f>IF(W36=0,0,1000000*W36/TrRoad_act!W69)</f>
        <v>13122.835582193924</v>
      </c>
      <c r="X126" s="101">
        <f>IF(X36=0,0,1000000*X36/TrRoad_act!X69)</f>
        <v>14344.508953965722</v>
      </c>
      <c r="Y126" s="101">
        <f>IF(Y36=0,0,1000000*Y36/TrRoad_act!Y69)</f>
        <v>15314.744540831491</v>
      </c>
      <c r="DA126" s="175" t="s">
        <v>726</v>
      </c>
    </row>
    <row r="127" spans="1:105" ht="11.45" customHeight="1" x14ac:dyDescent="0.25">
      <c r="A127" s="111" t="s">
        <v>112</v>
      </c>
      <c r="B127" s="101">
        <f>IF(B38=0,0,1000000*B38/TrRoad_act!B70)</f>
        <v>0</v>
      </c>
      <c r="C127" s="101">
        <f>IF(C38=0,0,1000000*C38/TrRoad_act!C70)</f>
        <v>0</v>
      </c>
      <c r="D127" s="101">
        <f>IF(D38=0,0,1000000*D38/TrRoad_act!D70)</f>
        <v>0</v>
      </c>
      <c r="E127" s="101">
        <f>IF(E38=0,0,1000000*E38/TrRoad_act!E70)</f>
        <v>0</v>
      </c>
      <c r="F127" s="101">
        <f>IF(F38=0,0,1000000*F38/TrRoad_act!F70)</f>
        <v>0</v>
      </c>
      <c r="G127" s="101">
        <f>IF(G38=0,0,1000000*G38/TrRoad_act!G70)</f>
        <v>0</v>
      </c>
      <c r="H127" s="101">
        <f>IF(H38=0,0,1000000*H38/TrRoad_act!H70)</f>
        <v>0</v>
      </c>
      <c r="I127" s="101">
        <f>IF(I38=0,0,1000000*I38/TrRoad_act!I70)</f>
        <v>0</v>
      </c>
      <c r="J127" s="101">
        <f>IF(J38=0,0,1000000*J38/TrRoad_act!J70)</f>
        <v>0</v>
      </c>
      <c r="K127" s="101">
        <f>IF(K38=0,0,1000000*K38/TrRoad_act!K70)</f>
        <v>0</v>
      </c>
      <c r="L127" s="101">
        <f>IF(L38=0,0,1000000*L38/TrRoad_act!L70)</f>
        <v>7763.2960643321594</v>
      </c>
      <c r="M127" s="101">
        <f>IF(M38=0,0,1000000*M38/TrRoad_act!M70)</f>
        <v>8002.7863607591062</v>
      </c>
      <c r="N127" s="101">
        <f>IF(N38=0,0,1000000*N38/TrRoad_act!N70)</f>
        <v>8170.7679879203542</v>
      </c>
      <c r="O127" s="101">
        <f>IF(O38=0,0,1000000*O38/TrRoad_act!O70)</f>
        <v>8073.417338455135</v>
      </c>
      <c r="P127" s="101">
        <f>IF(P38=0,0,1000000*P38/TrRoad_act!P70)</f>
        <v>8177.7525716295977</v>
      </c>
      <c r="Q127" s="101">
        <f>IF(Q38=0,0,1000000*Q38/TrRoad_act!Q70)</f>
        <v>8429.9791646997091</v>
      </c>
      <c r="R127" s="101">
        <f>IF(R38=0,0,1000000*R38/TrRoad_act!R70)</f>
        <v>8838.0669107245376</v>
      </c>
      <c r="S127" s="101">
        <f>IF(S38=0,0,1000000*S38/TrRoad_act!S70)</f>
        <v>8832.878063852917</v>
      </c>
      <c r="T127" s="101">
        <f>IF(T38=0,0,1000000*T38/TrRoad_act!T70)</f>
        <v>9237.5066507530573</v>
      </c>
      <c r="U127" s="101">
        <f>IF(U38=0,0,1000000*U38/TrRoad_act!U70)</f>
        <v>7139.6530729573597</v>
      </c>
      <c r="V127" s="101">
        <f>IF(V38=0,0,1000000*V38/TrRoad_act!V70)</f>
        <v>6240.3997195575557</v>
      </c>
      <c r="W127" s="101">
        <f>IF(W38=0,0,1000000*W38/TrRoad_act!W70)</f>
        <v>7962.6728058339213</v>
      </c>
      <c r="X127" s="101">
        <f>IF(X38=0,0,1000000*X38/TrRoad_act!X70)</f>
        <v>8838.0209455208478</v>
      </c>
      <c r="Y127" s="101">
        <f>IF(Y38=0,0,1000000*Y38/TrRoad_act!Y70)</f>
        <v>9553.9085805383202</v>
      </c>
      <c r="DA127" s="175" t="s">
        <v>727</v>
      </c>
    </row>
    <row r="128" spans="1:105" ht="11.45" customHeight="1" x14ac:dyDescent="0.25">
      <c r="A128" s="111" t="s">
        <v>113</v>
      </c>
      <c r="B128" s="101">
        <f>IF(B39=0,0,1000000*B39/TrRoad_act!B71)</f>
        <v>27263.385273577576</v>
      </c>
      <c r="C128" s="101">
        <f>IF(C39=0,0,1000000*C39/TrRoad_act!C71)</f>
        <v>23389.572260412813</v>
      </c>
      <c r="D128" s="101">
        <f>IF(D39=0,0,1000000*D39/TrRoad_act!D71)</f>
        <v>22546.430241904993</v>
      </c>
      <c r="E128" s="101">
        <f>IF(E39=0,0,1000000*E39/TrRoad_act!E71)</f>
        <v>21599.229644659164</v>
      </c>
      <c r="F128" s="101">
        <f>IF(F39=0,0,1000000*F39/TrRoad_act!F71)</f>
        <v>20782.763527343835</v>
      </c>
      <c r="G128" s="101">
        <f>IF(G39=0,0,1000000*G39/TrRoad_act!G71)</f>
        <v>19531.633690821414</v>
      </c>
      <c r="H128" s="101">
        <f>IF(H39=0,0,1000000*H39/TrRoad_act!H71)</f>
        <v>18848.056625169782</v>
      </c>
      <c r="I128" s="101">
        <f>IF(I39=0,0,1000000*I39/TrRoad_act!I71)</f>
        <v>19044.50587324033</v>
      </c>
      <c r="J128" s="101">
        <f>IF(J39=0,0,1000000*J39/TrRoad_act!J71)</f>
        <v>18658.90847721944</v>
      </c>
      <c r="K128" s="101">
        <f>IF(K39=0,0,1000000*K39/TrRoad_act!K71)</f>
        <v>17945.718719579432</v>
      </c>
      <c r="L128" s="101">
        <f>IF(L39=0,0,1000000*L39/TrRoad_act!L71)</f>
        <v>18729.882979475631</v>
      </c>
      <c r="M128" s="101">
        <f>IF(M39=0,0,1000000*M39/TrRoad_act!M71)</f>
        <v>19310.660667753094</v>
      </c>
      <c r="N128" s="101">
        <f>IF(N39=0,0,1000000*N39/TrRoad_act!N71)</f>
        <v>19118.05642674449</v>
      </c>
      <c r="O128" s="101">
        <f>IF(O39=0,0,1000000*O39/TrRoad_act!O71)</f>
        <v>20637.208291495866</v>
      </c>
      <c r="P128" s="101">
        <f>IF(P39=0,0,1000000*P39/TrRoad_act!P71)</f>
        <v>21147.214031530981</v>
      </c>
      <c r="Q128" s="101">
        <f>IF(Q39=0,0,1000000*Q39/TrRoad_act!Q71)</f>
        <v>25956.182437092084</v>
      </c>
      <c r="R128" s="101">
        <f>IF(R39=0,0,1000000*R39/TrRoad_act!R71)</f>
        <v>27096.753978912599</v>
      </c>
      <c r="S128" s="101">
        <f>IF(S39=0,0,1000000*S39/TrRoad_act!S71)</f>
        <v>30592.962869257382</v>
      </c>
      <c r="T128" s="101">
        <f>IF(T39=0,0,1000000*T39/TrRoad_act!T71)</f>
        <v>22729.847911543406</v>
      </c>
      <c r="U128" s="101">
        <f>IF(U39=0,0,1000000*U39/TrRoad_act!U71)</f>
        <v>37378.586408266056</v>
      </c>
      <c r="V128" s="101">
        <f>IF(V39=0,0,1000000*V39/TrRoad_act!V71)</f>
        <v>35271.409475092987</v>
      </c>
      <c r="W128" s="101">
        <f>IF(W39=0,0,1000000*W39/TrRoad_act!W71)</f>
        <v>30239.785564531099</v>
      </c>
      <c r="X128" s="101">
        <f>IF(X39=0,0,1000000*X39/TrRoad_act!X71)</f>
        <v>42230.501074125008</v>
      </c>
      <c r="Y128" s="101">
        <f>IF(Y39=0,0,1000000*Y39/TrRoad_act!Y71)</f>
        <v>40272.680988521286</v>
      </c>
      <c r="DA128" s="175" t="s">
        <v>728</v>
      </c>
    </row>
    <row r="129" spans="1:105" ht="11.45" customHeight="1" x14ac:dyDescent="0.25">
      <c r="A129" s="111" t="s">
        <v>115</v>
      </c>
      <c r="B129" s="101">
        <f>IF(B41=0,0,1000000*B41/TrRoad_act!B72)</f>
        <v>0</v>
      </c>
      <c r="C129" s="101">
        <f>IF(C41=0,0,1000000*C41/TrRoad_act!C72)</f>
        <v>0</v>
      </c>
      <c r="D129" s="101">
        <f>IF(D41=0,0,1000000*D41/TrRoad_act!D72)</f>
        <v>0</v>
      </c>
      <c r="E129" s="101">
        <f>IF(E41=0,0,1000000*E41/TrRoad_act!E72)</f>
        <v>0</v>
      </c>
      <c r="F129" s="101">
        <f>IF(F41=0,0,1000000*F41/TrRoad_act!F72)</f>
        <v>0</v>
      </c>
      <c r="G129" s="101">
        <f>IF(G41=0,0,1000000*G41/TrRoad_act!G72)</f>
        <v>0</v>
      </c>
      <c r="H129" s="101">
        <f>IF(H41=0,0,1000000*H41/TrRoad_act!H72)</f>
        <v>0</v>
      </c>
      <c r="I129" s="101">
        <f>IF(I41=0,0,1000000*I41/TrRoad_act!I72)</f>
        <v>0</v>
      </c>
      <c r="J129" s="101">
        <f>IF(J41=0,0,1000000*J41/TrRoad_act!J72)</f>
        <v>0</v>
      </c>
      <c r="K129" s="101">
        <f>IF(K41=0,0,1000000*K41/TrRoad_act!K72)</f>
        <v>0</v>
      </c>
      <c r="L129" s="101">
        <f>IF(L41=0,0,1000000*L41/TrRoad_act!L72)</f>
        <v>10469.654509922198</v>
      </c>
      <c r="M129" s="101">
        <f>IF(M41=0,0,1000000*M41/TrRoad_act!M72)</f>
        <v>10479.796260806392</v>
      </c>
      <c r="N129" s="101">
        <f>IF(N41=0,0,1000000*N41/TrRoad_act!N72)</f>
        <v>10262.747435568959</v>
      </c>
      <c r="O129" s="101">
        <f>IF(O41=0,0,1000000*O41/TrRoad_act!O72)</f>
        <v>10273.52231981769</v>
      </c>
      <c r="P129" s="101">
        <f>IF(P41=0,0,1000000*P41/TrRoad_act!P72)</f>
        <v>10278.489710320056</v>
      </c>
      <c r="Q129" s="101">
        <f>IF(Q41=0,0,1000000*Q41/TrRoad_act!Q72)</f>
        <v>10288.443418864295</v>
      </c>
      <c r="R129" s="101">
        <f>IF(R41=0,0,1000000*R41/TrRoad_act!R72)</f>
        <v>10263.350932130917</v>
      </c>
      <c r="S129" s="101">
        <f>IF(S41=0,0,1000000*S41/TrRoad_act!S72)</f>
        <v>10405.534924842028</v>
      </c>
      <c r="T129" s="101">
        <f>IF(T41=0,0,1000000*T41/TrRoad_act!T72)</f>
        <v>10507.434966957981</v>
      </c>
      <c r="U129" s="101">
        <f>IF(U41=0,0,1000000*U41/TrRoad_act!U72)</f>
        <v>10429.93909081574</v>
      </c>
      <c r="V129" s="101">
        <f>IF(V41=0,0,1000000*V41/TrRoad_act!V72)</f>
        <v>9520.3811554149015</v>
      </c>
      <c r="W129" s="101">
        <f>IF(W41=0,0,1000000*W41/TrRoad_act!W72)</f>
        <v>10348.628864977256</v>
      </c>
      <c r="X129" s="101">
        <f>IF(X41=0,0,1000000*X41/TrRoad_act!X72)</f>
        <v>10258.876356245726</v>
      </c>
      <c r="Y129" s="101">
        <f>IF(Y41=0,0,1000000*Y41/TrRoad_act!Y72)</f>
        <v>10134.986861793195</v>
      </c>
      <c r="DA129" s="175" t="s">
        <v>729</v>
      </c>
    </row>
    <row r="130" spans="1:105" ht="11.45" customHeight="1" x14ac:dyDescent="0.25">
      <c r="A130" s="27" t="s">
        <v>34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DA130" s="173"/>
    </row>
    <row r="131" spans="1:105" ht="11.45" customHeight="1" x14ac:dyDescent="0.25">
      <c r="A131" s="136" t="s">
        <v>153</v>
      </c>
      <c r="B131" s="152">
        <f>IF(B43=0,0,1000000*B43/TrRoad_act!B74)</f>
        <v>1364.8873197435746</v>
      </c>
      <c r="C131" s="152">
        <f>IF(C43=0,0,1000000*C43/TrRoad_act!C74)</f>
        <v>1196.3988067706582</v>
      </c>
      <c r="D131" s="152">
        <f>IF(D43=0,0,1000000*D43/TrRoad_act!D74)</f>
        <v>1225.2024628774498</v>
      </c>
      <c r="E131" s="152">
        <f>IF(E43=0,0,1000000*E43/TrRoad_act!E74)</f>
        <v>1301.7674771323391</v>
      </c>
      <c r="F131" s="152">
        <f>IF(F43=0,0,1000000*F43/TrRoad_act!F74)</f>
        <v>1220.6560883866096</v>
      </c>
      <c r="G131" s="152">
        <f>IF(G43=0,0,1000000*G43/TrRoad_act!G74)</f>
        <v>1127.5829240536477</v>
      </c>
      <c r="H131" s="152">
        <f>IF(H43=0,0,1000000*H43/TrRoad_act!H74)</f>
        <v>1094.3734217500119</v>
      </c>
      <c r="I131" s="152">
        <f>IF(I43=0,0,1000000*I43/TrRoad_act!I74)</f>
        <v>1009.51659309347</v>
      </c>
      <c r="J131" s="152">
        <f>IF(J43=0,0,1000000*J43/TrRoad_act!J74)</f>
        <v>992.82997687478053</v>
      </c>
      <c r="K131" s="152">
        <f>IF(K43=0,0,1000000*K43/TrRoad_act!K74)</f>
        <v>985.48356538841495</v>
      </c>
      <c r="L131" s="152">
        <f>IF(L43=0,0,1000000*L43/TrRoad_act!L74)</f>
        <v>952.13832068188435</v>
      </c>
      <c r="M131" s="152">
        <f>IF(M43=0,0,1000000*M43/TrRoad_act!M74)</f>
        <v>839.13597772299238</v>
      </c>
      <c r="N131" s="152">
        <f>IF(N43=0,0,1000000*N43/TrRoad_act!N74)</f>
        <v>797.98518956716657</v>
      </c>
      <c r="O131" s="152">
        <f>IF(O43=0,0,1000000*O43/TrRoad_act!O74)</f>
        <v>763.5870285563434</v>
      </c>
      <c r="P131" s="152">
        <f>IF(P43=0,0,1000000*P43/TrRoad_act!P74)</f>
        <v>744.07786228963948</v>
      </c>
      <c r="Q131" s="152">
        <f>IF(Q43=0,0,1000000*Q43/TrRoad_act!Q74)</f>
        <v>755.78820868633591</v>
      </c>
      <c r="R131" s="152">
        <f>IF(R43=0,0,1000000*R43/TrRoad_act!R74)</f>
        <v>778.54867366743247</v>
      </c>
      <c r="S131" s="152">
        <f>IF(S43=0,0,1000000*S43/TrRoad_act!S74)</f>
        <v>786.30284209526519</v>
      </c>
      <c r="T131" s="152">
        <f>IF(T43=0,0,1000000*T43/TrRoad_act!T74)</f>
        <v>779.56389914951387</v>
      </c>
      <c r="U131" s="152">
        <f>IF(U43=0,0,1000000*U43/TrRoad_act!U74)</f>
        <v>716.97152634282816</v>
      </c>
      <c r="V131" s="152">
        <f>IF(V43=0,0,1000000*V43/TrRoad_act!V74)</f>
        <v>655.47579375581665</v>
      </c>
      <c r="W131" s="152">
        <f>IF(W43=0,0,1000000*W43/TrRoad_act!W74)</f>
        <v>728.03827962148011</v>
      </c>
      <c r="X131" s="152">
        <f>IF(X43=0,0,1000000*X43/TrRoad_act!X74)</f>
        <v>817.44043659089687</v>
      </c>
      <c r="Y131" s="152">
        <f>IF(Y43=0,0,1000000*Y43/TrRoad_act!Y74)</f>
        <v>921.15147234341919</v>
      </c>
      <c r="DA131" s="174" t="s">
        <v>730</v>
      </c>
    </row>
    <row r="132" spans="1:105" ht="11.45" customHeight="1" x14ac:dyDescent="0.25">
      <c r="A132" s="111" t="s">
        <v>110</v>
      </c>
      <c r="B132" s="87">
        <f>IF(B44=0,0,1000000*B44/TrRoad_act!B75)</f>
        <v>1023.2472204420452</v>
      </c>
      <c r="C132" s="87">
        <f>IF(C44=0,0,1000000*C44/TrRoad_act!C75)</f>
        <v>917.98504419638448</v>
      </c>
      <c r="D132" s="87">
        <f>IF(D44=0,0,1000000*D44/TrRoad_act!D75)</f>
        <v>956.34786797539459</v>
      </c>
      <c r="E132" s="87">
        <f>IF(E44=0,0,1000000*E44/TrRoad_act!E75)</f>
        <v>995.76798099014968</v>
      </c>
      <c r="F132" s="87">
        <f>IF(F44=0,0,1000000*F44/TrRoad_act!F75)</f>
        <v>936.64392370177234</v>
      </c>
      <c r="G132" s="87">
        <f>IF(G44=0,0,1000000*G44/TrRoad_act!G75)</f>
        <v>863.6266603093236</v>
      </c>
      <c r="H132" s="87">
        <f>IF(H44=0,0,1000000*H44/TrRoad_act!H75)</f>
        <v>841.80271130664062</v>
      </c>
      <c r="I132" s="87">
        <f>IF(I44=0,0,1000000*I44/TrRoad_act!I75)</f>
        <v>770.62313323086414</v>
      </c>
      <c r="J132" s="87">
        <f>IF(J44=0,0,1000000*J44/TrRoad_act!J75)</f>
        <v>763.48260387717403</v>
      </c>
      <c r="K132" s="87">
        <f>IF(K44=0,0,1000000*K44/TrRoad_act!K75)</f>
        <v>765.41177900635455</v>
      </c>
      <c r="L132" s="87">
        <f>IF(L44=0,0,1000000*L44/TrRoad_act!L75)</f>
        <v>742.19165228310419</v>
      </c>
      <c r="M132" s="87">
        <f>IF(M44=0,0,1000000*M44/TrRoad_act!M75)</f>
        <v>653.59360447916117</v>
      </c>
      <c r="N132" s="87">
        <f>IF(N44=0,0,1000000*N44/TrRoad_act!N75)</f>
        <v>634.44300472727957</v>
      </c>
      <c r="O132" s="87">
        <f>IF(O44=0,0,1000000*O44/TrRoad_act!O75)</f>
        <v>608.02921917305764</v>
      </c>
      <c r="P132" s="87">
        <f>IF(P44=0,0,1000000*P44/TrRoad_act!P75)</f>
        <v>624.89922268539578</v>
      </c>
      <c r="Q132" s="87">
        <f>IF(Q44=0,0,1000000*Q44/TrRoad_act!Q75)</f>
        <v>637.26509360542502</v>
      </c>
      <c r="R132" s="87">
        <f>IF(R44=0,0,1000000*R44/TrRoad_act!R75)</f>
        <v>622.70920092515098</v>
      </c>
      <c r="S132" s="87">
        <f>IF(S44=0,0,1000000*S44/TrRoad_act!S75)</f>
        <v>604.64349387720654</v>
      </c>
      <c r="T132" s="87">
        <f>IF(T44=0,0,1000000*T44/TrRoad_act!T75)</f>
        <v>578.64842236232096</v>
      </c>
      <c r="U132" s="87">
        <f>IF(U44=0,0,1000000*U44/TrRoad_act!U75)</f>
        <v>510.67902114875557</v>
      </c>
      <c r="V132" s="87">
        <f>IF(V44=0,0,1000000*V44/TrRoad_act!V75)</f>
        <v>442.65893058319534</v>
      </c>
      <c r="W132" s="87">
        <f>IF(W44=0,0,1000000*W44/TrRoad_act!W75)</f>
        <v>487.78310253741466</v>
      </c>
      <c r="X132" s="87">
        <f>IF(X44=0,0,1000000*X44/TrRoad_act!X75)</f>
        <v>557.94126701032712</v>
      </c>
      <c r="Y132" s="87">
        <f>IF(Y44=0,0,1000000*Y44/TrRoad_act!Y75)</f>
        <v>629.81669658191197</v>
      </c>
      <c r="DA132" s="171" t="s">
        <v>731</v>
      </c>
    </row>
    <row r="133" spans="1:105" ht="11.45" customHeight="1" x14ac:dyDescent="0.25">
      <c r="A133" s="111" t="s">
        <v>111</v>
      </c>
      <c r="B133" s="87">
        <f>IF(B46=0,0,1000000*B46/TrRoad_act!B76)</f>
        <v>1370.734636165804</v>
      </c>
      <c r="C133" s="87">
        <f>IF(C46=0,0,1000000*C46/TrRoad_act!C76)</f>
        <v>1200.5976731018861</v>
      </c>
      <c r="D133" s="87">
        <f>IF(D46=0,0,1000000*D46/TrRoad_act!D76)</f>
        <v>1229.106451310626</v>
      </c>
      <c r="E133" s="87">
        <f>IF(E46=0,0,1000000*E46/TrRoad_act!E76)</f>
        <v>1306.7931353612507</v>
      </c>
      <c r="F133" s="87">
        <f>IF(F46=0,0,1000000*F46/TrRoad_act!F76)</f>
        <v>1224.968350089589</v>
      </c>
      <c r="G133" s="87">
        <f>IF(G46=0,0,1000000*G46/TrRoad_act!G76)</f>
        <v>1131.4791500253812</v>
      </c>
      <c r="H133" s="87">
        <f>IF(H46=0,0,1000000*H46/TrRoad_act!H76)</f>
        <v>1097.9928528190112</v>
      </c>
      <c r="I133" s="87">
        <f>IF(I46=0,0,1000000*I46/TrRoad_act!I76)</f>
        <v>1012.8505696600732</v>
      </c>
      <c r="J133" s="87">
        <f>IF(J46=0,0,1000000*J46/TrRoad_act!J76)</f>
        <v>995.93520986319265</v>
      </c>
      <c r="K133" s="87">
        <f>IF(K46=0,0,1000000*K46/TrRoad_act!K76)</f>
        <v>988.37202264329278</v>
      </c>
      <c r="L133" s="87">
        <f>IF(L46=0,0,1000000*L46/TrRoad_act!L76)</f>
        <v>954.81314625960886</v>
      </c>
      <c r="M133" s="87">
        <f>IF(M46=0,0,1000000*M46/TrRoad_act!M76)</f>
        <v>841.25805116837103</v>
      </c>
      <c r="N133" s="87">
        <f>IF(N46=0,0,1000000*N46/TrRoad_act!N76)</f>
        <v>799.8360255512174</v>
      </c>
      <c r="O133" s="87">
        <f>IF(O46=0,0,1000000*O46/TrRoad_act!O76)</f>
        <v>765.21279380191856</v>
      </c>
      <c r="P133" s="87">
        <f>IF(P46=0,0,1000000*P46/TrRoad_act!P76)</f>
        <v>745.13527868347387</v>
      </c>
      <c r="Q133" s="87">
        <f>IF(Q46=0,0,1000000*Q46/TrRoad_act!Q76)</f>
        <v>756.96065154520761</v>
      </c>
      <c r="R133" s="87">
        <f>IF(R46=0,0,1000000*R46/TrRoad_act!R76)</f>
        <v>780.05806173407257</v>
      </c>
      <c r="S133" s="87">
        <f>IF(S46=0,0,1000000*S46/TrRoad_act!S76)</f>
        <v>788.37480376481597</v>
      </c>
      <c r="T133" s="87">
        <f>IF(T46=0,0,1000000*T46/TrRoad_act!T76)</f>
        <v>781.98836544426297</v>
      </c>
      <c r="U133" s="87">
        <f>IF(U46=0,0,1000000*U46/TrRoad_act!U76)</f>
        <v>719.98246441803508</v>
      </c>
      <c r="V133" s="87">
        <f>IF(V46=0,0,1000000*V46/TrRoad_act!V76)</f>
        <v>658.11332244010919</v>
      </c>
      <c r="W133" s="87">
        <f>IF(W46=0,0,1000000*W46/TrRoad_act!W76)</f>
        <v>731.10885311033417</v>
      </c>
      <c r="X133" s="87">
        <f>IF(X46=0,0,1000000*X46/TrRoad_act!X76)</f>
        <v>821.27771563625515</v>
      </c>
      <c r="Y133" s="87">
        <f>IF(Y46=0,0,1000000*Y46/TrRoad_act!Y76)</f>
        <v>926.81289394871351</v>
      </c>
      <c r="DA133" s="171" t="s">
        <v>732</v>
      </c>
    </row>
    <row r="134" spans="1:105" ht="11.45" customHeight="1" x14ac:dyDescent="0.25">
      <c r="A134" s="111" t="s">
        <v>112</v>
      </c>
      <c r="B134" s="87">
        <f>IF(B48=0,0,1000000*B48/TrRoad_act!B77)</f>
        <v>1809.1965634409848</v>
      </c>
      <c r="C134" s="87">
        <f>IF(C48=0,0,1000000*C48/TrRoad_act!C77)</f>
        <v>1647.0880550329985</v>
      </c>
      <c r="D134" s="87">
        <f>IF(D48=0,0,1000000*D48/TrRoad_act!D77)</f>
        <v>1685.0687247735414</v>
      </c>
      <c r="E134" s="87">
        <f>IF(E48=0,0,1000000*E48/TrRoad_act!E77)</f>
        <v>1730.7853817465632</v>
      </c>
      <c r="F134" s="87">
        <f>IF(F48=0,0,1000000*F48/TrRoad_act!F77)</f>
        <v>1639.7597484989699</v>
      </c>
      <c r="G134" s="87">
        <f>IF(G48=0,0,1000000*G48/TrRoad_act!G77)</f>
        <v>1517.1069342841001</v>
      </c>
      <c r="H134" s="87">
        <f>IF(H48=0,0,1000000*H48/TrRoad_act!H77)</f>
        <v>1475.1312938483284</v>
      </c>
      <c r="I134" s="87">
        <f>IF(I48=0,0,1000000*I48/TrRoad_act!I77)</f>
        <v>1360.1339726539388</v>
      </c>
      <c r="J134" s="87">
        <f>IF(J48=0,0,1000000*J48/TrRoad_act!J77)</f>
        <v>1339.7609204016096</v>
      </c>
      <c r="K134" s="87">
        <f>IF(K48=0,0,1000000*K48/TrRoad_act!K77)</f>
        <v>1331.404033100787</v>
      </c>
      <c r="L134" s="87">
        <f>IF(L48=0,0,1000000*L48/TrRoad_act!L77)</f>
        <v>1297.5542298743842</v>
      </c>
      <c r="M134" s="87">
        <f>IF(M48=0,0,1000000*M48/TrRoad_act!M77)</f>
        <v>1148.6088824479748</v>
      </c>
      <c r="N134" s="87">
        <f>IF(N48=0,0,1000000*N48/TrRoad_act!N77)</f>
        <v>1082.0021574913414</v>
      </c>
      <c r="O134" s="87">
        <f>IF(O48=0,0,1000000*O48/TrRoad_act!O77)</f>
        <v>1046.4529061686303</v>
      </c>
      <c r="P134" s="87">
        <f>IF(P48=0,0,1000000*P48/TrRoad_act!P77)</f>
        <v>1018.3501472297372</v>
      </c>
      <c r="Q134" s="87">
        <f>IF(Q48=0,0,1000000*Q48/TrRoad_act!Q77)</f>
        <v>1045.3434581513675</v>
      </c>
      <c r="R134" s="87">
        <f>IF(R48=0,0,1000000*R48/TrRoad_act!R77)</f>
        <v>1025.6627278496708</v>
      </c>
      <c r="S134" s="87">
        <f>IF(S48=0,0,1000000*S48/TrRoad_act!S77)</f>
        <v>998.16998255158558</v>
      </c>
      <c r="T134" s="87">
        <f>IF(T48=0,0,1000000*T48/TrRoad_act!T77)</f>
        <v>939.72081915695094</v>
      </c>
      <c r="U134" s="87">
        <f>IF(U48=0,0,1000000*U48/TrRoad_act!U77)</f>
        <v>804.96932532012352</v>
      </c>
      <c r="V134" s="87">
        <f>IF(V48=0,0,1000000*V48/TrRoad_act!V77)</f>
        <v>721.05404763196043</v>
      </c>
      <c r="W134" s="87">
        <f>IF(W48=0,0,1000000*W48/TrRoad_act!W77)</f>
        <v>772.49427603815684</v>
      </c>
      <c r="X134" s="87">
        <f>IF(X48=0,0,1000000*X48/TrRoad_act!X77)</f>
        <v>863.52053560113836</v>
      </c>
      <c r="Y134" s="87">
        <f>IF(Y48=0,0,1000000*Y48/TrRoad_act!Y77)</f>
        <v>934.68053637798755</v>
      </c>
      <c r="DA134" s="171" t="s">
        <v>733</v>
      </c>
    </row>
    <row r="135" spans="1:105" ht="11.45" customHeight="1" x14ac:dyDescent="0.25">
      <c r="A135" s="111" t="s">
        <v>113</v>
      </c>
      <c r="B135" s="87">
        <f>IF(B49=0,0,1000000*B49/TrRoad_act!B78)</f>
        <v>0</v>
      </c>
      <c r="C135" s="87">
        <f>IF(C49=0,0,1000000*C49/TrRoad_act!C78)</f>
        <v>0</v>
      </c>
      <c r="D135" s="87">
        <f>IF(D49=0,0,1000000*D49/TrRoad_act!D78)</f>
        <v>0</v>
      </c>
      <c r="E135" s="87">
        <f>IF(E49=0,0,1000000*E49/TrRoad_act!E78)</f>
        <v>0</v>
      </c>
      <c r="F135" s="87">
        <f>IF(F49=0,0,1000000*F49/TrRoad_act!F78)</f>
        <v>0</v>
      </c>
      <c r="G135" s="87">
        <f>IF(G49=0,0,1000000*G49/TrRoad_act!G78)</f>
        <v>0</v>
      </c>
      <c r="H135" s="87">
        <f>IF(H49=0,0,1000000*H49/TrRoad_act!H78)</f>
        <v>0</v>
      </c>
      <c r="I135" s="87">
        <f>IF(I49=0,0,1000000*I49/TrRoad_act!I78)</f>
        <v>0</v>
      </c>
      <c r="J135" s="87">
        <f>IF(J49=0,0,1000000*J49/TrRoad_act!J78)</f>
        <v>0</v>
      </c>
      <c r="K135" s="87">
        <f>IF(K49=0,0,1000000*K49/TrRoad_act!K78)</f>
        <v>0</v>
      </c>
      <c r="L135" s="87">
        <f>IF(L49=0,0,1000000*L49/TrRoad_act!L78)</f>
        <v>0</v>
      </c>
      <c r="M135" s="87">
        <f>IF(M49=0,0,1000000*M49/TrRoad_act!M78)</f>
        <v>0</v>
      </c>
      <c r="N135" s="87">
        <f>IF(N49=0,0,1000000*N49/TrRoad_act!N78)</f>
        <v>0</v>
      </c>
      <c r="O135" s="87">
        <f>IF(O49=0,0,1000000*O49/TrRoad_act!O78)</f>
        <v>784.00056160046938</v>
      </c>
      <c r="P135" s="87">
        <f>IF(P49=0,0,1000000*P49/TrRoad_act!P78)</f>
        <v>791.47217825746236</v>
      </c>
      <c r="Q135" s="87">
        <f>IF(Q49=0,0,1000000*Q49/TrRoad_act!Q78)</f>
        <v>908.73846308764621</v>
      </c>
      <c r="R135" s="87">
        <f>IF(R49=0,0,1000000*R49/TrRoad_act!R78)</f>
        <v>860.62473269379052</v>
      </c>
      <c r="S135" s="87">
        <f>IF(S49=0,0,1000000*S49/TrRoad_act!S78)</f>
        <v>851.2055724037175</v>
      </c>
      <c r="T135" s="87">
        <f>IF(T49=0,0,1000000*T49/TrRoad_act!T78)</f>
        <v>853.96949488395092</v>
      </c>
      <c r="U135" s="87">
        <f>IF(U49=0,0,1000000*U49/TrRoad_act!U78)</f>
        <v>874.45749098403212</v>
      </c>
      <c r="V135" s="87">
        <f>IF(V49=0,0,1000000*V49/TrRoad_act!V78)</f>
        <v>791.2968097744066</v>
      </c>
      <c r="W135" s="87">
        <f>IF(W49=0,0,1000000*W49/TrRoad_act!W78)</f>
        <v>866.00989901292883</v>
      </c>
      <c r="X135" s="87">
        <f>IF(X49=0,0,1000000*X49/TrRoad_act!X78)</f>
        <v>964.30014737439137</v>
      </c>
      <c r="Y135" s="87">
        <f>IF(Y49=0,0,1000000*Y49/TrRoad_act!Y78)</f>
        <v>1044.609611080575</v>
      </c>
      <c r="DA135" s="171" t="s">
        <v>734</v>
      </c>
    </row>
    <row r="136" spans="1:105" ht="11.45" customHeight="1" x14ac:dyDescent="0.25">
      <c r="A136" s="111" t="s">
        <v>115</v>
      </c>
      <c r="B136" s="87">
        <f>IF(B51=0,0,1000000*B51/TrRoad_act!B79)</f>
        <v>0</v>
      </c>
      <c r="C136" s="87">
        <f>IF(C51=0,0,1000000*C51/TrRoad_act!C79)</f>
        <v>0</v>
      </c>
      <c r="D136" s="87">
        <f>IF(D51=0,0,1000000*D51/TrRoad_act!D79)</f>
        <v>0</v>
      </c>
      <c r="E136" s="87">
        <f>IF(E51=0,0,1000000*E51/TrRoad_act!E79)</f>
        <v>0</v>
      </c>
      <c r="F136" s="87">
        <f>IF(F51=0,0,1000000*F51/TrRoad_act!F79)</f>
        <v>0</v>
      </c>
      <c r="G136" s="87">
        <f>IF(G51=0,0,1000000*G51/TrRoad_act!G79)</f>
        <v>0</v>
      </c>
      <c r="H136" s="87">
        <f>IF(H51=0,0,1000000*H51/TrRoad_act!H79)</f>
        <v>0</v>
      </c>
      <c r="I136" s="87">
        <f>IF(I51=0,0,1000000*I51/TrRoad_act!I79)</f>
        <v>0</v>
      </c>
      <c r="J136" s="87">
        <f>IF(J51=0,0,1000000*J51/TrRoad_act!J79)</f>
        <v>0</v>
      </c>
      <c r="K136" s="87">
        <f>IF(K51=0,0,1000000*K51/TrRoad_act!K79)</f>
        <v>0</v>
      </c>
      <c r="L136" s="87">
        <f>IF(L51=0,0,1000000*L51/TrRoad_act!L79)</f>
        <v>0</v>
      </c>
      <c r="M136" s="87">
        <f>IF(M51=0,0,1000000*M51/TrRoad_act!M79)</f>
        <v>106.11986364227376</v>
      </c>
      <c r="N136" s="87">
        <f>IF(N51=0,0,1000000*N51/TrRoad_act!N79)</f>
        <v>105.97536332078353</v>
      </c>
      <c r="O136" s="87">
        <f>IF(O51=0,0,1000000*O51/TrRoad_act!O79)</f>
        <v>110.04445694954674</v>
      </c>
      <c r="P136" s="87">
        <f>IF(P51=0,0,1000000*P51/TrRoad_act!P79)</f>
        <v>111.47445793610827</v>
      </c>
      <c r="Q136" s="87">
        <f>IF(Q51=0,0,1000000*Q51/TrRoad_act!Q79)</f>
        <v>113.92833024260831</v>
      </c>
      <c r="R136" s="87">
        <f>IF(R51=0,0,1000000*R51/TrRoad_act!R79)</f>
        <v>115.76734959931676</v>
      </c>
      <c r="S136" s="87">
        <f>IF(S51=0,0,1000000*S51/TrRoad_act!S79)</f>
        <v>118.22741858856995</v>
      </c>
      <c r="T136" s="87">
        <f>IF(T51=0,0,1000000*T51/TrRoad_act!T79)</f>
        <v>123.73726303182704</v>
      </c>
      <c r="U136" s="87">
        <f>IF(U51=0,0,1000000*U51/TrRoad_act!U79)</f>
        <v>128.74613226367512</v>
      </c>
      <c r="V136" s="87">
        <f>IF(V51=0,0,1000000*V51/TrRoad_act!V79)</f>
        <v>127.1066595656376</v>
      </c>
      <c r="W136" s="87">
        <f>IF(W51=0,0,1000000*W51/TrRoad_act!W79)</f>
        <v>142.11551957622029</v>
      </c>
      <c r="X136" s="87">
        <f>IF(X51=0,0,1000000*X51/TrRoad_act!X79)</f>
        <v>152.58206723578974</v>
      </c>
      <c r="Y136" s="87">
        <f>IF(Y51=0,0,1000000*Y51/TrRoad_act!Y79)</f>
        <v>153.7353648637125</v>
      </c>
      <c r="DA136" s="171" t="s">
        <v>735</v>
      </c>
    </row>
    <row r="137" spans="1:105" ht="11.45" customHeight="1" x14ac:dyDescent="0.25">
      <c r="A137" s="109" t="s">
        <v>154</v>
      </c>
      <c r="B137" s="116">
        <f>IF(B52=0,0,1000000*B52/TrRoad_act!B80)</f>
        <v>6040.219217963845</v>
      </c>
      <c r="C137" s="116">
        <f>IF(C52=0,0,1000000*C52/TrRoad_act!C80)</f>
        <v>7033.5270015682963</v>
      </c>
      <c r="D137" s="116">
        <f>IF(D52=0,0,1000000*D52/TrRoad_act!D80)</f>
        <v>6858.2818336186838</v>
      </c>
      <c r="E137" s="116">
        <f>IF(E52=0,0,1000000*E52/TrRoad_act!E80)</f>
        <v>8351.4421007509045</v>
      </c>
      <c r="F137" s="116">
        <f>IF(F52=0,0,1000000*F52/TrRoad_act!F80)</f>
        <v>10713.321809383309</v>
      </c>
      <c r="G137" s="116">
        <f>IF(G52=0,0,1000000*G52/TrRoad_act!G80)</f>
        <v>11141.836149042003</v>
      </c>
      <c r="H137" s="116">
        <f>IF(H52=0,0,1000000*H52/TrRoad_act!H80)</f>
        <v>11377.811293328063</v>
      </c>
      <c r="I137" s="116">
        <f>IF(I52=0,0,1000000*I52/TrRoad_act!I80)</f>
        <v>11761.827282346787</v>
      </c>
      <c r="J137" s="116">
        <f>IF(J52=0,0,1000000*J52/TrRoad_act!J80)</f>
        <v>11046.085751686012</v>
      </c>
      <c r="K137" s="116">
        <f>IF(K52=0,0,1000000*K52/TrRoad_act!K80)</f>
        <v>9927.5233346157038</v>
      </c>
      <c r="L137" s="116">
        <f>IF(L52=0,0,1000000*L52/TrRoad_act!L80)</f>
        <v>10288.720528264192</v>
      </c>
      <c r="M137" s="116">
        <f>IF(M52=0,0,1000000*M52/TrRoad_act!M80)</f>
        <v>10358.413612928887</v>
      </c>
      <c r="N137" s="116">
        <f>IF(N52=0,0,1000000*N52/TrRoad_act!N80)</f>
        <v>11274.018494267675</v>
      </c>
      <c r="O137" s="116">
        <f>IF(O52=0,0,1000000*O52/TrRoad_act!O80)</f>
        <v>11621.76751072781</v>
      </c>
      <c r="P137" s="116">
        <f>IF(P52=0,0,1000000*P52/TrRoad_act!P80)</f>
        <v>9572.4513743898951</v>
      </c>
      <c r="Q137" s="116">
        <f>IF(Q52=0,0,1000000*Q52/TrRoad_act!Q80)</f>
        <v>10050.690665412634</v>
      </c>
      <c r="R137" s="116">
        <f>IF(R52=0,0,1000000*R52/TrRoad_act!R80)</f>
        <v>10137.546320137404</v>
      </c>
      <c r="S137" s="116">
        <f>IF(S52=0,0,1000000*S52/TrRoad_act!S80)</f>
        <v>8795.606158816654</v>
      </c>
      <c r="T137" s="116">
        <f>IF(T52=0,0,1000000*T52/TrRoad_act!T80)</f>
        <v>8060.3629735399272</v>
      </c>
      <c r="U137" s="116">
        <f>IF(U52=0,0,1000000*U52/TrRoad_act!U80)</f>
        <v>7075.0185665667514</v>
      </c>
      <c r="V137" s="116">
        <f>IF(V52=0,0,1000000*V52/TrRoad_act!V80)</f>
        <v>6542.3775801056108</v>
      </c>
      <c r="W137" s="116">
        <f>IF(W52=0,0,1000000*W52/TrRoad_act!W80)</f>
        <v>7225.4545879676307</v>
      </c>
      <c r="X137" s="116">
        <f>IF(X52=0,0,1000000*X52/TrRoad_act!X80)</f>
        <v>7157.0185941695354</v>
      </c>
      <c r="Y137" s="116">
        <f>IF(Y52=0,0,1000000*Y52/TrRoad_act!Y80)</f>
        <v>6899.3344709272524</v>
      </c>
      <c r="DA137" s="176" t="s">
        <v>736</v>
      </c>
    </row>
    <row r="138" spans="1:105" ht="11.45" customHeight="1" x14ac:dyDescent="0.25">
      <c r="A138" s="128" t="s">
        <v>27</v>
      </c>
      <c r="B138" s="101">
        <f>IF(B53=0,0,1000000*B53/TrRoad_act!B81)</f>
        <v>4967.8328953300379</v>
      </c>
      <c r="C138" s="101">
        <f>IF(C53=0,0,1000000*C53/TrRoad_act!C81)</f>
        <v>5893.7589482805733</v>
      </c>
      <c r="D138" s="101">
        <f>IF(D53=0,0,1000000*D53/TrRoad_act!D81)</f>
        <v>5609.1272861772504</v>
      </c>
      <c r="E138" s="101">
        <f>IF(E53=0,0,1000000*E53/TrRoad_act!E81)</f>
        <v>6788.0887506928793</v>
      </c>
      <c r="F138" s="101">
        <f>IF(F53=0,0,1000000*F53/TrRoad_act!F81)</f>
        <v>8928.1464360091722</v>
      </c>
      <c r="G138" s="101">
        <f>IF(G53=0,0,1000000*G53/TrRoad_act!G81)</f>
        <v>9329.1988814616088</v>
      </c>
      <c r="H138" s="101">
        <f>IF(H53=0,0,1000000*H53/TrRoad_act!H81)</f>
        <v>9433.7467453063528</v>
      </c>
      <c r="I138" s="101">
        <f>IF(I53=0,0,1000000*I53/TrRoad_act!I81)</f>
        <v>9676.4363336627284</v>
      </c>
      <c r="J138" s="101">
        <f>IF(J53=0,0,1000000*J53/TrRoad_act!J81)</f>
        <v>9176.7369039466539</v>
      </c>
      <c r="K138" s="101">
        <f>IF(K53=0,0,1000000*K53/TrRoad_act!K81)</f>
        <v>7979.1210448943775</v>
      </c>
      <c r="L138" s="101">
        <f>IF(L53=0,0,1000000*L53/TrRoad_act!L81)</f>
        <v>8505.4281043981555</v>
      </c>
      <c r="M138" s="101">
        <f>IF(M53=0,0,1000000*M53/TrRoad_act!M81)</f>
        <v>8432.972403566464</v>
      </c>
      <c r="N138" s="101">
        <f>IF(N53=0,0,1000000*N53/TrRoad_act!N81)</f>
        <v>9073.4960698016039</v>
      </c>
      <c r="O138" s="101">
        <f>IF(O53=0,0,1000000*O53/TrRoad_act!O81)</f>
        <v>8919.5764423722812</v>
      </c>
      <c r="P138" s="101">
        <f>IF(P53=0,0,1000000*P53/TrRoad_act!P81)</f>
        <v>7082.7710968777938</v>
      </c>
      <c r="Q138" s="101">
        <f>IF(Q53=0,0,1000000*Q53/TrRoad_act!Q81)</f>
        <v>7994.4703904964263</v>
      </c>
      <c r="R138" s="101">
        <f>IF(R53=0,0,1000000*R53/TrRoad_act!R81)</f>
        <v>7817.6836909033482</v>
      </c>
      <c r="S138" s="101">
        <f>IF(S53=0,0,1000000*S53/TrRoad_act!S81)</f>
        <v>6759.7919025348174</v>
      </c>
      <c r="T138" s="101">
        <f>IF(T53=0,0,1000000*T53/TrRoad_act!T81)</f>
        <v>6080.6940746138853</v>
      </c>
      <c r="U138" s="101">
        <f>IF(U53=0,0,1000000*U53/TrRoad_act!U81)</f>
        <v>5223.2770529043619</v>
      </c>
      <c r="V138" s="101">
        <f>IF(V53=0,0,1000000*V53/TrRoad_act!V81)</f>
        <v>4795.6997085541752</v>
      </c>
      <c r="W138" s="101">
        <f>IF(W53=0,0,1000000*W53/TrRoad_act!W81)</f>
        <v>5210.5643239527026</v>
      </c>
      <c r="X138" s="101">
        <f>IF(X53=0,0,1000000*X53/TrRoad_act!X81)</f>
        <v>4982.1377101804401</v>
      </c>
      <c r="Y138" s="101">
        <f>IF(Y53=0,0,1000000*Y53/TrRoad_act!Y81)</f>
        <v>4738.610240300075</v>
      </c>
      <c r="DA138" s="175" t="s">
        <v>737</v>
      </c>
    </row>
    <row r="139" spans="1:105" ht="11.45" customHeight="1" x14ac:dyDescent="0.25">
      <c r="A139" s="138" t="s">
        <v>116</v>
      </c>
      <c r="B139" s="88">
        <f>IF(B55=0,0,1000000*B55/TrRoad_act!B82)</f>
        <v>32952.009314536059</v>
      </c>
      <c r="C139" s="88">
        <f>IF(C55=0,0,1000000*C55/TrRoad_act!C82)</f>
        <v>34462.776680262432</v>
      </c>
      <c r="D139" s="88">
        <f>IF(D55=0,0,1000000*D55/TrRoad_act!D82)</f>
        <v>35036.264464212436</v>
      </c>
      <c r="E139" s="88">
        <f>IF(E55=0,0,1000000*E55/TrRoad_act!E82)</f>
        <v>41493.75250977718</v>
      </c>
      <c r="F139" s="88">
        <f>IF(F55=0,0,1000000*F55/TrRoad_act!F82)</f>
        <v>40577.147148571319</v>
      </c>
      <c r="G139" s="88">
        <f>IF(G55=0,0,1000000*G55/TrRoad_act!G82)</f>
        <v>40067.721477112318</v>
      </c>
      <c r="H139" s="88">
        <f>IF(H55=0,0,1000000*H55/TrRoad_act!H82)</f>
        <v>40176.441271508935</v>
      </c>
      <c r="I139" s="88">
        <f>IF(I55=0,0,1000000*I55/TrRoad_act!I82)</f>
        <v>39973.194644806506</v>
      </c>
      <c r="J139" s="88">
        <f>IF(J55=0,0,1000000*J55/TrRoad_act!J82)</f>
        <v>41303.727401981989</v>
      </c>
      <c r="K139" s="88">
        <f>IF(K55=0,0,1000000*K55/TrRoad_act!K82)</f>
        <v>41751.544063873953</v>
      </c>
      <c r="L139" s="88">
        <f>IF(L55=0,0,1000000*L55/TrRoad_act!L82)</f>
        <v>42235.332909652963</v>
      </c>
      <c r="M139" s="88">
        <f>IF(M55=0,0,1000000*M55/TrRoad_act!M82)</f>
        <v>41145.544609977347</v>
      </c>
      <c r="N139" s="88">
        <f>IF(N55=0,0,1000000*N55/TrRoad_act!N82)</f>
        <v>45877.969788326671</v>
      </c>
      <c r="O139" s="88">
        <f>IF(O55=0,0,1000000*O55/TrRoad_act!O82)</f>
        <v>45705.202139787383</v>
      </c>
      <c r="P139" s="88">
        <f>IF(P55=0,0,1000000*P55/TrRoad_act!P82)</f>
        <v>44168.98654704346</v>
      </c>
      <c r="Q139" s="88">
        <f>IF(Q55=0,0,1000000*Q55/TrRoad_act!Q82)</f>
        <v>41879.847763658297</v>
      </c>
      <c r="R139" s="88">
        <f>IF(R55=0,0,1000000*R55/TrRoad_act!R82)</f>
        <v>42040.465714823207</v>
      </c>
      <c r="S139" s="88">
        <f>IF(S55=0,0,1000000*S55/TrRoad_act!S82)</f>
        <v>41454.660377312881</v>
      </c>
      <c r="T139" s="88">
        <f>IF(T55=0,0,1000000*T55/TrRoad_act!T82)</f>
        <v>41275.368963939356</v>
      </c>
      <c r="U139" s="88">
        <f>IF(U55=0,0,1000000*U55/TrRoad_act!U82)</f>
        <v>42995.090450756703</v>
      </c>
      <c r="V139" s="88">
        <f>IF(V55=0,0,1000000*V55/TrRoad_act!V82)</f>
        <v>43604.834539574244</v>
      </c>
      <c r="W139" s="88">
        <f>IF(W55=0,0,1000000*W55/TrRoad_act!W82)</f>
        <v>42021.326963671752</v>
      </c>
      <c r="X139" s="88">
        <f>IF(X55=0,0,1000000*X55/TrRoad_act!X82)</f>
        <v>43024.745535537295</v>
      </c>
      <c r="Y139" s="88">
        <f>IF(Y55=0,0,1000000*Y55/TrRoad_act!Y82)</f>
        <v>45930.517998370626</v>
      </c>
      <c r="DA139" s="178" t="s">
        <v>738</v>
      </c>
    </row>
    <row r="140" spans="1:105" x14ac:dyDescent="0.25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DA140" s="171"/>
    </row>
    <row r="141" spans="1:105" ht="11.45" customHeight="1" x14ac:dyDescent="0.25">
      <c r="A141" s="53" t="s">
        <v>40</v>
      </c>
      <c r="B141" s="76">
        <f t="shared" ref="B141:K141" si="38">IF(B17=0,0,B17/B$17)</f>
        <v>1</v>
      </c>
      <c r="C141" s="76">
        <f t="shared" si="38"/>
        <v>1</v>
      </c>
      <c r="D141" s="76">
        <f t="shared" si="38"/>
        <v>1</v>
      </c>
      <c r="E141" s="76">
        <f t="shared" si="38"/>
        <v>1</v>
      </c>
      <c r="F141" s="76">
        <f t="shared" si="38"/>
        <v>1</v>
      </c>
      <c r="G141" s="76">
        <f t="shared" si="38"/>
        <v>1</v>
      </c>
      <c r="H141" s="76">
        <f t="shared" si="38"/>
        <v>1</v>
      </c>
      <c r="I141" s="76">
        <f t="shared" si="38"/>
        <v>1</v>
      </c>
      <c r="J141" s="76">
        <f t="shared" si="38"/>
        <v>1</v>
      </c>
      <c r="K141" s="76">
        <f t="shared" si="38"/>
        <v>1</v>
      </c>
      <c r="L141" s="76">
        <f t="shared" ref="L141" si="39">IF(L17=0,0,L17/L$17)</f>
        <v>1</v>
      </c>
      <c r="M141" s="76">
        <f t="shared" ref="M141:V141" si="40">IF(M17=0,0,M17/M$17)</f>
        <v>1</v>
      </c>
      <c r="N141" s="76">
        <f t="shared" si="40"/>
        <v>1</v>
      </c>
      <c r="O141" s="76">
        <f t="shared" si="40"/>
        <v>1</v>
      </c>
      <c r="P141" s="76">
        <f t="shared" si="40"/>
        <v>1</v>
      </c>
      <c r="Q141" s="76">
        <f t="shared" si="40"/>
        <v>1</v>
      </c>
      <c r="R141" s="76">
        <f t="shared" si="40"/>
        <v>1</v>
      </c>
      <c r="S141" s="76">
        <f t="shared" si="40"/>
        <v>1</v>
      </c>
      <c r="T141" s="76">
        <f t="shared" si="40"/>
        <v>1</v>
      </c>
      <c r="U141" s="76">
        <f t="shared" si="40"/>
        <v>1</v>
      </c>
      <c r="V141" s="76">
        <f t="shared" si="40"/>
        <v>1</v>
      </c>
      <c r="W141" s="76">
        <f t="shared" ref="W141:Y141" si="41">IF(W17=0,0,W17/W$17)</f>
        <v>1</v>
      </c>
      <c r="X141" s="76">
        <f t="shared" si="41"/>
        <v>1</v>
      </c>
      <c r="Y141" s="76">
        <f t="shared" si="41"/>
        <v>1</v>
      </c>
      <c r="DA141" s="183"/>
    </row>
    <row r="142" spans="1:105" ht="11.45" customHeight="1" x14ac:dyDescent="0.25">
      <c r="A142" s="27" t="s">
        <v>33</v>
      </c>
      <c r="B142" s="46">
        <f t="shared" ref="B142:K142" si="42">IF(B18=0,0,B18/B$17)</f>
        <v>0.58372965670297239</v>
      </c>
      <c r="C142" s="46">
        <f t="shared" si="42"/>
        <v>0.57886980675684108</v>
      </c>
      <c r="D142" s="46">
        <f t="shared" si="42"/>
        <v>0.59607336069268146</v>
      </c>
      <c r="E142" s="46">
        <f t="shared" si="42"/>
        <v>0.60466197323257531</v>
      </c>
      <c r="F142" s="46">
        <f t="shared" si="42"/>
        <v>0.60606097014530913</v>
      </c>
      <c r="G142" s="46">
        <f t="shared" si="42"/>
        <v>0.60114433118980892</v>
      </c>
      <c r="H142" s="46">
        <f t="shared" si="42"/>
        <v>0.60288263429538946</v>
      </c>
      <c r="I142" s="46">
        <f t="shared" si="42"/>
        <v>0.60806263454115062</v>
      </c>
      <c r="J142" s="46">
        <f t="shared" si="42"/>
        <v>0.61596583882413825</v>
      </c>
      <c r="K142" s="46">
        <f t="shared" si="42"/>
        <v>0.62895388890319737</v>
      </c>
      <c r="L142" s="46">
        <f t="shared" ref="L142" si="43">IF(L18=0,0,L18/L$17)</f>
        <v>0.6335927511927143</v>
      </c>
      <c r="M142" s="46">
        <f t="shared" ref="M142:V142" si="44">IF(M18=0,0,M18/M$17)</f>
        <v>0.64230355169928244</v>
      </c>
      <c r="N142" s="46">
        <f t="shared" si="44"/>
        <v>0.66315532984149139</v>
      </c>
      <c r="O142" s="46">
        <f t="shared" si="44"/>
        <v>0.67417344037022586</v>
      </c>
      <c r="P142" s="46">
        <f t="shared" si="44"/>
        <v>0.68012313734623631</v>
      </c>
      <c r="Q142" s="46">
        <f t="shared" si="44"/>
        <v>0.6798121873065015</v>
      </c>
      <c r="R142" s="46">
        <f t="shared" si="44"/>
        <v>0.68320259544269879</v>
      </c>
      <c r="S142" s="46">
        <f t="shared" si="44"/>
        <v>0.68621539068517734</v>
      </c>
      <c r="T142" s="46">
        <f t="shared" si="44"/>
        <v>0.68864968636576729</v>
      </c>
      <c r="U142" s="46">
        <f t="shared" si="44"/>
        <v>0.69221418105702326</v>
      </c>
      <c r="V142" s="46">
        <f t="shared" si="44"/>
        <v>0.69112394640314423</v>
      </c>
      <c r="W142" s="46">
        <f t="shared" ref="W142:Y142" si="45">IF(W18=0,0,W18/W$17)</f>
        <v>0.68987452028981133</v>
      </c>
      <c r="X142" s="46">
        <f t="shared" si="45"/>
        <v>0.6836410774647953</v>
      </c>
      <c r="Y142" s="46">
        <f t="shared" si="45"/>
        <v>0.68663986086491513</v>
      </c>
      <c r="DA142" s="211"/>
    </row>
    <row r="143" spans="1:105" ht="11.45" customHeight="1" x14ac:dyDescent="0.25">
      <c r="A143" s="153" t="s">
        <v>173</v>
      </c>
      <c r="B143" s="154">
        <f t="shared" ref="B143:K143" si="46">IF(B19=0,0,B19/B$17)</f>
        <v>9.7199507822293245E-3</v>
      </c>
      <c r="C143" s="154">
        <f t="shared" si="46"/>
        <v>9.7516696127766863E-3</v>
      </c>
      <c r="D143" s="154">
        <f t="shared" si="46"/>
        <v>1.0103954092586492E-2</v>
      </c>
      <c r="E143" s="154">
        <f t="shared" si="46"/>
        <v>1.001278257545812E-2</v>
      </c>
      <c r="F143" s="154">
        <f t="shared" si="46"/>
        <v>1.0359750513508039E-2</v>
      </c>
      <c r="G143" s="154">
        <f t="shared" si="46"/>
        <v>1.1282657411390675E-2</v>
      </c>
      <c r="H143" s="154">
        <f t="shared" si="46"/>
        <v>1.1740603336383437E-2</v>
      </c>
      <c r="I143" s="154">
        <f t="shared" si="46"/>
        <v>1.1090471225985624E-2</v>
      </c>
      <c r="J143" s="154">
        <f t="shared" si="46"/>
        <v>1.112398019821772E-2</v>
      </c>
      <c r="K143" s="154">
        <f t="shared" si="46"/>
        <v>1.040935815885901E-2</v>
      </c>
      <c r="L143" s="154">
        <f t="shared" ref="L143" si="47">IF(L19=0,0,L19/L$17)</f>
        <v>9.8388828854590969E-3</v>
      </c>
      <c r="M143" s="154">
        <f t="shared" ref="M143:V143" si="48">IF(M19=0,0,M19/M$17)</f>
        <v>1.0176038097545153E-2</v>
      </c>
      <c r="N143" s="154">
        <f t="shared" si="48"/>
        <v>1.1027315514451743E-2</v>
      </c>
      <c r="O143" s="154">
        <f t="shared" si="48"/>
        <v>1.0952580288313111E-2</v>
      </c>
      <c r="P143" s="154">
        <f t="shared" si="48"/>
        <v>1.0499566341249076E-2</v>
      </c>
      <c r="Q143" s="154">
        <f t="shared" si="48"/>
        <v>9.8480854996997463E-3</v>
      </c>
      <c r="R143" s="154">
        <f t="shared" si="48"/>
        <v>1.0161599554624281E-2</v>
      </c>
      <c r="S143" s="154">
        <f t="shared" si="48"/>
        <v>9.9280448302486446E-3</v>
      </c>
      <c r="T143" s="154">
        <f t="shared" si="48"/>
        <v>9.3420542423830761E-3</v>
      </c>
      <c r="U143" s="154">
        <f t="shared" si="48"/>
        <v>9.6322765140741257E-3</v>
      </c>
      <c r="V143" s="154">
        <f t="shared" si="48"/>
        <v>1.0035757889119869E-2</v>
      </c>
      <c r="W143" s="154">
        <f t="shared" ref="W143:Y143" si="49">IF(W19=0,0,W19/W$17)</f>
        <v>9.5647071188450835E-3</v>
      </c>
      <c r="X143" s="154">
        <f t="shared" si="49"/>
        <v>9.219410143697487E-3</v>
      </c>
      <c r="Y143" s="154">
        <f t="shared" si="49"/>
        <v>9.46420686802453E-3</v>
      </c>
      <c r="DA143" s="212"/>
    </row>
    <row r="144" spans="1:105" ht="11.45" customHeight="1" x14ac:dyDescent="0.25">
      <c r="A144" s="155" t="s">
        <v>20</v>
      </c>
      <c r="B144" s="156">
        <f t="shared" ref="B144:K144" si="50">IF(B21=0,0,B21/B$17)</f>
        <v>0.517544740513733</v>
      </c>
      <c r="C144" s="156">
        <f t="shared" si="50"/>
        <v>0.5133930410183406</v>
      </c>
      <c r="D144" s="156">
        <f t="shared" si="50"/>
        <v>0.53175734746346537</v>
      </c>
      <c r="E144" s="156">
        <f t="shared" si="50"/>
        <v>0.5443002558371387</v>
      </c>
      <c r="F144" s="156">
        <f t="shared" si="50"/>
        <v>0.54777521376027483</v>
      </c>
      <c r="G144" s="156">
        <f t="shared" si="50"/>
        <v>0.55850495065215178</v>
      </c>
      <c r="H144" s="156">
        <f t="shared" si="50"/>
        <v>0.55988828779407906</v>
      </c>
      <c r="I144" s="156">
        <f t="shared" si="50"/>
        <v>0.56479762431901226</v>
      </c>
      <c r="J144" s="156">
        <f t="shared" si="50"/>
        <v>0.57159542273292729</v>
      </c>
      <c r="K144" s="156">
        <f t="shared" si="50"/>
        <v>0.5842874559048592</v>
      </c>
      <c r="L144" s="156">
        <f t="shared" ref="L144" si="51">IF(L21=0,0,L21/L$17)</f>
        <v>0.58853566537566371</v>
      </c>
      <c r="M144" s="156">
        <f t="shared" ref="M144:V144" si="52">IF(M21=0,0,M21/M$17)</f>
        <v>0.59427835782355343</v>
      </c>
      <c r="N144" s="156">
        <f t="shared" si="52"/>
        <v>0.61880811501533084</v>
      </c>
      <c r="O144" s="156">
        <f t="shared" si="52"/>
        <v>0.63060531795839914</v>
      </c>
      <c r="P144" s="156">
        <f t="shared" si="52"/>
        <v>0.6302500523809792</v>
      </c>
      <c r="Q144" s="156">
        <f t="shared" si="52"/>
        <v>0.63050990913967619</v>
      </c>
      <c r="R144" s="156">
        <f t="shared" si="52"/>
        <v>0.63211614917071079</v>
      </c>
      <c r="S144" s="156">
        <f t="shared" si="52"/>
        <v>0.63436997841481413</v>
      </c>
      <c r="T144" s="156">
        <f t="shared" si="52"/>
        <v>0.63575873107583525</v>
      </c>
      <c r="U144" s="156">
        <f t="shared" si="52"/>
        <v>0.64324025591265543</v>
      </c>
      <c r="V144" s="156">
        <f t="shared" si="52"/>
        <v>0.64540937252349306</v>
      </c>
      <c r="W144" s="156">
        <f t="shared" ref="W144:Y144" si="53">IF(W21=0,0,W21/W$17)</f>
        <v>0.63914516697978963</v>
      </c>
      <c r="X144" s="156">
        <f t="shared" si="53"/>
        <v>0.6283698073800259</v>
      </c>
      <c r="Y144" s="156">
        <f t="shared" si="53"/>
        <v>0.63156580759448722</v>
      </c>
      <c r="DA144" s="213"/>
    </row>
    <row r="145" spans="1:105" ht="11.45" customHeight="1" x14ac:dyDescent="0.25">
      <c r="A145" s="157" t="s">
        <v>110</v>
      </c>
      <c r="B145" s="103">
        <f t="shared" ref="B145:K145" si="54">IF(B22=0,0,B22/B$17)</f>
        <v>0.38360276867168147</v>
      </c>
      <c r="C145" s="103">
        <f t="shared" si="54"/>
        <v>0.35519744719087787</v>
      </c>
      <c r="D145" s="103">
        <f t="shared" si="54"/>
        <v>0.35720069174821661</v>
      </c>
      <c r="E145" s="103">
        <f t="shared" si="54"/>
        <v>0.32649124351272324</v>
      </c>
      <c r="F145" s="103">
        <f t="shared" si="54"/>
        <v>0.30465386566482694</v>
      </c>
      <c r="G145" s="103">
        <f t="shared" si="54"/>
        <v>0.29733465034055012</v>
      </c>
      <c r="H145" s="103">
        <f t="shared" si="54"/>
        <v>0.27305007375447771</v>
      </c>
      <c r="I145" s="103">
        <f t="shared" si="54"/>
        <v>0.25652900103748305</v>
      </c>
      <c r="J145" s="103">
        <f t="shared" si="54"/>
        <v>0.2390680188745973</v>
      </c>
      <c r="K145" s="103">
        <f t="shared" si="54"/>
        <v>0.23639409899952249</v>
      </c>
      <c r="L145" s="103">
        <f t="shared" ref="L145" si="55">IF(L22=0,0,L22/L$17)</f>
        <v>0.22381838015799568</v>
      </c>
      <c r="M145" s="103">
        <f t="shared" ref="M145:V145" si="56">IF(M22=0,0,M22/M$17)</f>
        <v>0.21654584721855002</v>
      </c>
      <c r="N145" s="103">
        <f t="shared" si="56"/>
        <v>0.21284782273396025</v>
      </c>
      <c r="O145" s="103">
        <f t="shared" si="56"/>
        <v>0.21134930834582852</v>
      </c>
      <c r="P145" s="103">
        <f t="shared" si="56"/>
        <v>0.20754199557690298</v>
      </c>
      <c r="Q145" s="103">
        <f t="shared" si="56"/>
        <v>0.20022110238264235</v>
      </c>
      <c r="R145" s="103">
        <f t="shared" si="56"/>
        <v>0.19372594942241195</v>
      </c>
      <c r="S145" s="103">
        <f t="shared" si="56"/>
        <v>0.18644581154816856</v>
      </c>
      <c r="T145" s="103">
        <f t="shared" si="56"/>
        <v>0.1835899408365165</v>
      </c>
      <c r="U145" s="103">
        <f t="shared" si="56"/>
        <v>0.18448953870635651</v>
      </c>
      <c r="V145" s="103">
        <f t="shared" si="56"/>
        <v>0.17961465121283351</v>
      </c>
      <c r="W145" s="103">
        <f t="shared" ref="W145:Y145" si="57">IF(W22=0,0,W22/W$17)</f>
        <v>0.18130775878464953</v>
      </c>
      <c r="X145" s="103">
        <f t="shared" si="57"/>
        <v>0.18824894719042051</v>
      </c>
      <c r="Y145" s="103">
        <f t="shared" si="57"/>
        <v>0.19624871044955303</v>
      </c>
      <c r="DA145" s="191"/>
    </row>
    <row r="146" spans="1:105" ht="11.45" customHeight="1" x14ac:dyDescent="0.25">
      <c r="A146" s="157" t="s">
        <v>111</v>
      </c>
      <c r="B146" s="103">
        <f t="shared" ref="B146:K146" si="58">IF(B24=0,0,B24/B$17)</f>
        <v>0.13025986403869244</v>
      </c>
      <c r="C146" s="103">
        <f t="shared" si="58"/>
        <v>0.15453731989739514</v>
      </c>
      <c r="D146" s="103">
        <f t="shared" si="58"/>
        <v>0.17119309615977865</v>
      </c>
      <c r="E146" s="103">
        <f t="shared" si="58"/>
        <v>0.21446463295177701</v>
      </c>
      <c r="F146" s="103">
        <f t="shared" si="58"/>
        <v>0.23984080733399474</v>
      </c>
      <c r="G146" s="103">
        <f t="shared" si="58"/>
        <v>0.25736596352665642</v>
      </c>
      <c r="H146" s="103">
        <f t="shared" si="58"/>
        <v>0.28321725129096209</v>
      </c>
      <c r="I146" s="103">
        <f t="shared" si="58"/>
        <v>0.30453366656424974</v>
      </c>
      <c r="J146" s="103">
        <f t="shared" si="58"/>
        <v>0.32844253621396474</v>
      </c>
      <c r="K146" s="103">
        <f t="shared" si="58"/>
        <v>0.34269240136180168</v>
      </c>
      <c r="L146" s="103">
        <f t="shared" ref="L146" si="59">IF(L24=0,0,L24/L$17)</f>
        <v>0.35968217296808525</v>
      </c>
      <c r="M146" s="103">
        <f t="shared" ref="M146:V146" si="60">IF(M24=0,0,M24/M$17)</f>
        <v>0.37306809014517844</v>
      </c>
      <c r="N146" s="103">
        <f t="shared" si="60"/>
        <v>0.39958277520169494</v>
      </c>
      <c r="O146" s="103">
        <f t="shared" si="60"/>
        <v>0.41232746071507609</v>
      </c>
      <c r="P146" s="103">
        <f t="shared" si="60"/>
        <v>0.41565548480157161</v>
      </c>
      <c r="Q146" s="103">
        <f t="shared" si="60"/>
        <v>0.42287896827534166</v>
      </c>
      <c r="R146" s="103">
        <f t="shared" si="60"/>
        <v>0.43079977534833624</v>
      </c>
      <c r="S146" s="103">
        <f t="shared" si="60"/>
        <v>0.44015005943455071</v>
      </c>
      <c r="T146" s="103">
        <f t="shared" si="60"/>
        <v>0.44394166477395497</v>
      </c>
      <c r="U146" s="103">
        <f t="shared" si="60"/>
        <v>0.44970981590456038</v>
      </c>
      <c r="V146" s="103">
        <f t="shared" si="60"/>
        <v>0.45679002139584401</v>
      </c>
      <c r="W146" s="103">
        <f t="shared" ref="W146:Y146" si="61">IF(W24=0,0,W24/W$17)</f>
        <v>0.44751152676829531</v>
      </c>
      <c r="X146" s="103">
        <f t="shared" si="61"/>
        <v>0.42805111951306052</v>
      </c>
      <c r="Y146" s="103">
        <f t="shared" si="61"/>
        <v>0.41972687901499073</v>
      </c>
      <c r="DA146" s="191"/>
    </row>
    <row r="147" spans="1:105" ht="11.45" customHeight="1" x14ac:dyDescent="0.25">
      <c r="A147" s="157" t="s">
        <v>112</v>
      </c>
      <c r="B147" s="103">
        <f t="shared" ref="B147:K147" si="62">IF(B26=0,0,B26/B$17)</f>
        <v>3.6821078033591041E-3</v>
      </c>
      <c r="C147" s="103">
        <f t="shared" si="62"/>
        <v>3.6582739300675847E-3</v>
      </c>
      <c r="D147" s="103">
        <f t="shared" si="62"/>
        <v>3.3635595554701763E-3</v>
      </c>
      <c r="E147" s="103">
        <f t="shared" si="62"/>
        <v>3.3443793726385253E-3</v>
      </c>
      <c r="F147" s="103">
        <f t="shared" si="62"/>
        <v>3.2805407614531394E-3</v>
      </c>
      <c r="G147" s="103">
        <f t="shared" si="62"/>
        <v>3.8043367849452518E-3</v>
      </c>
      <c r="H147" s="103">
        <f t="shared" si="62"/>
        <v>3.6209627486392831E-3</v>
      </c>
      <c r="I147" s="103">
        <f t="shared" si="62"/>
        <v>3.7349567172795042E-3</v>
      </c>
      <c r="J147" s="103">
        <f t="shared" si="62"/>
        <v>4.0841493745793402E-3</v>
      </c>
      <c r="K147" s="103">
        <f t="shared" si="62"/>
        <v>5.2002043749046489E-3</v>
      </c>
      <c r="L147" s="103">
        <f t="shared" ref="L147" si="63">IF(L26=0,0,L26/L$17)</f>
        <v>5.016302282516121E-3</v>
      </c>
      <c r="M147" s="103">
        <f t="shared" ref="M147:V147" si="64">IF(M26=0,0,M26/M$17)</f>
        <v>4.6553388904978033E-3</v>
      </c>
      <c r="N147" s="103">
        <f t="shared" si="64"/>
        <v>6.3626495654370953E-3</v>
      </c>
      <c r="O147" s="103">
        <f t="shared" si="64"/>
        <v>6.9057424429022803E-3</v>
      </c>
      <c r="P147" s="103">
        <f t="shared" si="64"/>
        <v>7.022780606760687E-3</v>
      </c>
      <c r="Q147" s="103">
        <f t="shared" si="64"/>
        <v>7.3351879312640537E-3</v>
      </c>
      <c r="R147" s="103">
        <f t="shared" si="64"/>
        <v>7.4118764674662978E-3</v>
      </c>
      <c r="S147" s="103">
        <f t="shared" si="64"/>
        <v>7.3012466390583201E-3</v>
      </c>
      <c r="T147" s="103">
        <f t="shared" si="64"/>
        <v>7.1078084210334175E-3</v>
      </c>
      <c r="U147" s="103">
        <f t="shared" si="64"/>
        <v>7.0685178984108577E-3</v>
      </c>
      <c r="V147" s="103">
        <f t="shared" si="64"/>
        <v>6.2819643161450044E-3</v>
      </c>
      <c r="W147" s="103">
        <f t="shared" ref="W147:Y147" si="65">IF(W26=0,0,W26/W$17)</f>
        <v>6.2478051226951591E-3</v>
      </c>
      <c r="X147" s="103">
        <f t="shared" si="65"/>
        <v>6.544140463177508E-3</v>
      </c>
      <c r="Y147" s="103">
        <f t="shared" si="65"/>
        <v>7.7876549061702046E-3</v>
      </c>
      <c r="DA147" s="191"/>
    </row>
    <row r="148" spans="1:105" ht="11.45" customHeight="1" x14ac:dyDescent="0.25">
      <c r="A148" s="157" t="s">
        <v>113</v>
      </c>
      <c r="B148" s="103">
        <f t="shared" ref="B148:K148" si="66">IF(B27=0,0,B27/B$17)</f>
        <v>0</v>
      </c>
      <c r="C148" s="103">
        <f t="shared" si="66"/>
        <v>0</v>
      </c>
      <c r="D148" s="103">
        <f t="shared" si="66"/>
        <v>0</v>
      </c>
      <c r="E148" s="103">
        <f t="shared" si="66"/>
        <v>0</v>
      </c>
      <c r="F148" s="103">
        <f t="shared" si="66"/>
        <v>0</v>
      </c>
      <c r="G148" s="103">
        <f t="shared" si="66"/>
        <v>0</v>
      </c>
      <c r="H148" s="103">
        <f t="shared" si="66"/>
        <v>0</v>
      </c>
      <c r="I148" s="103">
        <f t="shared" si="66"/>
        <v>0</v>
      </c>
      <c r="J148" s="103">
        <f t="shared" si="66"/>
        <v>0</v>
      </c>
      <c r="K148" s="103">
        <f t="shared" si="66"/>
        <v>0</v>
      </c>
      <c r="L148" s="103">
        <f t="shared" ref="L148" si="67">IF(L27=0,0,L27/L$17)</f>
        <v>3.1750568637864153E-7</v>
      </c>
      <c r="M148" s="103">
        <f t="shared" ref="M148:V148" si="68">IF(M27=0,0,M27/M$17)</f>
        <v>3.1685906490825489E-7</v>
      </c>
      <c r="N148" s="103">
        <f t="shared" si="68"/>
        <v>1.0371189777793471E-6</v>
      </c>
      <c r="O148" s="103">
        <f t="shared" si="68"/>
        <v>3.1357685493303003E-6</v>
      </c>
      <c r="P148" s="103">
        <f t="shared" si="68"/>
        <v>3.2497829831132568E-6</v>
      </c>
      <c r="Q148" s="103">
        <f t="shared" si="68"/>
        <v>3.85362543576519E-6</v>
      </c>
      <c r="R148" s="103">
        <f t="shared" si="68"/>
        <v>4.3162246553570265E-6</v>
      </c>
      <c r="S148" s="103">
        <f t="shared" si="68"/>
        <v>4.988000499238298E-6</v>
      </c>
      <c r="T148" s="103">
        <f t="shared" si="68"/>
        <v>5.7650362368331819E-6</v>
      </c>
      <c r="U148" s="103">
        <f t="shared" si="68"/>
        <v>1.0164340601553093E-5</v>
      </c>
      <c r="V148" s="103">
        <f t="shared" si="68"/>
        <v>1.2729421779795234E-5</v>
      </c>
      <c r="W148" s="103">
        <f t="shared" ref="W148:Y148" si="69">IF(W27=0,0,W27/W$17)</f>
        <v>1.4649017903130635E-5</v>
      </c>
      <c r="X148" s="103">
        <f t="shared" si="69"/>
        <v>1.4759705828307904E-5</v>
      </c>
      <c r="Y148" s="103">
        <f t="shared" si="69"/>
        <v>1.4759442348889235E-5</v>
      </c>
      <c r="DA148" s="191"/>
    </row>
    <row r="149" spans="1:105" ht="11.45" customHeight="1" x14ac:dyDescent="0.25">
      <c r="A149" s="157" t="s">
        <v>114</v>
      </c>
      <c r="B149" s="103">
        <f t="shared" ref="B149:K149" si="70">IF(B29=0,0,B29/B$17)</f>
        <v>0</v>
      </c>
      <c r="C149" s="103">
        <f t="shared" si="70"/>
        <v>0</v>
      </c>
      <c r="D149" s="103">
        <f t="shared" si="70"/>
        <v>0</v>
      </c>
      <c r="E149" s="103">
        <f t="shared" si="70"/>
        <v>0</v>
      </c>
      <c r="F149" s="103">
        <f t="shared" si="70"/>
        <v>0</v>
      </c>
      <c r="G149" s="103">
        <f t="shared" si="70"/>
        <v>0</v>
      </c>
      <c r="H149" s="103">
        <f t="shared" si="70"/>
        <v>0</v>
      </c>
      <c r="I149" s="103">
        <f t="shared" si="70"/>
        <v>0</v>
      </c>
      <c r="J149" s="103">
        <f t="shared" si="70"/>
        <v>0</v>
      </c>
      <c r="K149" s="103">
        <f t="shared" si="70"/>
        <v>0</v>
      </c>
      <c r="L149" s="103">
        <f t="shared" ref="L149" si="71">IF(L29=0,0,L29/L$17)</f>
        <v>0</v>
      </c>
      <c r="M149" s="103">
        <f t="shared" ref="M149:V149" si="72">IF(M29=0,0,M29/M$17)</f>
        <v>9.0916107491372668E-7</v>
      </c>
      <c r="N149" s="103">
        <f t="shared" si="72"/>
        <v>3.2590769741667033E-6</v>
      </c>
      <c r="O149" s="103">
        <f t="shared" si="72"/>
        <v>5.9102087834638936E-6</v>
      </c>
      <c r="P149" s="103">
        <f t="shared" si="72"/>
        <v>1.1319668293533017E-5</v>
      </c>
      <c r="Q149" s="103">
        <f t="shared" si="72"/>
        <v>4.059553588763681E-5</v>
      </c>
      <c r="R149" s="103">
        <f t="shared" si="72"/>
        <v>1.0100058814944606E-4</v>
      </c>
      <c r="S149" s="103">
        <f t="shared" si="72"/>
        <v>2.402256267649494E-4</v>
      </c>
      <c r="T149" s="103">
        <f t="shared" si="72"/>
        <v>5.4015624510148671E-4</v>
      </c>
      <c r="U149" s="103">
        <f t="shared" si="72"/>
        <v>9.3949390056699447E-4</v>
      </c>
      <c r="V149" s="103">
        <f t="shared" si="72"/>
        <v>1.4261623078162158E-3</v>
      </c>
      <c r="W149" s="103">
        <f t="shared" ref="W149:Y149" si="73">IF(W29=0,0,W29/W$17)</f>
        <v>2.1140731378383616E-3</v>
      </c>
      <c r="X149" s="103">
        <f t="shared" si="73"/>
        <v>3.0041069241419182E-3</v>
      </c>
      <c r="Y149" s="103">
        <f t="shared" si="73"/>
        <v>4.1977045476943196E-3</v>
      </c>
      <c r="DA149" s="191"/>
    </row>
    <row r="150" spans="1:105" ht="11.45" customHeight="1" x14ac:dyDescent="0.25">
      <c r="A150" s="157" t="s">
        <v>115</v>
      </c>
      <c r="B150" s="103">
        <f t="shared" ref="B150:K150" si="74">IF(B32=0,0,B32/B$17)</f>
        <v>0</v>
      </c>
      <c r="C150" s="103">
        <f t="shared" si="74"/>
        <v>0</v>
      </c>
      <c r="D150" s="103">
        <f t="shared" si="74"/>
        <v>0</v>
      </c>
      <c r="E150" s="103">
        <f t="shared" si="74"/>
        <v>0</v>
      </c>
      <c r="F150" s="103">
        <f t="shared" si="74"/>
        <v>0</v>
      </c>
      <c r="G150" s="103">
        <f t="shared" si="74"/>
        <v>0</v>
      </c>
      <c r="H150" s="103">
        <f t="shared" si="74"/>
        <v>0</v>
      </c>
      <c r="I150" s="103">
        <f t="shared" si="74"/>
        <v>0</v>
      </c>
      <c r="J150" s="103">
        <f t="shared" si="74"/>
        <v>7.1826978591019169E-7</v>
      </c>
      <c r="K150" s="103">
        <f t="shared" si="74"/>
        <v>7.5116863038630751E-7</v>
      </c>
      <c r="L150" s="103">
        <f t="shared" ref="L150" si="75">IF(L32=0,0,L32/L$17)</f>
        <v>1.8492461380310386E-5</v>
      </c>
      <c r="M150" s="103">
        <f t="shared" ref="M150:V150" si="76">IF(M32=0,0,M32/M$17)</f>
        <v>7.8555491873879337E-6</v>
      </c>
      <c r="N150" s="103">
        <f t="shared" si="76"/>
        <v>1.057131828661721E-5</v>
      </c>
      <c r="O150" s="103">
        <f t="shared" si="76"/>
        <v>1.3760477259502116E-5</v>
      </c>
      <c r="P150" s="103">
        <f t="shared" si="76"/>
        <v>1.5221944467231215E-5</v>
      </c>
      <c r="Q150" s="103">
        <f t="shared" si="76"/>
        <v>3.0201389104609458E-5</v>
      </c>
      <c r="R150" s="103">
        <f t="shared" si="76"/>
        <v>7.3231119691457623E-5</v>
      </c>
      <c r="S150" s="103">
        <f t="shared" si="76"/>
        <v>2.2764716577230014E-4</v>
      </c>
      <c r="T150" s="103">
        <f t="shared" si="76"/>
        <v>5.733957629920377E-4</v>
      </c>
      <c r="U150" s="103">
        <f t="shared" si="76"/>
        <v>1.0227251621590455E-3</v>
      </c>
      <c r="V150" s="103">
        <f t="shared" si="76"/>
        <v>1.2838438690744903E-3</v>
      </c>
      <c r="W150" s="103">
        <f t="shared" ref="W150:Y150" si="77">IF(W32=0,0,W32/W$17)</f>
        <v>1.9493541484082721E-3</v>
      </c>
      <c r="X150" s="103">
        <f t="shared" si="77"/>
        <v>2.5067335833971766E-3</v>
      </c>
      <c r="Y150" s="103">
        <f t="shared" si="77"/>
        <v>3.5900992337299302E-3</v>
      </c>
      <c r="DA150" s="191"/>
    </row>
    <row r="151" spans="1:105" ht="11.45" customHeight="1" x14ac:dyDescent="0.25">
      <c r="A151" s="155" t="s">
        <v>21</v>
      </c>
      <c r="B151" s="156">
        <f t="shared" ref="B151:K151" si="78">IF(B33=0,0,B33/B$17)</f>
        <v>5.6464965407010091E-2</v>
      </c>
      <c r="C151" s="156">
        <f t="shared" si="78"/>
        <v>5.5725096125723801E-2</v>
      </c>
      <c r="D151" s="156">
        <f t="shared" si="78"/>
        <v>5.4212059136629576E-2</v>
      </c>
      <c r="E151" s="156">
        <f t="shared" si="78"/>
        <v>5.0348934819978458E-2</v>
      </c>
      <c r="F151" s="156">
        <f t="shared" si="78"/>
        <v>4.7926005871526248E-2</v>
      </c>
      <c r="G151" s="156">
        <f t="shared" si="78"/>
        <v>3.1356723126266452E-2</v>
      </c>
      <c r="H151" s="156">
        <f t="shared" si="78"/>
        <v>3.1253743164926968E-2</v>
      </c>
      <c r="I151" s="156">
        <f t="shared" si="78"/>
        <v>3.2174538996152642E-2</v>
      </c>
      <c r="J151" s="156">
        <f t="shared" si="78"/>
        <v>3.3246435892993309E-2</v>
      </c>
      <c r="K151" s="156">
        <f t="shared" si="78"/>
        <v>3.4257074839479103E-2</v>
      </c>
      <c r="L151" s="156">
        <f t="shared" ref="L151" si="79">IF(L33=0,0,L33/L$17)</f>
        <v>3.521820293159144E-2</v>
      </c>
      <c r="M151" s="156">
        <f t="shared" ref="M151:V151" si="80">IF(M33=0,0,M33/M$17)</f>
        <v>3.7849155778183832E-2</v>
      </c>
      <c r="N151" s="156">
        <f t="shared" si="80"/>
        <v>3.3319899311708853E-2</v>
      </c>
      <c r="O151" s="156">
        <f t="shared" si="80"/>
        <v>3.2615542123513634E-2</v>
      </c>
      <c r="P151" s="156">
        <f t="shared" si="80"/>
        <v>3.9373518624008064E-2</v>
      </c>
      <c r="Q151" s="156">
        <f t="shared" si="80"/>
        <v>3.9454192667125521E-2</v>
      </c>
      <c r="R151" s="156">
        <f t="shared" si="80"/>
        <v>4.0924846717363697E-2</v>
      </c>
      <c r="S151" s="156">
        <f t="shared" si="80"/>
        <v>4.1917367440114643E-2</v>
      </c>
      <c r="T151" s="156">
        <f t="shared" si="80"/>
        <v>4.3548901047548945E-2</v>
      </c>
      <c r="U151" s="156">
        <f t="shared" si="80"/>
        <v>3.9341648630293727E-2</v>
      </c>
      <c r="V151" s="156">
        <f t="shared" si="80"/>
        <v>3.5678815990531333E-2</v>
      </c>
      <c r="W151" s="156">
        <f t="shared" ref="W151:Y151" si="81">IF(W33=0,0,W33/W$17)</f>
        <v>4.1164646191176588E-2</v>
      </c>
      <c r="X151" s="156">
        <f t="shared" si="81"/>
        <v>4.6051859941071915E-2</v>
      </c>
      <c r="Y151" s="156">
        <f t="shared" si="81"/>
        <v>4.560984640240337E-2</v>
      </c>
      <c r="DA151" s="213"/>
    </row>
    <row r="152" spans="1:105" ht="11.45" customHeight="1" x14ac:dyDescent="0.25">
      <c r="A152" s="157" t="s">
        <v>110</v>
      </c>
      <c r="B152" s="103">
        <f t="shared" ref="B152:K152" si="82">IF(B34=0,0,B34/B$17)</f>
        <v>0</v>
      </c>
      <c r="C152" s="103">
        <f t="shared" si="82"/>
        <v>0</v>
      </c>
      <c r="D152" s="103">
        <f t="shared" si="82"/>
        <v>0</v>
      </c>
      <c r="E152" s="103">
        <f t="shared" si="82"/>
        <v>0</v>
      </c>
      <c r="F152" s="103">
        <f t="shared" si="82"/>
        <v>0</v>
      </c>
      <c r="G152" s="103">
        <f t="shared" si="82"/>
        <v>0</v>
      </c>
      <c r="H152" s="103">
        <f t="shared" si="82"/>
        <v>0</v>
      </c>
      <c r="I152" s="103">
        <f t="shared" si="82"/>
        <v>0</v>
      </c>
      <c r="J152" s="103">
        <f t="shared" si="82"/>
        <v>0</v>
      </c>
      <c r="K152" s="103">
        <f t="shared" si="82"/>
        <v>0</v>
      </c>
      <c r="L152" s="103">
        <f t="shared" ref="L152" si="83">IF(L34=0,0,L34/L$17)</f>
        <v>1.5503545786336137E-6</v>
      </c>
      <c r="M152" s="103">
        <f t="shared" ref="M152:V152" si="84">IF(M34=0,0,M34/M$17)</f>
        <v>1.7196308667342462E-6</v>
      </c>
      <c r="N152" s="103">
        <f t="shared" si="84"/>
        <v>1.9124735130371706E-6</v>
      </c>
      <c r="O152" s="103">
        <f t="shared" si="84"/>
        <v>2.2246928530558087E-6</v>
      </c>
      <c r="P152" s="103">
        <f t="shared" si="84"/>
        <v>2.1953700584189635E-6</v>
      </c>
      <c r="Q152" s="103">
        <f t="shared" si="84"/>
        <v>2.5277325294611774E-6</v>
      </c>
      <c r="R152" s="103">
        <f t="shared" si="84"/>
        <v>2.8843671611568833E-6</v>
      </c>
      <c r="S152" s="103">
        <f t="shared" si="84"/>
        <v>2.5180449467507787E-6</v>
      </c>
      <c r="T152" s="103">
        <f t="shared" si="84"/>
        <v>2.6109403109837205E-6</v>
      </c>
      <c r="U152" s="103">
        <f t="shared" si="84"/>
        <v>2.176267355564185E-6</v>
      </c>
      <c r="V152" s="103">
        <f t="shared" si="84"/>
        <v>1.9773714772129454E-6</v>
      </c>
      <c r="W152" s="103">
        <f t="shared" ref="W152:Y152" si="85">IF(W34=0,0,W34/W$17)</f>
        <v>2.3164089193409611E-6</v>
      </c>
      <c r="X152" s="103">
        <f t="shared" si="85"/>
        <v>2.4172291679447449E-6</v>
      </c>
      <c r="Y152" s="103">
        <f t="shared" si="85"/>
        <v>2.4476797671286942E-6</v>
      </c>
      <c r="DA152" s="191"/>
    </row>
    <row r="153" spans="1:105" ht="11.45" customHeight="1" x14ac:dyDescent="0.25">
      <c r="A153" s="157" t="s">
        <v>111</v>
      </c>
      <c r="B153" s="103">
        <f t="shared" ref="B153:K153" si="86">IF(B36=0,0,B36/B$17)</f>
        <v>5.6269402227098031E-2</v>
      </c>
      <c r="C153" s="103">
        <f t="shared" si="86"/>
        <v>5.4945755313558935E-2</v>
      </c>
      <c r="D153" s="103">
        <f t="shared" si="86"/>
        <v>5.3051829324073423E-2</v>
      </c>
      <c r="E153" s="103">
        <f t="shared" si="86"/>
        <v>4.8921645508898375E-2</v>
      </c>
      <c r="F153" s="103">
        <f t="shared" si="86"/>
        <v>4.6477484645300583E-2</v>
      </c>
      <c r="G153" s="103">
        <f t="shared" si="86"/>
        <v>2.956789339016707E-2</v>
      </c>
      <c r="H153" s="103">
        <f t="shared" si="86"/>
        <v>2.9582078843632977E-2</v>
      </c>
      <c r="I153" s="103">
        <f t="shared" si="86"/>
        <v>3.0308915771627282E-2</v>
      </c>
      <c r="J153" s="103">
        <f t="shared" si="86"/>
        <v>3.1305893951633801E-2</v>
      </c>
      <c r="K153" s="103">
        <f t="shared" si="86"/>
        <v>3.2308545988452009E-2</v>
      </c>
      <c r="L153" s="103">
        <f t="shared" ref="L153" si="87">IF(L36=0,0,L36/L$17)</f>
        <v>3.3153101560659613E-2</v>
      </c>
      <c r="M153" s="103">
        <f t="shared" ref="M153:V153" si="88">IF(M36=0,0,M36/M$17)</f>
        <v>3.5624970229228711E-2</v>
      </c>
      <c r="N153" s="103">
        <f t="shared" si="88"/>
        <v>3.0988858590839823E-2</v>
      </c>
      <c r="O153" s="103">
        <f t="shared" si="88"/>
        <v>3.016614017250346E-2</v>
      </c>
      <c r="P153" s="103">
        <f t="shared" si="88"/>
        <v>3.7007843398057592E-2</v>
      </c>
      <c r="Q153" s="103">
        <f t="shared" si="88"/>
        <v>3.6748605870652318E-2</v>
      </c>
      <c r="R153" s="103">
        <f t="shared" si="88"/>
        <v>3.830822575769488E-2</v>
      </c>
      <c r="S153" s="103">
        <f t="shared" si="88"/>
        <v>3.9164160368286752E-2</v>
      </c>
      <c r="T153" s="103">
        <f t="shared" si="88"/>
        <v>4.0455951078614674E-2</v>
      </c>
      <c r="U153" s="103">
        <f t="shared" si="88"/>
        <v>3.6072279917171518E-2</v>
      </c>
      <c r="V153" s="103">
        <f t="shared" si="88"/>
        <v>3.1289065511515897E-2</v>
      </c>
      <c r="W153" s="103">
        <f t="shared" ref="W153:Y153" si="89">IF(W36=0,0,W36/W$17)</f>
        <v>3.6405559331005213E-2</v>
      </c>
      <c r="X153" s="103">
        <f t="shared" si="89"/>
        <v>3.9841522085766759E-2</v>
      </c>
      <c r="Y153" s="103">
        <f t="shared" si="89"/>
        <v>3.8918754022576441E-2</v>
      </c>
      <c r="DA153" s="191"/>
    </row>
    <row r="154" spans="1:105" ht="11.45" customHeight="1" x14ac:dyDescent="0.25">
      <c r="A154" s="157" t="s">
        <v>112</v>
      </c>
      <c r="B154" s="103">
        <f t="shared" ref="B154:K154" si="90">IF(B38=0,0,B38/B$17)</f>
        <v>0</v>
      </c>
      <c r="C154" s="103">
        <f t="shared" si="90"/>
        <v>0</v>
      </c>
      <c r="D154" s="103">
        <f t="shared" si="90"/>
        <v>0</v>
      </c>
      <c r="E154" s="103">
        <f t="shared" si="90"/>
        <v>0</v>
      </c>
      <c r="F154" s="103">
        <f t="shared" si="90"/>
        <v>0</v>
      </c>
      <c r="G154" s="103">
        <f t="shared" si="90"/>
        <v>0</v>
      </c>
      <c r="H154" s="103">
        <f t="shared" si="90"/>
        <v>0</v>
      </c>
      <c r="I154" s="103">
        <f t="shared" si="90"/>
        <v>0</v>
      </c>
      <c r="J154" s="103">
        <f t="shared" si="90"/>
        <v>0</v>
      </c>
      <c r="K154" s="103">
        <f t="shared" si="90"/>
        <v>0</v>
      </c>
      <c r="L154" s="103">
        <f t="shared" ref="L154" si="91">IF(L38=0,0,L38/L$17)</f>
        <v>3.7873173731125016E-6</v>
      </c>
      <c r="M154" s="103">
        <f t="shared" ref="M154:V154" si="92">IF(M38=0,0,M38/M$17)</f>
        <v>4.20083763203582E-6</v>
      </c>
      <c r="N154" s="103">
        <f t="shared" si="92"/>
        <v>3.1146183208088374E-6</v>
      </c>
      <c r="O154" s="103">
        <f t="shared" si="92"/>
        <v>3.1325331473392999E-6</v>
      </c>
      <c r="P154" s="103">
        <f t="shared" si="92"/>
        <v>6.2630196701331523E-6</v>
      </c>
      <c r="Q154" s="103">
        <f t="shared" si="92"/>
        <v>6.3682779858588793E-6</v>
      </c>
      <c r="R154" s="103">
        <f t="shared" si="92"/>
        <v>8.1918607991266739E-6</v>
      </c>
      <c r="S154" s="103">
        <f t="shared" si="92"/>
        <v>8.0705300064099274E-6</v>
      </c>
      <c r="T154" s="103">
        <f t="shared" si="92"/>
        <v>8.3682668778131754E-6</v>
      </c>
      <c r="U154" s="103">
        <f t="shared" si="92"/>
        <v>6.2792176274703291E-6</v>
      </c>
      <c r="V154" s="103">
        <f t="shared" si="92"/>
        <v>5.1808423001409617E-6</v>
      </c>
      <c r="W154" s="103">
        <f t="shared" ref="W154:Y154" si="93">IF(W38=0,0,W38/W$17)</f>
        <v>6.0691425217989389E-6</v>
      </c>
      <c r="X154" s="103">
        <f t="shared" si="93"/>
        <v>4.7804063460803495E-6</v>
      </c>
      <c r="Y154" s="103">
        <f t="shared" si="93"/>
        <v>4.8406266344631285E-6</v>
      </c>
      <c r="DA154" s="191"/>
    </row>
    <row r="155" spans="1:105" ht="11.45" customHeight="1" x14ac:dyDescent="0.25">
      <c r="A155" s="157" t="s">
        <v>113</v>
      </c>
      <c r="B155" s="103">
        <f t="shared" ref="B155:K155" si="94">IF(B39=0,0,B39/B$17)</f>
        <v>1.95563179912063E-4</v>
      </c>
      <c r="C155" s="103">
        <f t="shared" si="94"/>
        <v>7.7934081216486585E-4</v>
      </c>
      <c r="D155" s="103">
        <f t="shared" si="94"/>
        <v>1.1602298125561541E-3</v>
      </c>
      <c r="E155" s="103">
        <f t="shared" si="94"/>
        <v>1.4272893110800831E-3</v>
      </c>
      <c r="F155" s="103">
        <f t="shared" si="94"/>
        <v>1.4485212262256566E-3</v>
      </c>
      <c r="G155" s="103">
        <f t="shared" si="94"/>
        <v>1.7888297360993813E-3</v>
      </c>
      <c r="H155" s="103">
        <f t="shared" si="94"/>
        <v>1.6716643212939925E-3</v>
      </c>
      <c r="I155" s="103">
        <f t="shared" si="94"/>
        <v>1.86562322452536E-3</v>
      </c>
      <c r="J155" s="103">
        <f t="shared" si="94"/>
        <v>1.940541941359508E-3</v>
      </c>
      <c r="K155" s="103">
        <f t="shared" si="94"/>
        <v>1.9485288510270977E-3</v>
      </c>
      <c r="L155" s="103">
        <f t="shared" ref="L155" si="95">IF(L39=0,0,L39/L$17)</f>
        <v>2.0376307134914728E-3</v>
      </c>
      <c r="M155" s="103">
        <f t="shared" ref="M155:V155" si="96">IF(M39=0,0,M39/M$17)</f>
        <v>2.1962607831909212E-3</v>
      </c>
      <c r="N155" s="103">
        <f t="shared" si="96"/>
        <v>2.2810249297884329E-3</v>
      </c>
      <c r="O155" s="103">
        <f t="shared" si="96"/>
        <v>2.3982035774061626E-3</v>
      </c>
      <c r="P155" s="103">
        <f t="shared" si="96"/>
        <v>2.3119534584957043E-3</v>
      </c>
      <c r="Q155" s="103">
        <f t="shared" si="96"/>
        <v>2.6520005106790371E-3</v>
      </c>
      <c r="R155" s="103">
        <f t="shared" si="96"/>
        <v>2.5617852379320964E-3</v>
      </c>
      <c r="S155" s="103">
        <f t="shared" si="96"/>
        <v>2.6722633373048969E-3</v>
      </c>
      <c r="T155" s="103">
        <f t="shared" si="96"/>
        <v>2.8992117935607007E-3</v>
      </c>
      <c r="U155" s="103">
        <f t="shared" si="96"/>
        <v>3.0572731885943447E-3</v>
      </c>
      <c r="V155" s="103">
        <f t="shared" si="96"/>
        <v>4.1434988148974089E-3</v>
      </c>
      <c r="W155" s="103">
        <f t="shared" ref="W155:Y155" si="97">IF(W39=0,0,W39/W$17)</f>
        <v>4.5002663185792768E-3</v>
      </c>
      <c r="X155" s="103">
        <f t="shared" si="97"/>
        <v>5.8628055822502632E-3</v>
      </c>
      <c r="Y155" s="103">
        <f t="shared" si="97"/>
        <v>5.7201285354210431E-3</v>
      </c>
      <c r="DA155" s="191"/>
    </row>
    <row r="156" spans="1:105" ht="11.45" customHeight="1" x14ac:dyDescent="0.25">
      <c r="A156" s="157" t="s">
        <v>115</v>
      </c>
      <c r="B156" s="103">
        <f t="shared" ref="B156:K156" si="98">IF(B41=0,0,B41/B$17)</f>
        <v>0</v>
      </c>
      <c r="C156" s="103">
        <f t="shared" si="98"/>
        <v>0</v>
      </c>
      <c r="D156" s="103">
        <f t="shared" si="98"/>
        <v>0</v>
      </c>
      <c r="E156" s="103">
        <f t="shared" si="98"/>
        <v>0</v>
      </c>
      <c r="F156" s="103">
        <f t="shared" si="98"/>
        <v>0</v>
      </c>
      <c r="G156" s="103">
        <f t="shared" si="98"/>
        <v>0</v>
      </c>
      <c r="H156" s="103">
        <f t="shared" si="98"/>
        <v>0</v>
      </c>
      <c r="I156" s="103">
        <f t="shared" si="98"/>
        <v>0</v>
      </c>
      <c r="J156" s="103">
        <f t="shared" si="98"/>
        <v>0</v>
      </c>
      <c r="K156" s="103">
        <f t="shared" si="98"/>
        <v>0</v>
      </c>
      <c r="L156" s="103">
        <f t="shared" ref="L156" si="99">IF(L41=0,0,L41/L$17)</f>
        <v>2.2132985488607488E-5</v>
      </c>
      <c r="M156" s="103">
        <f t="shared" ref="M156:V156" si="100">IF(M41=0,0,M41/M$17)</f>
        <v>2.2004297265427871E-5</v>
      </c>
      <c r="N156" s="103">
        <f t="shared" si="100"/>
        <v>4.4988699246754164E-5</v>
      </c>
      <c r="O156" s="103">
        <f t="shared" si="100"/>
        <v>4.5841147603617815E-5</v>
      </c>
      <c r="P156" s="103">
        <f t="shared" si="100"/>
        <v>4.5263377726218525E-5</v>
      </c>
      <c r="Q156" s="103">
        <f t="shared" si="100"/>
        <v>4.4690275278846668E-5</v>
      </c>
      <c r="R156" s="103">
        <f t="shared" si="100"/>
        <v>4.3759493776436066E-5</v>
      </c>
      <c r="S156" s="103">
        <f t="shared" si="100"/>
        <v>7.0355159569834437E-5</v>
      </c>
      <c r="T156" s="103">
        <f t="shared" si="100"/>
        <v>1.8275896818477141E-4</v>
      </c>
      <c r="U156" s="103">
        <f t="shared" si="100"/>
        <v>2.0364003954481878E-4</v>
      </c>
      <c r="V156" s="103">
        <f t="shared" si="100"/>
        <v>2.3909345034067741E-4</v>
      </c>
      <c r="W156" s="103">
        <f t="shared" ref="W156:Y156" si="101">IF(W41=0,0,W41/W$17)</f>
        <v>2.5043499015095456E-4</v>
      </c>
      <c r="X156" s="103">
        <f t="shared" si="101"/>
        <v>3.4033463754086876E-4</v>
      </c>
      <c r="Y156" s="103">
        <f t="shared" si="101"/>
        <v>9.6367553800428987E-4</v>
      </c>
      <c r="DA156" s="191"/>
    </row>
    <row r="157" spans="1:105" ht="11.45" customHeight="1" x14ac:dyDescent="0.25">
      <c r="A157" s="27" t="s">
        <v>34</v>
      </c>
      <c r="B157" s="46">
        <f t="shared" ref="B157:K157" si="102">IF(B42=0,0,B42/B$17)</f>
        <v>0.41627034329702767</v>
      </c>
      <c r="C157" s="46">
        <f t="shared" si="102"/>
        <v>0.42113019324315898</v>
      </c>
      <c r="D157" s="46">
        <f t="shared" si="102"/>
        <v>0.40392663930731848</v>
      </c>
      <c r="E157" s="46">
        <f t="shared" si="102"/>
        <v>0.39533802676742469</v>
      </c>
      <c r="F157" s="46">
        <f t="shared" si="102"/>
        <v>0.39393902985469098</v>
      </c>
      <c r="G157" s="46">
        <f t="shared" si="102"/>
        <v>0.39885566881019119</v>
      </c>
      <c r="H157" s="46">
        <f t="shared" si="102"/>
        <v>0.39711736570461048</v>
      </c>
      <c r="I157" s="46">
        <f t="shared" si="102"/>
        <v>0.3919373654588495</v>
      </c>
      <c r="J157" s="46">
        <f t="shared" si="102"/>
        <v>0.38403416117586181</v>
      </c>
      <c r="K157" s="46">
        <f t="shared" si="102"/>
        <v>0.37104611109680274</v>
      </c>
      <c r="L157" s="46">
        <f t="shared" ref="L157" si="103">IF(L42=0,0,L42/L$17)</f>
        <v>0.3664072488072857</v>
      </c>
      <c r="M157" s="46">
        <f t="shared" ref="M157:V157" si="104">IF(M42=0,0,M42/M$17)</f>
        <v>0.35769644830071762</v>
      </c>
      <c r="N157" s="46">
        <f t="shared" si="104"/>
        <v>0.33684467015850861</v>
      </c>
      <c r="O157" s="46">
        <f t="shared" si="104"/>
        <v>0.32582655962977403</v>
      </c>
      <c r="P157" s="46">
        <f t="shared" si="104"/>
        <v>0.31987686265376358</v>
      </c>
      <c r="Q157" s="46">
        <f t="shared" si="104"/>
        <v>0.32018781269349861</v>
      </c>
      <c r="R157" s="46">
        <f t="shared" si="104"/>
        <v>0.31679740455730121</v>
      </c>
      <c r="S157" s="46">
        <f t="shared" si="104"/>
        <v>0.31378460931482272</v>
      </c>
      <c r="T157" s="46">
        <f t="shared" si="104"/>
        <v>0.31135031363423277</v>
      </c>
      <c r="U157" s="46">
        <f t="shared" si="104"/>
        <v>0.3077858189429768</v>
      </c>
      <c r="V157" s="46">
        <f t="shared" si="104"/>
        <v>0.30887605359685572</v>
      </c>
      <c r="W157" s="46">
        <f t="shared" ref="W157:Y157" si="105">IF(W42=0,0,W42/W$17)</f>
        <v>0.31012547971018861</v>
      </c>
      <c r="X157" s="46">
        <f t="shared" si="105"/>
        <v>0.3163589225352047</v>
      </c>
      <c r="Y157" s="46">
        <f t="shared" si="105"/>
        <v>0.31336013913508493</v>
      </c>
      <c r="DA157" s="211"/>
    </row>
    <row r="158" spans="1:105" ht="11.45" customHeight="1" x14ac:dyDescent="0.25">
      <c r="A158" s="153" t="s">
        <v>153</v>
      </c>
      <c r="B158" s="154">
        <f t="shared" ref="B158:K158" si="106">IF(B43=0,0,B43/B$17)</f>
        <v>0.31087337953239291</v>
      </c>
      <c r="C158" s="154">
        <f t="shared" si="106"/>
        <v>0.29639994896254135</v>
      </c>
      <c r="D158" s="154">
        <f t="shared" si="106"/>
        <v>0.28717767238464414</v>
      </c>
      <c r="E158" s="154">
        <f t="shared" si="106"/>
        <v>0.26589255277443535</v>
      </c>
      <c r="F158" s="154">
        <f t="shared" si="106"/>
        <v>0.24134971548841003</v>
      </c>
      <c r="G158" s="154">
        <f t="shared" si="106"/>
        <v>0.23487339477877206</v>
      </c>
      <c r="H158" s="154">
        <f t="shared" si="106"/>
        <v>0.23068812842361419</v>
      </c>
      <c r="I158" s="154">
        <f t="shared" si="106"/>
        <v>0.21762713335697248</v>
      </c>
      <c r="J158" s="154">
        <f t="shared" si="106"/>
        <v>0.21394545216143843</v>
      </c>
      <c r="K158" s="154">
        <f t="shared" si="106"/>
        <v>0.21486896515167908</v>
      </c>
      <c r="L158" s="154">
        <f t="shared" ref="L158" si="107">IF(L43=0,0,L43/L$17)</f>
        <v>0.20706986102294847</v>
      </c>
      <c r="M158" s="154">
        <f t="shared" ref="M158:V158" si="108">IF(M43=0,0,M43/M$17)</f>
        <v>0.19406278693210471</v>
      </c>
      <c r="N158" s="154">
        <f t="shared" si="108"/>
        <v>0.17838979172013536</v>
      </c>
      <c r="O158" s="154">
        <f t="shared" si="108"/>
        <v>0.1725752765719557</v>
      </c>
      <c r="P158" s="154">
        <f t="shared" si="108"/>
        <v>0.17946673010295272</v>
      </c>
      <c r="Q158" s="154">
        <f t="shared" si="108"/>
        <v>0.17482718522906934</v>
      </c>
      <c r="R158" s="154">
        <f t="shared" si="108"/>
        <v>0.1763523815184693</v>
      </c>
      <c r="S158" s="154">
        <f t="shared" si="108"/>
        <v>0.17830410705939753</v>
      </c>
      <c r="T158" s="154">
        <f t="shared" si="108"/>
        <v>0.1790444262807562</v>
      </c>
      <c r="U158" s="154">
        <f t="shared" si="108"/>
        <v>0.17614032737662477</v>
      </c>
      <c r="V158" s="154">
        <f t="shared" si="108"/>
        <v>0.17555193465043792</v>
      </c>
      <c r="W158" s="154">
        <f t="shared" ref="W158:Y158" si="109">IF(W43=0,0,W43/W$17)</f>
        <v>0.17892523359538223</v>
      </c>
      <c r="X158" s="154">
        <f t="shared" si="109"/>
        <v>0.19093052334290478</v>
      </c>
      <c r="Y158" s="154">
        <f t="shared" si="109"/>
        <v>0.19731627499075582</v>
      </c>
      <c r="DA158" s="212"/>
    </row>
    <row r="159" spans="1:105" ht="11.45" customHeight="1" x14ac:dyDescent="0.25">
      <c r="A159" s="157" t="s">
        <v>110</v>
      </c>
      <c r="B159" s="103">
        <f t="shared" ref="B159:K159" si="110">IF(B44=0,0,B44/B$17)</f>
        <v>4.1151561787680343E-3</v>
      </c>
      <c r="C159" s="103">
        <f t="shared" si="110"/>
        <v>3.5924988749486747E-3</v>
      </c>
      <c r="D159" s="103">
        <f t="shared" si="110"/>
        <v>3.4308213872016255E-3</v>
      </c>
      <c r="E159" s="103">
        <f t="shared" si="110"/>
        <v>3.4716687077393244E-3</v>
      </c>
      <c r="F159" s="103">
        <f t="shared" si="110"/>
        <v>2.9377078337079845E-3</v>
      </c>
      <c r="G159" s="103">
        <f t="shared" si="110"/>
        <v>2.7782421268464099E-3</v>
      </c>
      <c r="H159" s="103">
        <f t="shared" si="110"/>
        <v>2.6680426438808135E-3</v>
      </c>
      <c r="I159" s="103">
        <f t="shared" si="110"/>
        <v>2.4318145543272174E-3</v>
      </c>
      <c r="J159" s="103">
        <f t="shared" si="110"/>
        <v>2.3446026233488559E-3</v>
      </c>
      <c r="K159" s="103">
        <f t="shared" si="110"/>
        <v>2.3154097358990566E-3</v>
      </c>
      <c r="L159" s="103">
        <f t="shared" ref="L159" si="111">IF(L44=0,0,L44/L$17)</f>
        <v>2.1792241739449279E-3</v>
      </c>
      <c r="M159" s="103">
        <f t="shared" ref="M159:V159" si="112">IF(M44=0,0,M44/M$17)</f>
        <v>1.8435131896167949E-3</v>
      </c>
      <c r="N159" s="103">
        <f t="shared" si="112"/>
        <v>1.7048763383345441E-3</v>
      </c>
      <c r="O159" s="103">
        <f t="shared" si="112"/>
        <v>1.5219127806567806E-3</v>
      </c>
      <c r="P159" s="103">
        <f t="shared" si="112"/>
        <v>1.4424575521202691E-3</v>
      </c>
      <c r="Q159" s="103">
        <f t="shared" si="112"/>
        <v>1.5266733423395019E-3</v>
      </c>
      <c r="R159" s="103">
        <f t="shared" si="112"/>
        <v>1.3692995859899177E-3</v>
      </c>
      <c r="S159" s="103">
        <f t="shared" si="112"/>
        <v>1.3705376129203408E-3</v>
      </c>
      <c r="T159" s="103">
        <f t="shared" si="112"/>
        <v>1.2365835711501427E-3</v>
      </c>
      <c r="U159" s="103">
        <f t="shared" si="112"/>
        <v>1.4429794109149564E-3</v>
      </c>
      <c r="V159" s="103">
        <f t="shared" si="112"/>
        <v>1.0376358948966627E-3</v>
      </c>
      <c r="W159" s="103">
        <f t="shared" ref="W159:Y159" si="113">IF(W44=0,0,W44/W$17)</f>
        <v>1.0148879405448843E-3</v>
      </c>
      <c r="X159" s="103">
        <f t="shared" si="113"/>
        <v>1.0771728037642142E-3</v>
      </c>
      <c r="Y159" s="103">
        <f t="shared" si="113"/>
        <v>9.9167440431940099E-4</v>
      </c>
      <c r="DA159" s="191"/>
    </row>
    <row r="160" spans="1:105" ht="11.45" customHeight="1" x14ac:dyDescent="0.25">
      <c r="A160" s="157" t="s">
        <v>111</v>
      </c>
      <c r="B160" s="103">
        <f t="shared" ref="B160:K160" si="114">IF(B46=0,0,B46/B$17)</f>
        <v>0.30648727721152763</v>
      </c>
      <c r="C160" s="103">
        <f t="shared" si="114"/>
        <v>0.29256489316167816</v>
      </c>
      <c r="D160" s="103">
        <f t="shared" si="114"/>
        <v>0.28351241539543809</v>
      </c>
      <c r="E160" s="103">
        <f t="shared" si="114"/>
        <v>0.26218473617836086</v>
      </c>
      <c r="F160" s="103">
        <f t="shared" si="114"/>
        <v>0.23820770466830563</v>
      </c>
      <c r="G160" s="103">
        <f t="shared" si="114"/>
        <v>0.23189808837836531</v>
      </c>
      <c r="H160" s="103">
        <f t="shared" si="114"/>
        <v>0.22782834141209904</v>
      </c>
      <c r="I160" s="103">
        <f t="shared" si="114"/>
        <v>0.2150164903686595</v>
      </c>
      <c r="J160" s="103">
        <f t="shared" si="114"/>
        <v>0.21142667923087358</v>
      </c>
      <c r="K160" s="103">
        <f t="shared" si="114"/>
        <v>0.21238012374715395</v>
      </c>
      <c r="L160" s="103">
        <f t="shared" ref="L160" si="115">IF(L46=0,0,L46/L$17)</f>
        <v>0.2047294301174645</v>
      </c>
      <c r="M160" s="103">
        <f t="shared" ref="M160:V160" si="116">IF(M46=0,0,M46/M$17)</f>
        <v>0.19207266892850819</v>
      </c>
      <c r="N160" s="103">
        <f t="shared" si="116"/>
        <v>0.17655879531260218</v>
      </c>
      <c r="O160" s="103">
        <f t="shared" si="116"/>
        <v>0.17092626516928316</v>
      </c>
      <c r="P160" s="103">
        <f t="shared" si="116"/>
        <v>0.17789719783755165</v>
      </c>
      <c r="Q160" s="103">
        <f t="shared" si="116"/>
        <v>0.17316531232385685</v>
      </c>
      <c r="R160" s="103">
        <f t="shared" si="116"/>
        <v>0.17485895746207439</v>
      </c>
      <c r="S160" s="103">
        <f t="shared" si="116"/>
        <v>0.17680384321899811</v>
      </c>
      <c r="T160" s="103">
        <f t="shared" si="116"/>
        <v>0.17766873331820618</v>
      </c>
      <c r="U160" s="103">
        <f t="shared" si="116"/>
        <v>0.17454119429763842</v>
      </c>
      <c r="V160" s="103">
        <f t="shared" si="116"/>
        <v>0.17434534137193677</v>
      </c>
      <c r="W160" s="103">
        <f t="shared" ref="W160:Y160" si="117">IF(W46=0,0,W46/W$17)</f>
        <v>0.17773088466308773</v>
      </c>
      <c r="X160" s="103">
        <f t="shared" si="117"/>
        <v>0.18963782436803381</v>
      </c>
      <c r="Y160" s="103">
        <f t="shared" si="117"/>
        <v>0.19605068237726597</v>
      </c>
      <c r="DA160" s="191"/>
    </row>
    <row r="161" spans="1:105" ht="11.45" customHeight="1" x14ac:dyDescent="0.25">
      <c r="A161" s="157" t="s">
        <v>112</v>
      </c>
      <c r="B161" s="103">
        <f t="shared" ref="B161:K161" si="118">IF(B48=0,0,B48/B$17)</f>
        <v>2.7094614209721094E-4</v>
      </c>
      <c r="C161" s="103">
        <f t="shared" si="118"/>
        <v>2.4255692591449389E-4</v>
      </c>
      <c r="D161" s="103">
        <f t="shared" si="118"/>
        <v>2.3443560200442915E-4</v>
      </c>
      <c r="E161" s="103">
        <f t="shared" si="118"/>
        <v>2.3614788833524055E-4</v>
      </c>
      <c r="F161" s="103">
        <f t="shared" si="118"/>
        <v>2.0430298639645341E-4</v>
      </c>
      <c r="G161" s="103">
        <f t="shared" si="118"/>
        <v>1.9706427356031781E-4</v>
      </c>
      <c r="H161" s="103">
        <f t="shared" si="118"/>
        <v>1.9174436763435106E-4</v>
      </c>
      <c r="I161" s="103">
        <f t="shared" si="118"/>
        <v>1.7882843398578306E-4</v>
      </c>
      <c r="J161" s="103">
        <f t="shared" si="118"/>
        <v>1.7417030721598068E-4</v>
      </c>
      <c r="K161" s="103">
        <f t="shared" si="118"/>
        <v>1.7343166862607157E-4</v>
      </c>
      <c r="L161" s="103">
        <f t="shared" ref="L161" si="119">IF(L48=0,0,L48/L$17)</f>
        <v>1.6120673153901998E-4</v>
      </c>
      <c r="M161" s="103">
        <f t="shared" ref="M161:V161" si="120">IF(M48=0,0,M48/M$17)</f>
        <v>1.4651197291653685E-4</v>
      </c>
      <c r="N161" s="103">
        <f t="shared" si="120"/>
        <v>1.2579689486926253E-4</v>
      </c>
      <c r="O161" s="103">
        <f t="shared" si="120"/>
        <v>1.2505719321945167E-4</v>
      </c>
      <c r="P161" s="103">
        <f t="shared" si="120"/>
        <v>1.2322647544985314E-4</v>
      </c>
      <c r="Q161" s="103">
        <f t="shared" si="120"/>
        <v>1.2832399823875049E-4</v>
      </c>
      <c r="R161" s="103">
        <f t="shared" si="120"/>
        <v>1.1579162285973969E-4</v>
      </c>
      <c r="S161" s="103">
        <f t="shared" si="120"/>
        <v>1.1144883492286353E-4</v>
      </c>
      <c r="T161" s="103">
        <f t="shared" si="120"/>
        <v>1.055604643037509E-4</v>
      </c>
      <c r="U161" s="103">
        <f t="shared" si="120"/>
        <v>1.0874241478017715E-4</v>
      </c>
      <c r="V161" s="103">
        <f t="shared" si="120"/>
        <v>1.0356234757185024E-4</v>
      </c>
      <c r="W161" s="103">
        <f t="shared" ref="W161:Y161" si="121">IF(W48=0,0,W48/W$17)</f>
        <v>9.6709494668995339E-5</v>
      </c>
      <c r="X161" s="103">
        <f t="shared" si="121"/>
        <v>1.0197706376957818E-4</v>
      </c>
      <c r="Y161" s="103">
        <f t="shared" si="121"/>
        <v>1.0087029880865635E-4</v>
      </c>
      <c r="DA161" s="191"/>
    </row>
    <row r="162" spans="1:105" ht="11.45" customHeight="1" x14ac:dyDescent="0.25">
      <c r="A162" s="157" t="s">
        <v>113</v>
      </c>
      <c r="B162" s="103">
        <f t="shared" ref="B162:K162" si="122">IF(B49=0,0,B49/B$17)</f>
        <v>0</v>
      </c>
      <c r="C162" s="103">
        <f t="shared" si="122"/>
        <v>0</v>
      </c>
      <c r="D162" s="103">
        <f t="shared" si="122"/>
        <v>0</v>
      </c>
      <c r="E162" s="103">
        <f t="shared" si="122"/>
        <v>0</v>
      </c>
      <c r="F162" s="103">
        <f t="shared" si="122"/>
        <v>0</v>
      </c>
      <c r="G162" s="103">
        <f t="shared" si="122"/>
        <v>0</v>
      </c>
      <c r="H162" s="103">
        <f t="shared" si="122"/>
        <v>0</v>
      </c>
      <c r="I162" s="103">
        <f t="shared" si="122"/>
        <v>0</v>
      </c>
      <c r="J162" s="103">
        <f t="shared" si="122"/>
        <v>0</v>
      </c>
      <c r="K162" s="103">
        <f t="shared" si="122"/>
        <v>0</v>
      </c>
      <c r="L162" s="103">
        <f t="shared" ref="L162" si="123">IF(L49=0,0,L49/L$17)</f>
        <v>0</v>
      </c>
      <c r="M162" s="103">
        <f t="shared" ref="M162:V162" si="124">IF(M49=0,0,M49/M$17)</f>
        <v>0</v>
      </c>
      <c r="N162" s="103">
        <f t="shared" si="124"/>
        <v>0</v>
      </c>
      <c r="O162" s="103">
        <f t="shared" si="124"/>
        <v>7.6049200846095499E-7</v>
      </c>
      <c r="P162" s="103">
        <f t="shared" si="124"/>
        <v>1.9700117821437016E-6</v>
      </c>
      <c r="Q162" s="103">
        <f t="shared" si="124"/>
        <v>3.2608290509997448E-6</v>
      </c>
      <c r="R162" s="103">
        <f t="shared" si="124"/>
        <v>4.1480353141683655E-6</v>
      </c>
      <c r="S162" s="103">
        <f t="shared" si="124"/>
        <v>4.666438321040951E-6</v>
      </c>
      <c r="T162" s="103">
        <f t="shared" si="124"/>
        <v>7.1172290491051804E-6</v>
      </c>
      <c r="U162" s="103">
        <f t="shared" si="124"/>
        <v>1.2151341193313558E-5</v>
      </c>
      <c r="V162" s="103">
        <f t="shared" si="124"/>
        <v>1.4452735674342837E-5</v>
      </c>
      <c r="W162" s="103">
        <f t="shared" ref="W162:Y162" si="125">IF(W49=0,0,W49/W$17)</f>
        <v>2.0792268546340615E-5</v>
      </c>
      <c r="X162" s="103">
        <f t="shared" si="125"/>
        <v>2.3123438084003137E-5</v>
      </c>
      <c r="Y162" s="103">
        <f t="shared" si="125"/>
        <v>2.4169843287486582E-5</v>
      </c>
      <c r="DA162" s="191"/>
    </row>
    <row r="163" spans="1:105" ht="11.45" customHeight="1" x14ac:dyDescent="0.25">
      <c r="A163" s="157" t="s">
        <v>115</v>
      </c>
      <c r="B163" s="103">
        <f t="shared" ref="B163:K163" si="126">IF(B51=0,0,B51/B$17)</f>
        <v>0</v>
      </c>
      <c r="C163" s="103">
        <f t="shared" si="126"/>
        <v>0</v>
      </c>
      <c r="D163" s="103">
        <f t="shared" si="126"/>
        <v>0</v>
      </c>
      <c r="E163" s="103">
        <f t="shared" si="126"/>
        <v>0</v>
      </c>
      <c r="F163" s="103">
        <f t="shared" si="126"/>
        <v>0</v>
      </c>
      <c r="G163" s="103">
        <f t="shared" si="126"/>
        <v>0</v>
      </c>
      <c r="H163" s="103">
        <f t="shared" si="126"/>
        <v>0</v>
      </c>
      <c r="I163" s="103">
        <f t="shared" si="126"/>
        <v>0</v>
      </c>
      <c r="J163" s="103">
        <f t="shared" si="126"/>
        <v>0</v>
      </c>
      <c r="K163" s="103">
        <f t="shared" si="126"/>
        <v>0</v>
      </c>
      <c r="L163" s="103">
        <f t="shared" ref="L163" si="127">IF(L51=0,0,L51/L$17)</f>
        <v>0</v>
      </c>
      <c r="M163" s="103">
        <f t="shared" ref="M163:V163" si="128">IF(M51=0,0,M51/M$17)</f>
        <v>9.2841063224527478E-8</v>
      </c>
      <c r="N163" s="103">
        <f t="shared" si="128"/>
        <v>3.2317432940576868E-7</v>
      </c>
      <c r="O163" s="103">
        <f t="shared" si="128"/>
        <v>1.2809367878213897E-6</v>
      </c>
      <c r="P163" s="103">
        <f t="shared" si="128"/>
        <v>1.8782260488357298E-6</v>
      </c>
      <c r="Q163" s="103">
        <f t="shared" si="128"/>
        <v>3.6147355832725018E-6</v>
      </c>
      <c r="R163" s="103">
        <f t="shared" si="128"/>
        <v>4.184812231074628E-6</v>
      </c>
      <c r="S163" s="103">
        <f t="shared" si="128"/>
        <v>1.3610954235146282E-5</v>
      </c>
      <c r="T163" s="103">
        <f t="shared" si="128"/>
        <v>2.6431698047041304E-5</v>
      </c>
      <c r="U163" s="103">
        <f t="shared" si="128"/>
        <v>3.5259912097881458E-5</v>
      </c>
      <c r="V163" s="103">
        <f t="shared" si="128"/>
        <v>5.0942300358273315E-5</v>
      </c>
      <c r="W163" s="103">
        <f t="shared" ref="W163:Y163" si="129">IF(W51=0,0,W51/W$17)</f>
        <v>6.1959228534267418E-5</v>
      </c>
      <c r="X163" s="103">
        <f t="shared" si="129"/>
        <v>9.0425669253179963E-5</v>
      </c>
      <c r="Y163" s="103">
        <f t="shared" si="129"/>
        <v>1.4887806707430631E-4</v>
      </c>
      <c r="DA163" s="191"/>
    </row>
    <row r="164" spans="1:105" ht="11.45" customHeight="1" x14ac:dyDescent="0.25">
      <c r="A164" s="155" t="s">
        <v>154</v>
      </c>
      <c r="B164" s="156">
        <f t="shared" ref="B164:K164" si="130">IF(B52=0,0,B52/B$17)</f>
        <v>0.10539696376463474</v>
      </c>
      <c r="C164" s="156">
        <f t="shared" si="130"/>
        <v>0.12473024428061763</v>
      </c>
      <c r="D164" s="156">
        <f t="shared" si="130"/>
        <v>0.11674896692267436</v>
      </c>
      <c r="E164" s="156">
        <f t="shared" si="130"/>
        <v>0.12944547399298931</v>
      </c>
      <c r="F164" s="156">
        <f t="shared" si="130"/>
        <v>0.15258931436628098</v>
      </c>
      <c r="G164" s="156">
        <f t="shared" si="130"/>
        <v>0.1639822740314191</v>
      </c>
      <c r="H164" s="156">
        <f t="shared" si="130"/>
        <v>0.16642923728099629</v>
      </c>
      <c r="I164" s="156">
        <f t="shared" si="130"/>
        <v>0.17431023210187699</v>
      </c>
      <c r="J164" s="156">
        <f t="shared" si="130"/>
        <v>0.17008870901442341</v>
      </c>
      <c r="K164" s="156">
        <f t="shared" si="130"/>
        <v>0.15617714594512369</v>
      </c>
      <c r="L164" s="156">
        <f t="shared" ref="L164" si="131">IF(L52=0,0,L52/L$17)</f>
        <v>0.15933738778433726</v>
      </c>
      <c r="M164" s="156">
        <f t="shared" ref="M164:V164" si="132">IF(M52=0,0,M52/M$17)</f>
        <v>0.1636336613686129</v>
      </c>
      <c r="N164" s="156">
        <f t="shared" si="132"/>
        <v>0.15845487843837319</v>
      </c>
      <c r="O164" s="156">
        <f t="shared" si="132"/>
        <v>0.15325128305781832</v>
      </c>
      <c r="P164" s="156">
        <f t="shared" si="132"/>
        <v>0.14041013255081086</v>
      </c>
      <c r="Q164" s="156">
        <f t="shared" si="132"/>
        <v>0.14536062746442929</v>
      </c>
      <c r="R164" s="156">
        <f t="shared" si="132"/>
        <v>0.14044502303883194</v>
      </c>
      <c r="S164" s="156">
        <f t="shared" si="132"/>
        <v>0.13548050225542516</v>
      </c>
      <c r="T164" s="156">
        <f t="shared" si="132"/>
        <v>0.13230588735347654</v>
      </c>
      <c r="U164" s="156">
        <f t="shared" si="132"/>
        <v>0.131645491566352</v>
      </c>
      <c r="V164" s="156">
        <f t="shared" si="132"/>
        <v>0.13332411894641774</v>
      </c>
      <c r="W164" s="156">
        <f t="shared" ref="W164:Y164" si="133">IF(W52=0,0,W52/W$17)</f>
        <v>0.13120024611480635</v>
      </c>
      <c r="X164" s="156">
        <f t="shared" si="133"/>
        <v>0.12542839919229992</v>
      </c>
      <c r="Y164" s="156">
        <f t="shared" si="133"/>
        <v>0.11604386414432911</v>
      </c>
      <c r="DA164" s="213"/>
    </row>
    <row r="165" spans="1:105" ht="11.45" customHeight="1" x14ac:dyDescent="0.25">
      <c r="A165" s="162" t="s">
        <v>27</v>
      </c>
      <c r="B165" s="104">
        <f t="shared" ref="B165:K165" si="134">IF(B53=0,0,B53/B$17)</f>
        <v>8.3362827177355381E-2</v>
      </c>
      <c r="C165" s="104">
        <f t="shared" si="134"/>
        <v>0.10034820363208062</v>
      </c>
      <c r="D165" s="104">
        <f t="shared" si="134"/>
        <v>9.1431300483762884E-2</v>
      </c>
      <c r="E165" s="104">
        <f t="shared" si="134"/>
        <v>0.10047437957220193</v>
      </c>
      <c r="F165" s="104">
        <f t="shared" si="134"/>
        <v>0.11999045788833126</v>
      </c>
      <c r="G165" s="104">
        <f t="shared" si="134"/>
        <v>0.12920762957811888</v>
      </c>
      <c r="H165" s="104">
        <f t="shared" si="134"/>
        <v>0.12926620756855978</v>
      </c>
      <c r="I165" s="104">
        <f t="shared" si="134"/>
        <v>0.1335338900528579</v>
      </c>
      <c r="J165" s="104">
        <f t="shared" si="134"/>
        <v>0.13308232680237617</v>
      </c>
      <c r="K165" s="104">
        <f t="shared" si="134"/>
        <v>0.11828357637890957</v>
      </c>
      <c r="L165" s="104">
        <f t="shared" ref="L165" si="135">IF(L53=0,0,L53/L$17)</f>
        <v>0.12475621697241117</v>
      </c>
      <c r="M165" s="104">
        <f t="shared" ref="M165:V165" si="136">IF(M53=0,0,M53/M$17)</f>
        <v>0.12537605600789792</v>
      </c>
      <c r="N165" s="104">
        <f t="shared" si="136"/>
        <v>0.11990204967092635</v>
      </c>
      <c r="O165" s="104">
        <f t="shared" si="136"/>
        <v>0.10897863727784277</v>
      </c>
      <c r="P165" s="104">
        <f t="shared" si="136"/>
        <v>9.6916690696815924E-2</v>
      </c>
      <c r="Q165" s="104">
        <f t="shared" si="136"/>
        <v>0.10860589320966682</v>
      </c>
      <c r="R165" s="104">
        <f t="shared" si="136"/>
        <v>0.10096403812669592</v>
      </c>
      <c r="S165" s="104">
        <f t="shared" si="136"/>
        <v>9.8012780135973004E-2</v>
      </c>
      <c r="T165" s="104">
        <f t="shared" si="136"/>
        <v>9.4196572827701774E-2</v>
      </c>
      <c r="U165" s="104">
        <f t="shared" si="136"/>
        <v>9.2425291830845996E-2</v>
      </c>
      <c r="V165" s="104">
        <f t="shared" si="136"/>
        <v>9.3330876361014253E-2</v>
      </c>
      <c r="W165" s="104">
        <f t="shared" ref="W165:Y165" si="137">IF(W53=0,0,W53/W$17)</f>
        <v>8.9434925501297988E-2</v>
      </c>
      <c r="X165" s="104">
        <f t="shared" si="137"/>
        <v>8.2321454699392352E-2</v>
      </c>
      <c r="Y165" s="104">
        <f t="shared" si="137"/>
        <v>7.552066146838779E-2</v>
      </c>
      <c r="DA165" s="195"/>
    </row>
    <row r="166" spans="1:105" ht="11.45" customHeight="1" x14ac:dyDescent="0.25">
      <c r="A166" s="158" t="s">
        <v>116</v>
      </c>
      <c r="B166" s="105">
        <f t="shared" ref="B166:K166" si="138">IF(B55=0,0,B55/B$17)</f>
        <v>2.2034136587279356E-2</v>
      </c>
      <c r="C166" s="105">
        <f t="shared" si="138"/>
        <v>2.4382040648537009E-2</v>
      </c>
      <c r="D166" s="105">
        <f t="shared" si="138"/>
        <v>2.5317666438911486E-2</v>
      </c>
      <c r="E166" s="105">
        <f t="shared" si="138"/>
        <v>2.8971094420787401E-2</v>
      </c>
      <c r="F166" s="105">
        <f t="shared" si="138"/>
        <v>3.2598856477949724E-2</v>
      </c>
      <c r="G166" s="105">
        <f t="shared" si="138"/>
        <v>3.4774644453300245E-2</v>
      </c>
      <c r="H166" s="105">
        <f t="shared" si="138"/>
        <v>3.7163029712436506E-2</v>
      </c>
      <c r="I166" s="105">
        <f t="shared" si="138"/>
        <v>4.0776342049019115E-2</v>
      </c>
      <c r="J166" s="105">
        <f t="shared" si="138"/>
        <v>3.7006382212047224E-2</v>
      </c>
      <c r="K166" s="105">
        <f t="shared" si="138"/>
        <v>3.7893569566214105E-2</v>
      </c>
      <c r="L166" s="105">
        <f t="shared" ref="L166" si="139">IF(L55=0,0,L55/L$17)</f>
        <v>3.4581170811926076E-2</v>
      </c>
      <c r="M166" s="105">
        <f t="shared" ref="M166:V166" si="140">IF(M55=0,0,M55/M$17)</f>
        <v>3.8257605360714965E-2</v>
      </c>
      <c r="N166" s="105">
        <f t="shared" si="140"/>
        <v>3.8552828767446846E-2</v>
      </c>
      <c r="O166" s="105">
        <f t="shared" si="140"/>
        <v>4.4272645779975549E-2</v>
      </c>
      <c r="P166" s="105">
        <f t="shared" si="140"/>
        <v>4.3493441853994938E-2</v>
      </c>
      <c r="Q166" s="105">
        <f t="shared" si="140"/>
        <v>3.6754734254762465E-2</v>
      </c>
      <c r="R166" s="105">
        <f t="shared" si="140"/>
        <v>3.9480984912136023E-2</v>
      </c>
      <c r="S166" s="105">
        <f t="shared" si="140"/>
        <v>3.7467722119452131E-2</v>
      </c>
      <c r="T166" s="105">
        <f t="shared" si="140"/>
        <v>3.8109314525774735E-2</v>
      </c>
      <c r="U166" s="105">
        <f t="shared" si="140"/>
        <v>3.9220199735506021E-2</v>
      </c>
      <c r="V166" s="105">
        <f t="shared" si="140"/>
        <v>3.9993242585403502E-2</v>
      </c>
      <c r="W166" s="105">
        <f t="shared" ref="W166:Y166" si="141">IF(W55=0,0,W55/W$17)</f>
        <v>4.1765320613508378E-2</v>
      </c>
      <c r="X166" s="105">
        <f t="shared" si="141"/>
        <v>4.3106944492907577E-2</v>
      </c>
      <c r="Y166" s="105">
        <f t="shared" si="141"/>
        <v>4.0523202675941318E-2</v>
      </c>
      <c r="DA166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DA160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739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133" t="s">
        <v>45</v>
      </c>
      <c r="B4" s="146">
        <f t="shared" ref="B4:K4" si="0">B5+B9+B10+B15</f>
        <v>17265.00756708</v>
      </c>
      <c r="C4" s="146">
        <f t="shared" si="0"/>
        <v>17527.374016920003</v>
      </c>
      <c r="D4" s="146">
        <f t="shared" si="0"/>
        <v>18048.9675384</v>
      </c>
      <c r="E4" s="146">
        <f t="shared" si="0"/>
        <v>19129.39867404</v>
      </c>
      <c r="F4" s="146">
        <f t="shared" si="0"/>
        <v>19687.635303839998</v>
      </c>
      <c r="G4" s="146">
        <f t="shared" si="0"/>
        <v>18865.844807040001</v>
      </c>
      <c r="H4" s="146">
        <f t="shared" si="0"/>
        <v>18708.340104359999</v>
      </c>
      <c r="I4" s="146">
        <f t="shared" si="0"/>
        <v>18427.167186839997</v>
      </c>
      <c r="J4" s="146">
        <f t="shared" si="0"/>
        <v>18485.942168879999</v>
      </c>
      <c r="K4" s="146">
        <f t="shared" si="0"/>
        <v>18055.412836560001</v>
      </c>
      <c r="L4" s="146">
        <f t="shared" ref="L4" si="1">L5+L9+L10+L15</f>
        <v>17802.742435559994</v>
      </c>
      <c r="M4" s="146">
        <f t="shared" ref="M4:V4" si="2">M5+M9+M10+M15</f>
        <v>16541.817485040003</v>
      </c>
      <c r="N4" s="146">
        <f t="shared" si="2"/>
        <v>15172.075815839999</v>
      </c>
      <c r="O4" s="146">
        <f t="shared" si="2"/>
        <v>14927.912615520001</v>
      </c>
      <c r="P4" s="146">
        <f t="shared" si="2"/>
        <v>15141.413939399998</v>
      </c>
      <c r="Q4" s="146">
        <f t="shared" si="2"/>
        <v>15170.504739120001</v>
      </c>
      <c r="R4" s="146">
        <f t="shared" si="2"/>
        <v>15672.15890964</v>
      </c>
      <c r="S4" s="146">
        <f t="shared" si="2"/>
        <v>15976.817248679999</v>
      </c>
      <c r="T4" s="146">
        <f t="shared" si="2"/>
        <v>16054.524151920001</v>
      </c>
      <c r="U4" s="146">
        <f t="shared" si="2"/>
        <v>16515.352871999999</v>
      </c>
      <c r="V4" s="146">
        <f t="shared" si="2"/>
        <v>13949.88469812</v>
      </c>
      <c r="W4" s="146">
        <f t="shared" ref="W4:Y4" si="3">W5+W9+W10+W15</f>
        <v>14946.42010428</v>
      </c>
      <c r="X4" s="146">
        <f t="shared" si="3"/>
        <v>15820.53300324</v>
      </c>
      <c r="Y4" s="146">
        <f t="shared" si="3"/>
        <v>16859.276478360003</v>
      </c>
      <c r="DA4" s="206" t="s">
        <v>740</v>
      </c>
    </row>
    <row r="5" spans="1:105" ht="11.45" customHeight="1" x14ac:dyDescent="0.25">
      <c r="A5" s="92" t="s">
        <v>46</v>
      </c>
      <c r="B5" s="101">
        <f t="shared" ref="B5:K5" si="4">SUM(B6:B8)</f>
        <v>17262.382087080001</v>
      </c>
      <c r="C5" s="101">
        <f t="shared" si="4"/>
        <v>17516.771116920001</v>
      </c>
      <c r="D5" s="101">
        <f t="shared" si="4"/>
        <v>18032.7097584</v>
      </c>
      <c r="E5" s="101">
        <f t="shared" si="4"/>
        <v>19108.243364040001</v>
      </c>
      <c r="F5" s="101">
        <f t="shared" si="4"/>
        <v>19665.571173839999</v>
      </c>
      <c r="G5" s="101">
        <f t="shared" si="4"/>
        <v>18839.741477039999</v>
      </c>
      <c r="H5" s="101">
        <f t="shared" si="4"/>
        <v>18683.902944359997</v>
      </c>
      <c r="I5" s="101">
        <f t="shared" si="4"/>
        <v>18400.104546839997</v>
      </c>
      <c r="J5" s="101">
        <f t="shared" si="4"/>
        <v>18457.718258879999</v>
      </c>
      <c r="K5" s="101">
        <f t="shared" si="4"/>
        <v>18027.340396560001</v>
      </c>
      <c r="L5" s="101">
        <f t="shared" ref="L5" si="5">SUM(L6:L8)</f>
        <v>17773.306765559995</v>
      </c>
      <c r="M5" s="101">
        <f t="shared" ref="M5:V5" si="6">SUM(M6:M8)</f>
        <v>16512.331325040002</v>
      </c>
      <c r="N5" s="101">
        <f t="shared" si="6"/>
        <v>15143.952885839999</v>
      </c>
      <c r="O5" s="101">
        <f t="shared" si="6"/>
        <v>14898.830375520001</v>
      </c>
      <c r="P5" s="101">
        <f t="shared" si="6"/>
        <v>15112.988069399998</v>
      </c>
      <c r="Q5" s="101">
        <f t="shared" si="6"/>
        <v>15137.433789120001</v>
      </c>
      <c r="R5" s="101">
        <f t="shared" si="6"/>
        <v>15639.592859640001</v>
      </c>
      <c r="S5" s="101">
        <f t="shared" si="6"/>
        <v>15942.345706079999</v>
      </c>
      <c r="T5" s="101">
        <f t="shared" si="6"/>
        <v>16016.772173040001</v>
      </c>
      <c r="U5" s="101">
        <f t="shared" si="6"/>
        <v>16474.230382679998</v>
      </c>
      <c r="V5" s="101">
        <f t="shared" si="6"/>
        <v>13902.686646120001</v>
      </c>
      <c r="W5" s="101">
        <f t="shared" ref="W5:Y5" si="7">SUM(W6:W8)</f>
        <v>14890.51111356</v>
      </c>
      <c r="X5" s="101">
        <f t="shared" si="7"/>
        <v>15743.66258412</v>
      </c>
      <c r="Y5" s="101">
        <f t="shared" si="7"/>
        <v>16779.182979600002</v>
      </c>
      <c r="DA5" s="175"/>
    </row>
    <row r="6" spans="1:105" ht="11.45" customHeight="1" x14ac:dyDescent="0.25">
      <c r="A6" s="128" t="s">
        <v>52</v>
      </c>
      <c r="B6" s="101">
        <v>59.692650479999998</v>
      </c>
      <c r="C6" s="101">
        <v>59.692650479999998</v>
      </c>
      <c r="D6" s="101">
        <v>56.707995239999995</v>
      </c>
      <c r="E6" s="101">
        <v>59.692650479999998</v>
      </c>
      <c r="F6" s="101">
        <v>59.705144280000006</v>
      </c>
      <c r="G6" s="101">
        <v>65.675817720000012</v>
      </c>
      <c r="H6" s="101">
        <v>62.690481000000013</v>
      </c>
      <c r="I6" s="101">
        <v>63.857174759999992</v>
      </c>
      <c r="J6" s="101">
        <v>69.662475719999989</v>
      </c>
      <c r="K6" s="101">
        <v>87.077924280000005</v>
      </c>
      <c r="L6" s="101">
        <v>84.175500959999994</v>
      </c>
      <c r="M6" s="101">
        <v>72.56489904</v>
      </c>
      <c r="N6" s="101">
        <v>89.980574759999996</v>
      </c>
      <c r="O6" s="101">
        <v>95.785875720000007</v>
      </c>
      <c r="P6" s="101">
        <v>98.68829903999999</v>
      </c>
      <c r="Q6" s="101">
        <v>104.49360000000001</v>
      </c>
      <c r="R6" s="101">
        <v>107.39625048000002</v>
      </c>
      <c r="S6" s="101">
        <v>107.28289764000003</v>
      </c>
      <c r="T6" s="101">
        <v>105.30342540000001</v>
      </c>
      <c r="U6" s="101">
        <v>107.89259508000002</v>
      </c>
      <c r="V6" s="101">
        <v>81.345314520000017</v>
      </c>
      <c r="W6" s="101">
        <v>88.047443160000014</v>
      </c>
      <c r="X6" s="101">
        <v>97.454820240000018</v>
      </c>
      <c r="Y6" s="101">
        <v>123.47372664000001</v>
      </c>
      <c r="DA6" s="175" t="s">
        <v>741</v>
      </c>
    </row>
    <row r="7" spans="1:105" ht="11.45" customHeight="1" x14ac:dyDescent="0.25">
      <c r="A7" s="128" t="s">
        <v>53</v>
      </c>
      <c r="B7" s="101">
        <v>6591.1508308799994</v>
      </c>
      <c r="C7" s="101">
        <v>6193.7568831599992</v>
      </c>
      <c r="D7" s="101">
        <v>6417.2909631600023</v>
      </c>
      <c r="E7" s="101">
        <v>6224.8031722800015</v>
      </c>
      <c r="F7" s="101">
        <v>5982.6411691200001</v>
      </c>
      <c r="G7" s="101">
        <v>5613.1892308799997</v>
      </c>
      <c r="H7" s="101">
        <v>5190.9580522799997</v>
      </c>
      <c r="I7" s="101">
        <v>4839.0804831599999</v>
      </c>
      <c r="J7" s="101">
        <v>4537.2096831600002</v>
      </c>
      <c r="K7" s="101">
        <v>4433.5367722800002</v>
      </c>
      <c r="L7" s="101">
        <v>4207.8960831599998</v>
      </c>
      <c r="M7" s="101">
        <v>3790.1555445600002</v>
      </c>
      <c r="N7" s="101">
        <v>3430.3500000000004</v>
      </c>
      <c r="O7" s="101">
        <v>3341.9233108800004</v>
      </c>
      <c r="P7" s="101">
        <v>3320.5787999999984</v>
      </c>
      <c r="Q7" s="101">
        <v>3189.4630891200004</v>
      </c>
      <c r="R7" s="101">
        <v>3140.6760277199992</v>
      </c>
      <c r="S7" s="101">
        <v>3133.6169911199991</v>
      </c>
      <c r="T7" s="101">
        <v>3098.7159865199997</v>
      </c>
      <c r="U7" s="101">
        <v>3211.548555599999</v>
      </c>
      <c r="V7" s="101">
        <v>2658.0851589600002</v>
      </c>
      <c r="W7" s="101">
        <v>2888.9676723600001</v>
      </c>
      <c r="X7" s="101">
        <v>3144.8807636400002</v>
      </c>
      <c r="Y7" s="101">
        <v>3512.3490864000005</v>
      </c>
      <c r="DA7" s="175" t="s">
        <v>742</v>
      </c>
    </row>
    <row r="8" spans="1:105" ht="11.45" customHeight="1" x14ac:dyDescent="0.25">
      <c r="A8" s="128" t="s">
        <v>54</v>
      </c>
      <c r="B8" s="101">
        <v>10611.538605720001</v>
      </c>
      <c r="C8" s="101">
        <v>11263.321583280002</v>
      </c>
      <c r="D8" s="101">
        <v>11558.710799999997</v>
      </c>
      <c r="E8" s="101">
        <v>12823.747541279999</v>
      </c>
      <c r="F8" s="101">
        <v>13623.224860439997</v>
      </c>
      <c r="G8" s="101">
        <v>13160.87642844</v>
      </c>
      <c r="H8" s="101">
        <v>13430.254411079999</v>
      </c>
      <c r="I8" s="101">
        <v>13497.166888919999</v>
      </c>
      <c r="J8" s="101">
        <v>13850.846099999999</v>
      </c>
      <c r="K8" s="101">
        <v>13506.725699999999</v>
      </c>
      <c r="L8" s="101">
        <v>13481.235181439997</v>
      </c>
      <c r="M8" s="101">
        <v>12649.610881440001</v>
      </c>
      <c r="N8" s="101">
        <v>11623.622311079998</v>
      </c>
      <c r="O8" s="101">
        <v>11461.12118892</v>
      </c>
      <c r="P8" s="101">
        <v>11693.72097036</v>
      </c>
      <c r="Q8" s="101">
        <v>11843.4771</v>
      </c>
      <c r="R8" s="101">
        <v>12391.520581440001</v>
      </c>
      <c r="S8" s="101">
        <v>12701.44581732</v>
      </c>
      <c r="T8" s="101">
        <v>12812.752761120002</v>
      </c>
      <c r="U8" s="101">
        <v>13154.789231999999</v>
      </c>
      <c r="V8" s="101">
        <v>11163.25617264</v>
      </c>
      <c r="W8" s="101">
        <v>11913.49599804</v>
      </c>
      <c r="X8" s="101">
        <v>12501.32700024</v>
      </c>
      <c r="Y8" s="101">
        <v>13143.36016656</v>
      </c>
      <c r="DA8" s="175" t="s">
        <v>743</v>
      </c>
    </row>
    <row r="9" spans="1:105" ht="11.45" customHeight="1" x14ac:dyDescent="0.25">
      <c r="A9" s="92" t="s">
        <v>55</v>
      </c>
      <c r="B9" s="101">
        <v>2.6254799999999996</v>
      </c>
      <c r="C9" s="101">
        <v>10.6029</v>
      </c>
      <c r="D9" s="101">
        <v>16.257780000000004</v>
      </c>
      <c r="E9" s="101">
        <v>21.155310000000004</v>
      </c>
      <c r="F9" s="101">
        <v>22.064129999999999</v>
      </c>
      <c r="G9" s="101">
        <v>26.103330000000003</v>
      </c>
      <c r="H9" s="101">
        <v>24.437159999999995</v>
      </c>
      <c r="I9" s="101">
        <v>27.062639999999995</v>
      </c>
      <c r="J9" s="101">
        <v>28.223910000000004</v>
      </c>
      <c r="K9" s="101">
        <v>28.072440000000011</v>
      </c>
      <c r="L9" s="101">
        <v>29.435669999999998</v>
      </c>
      <c r="M9" s="101">
        <v>29.486160000000012</v>
      </c>
      <c r="N9" s="101">
        <v>28.12293</v>
      </c>
      <c r="O9" s="101">
        <v>29.082240000000006</v>
      </c>
      <c r="P9" s="101">
        <v>28.425870000000007</v>
      </c>
      <c r="Q9" s="101">
        <v>33.070950000000018</v>
      </c>
      <c r="R9" s="101">
        <v>32.566050000000004</v>
      </c>
      <c r="S9" s="101">
        <v>34.471542599999999</v>
      </c>
      <c r="T9" s="101">
        <v>37.751978879999996</v>
      </c>
      <c r="U9" s="101">
        <v>41.12248932</v>
      </c>
      <c r="V9" s="101">
        <v>47.198052000000011</v>
      </c>
      <c r="W9" s="101">
        <v>55.908990719999998</v>
      </c>
      <c r="X9" s="101">
        <v>76.870419119999994</v>
      </c>
      <c r="Y9" s="101">
        <v>80.093498760000003</v>
      </c>
      <c r="DA9" s="175" t="s">
        <v>744</v>
      </c>
    </row>
    <row r="10" spans="1:105" ht="11.45" customHeight="1" x14ac:dyDescent="0.25">
      <c r="A10" s="92" t="s">
        <v>56</v>
      </c>
      <c r="B10" s="101">
        <f t="shared" ref="B10:K10" si="8">SUM(B11:B14)</f>
        <v>0</v>
      </c>
      <c r="C10" s="101">
        <f t="shared" si="8"/>
        <v>0</v>
      </c>
      <c r="D10" s="101">
        <f t="shared" si="8"/>
        <v>0</v>
      </c>
      <c r="E10" s="101">
        <f t="shared" si="8"/>
        <v>0</v>
      </c>
      <c r="F10" s="101">
        <f t="shared" si="8"/>
        <v>0</v>
      </c>
      <c r="G10" s="101">
        <f t="shared" si="8"/>
        <v>0</v>
      </c>
      <c r="H10" s="101">
        <f t="shared" si="8"/>
        <v>0</v>
      </c>
      <c r="I10" s="101">
        <f t="shared" si="8"/>
        <v>0</v>
      </c>
      <c r="J10" s="101">
        <f t="shared" si="8"/>
        <v>0</v>
      </c>
      <c r="K10" s="101">
        <f t="shared" si="8"/>
        <v>0</v>
      </c>
      <c r="L10" s="101">
        <f t="shared" ref="L10" si="9">SUM(L11:L14)</f>
        <v>0</v>
      </c>
      <c r="M10" s="101">
        <f t="shared" ref="M10:V10" si="10">SUM(M11:M14)</f>
        <v>0</v>
      </c>
      <c r="N10" s="101">
        <f t="shared" si="10"/>
        <v>0</v>
      </c>
      <c r="O10" s="101">
        <f t="shared" si="10"/>
        <v>0</v>
      </c>
      <c r="P10" s="101">
        <f t="shared" si="10"/>
        <v>0</v>
      </c>
      <c r="Q10" s="101">
        <f t="shared" si="10"/>
        <v>0</v>
      </c>
      <c r="R10" s="101">
        <f t="shared" si="10"/>
        <v>0</v>
      </c>
      <c r="S10" s="101">
        <f t="shared" si="10"/>
        <v>0</v>
      </c>
      <c r="T10" s="101">
        <f t="shared" si="10"/>
        <v>0</v>
      </c>
      <c r="U10" s="101">
        <f t="shared" si="10"/>
        <v>0</v>
      </c>
      <c r="V10" s="101">
        <f t="shared" si="10"/>
        <v>0</v>
      </c>
      <c r="W10" s="101">
        <f t="shared" ref="W10:Y10" si="11">SUM(W11:W14)</f>
        <v>0</v>
      </c>
      <c r="X10" s="101">
        <f t="shared" si="11"/>
        <v>0</v>
      </c>
      <c r="Y10" s="101">
        <f t="shared" si="11"/>
        <v>0</v>
      </c>
      <c r="DA10" s="175"/>
    </row>
    <row r="11" spans="1:105" ht="11.45" customHeight="1" x14ac:dyDescent="0.25">
      <c r="A11" s="128" t="s">
        <v>57</v>
      </c>
      <c r="B11" s="101">
        <v>0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0</v>
      </c>
      <c r="X11" s="101">
        <v>0</v>
      </c>
      <c r="Y11" s="101">
        <v>0</v>
      </c>
      <c r="DA11" s="175" t="s">
        <v>745</v>
      </c>
    </row>
    <row r="12" spans="1:105" ht="11.45" customHeight="1" x14ac:dyDescent="0.25">
      <c r="A12" s="128" t="s">
        <v>58</v>
      </c>
      <c r="B12" s="101">
        <v>0</v>
      </c>
      <c r="C12" s="101">
        <v>0</v>
      </c>
      <c r="D12" s="101">
        <v>0</v>
      </c>
      <c r="E12" s="101">
        <v>0</v>
      </c>
      <c r="F12" s="101">
        <v>0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  <c r="P12" s="101">
        <v>0</v>
      </c>
      <c r="Q12" s="101">
        <v>0</v>
      </c>
      <c r="R12" s="101">
        <v>0</v>
      </c>
      <c r="S12" s="101">
        <v>0</v>
      </c>
      <c r="T12" s="101">
        <v>0</v>
      </c>
      <c r="U12" s="101">
        <v>0</v>
      </c>
      <c r="V12" s="101">
        <v>0</v>
      </c>
      <c r="W12" s="101">
        <v>0</v>
      </c>
      <c r="X12" s="101">
        <v>0</v>
      </c>
      <c r="Y12" s="101">
        <v>0</v>
      </c>
      <c r="DA12" s="175" t="s">
        <v>746</v>
      </c>
    </row>
    <row r="13" spans="1:105" ht="11.45" customHeight="1" x14ac:dyDescent="0.25">
      <c r="A13" s="128" t="s">
        <v>59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75" t="s">
        <v>747</v>
      </c>
    </row>
    <row r="14" spans="1:105" ht="11.45" customHeight="1" x14ac:dyDescent="0.25">
      <c r="A14" s="128" t="s">
        <v>60</v>
      </c>
      <c r="B14" s="101">
        <v>0</v>
      </c>
      <c r="C14" s="101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X14" s="101">
        <v>0</v>
      </c>
      <c r="Y14" s="101">
        <v>0</v>
      </c>
      <c r="DA14" s="175" t="s">
        <v>748</v>
      </c>
    </row>
    <row r="15" spans="1:105" ht="11.45" customHeight="1" x14ac:dyDescent="0.25">
      <c r="A15" s="85" t="s">
        <v>91</v>
      </c>
      <c r="B15" s="88">
        <v>0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X15" s="88">
        <v>0</v>
      </c>
      <c r="Y15" s="88">
        <v>0</v>
      </c>
      <c r="DA15" s="178" t="s">
        <v>749</v>
      </c>
    </row>
    <row r="16" spans="1:105" ht="11.45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DA16" s="208"/>
    </row>
    <row r="17" spans="1:105" ht="11.45" customHeight="1" x14ac:dyDescent="0.25">
      <c r="A17" s="53" t="s">
        <v>47</v>
      </c>
      <c r="B17" s="79">
        <f t="shared" ref="B17:K17" si="12">SUM(B18,B33)</f>
        <v>17265.00756708</v>
      </c>
      <c r="C17" s="79">
        <f t="shared" si="12"/>
        <v>17527.374016919999</v>
      </c>
      <c r="D17" s="79">
        <f t="shared" si="12"/>
        <v>18048.9675384</v>
      </c>
      <c r="E17" s="79">
        <f t="shared" si="12"/>
        <v>19129.39867404</v>
      </c>
      <c r="F17" s="79">
        <f t="shared" si="12"/>
        <v>19687.635303839998</v>
      </c>
      <c r="G17" s="79">
        <f t="shared" si="12"/>
        <v>18865.844807039997</v>
      </c>
      <c r="H17" s="79">
        <f t="shared" si="12"/>
        <v>18708.340104359999</v>
      </c>
      <c r="I17" s="79">
        <f t="shared" si="12"/>
        <v>18427.167186840001</v>
      </c>
      <c r="J17" s="79">
        <f t="shared" si="12"/>
        <v>18485.942168879999</v>
      </c>
      <c r="K17" s="79">
        <f t="shared" si="12"/>
        <v>18055.412836559997</v>
      </c>
      <c r="L17" s="79">
        <f t="shared" ref="L17" si="13">SUM(L18,L33)</f>
        <v>17802.742435559998</v>
      </c>
      <c r="M17" s="79">
        <f t="shared" ref="M17:V17" si="14">SUM(M18,M33)</f>
        <v>16541.817485040003</v>
      </c>
      <c r="N17" s="79">
        <f t="shared" si="14"/>
        <v>15172.075815840002</v>
      </c>
      <c r="O17" s="79">
        <f t="shared" si="14"/>
        <v>14927.912615519999</v>
      </c>
      <c r="P17" s="79">
        <f t="shared" si="14"/>
        <v>15141.413939399998</v>
      </c>
      <c r="Q17" s="79">
        <f t="shared" si="14"/>
        <v>15170.504739120001</v>
      </c>
      <c r="R17" s="79">
        <f t="shared" si="14"/>
        <v>15672.158909639998</v>
      </c>
      <c r="S17" s="79">
        <f t="shared" si="14"/>
        <v>15976.817248679998</v>
      </c>
      <c r="T17" s="79">
        <f t="shared" si="14"/>
        <v>16054.524151919999</v>
      </c>
      <c r="U17" s="79">
        <f t="shared" si="14"/>
        <v>16515.352871999996</v>
      </c>
      <c r="V17" s="79">
        <f t="shared" si="14"/>
        <v>13949.884698119999</v>
      </c>
      <c r="W17" s="79">
        <f t="shared" ref="W17:Y17" si="15">SUM(W18,W33)</f>
        <v>14946.420104279998</v>
      </c>
      <c r="X17" s="79">
        <f t="shared" si="15"/>
        <v>15820.533003240005</v>
      </c>
      <c r="Y17" s="79">
        <f t="shared" si="15"/>
        <v>16859.27647836</v>
      </c>
      <c r="DA17" s="172" t="s">
        <v>750</v>
      </c>
    </row>
    <row r="18" spans="1:105" ht="11.45" customHeight="1" x14ac:dyDescent="0.25">
      <c r="A18" s="27" t="s">
        <v>33</v>
      </c>
      <c r="B18" s="32">
        <f t="shared" ref="B18:K18" si="16">SUM(B19,B20,B27)</f>
        <v>9888.8149371402233</v>
      </c>
      <c r="C18" s="32">
        <f t="shared" si="16"/>
        <v>9964.4147049984349</v>
      </c>
      <c r="D18" s="32">
        <f t="shared" si="16"/>
        <v>10577.62563537821</v>
      </c>
      <c r="E18" s="32">
        <f t="shared" si="16"/>
        <v>11394.659598862016</v>
      </c>
      <c r="F18" s="32">
        <f t="shared" si="16"/>
        <v>11766.215908231687</v>
      </c>
      <c r="G18" s="32">
        <f t="shared" si="16"/>
        <v>11182.149167744547</v>
      </c>
      <c r="H18" s="32">
        <f t="shared" si="16"/>
        <v>11168.247441285514</v>
      </c>
      <c r="I18" s="32">
        <f t="shared" si="16"/>
        <v>11124.348575139355</v>
      </c>
      <c r="J18" s="32">
        <f t="shared" si="16"/>
        <v>11312.182762433113</v>
      </c>
      <c r="K18" s="32">
        <f t="shared" si="16"/>
        <v>11316.55719556383</v>
      </c>
      <c r="L18" s="32">
        <f t="shared" ref="L18" si="17">SUM(L19,L20,L27)</f>
        <v>11276.821954427158</v>
      </c>
      <c r="M18" s="32">
        <f t="shared" ref="M18:V18" si="18">SUM(M19,M20,M27)</f>
        <v>10622.654048906992</v>
      </c>
      <c r="N18" s="32">
        <f t="shared" si="18"/>
        <v>10058.007789102821</v>
      </c>
      <c r="O18" s="32">
        <f t="shared" si="18"/>
        <v>10057.281930522346</v>
      </c>
      <c r="P18" s="32">
        <f t="shared" si="18"/>
        <v>10289.931303428277</v>
      </c>
      <c r="Q18" s="32">
        <f t="shared" si="18"/>
        <v>10297.703184188123</v>
      </c>
      <c r="R18" s="32">
        <f t="shared" si="18"/>
        <v>10668.58791388341</v>
      </c>
      <c r="S18" s="32">
        <f t="shared" si="18"/>
        <v>10942.744672287268</v>
      </c>
      <c r="T18" s="32">
        <f t="shared" si="18"/>
        <v>11033.486396208982</v>
      </c>
      <c r="U18" s="32">
        <f t="shared" si="18"/>
        <v>11404.096429666386</v>
      </c>
      <c r="V18" s="32">
        <f t="shared" si="18"/>
        <v>9617.8195485023862</v>
      </c>
      <c r="W18" s="32">
        <f t="shared" ref="W18:Y18" si="19">SUM(W19,W20,W27)</f>
        <v>10287.569628939886</v>
      </c>
      <c r="X18" s="32">
        <f t="shared" si="19"/>
        <v>10771.213682105939</v>
      </c>
      <c r="Y18" s="32">
        <f t="shared" si="19"/>
        <v>11518.556677296972</v>
      </c>
      <c r="DA18" s="173" t="s">
        <v>403</v>
      </c>
    </row>
    <row r="19" spans="1:105" ht="11.45" customHeight="1" x14ac:dyDescent="0.25">
      <c r="A19" s="136" t="s">
        <v>173</v>
      </c>
      <c r="B19" s="141">
        <v>161.1966689697548</v>
      </c>
      <c r="C19" s="141">
        <v>163.88778964682999</v>
      </c>
      <c r="D19" s="141">
        <v>174.89563050265645</v>
      </c>
      <c r="E19" s="141">
        <v>183.32957824080748</v>
      </c>
      <c r="F19" s="141">
        <v>194.93131571792952</v>
      </c>
      <c r="G19" s="141">
        <v>203.38020598553456</v>
      </c>
      <c r="H19" s="141">
        <v>212.01297871173705</v>
      </c>
      <c r="I19" s="141">
        <v>198.73144650084291</v>
      </c>
      <c r="J19" s="141">
        <v>199.8594672282716</v>
      </c>
      <c r="K19" s="141">
        <v>185.25402250131145</v>
      </c>
      <c r="L19" s="141">
        <v>175.54842799163646</v>
      </c>
      <c r="M19" s="141">
        <v>168.74105363622908</v>
      </c>
      <c r="N19" s="141">
        <v>167.68714626238724</v>
      </c>
      <c r="O19" s="141">
        <v>163.52899331251746</v>
      </c>
      <c r="P19" s="141">
        <v>158.84130890227587</v>
      </c>
      <c r="Q19" s="141">
        <v>148.42408502286838</v>
      </c>
      <c r="R19" s="141">
        <v>155.43433547733909</v>
      </c>
      <c r="S19" s="141">
        <v>157.20483019923626</v>
      </c>
      <c r="T19" s="141">
        <v>148.82503010272828</v>
      </c>
      <c r="U19" s="141">
        <v>157.71985415332912</v>
      </c>
      <c r="V19" s="141">
        <v>139.31763646147584</v>
      </c>
      <c r="W19" s="141">
        <v>143.1787537112246</v>
      </c>
      <c r="X19" s="141">
        <v>144.92556503013046</v>
      </c>
      <c r="Y19" s="141">
        <v>159.25201396547956</v>
      </c>
      <c r="DA19" s="174" t="s">
        <v>404</v>
      </c>
    </row>
    <row r="20" spans="1:105" ht="11.45" customHeight="1" x14ac:dyDescent="0.25">
      <c r="A20" s="109" t="s">
        <v>20</v>
      </c>
      <c r="B20" s="130">
        <f t="shared" ref="B20:K20" si="20">SUM(B21:B26)</f>
        <v>8727.1795255560373</v>
      </c>
      <c r="C20" s="130">
        <f t="shared" si="20"/>
        <v>8802.5385267701658</v>
      </c>
      <c r="D20" s="130">
        <f t="shared" si="20"/>
        <v>9404.5594004459599</v>
      </c>
      <c r="E20" s="130">
        <f t="shared" si="20"/>
        <v>10232.399078712582</v>
      </c>
      <c r="F20" s="130">
        <f t="shared" si="20"/>
        <v>10614.116479526736</v>
      </c>
      <c r="G20" s="130">
        <f t="shared" si="20"/>
        <v>10382.760406965881</v>
      </c>
      <c r="H20" s="130">
        <f t="shared" si="20"/>
        <v>10369.897913828197</v>
      </c>
      <c r="I20" s="130">
        <f t="shared" si="20"/>
        <v>10333.652756851869</v>
      </c>
      <c r="J20" s="130">
        <f t="shared" si="20"/>
        <v>10499.134749973391</v>
      </c>
      <c r="K20" s="130">
        <f t="shared" si="20"/>
        <v>10516.346399825576</v>
      </c>
      <c r="L20" s="130">
        <f t="shared" ref="L20" si="21">SUM(L21:L26)</f>
        <v>10481.261081502133</v>
      </c>
      <c r="M20" s="130">
        <f t="shared" ref="M20:V20" si="22">SUM(M21:M26)</f>
        <v>9834.8017703562527</v>
      </c>
      <c r="N20" s="130">
        <f t="shared" si="22"/>
        <v>9391.6448998239921</v>
      </c>
      <c r="O20" s="130">
        <f t="shared" si="22"/>
        <v>9413.6822993564983</v>
      </c>
      <c r="P20" s="130">
        <f t="shared" si="22"/>
        <v>9541.2909345318767</v>
      </c>
      <c r="Q20" s="130">
        <f t="shared" si="22"/>
        <v>9556.8565843312335</v>
      </c>
      <c r="R20" s="130">
        <f t="shared" si="22"/>
        <v>9875.3708323398459</v>
      </c>
      <c r="S20" s="130">
        <f t="shared" si="22"/>
        <v>10122.634677332164</v>
      </c>
      <c r="T20" s="130">
        <f t="shared" si="22"/>
        <v>10194.382292996224</v>
      </c>
      <c r="U20" s="130">
        <f t="shared" si="22"/>
        <v>10606.253006409226</v>
      </c>
      <c r="V20" s="130">
        <f t="shared" si="22"/>
        <v>8992.5755787635226</v>
      </c>
      <c r="W20" s="130">
        <f t="shared" ref="W20:Y20" si="23">SUM(W21:W26)</f>
        <v>9541.7627062634838</v>
      </c>
      <c r="X20" s="130">
        <f t="shared" si="23"/>
        <v>9913.6626046347974</v>
      </c>
      <c r="Y20" s="130">
        <f t="shared" si="23"/>
        <v>10615.95779159857</v>
      </c>
      <c r="DA20" s="176" t="s">
        <v>405</v>
      </c>
    </row>
    <row r="21" spans="1:105" ht="11.45" customHeight="1" x14ac:dyDescent="0.25">
      <c r="A21" s="111" t="s">
        <v>110</v>
      </c>
      <c r="B21" s="96">
        <v>6361.707986269058</v>
      </c>
      <c r="C21" s="96">
        <v>5969.4931042412745</v>
      </c>
      <c r="D21" s="96">
        <v>6183.0091097827899</v>
      </c>
      <c r="E21" s="96">
        <v>5977.9088901034811</v>
      </c>
      <c r="F21" s="96">
        <v>5732.4333047561468</v>
      </c>
      <c r="G21" s="96">
        <v>5359.7286727723431</v>
      </c>
      <c r="H21" s="96">
        <v>4930.7652950635102</v>
      </c>
      <c r="I21" s="96">
        <v>4596.7730682304309</v>
      </c>
      <c r="J21" s="96">
        <v>4295.2258123626189</v>
      </c>
      <c r="K21" s="96">
        <v>4207.0756973583675</v>
      </c>
      <c r="L21" s="96">
        <v>3993.4375934526884</v>
      </c>
      <c r="M21" s="96">
        <v>3590.8055836605899</v>
      </c>
      <c r="N21" s="96">
        <v>3236.6756837277999</v>
      </c>
      <c r="O21" s="96">
        <v>3155.5796644530506</v>
      </c>
      <c r="P21" s="96">
        <v>3139.7717922989764</v>
      </c>
      <c r="Q21" s="96">
        <v>3017.6051908078775</v>
      </c>
      <c r="R21" s="96">
        <v>2963.2799493152793</v>
      </c>
      <c r="S21" s="96">
        <v>2952.2612605945073</v>
      </c>
      <c r="T21" s="96">
        <v>2924.7077529901894</v>
      </c>
      <c r="U21" s="96">
        <v>3020.8500654093241</v>
      </c>
      <c r="V21" s="96">
        <v>2493.4328784429126</v>
      </c>
      <c r="W21" s="96">
        <v>2714.0840402540202</v>
      </c>
      <c r="X21" s="96">
        <v>2959.2007094455266</v>
      </c>
      <c r="Y21" s="96">
        <v>3302.2315354084217</v>
      </c>
      <c r="DA21" s="171" t="s">
        <v>751</v>
      </c>
    </row>
    <row r="22" spans="1:105" ht="11.45" customHeight="1" x14ac:dyDescent="0.25">
      <c r="A22" s="111" t="s">
        <v>111</v>
      </c>
      <c r="B22" s="96">
        <v>2309.8702808249673</v>
      </c>
      <c r="C22" s="96">
        <v>2777.0645109923817</v>
      </c>
      <c r="D22" s="96">
        <v>3168.5372345269475</v>
      </c>
      <c r="E22" s="96">
        <v>4198.734470411011</v>
      </c>
      <c r="F22" s="96">
        <v>4825.4783134766394</v>
      </c>
      <c r="G22" s="96">
        <v>4960.590372885239</v>
      </c>
      <c r="H22" s="96">
        <v>5379.5948967544173</v>
      </c>
      <c r="I22" s="96">
        <v>5675.9402720213075</v>
      </c>
      <c r="J22" s="96">
        <v>6137.0957394707175</v>
      </c>
      <c r="K22" s="96">
        <v>6225.0031787402113</v>
      </c>
      <c r="L22" s="96">
        <v>6406.3238995459351</v>
      </c>
      <c r="M22" s="96">
        <v>6173.691698619331</v>
      </c>
      <c r="N22" s="96">
        <v>6066.7298799927939</v>
      </c>
      <c r="O22" s="96">
        <v>6163.9661310226866</v>
      </c>
      <c r="P22" s="96">
        <v>6304.4672387030269</v>
      </c>
      <c r="Q22" s="96">
        <v>6436.2073641726465</v>
      </c>
      <c r="R22" s="96">
        <v>6805.4343991185979</v>
      </c>
      <c r="S22" s="96">
        <v>7062.3449518759708</v>
      </c>
      <c r="T22" s="96">
        <v>7160.5155990809135</v>
      </c>
      <c r="U22" s="96">
        <v>7469.7866640576749</v>
      </c>
      <c r="V22" s="96">
        <v>6408.1348859831523</v>
      </c>
      <c r="W22" s="96">
        <v>6724.3977721610345</v>
      </c>
      <c r="X22" s="96">
        <v>6834.5953484590555</v>
      </c>
      <c r="Y22" s="96">
        <v>7157.5631954668588</v>
      </c>
      <c r="DA22" s="171" t="s">
        <v>752</v>
      </c>
    </row>
    <row r="23" spans="1:105" ht="11.45" customHeight="1" x14ac:dyDescent="0.25">
      <c r="A23" s="111" t="s">
        <v>112</v>
      </c>
      <c r="B23" s="96">
        <v>55.60125846201268</v>
      </c>
      <c r="C23" s="96">
        <v>55.980911536509737</v>
      </c>
      <c r="D23" s="96">
        <v>53.013056136222865</v>
      </c>
      <c r="E23" s="96">
        <v>55.755718198090229</v>
      </c>
      <c r="F23" s="96">
        <v>56.204861293951581</v>
      </c>
      <c r="G23" s="96">
        <v>62.441361308298724</v>
      </c>
      <c r="H23" s="96">
        <v>59.537722010270258</v>
      </c>
      <c r="I23" s="96">
        <v>60.939416600128737</v>
      </c>
      <c r="J23" s="96">
        <v>66.813198140054922</v>
      </c>
      <c r="K23" s="96">
        <v>84.267523726997098</v>
      </c>
      <c r="L23" s="96">
        <v>81.495002522117929</v>
      </c>
      <c r="M23" s="96">
        <v>70.289338858425026</v>
      </c>
      <c r="N23" s="96">
        <v>88.193711490976114</v>
      </c>
      <c r="O23" s="96">
        <v>94.040228349103316</v>
      </c>
      <c r="P23" s="96">
        <v>96.901579881619824</v>
      </c>
      <c r="Q23" s="96">
        <v>102.60943580406096</v>
      </c>
      <c r="R23" s="96">
        <v>105.62931726298574</v>
      </c>
      <c r="S23" s="96">
        <v>105.55499195117829</v>
      </c>
      <c r="T23" s="96">
        <v>103.6421788893575</v>
      </c>
      <c r="U23" s="96">
        <v>106.16503690932969</v>
      </c>
      <c r="V23" s="96">
        <v>79.96115651030911</v>
      </c>
      <c r="W23" s="96">
        <v>86.622472392229014</v>
      </c>
      <c r="X23" s="96">
        <v>95.890515665828474</v>
      </c>
      <c r="Y23" s="96">
        <v>121.8201200304154</v>
      </c>
      <c r="DA23" s="171" t="s">
        <v>753</v>
      </c>
    </row>
    <row r="24" spans="1:105" ht="11.45" customHeight="1" x14ac:dyDescent="0.25">
      <c r="A24" s="111" t="s">
        <v>113</v>
      </c>
      <c r="B24" s="96">
        <v>0</v>
      </c>
      <c r="C24" s="96">
        <v>0</v>
      </c>
      <c r="D24" s="96">
        <v>0</v>
      </c>
      <c r="E24" s="96">
        <v>0</v>
      </c>
      <c r="F24" s="96">
        <v>0</v>
      </c>
      <c r="G24" s="96">
        <v>0</v>
      </c>
      <c r="H24" s="96">
        <v>0</v>
      </c>
      <c r="I24" s="96">
        <v>0</v>
      </c>
      <c r="J24" s="96">
        <v>0</v>
      </c>
      <c r="K24" s="96">
        <v>0</v>
      </c>
      <c r="L24" s="96">
        <v>4.5859813902119377E-3</v>
      </c>
      <c r="M24" s="96">
        <v>4.2534153610614975E-3</v>
      </c>
      <c r="N24" s="96">
        <v>1.2780907701229711E-2</v>
      </c>
      <c r="O24" s="96">
        <v>3.7964772360741549E-2</v>
      </c>
      <c r="P24" s="96">
        <v>3.9866638576198855E-2</v>
      </c>
      <c r="Q24" s="96">
        <v>4.7926868817036089E-2</v>
      </c>
      <c r="R24" s="96">
        <v>5.4688226980433741E-2</v>
      </c>
      <c r="S24" s="96">
        <v>6.4112357667705372E-2</v>
      </c>
      <c r="T24" s="96">
        <v>7.473712107415921E-2</v>
      </c>
      <c r="U24" s="96">
        <v>0.13572687960110175</v>
      </c>
      <c r="V24" s="96">
        <v>0.1440541520858542</v>
      </c>
      <c r="W24" s="96">
        <v>0.18056979799473943</v>
      </c>
      <c r="X24" s="96">
        <v>0.1922800584412111</v>
      </c>
      <c r="Y24" s="96">
        <v>0.20526541219063504</v>
      </c>
      <c r="DA24" s="171" t="s">
        <v>754</v>
      </c>
    </row>
    <row r="25" spans="1:105" ht="11.45" customHeight="1" x14ac:dyDescent="0.25">
      <c r="A25" s="111" t="s">
        <v>114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</v>
      </c>
      <c r="M25" s="96">
        <v>1.0895802545686622E-2</v>
      </c>
      <c r="N25" s="96">
        <v>3.2843704721030507E-2</v>
      </c>
      <c r="O25" s="96">
        <v>5.831075929794035E-2</v>
      </c>
      <c r="P25" s="96">
        <v>0.11045700967818228</v>
      </c>
      <c r="Q25" s="96">
        <v>0.38666667783085468</v>
      </c>
      <c r="R25" s="96">
        <v>0.97247841600303875</v>
      </c>
      <c r="S25" s="96">
        <v>2.4093605528396691</v>
      </c>
      <c r="T25" s="96">
        <v>5.4420249146895143</v>
      </c>
      <c r="U25" s="96">
        <v>9.3155131532962798</v>
      </c>
      <c r="V25" s="96">
        <v>10.902603675061975</v>
      </c>
      <c r="W25" s="96">
        <v>16.477851658205228</v>
      </c>
      <c r="X25" s="96">
        <v>23.783751005943078</v>
      </c>
      <c r="Y25" s="96">
        <v>34.1376752806827</v>
      </c>
      <c r="DA25" s="171" t="s">
        <v>755</v>
      </c>
    </row>
    <row r="26" spans="1:105" ht="11.45" customHeight="1" x14ac:dyDescent="0.25">
      <c r="A26" s="111" t="s">
        <v>115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X26" s="96">
        <v>0</v>
      </c>
      <c r="Y26" s="96">
        <v>0</v>
      </c>
      <c r="DA26" s="171" t="s">
        <v>756</v>
      </c>
    </row>
    <row r="27" spans="1:105" ht="11.45" customHeight="1" x14ac:dyDescent="0.25">
      <c r="A27" s="109" t="s">
        <v>21</v>
      </c>
      <c r="B27" s="130">
        <f t="shared" ref="B27:K27" si="24">SUM(B28:B32)</f>
        <v>1000.4387426144317</v>
      </c>
      <c r="C27" s="130">
        <f t="shared" si="24"/>
        <v>997.98838858143893</v>
      </c>
      <c r="D27" s="130">
        <f t="shared" si="24"/>
        <v>998.17060442959337</v>
      </c>
      <c r="E27" s="130">
        <f t="shared" si="24"/>
        <v>978.93094190862553</v>
      </c>
      <c r="F27" s="130">
        <f t="shared" si="24"/>
        <v>957.16811298702214</v>
      </c>
      <c r="G27" s="130">
        <f t="shared" si="24"/>
        <v>596.008554793131</v>
      </c>
      <c r="H27" s="130">
        <f t="shared" si="24"/>
        <v>586.33654874557931</v>
      </c>
      <c r="I27" s="130">
        <f t="shared" si="24"/>
        <v>591.96437178664394</v>
      </c>
      <c r="J27" s="130">
        <f t="shared" si="24"/>
        <v>613.1885452314491</v>
      </c>
      <c r="K27" s="130">
        <f t="shared" si="24"/>
        <v>614.95677323694372</v>
      </c>
      <c r="L27" s="130">
        <f t="shared" ref="L27" si="25">SUM(L28:L32)</f>
        <v>620.01244493338913</v>
      </c>
      <c r="M27" s="130">
        <f t="shared" ref="M27:V27" si="26">SUM(M28:M32)</f>
        <v>619.11122491450988</v>
      </c>
      <c r="N27" s="130">
        <f t="shared" si="26"/>
        <v>498.67574301644129</v>
      </c>
      <c r="O27" s="130">
        <f t="shared" si="26"/>
        <v>480.0706378533302</v>
      </c>
      <c r="P27" s="130">
        <f t="shared" si="26"/>
        <v>589.79905999412472</v>
      </c>
      <c r="Q27" s="130">
        <f t="shared" si="26"/>
        <v>592.42251483402151</v>
      </c>
      <c r="R27" s="130">
        <f t="shared" si="26"/>
        <v>637.78274606622449</v>
      </c>
      <c r="S27" s="130">
        <f t="shared" si="26"/>
        <v>662.90516475586867</v>
      </c>
      <c r="T27" s="130">
        <f t="shared" si="26"/>
        <v>690.27907311003071</v>
      </c>
      <c r="U27" s="130">
        <f t="shared" si="26"/>
        <v>640.12356910383141</v>
      </c>
      <c r="V27" s="130">
        <f t="shared" si="26"/>
        <v>485.92633327738889</v>
      </c>
      <c r="W27" s="130">
        <f t="shared" ref="W27:Y27" si="27">SUM(W28:W32)</f>
        <v>602.62816896517745</v>
      </c>
      <c r="X27" s="130">
        <f t="shared" si="27"/>
        <v>712.62551244101098</v>
      </c>
      <c r="Y27" s="130">
        <f t="shared" si="27"/>
        <v>743.34687173292332</v>
      </c>
      <c r="DA27" s="176" t="s">
        <v>406</v>
      </c>
    </row>
    <row r="28" spans="1:105" ht="11.45" customHeight="1" x14ac:dyDescent="0.25">
      <c r="A28" s="111" t="s">
        <v>110</v>
      </c>
      <c r="B28" s="97">
        <v>0</v>
      </c>
      <c r="C28" s="97">
        <v>0</v>
      </c>
      <c r="D28" s="97">
        <v>0</v>
      </c>
      <c r="E28" s="97">
        <v>0</v>
      </c>
      <c r="F28" s="97">
        <v>0</v>
      </c>
      <c r="G28" s="97">
        <v>0</v>
      </c>
      <c r="H28" s="97">
        <v>0</v>
      </c>
      <c r="I28" s="97">
        <v>0</v>
      </c>
      <c r="J28" s="97">
        <v>0</v>
      </c>
      <c r="K28" s="97">
        <v>0</v>
      </c>
      <c r="L28" s="97">
        <v>2.7661911649644291E-2</v>
      </c>
      <c r="M28" s="97">
        <v>2.8515255302367544E-2</v>
      </c>
      <c r="N28" s="97">
        <v>2.9082075803790956E-2</v>
      </c>
      <c r="O28" s="97">
        <v>3.3216079965920117E-2</v>
      </c>
      <c r="P28" s="97">
        <v>3.3212367279794645E-2</v>
      </c>
      <c r="Q28" s="97">
        <v>3.8096378009639997E-2</v>
      </c>
      <c r="R28" s="97">
        <v>4.4119992187948001E-2</v>
      </c>
      <c r="S28" s="97">
        <v>3.9871780905131875E-2</v>
      </c>
      <c r="T28" s="97">
        <v>4.1593985679905167E-2</v>
      </c>
      <c r="U28" s="97">
        <v>3.5634418241286082E-2</v>
      </c>
      <c r="V28" s="97">
        <v>2.7450116239881143E-2</v>
      </c>
      <c r="W28" s="97">
        <v>3.4675451954335496E-2</v>
      </c>
      <c r="X28" s="97">
        <v>3.7997908489968486E-2</v>
      </c>
      <c r="Y28" s="97">
        <v>4.1186539759053613E-2</v>
      </c>
      <c r="DA28" s="175" t="s">
        <v>757</v>
      </c>
    </row>
    <row r="29" spans="1:105" ht="11.45" customHeight="1" x14ac:dyDescent="0.25">
      <c r="A29" s="111" t="s">
        <v>111</v>
      </c>
      <c r="B29" s="97">
        <v>997.81326261443166</v>
      </c>
      <c r="C29" s="97">
        <v>987.38548858143895</v>
      </c>
      <c r="D29" s="97">
        <v>981.91282442959334</v>
      </c>
      <c r="E29" s="97">
        <v>957.77563190862554</v>
      </c>
      <c r="F29" s="97">
        <v>935.10398298702216</v>
      </c>
      <c r="G29" s="97">
        <v>569.90522479313097</v>
      </c>
      <c r="H29" s="97">
        <v>561.89938874557936</v>
      </c>
      <c r="I29" s="97">
        <v>564.90173178664395</v>
      </c>
      <c r="J29" s="97">
        <v>584.96463523144905</v>
      </c>
      <c r="K29" s="97">
        <v>586.88433323694369</v>
      </c>
      <c r="L29" s="97">
        <v>590.49217012757742</v>
      </c>
      <c r="M29" s="97">
        <v>589.53737609175312</v>
      </c>
      <c r="N29" s="97">
        <v>470.49333962161705</v>
      </c>
      <c r="O29" s="97">
        <v>450.95969597689106</v>
      </c>
      <c r="P29" s="97">
        <v>561.31759307708296</v>
      </c>
      <c r="Q29" s="97">
        <v>559.31286602498619</v>
      </c>
      <c r="R29" s="97">
        <v>605.16307634983707</v>
      </c>
      <c r="S29" s="97">
        <v>628.40116533611274</v>
      </c>
      <c r="T29" s="97">
        <v>652.53048262900916</v>
      </c>
      <c r="U29" s="97">
        <v>599.16912181571729</v>
      </c>
      <c r="V29" s="97">
        <v>438.94249625125798</v>
      </c>
      <c r="W29" s="97">
        <v>547.03722120310647</v>
      </c>
      <c r="X29" s="97">
        <v>636.14056618441327</v>
      </c>
      <c r="Y29" s="97">
        <v>663.67787085532791</v>
      </c>
      <c r="DA29" s="175" t="s">
        <v>758</v>
      </c>
    </row>
    <row r="30" spans="1:105" ht="11.45" customHeight="1" x14ac:dyDescent="0.25">
      <c r="A30" s="111" t="s">
        <v>112</v>
      </c>
      <c r="B30" s="97">
        <v>0</v>
      </c>
      <c r="C30" s="97">
        <v>0</v>
      </c>
      <c r="D30" s="97">
        <v>0</v>
      </c>
      <c r="E30" s="97">
        <v>0</v>
      </c>
      <c r="F30" s="97">
        <v>0</v>
      </c>
      <c r="G30" s="97">
        <v>0</v>
      </c>
      <c r="H30" s="97">
        <v>0</v>
      </c>
      <c r="I30" s="97">
        <v>0</v>
      </c>
      <c r="J30" s="97">
        <v>0</v>
      </c>
      <c r="K30" s="97">
        <v>0</v>
      </c>
      <c r="L30" s="97">
        <v>6.1528875552342169E-2</v>
      </c>
      <c r="M30" s="97">
        <v>6.3426982815383254E-2</v>
      </c>
      <c r="N30" s="97">
        <v>4.3172226721723078E-2</v>
      </c>
      <c r="O30" s="97">
        <v>4.265785104535668E-2</v>
      </c>
      <c r="P30" s="97">
        <v>8.6418262914452579E-2</v>
      </c>
      <c r="Q30" s="97">
        <v>8.9083663199314225E-2</v>
      </c>
      <c r="R30" s="97">
        <v>0.11674515449944685</v>
      </c>
      <c r="S30" s="97">
        <v>0.11667661318426778</v>
      </c>
      <c r="T30" s="97">
        <v>0.12202149542715153</v>
      </c>
      <c r="U30" s="97">
        <v>9.4310204877881609E-2</v>
      </c>
      <c r="V30" s="97">
        <v>6.5945319197709185E-2</v>
      </c>
      <c r="W30" s="97">
        <v>8.4145411102746828E-2</v>
      </c>
      <c r="X30" s="97">
        <v>7.0046728397279781E-2</v>
      </c>
      <c r="Y30" s="97">
        <v>7.5720576314380922E-2</v>
      </c>
      <c r="DA30" s="175" t="s">
        <v>759</v>
      </c>
    </row>
    <row r="31" spans="1:105" ht="11.45" customHeight="1" x14ac:dyDescent="0.25">
      <c r="A31" s="111" t="s">
        <v>113</v>
      </c>
      <c r="B31" s="97">
        <v>2.6254799999999996</v>
      </c>
      <c r="C31" s="97">
        <v>10.6029</v>
      </c>
      <c r="D31" s="97">
        <v>16.257780000000004</v>
      </c>
      <c r="E31" s="97">
        <v>21.155310000000004</v>
      </c>
      <c r="F31" s="97">
        <v>22.064129999999999</v>
      </c>
      <c r="G31" s="97">
        <v>26.103330000000003</v>
      </c>
      <c r="H31" s="97">
        <v>24.437159999999995</v>
      </c>
      <c r="I31" s="97">
        <v>27.062639999999995</v>
      </c>
      <c r="J31" s="97">
        <v>28.223910000000004</v>
      </c>
      <c r="K31" s="97">
        <v>28.072440000000011</v>
      </c>
      <c r="L31" s="97">
        <v>29.431084018609788</v>
      </c>
      <c r="M31" s="97">
        <v>29.481906584638949</v>
      </c>
      <c r="N31" s="97">
        <v>28.110149092298769</v>
      </c>
      <c r="O31" s="97">
        <v>29.035067945427844</v>
      </c>
      <c r="P31" s="97">
        <v>28.361836286847542</v>
      </c>
      <c r="Q31" s="97">
        <v>32.982468767826433</v>
      </c>
      <c r="R31" s="97">
        <v>32.458804569700106</v>
      </c>
      <c r="S31" s="97">
        <v>34.347451025666508</v>
      </c>
      <c r="T31" s="97">
        <v>37.584974999914508</v>
      </c>
      <c r="U31" s="97">
        <v>40.824502664994988</v>
      </c>
      <c r="V31" s="97">
        <v>46.890441590693342</v>
      </c>
      <c r="W31" s="97">
        <v>55.472126899013944</v>
      </c>
      <c r="X31" s="97">
        <v>76.376901619710424</v>
      </c>
      <c r="Y31" s="97">
        <v>79.552093761521931</v>
      </c>
      <c r="DA31" s="175" t="s">
        <v>760</v>
      </c>
    </row>
    <row r="32" spans="1:105" ht="11.45" customHeight="1" x14ac:dyDescent="0.25">
      <c r="A32" s="111" t="s">
        <v>115</v>
      </c>
      <c r="B32" s="97">
        <v>0</v>
      </c>
      <c r="C32" s="97">
        <v>0</v>
      </c>
      <c r="D32" s="97">
        <v>0</v>
      </c>
      <c r="E32" s="97">
        <v>0</v>
      </c>
      <c r="F32" s="97">
        <v>0</v>
      </c>
      <c r="G32" s="97">
        <v>0</v>
      </c>
      <c r="H32" s="97">
        <v>0</v>
      </c>
      <c r="I32" s="97">
        <v>0</v>
      </c>
      <c r="J32" s="97">
        <v>0</v>
      </c>
      <c r="K32" s="97">
        <v>0</v>
      </c>
      <c r="L32" s="97">
        <v>0</v>
      </c>
      <c r="M32" s="97">
        <v>0</v>
      </c>
      <c r="N32" s="97">
        <v>0</v>
      </c>
      <c r="O32" s="97">
        <v>0</v>
      </c>
      <c r="P32" s="97">
        <v>0</v>
      </c>
      <c r="Q32" s="97">
        <v>0</v>
      </c>
      <c r="R32" s="97">
        <v>0</v>
      </c>
      <c r="S32" s="97">
        <v>0</v>
      </c>
      <c r="T32" s="97">
        <v>0</v>
      </c>
      <c r="U32" s="97">
        <v>0</v>
      </c>
      <c r="V32" s="97">
        <v>0</v>
      </c>
      <c r="W32" s="97">
        <v>0</v>
      </c>
      <c r="X32" s="97">
        <v>0</v>
      </c>
      <c r="Y32" s="97">
        <v>0</v>
      </c>
      <c r="DA32" s="175" t="s">
        <v>761</v>
      </c>
    </row>
    <row r="33" spans="1:105" ht="11.45" customHeight="1" x14ac:dyDescent="0.25">
      <c r="A33" s="27" t="s">
        <v>34</v>
      </c>
      <c r="B33" s="32">
        <f t="shared" ref="B33:K33" si="28">B34+B40</f>
        <v>7376.1926299397765</v>
      </c>
      <c r="C33" s="32">
        <f t="shared" si="28"/>
        <v>7562.9593119215651</v>
      </c>
      <c r="D33" s="32">
        <f t="shared" si="28"/>
        <v>7471.3419030217883</v>
      </c>
      <c r="E33" s="32">
        <f t="shared" si="28"/>
        <v>7734.739075177984</v>
      </c>
      <c r="F33" s="32">
        <f t="shared" si="28"/>
        <v>7921.4193956083091</v>
      </c>
      <c r="G33" s="32">
        <f t="shared" si="28"/>
        <v>7683.6956392954526</v>
      </c>
      <c r="H33" s="32">
        <f t="shared" si="28"/>
        <v>7540.0926630744852</v>
      </c>
      <c r="I33" s="32">
        <f t="shared" si="28"/>
        <v>7302.818611700648</v>
      </c>
      <c r="J33" s="32">
        <f t="shared" si="28"/>
        <v>7173.7594064468885</v>
      </c>
      <c r="K33" s="32">
        <f t="shared" si="28"/>
        <v>6738.8556409961684</v>
      </c>
      <c r="L33" s="32">
        <f t="shared" ref="L33" si="29">L34+L40</f>
        <v>6525.92048113284</v>
      </c>
      <c r="M33" s="32">
        <f t="shared" ref="M33:V33" si="30">M34+M40</f>
        <v>5919.1634361330098</v>
      </c>
      <c r="N33" s="32">
        <f t="shared" si="30"/>
        <v>5114.0680267371799</v>
      </c>
      <c r="O33" s="32">
        <f t="shared" si="30"/>
        <v>4870.6306849976536</v>
      </c>
      <c r="P33" s="32">
        <f t="shared" si="30"/>
        <v>4851.4826359717208</v>
      </c>
      <c r="Q33" s="32">
        <f t="shared" si="30"/>
        <v>4872.801554931877</v>
      </c>
      <c r="R33" s="32">
        <f t="shared" si="30"/>
        <v>5003.5709957565887</v>
      </c>
      <c r="S33" s="32">
        <f t="shared" si="30"/>
        <v>5034.0725763927294</v>
      </c>
      <c r="T33" s="32">
        <f t="shared" si="30"/>
        <v>5021.0377557110169</v>
      </c>
      <c r="U33" s="32">
        <f t="shared" si="30"/>
        <v>5111.2564423336116</v>
      </c>
      <c r="V33" s="32">
        <f t="shared" si="30"/>
        <v>4332.0651496176124</v>
      </c>
      <c r="W33" s="32">
        <f t="shared" ref="W33:Y33" si="31">W34+W40</f>
        <v>4658.850475340113</v>
      </c>
      <c r="X33" s="32">
        <f t="shared" si="31"/>
        <v>5049.3193211340658</v>
      </c>
      <c r="Y33" s="32">
        <f t="shared" si="31"/>
        <v>5340.7198010630291</v>
      </c>
      <c r="DA33" s="173" t="s">
        <v>411</v>
      </c>
    </row>
    <row r="34" spans="1:105" ht="11.45" customHeight="1" x14ac:dyDescent="0.25">
      <c r="A34" s="136" t="s">
        <v>153</v>
      </c>
      <c r="B34" s="141">
        <f t="shared" ref="B34:K34" si="32">SUM(B35:B39)</f>
        <v>5507.2108366162374</v>
      </c>
      <c r="C34" s="141">
        <f t="shared" si="32"/>
        <v>5321.5335186627271</v>
      </c>
      <c r="D34" s="141">
        <f t="shared" si="32"/>
        <v>5310.4869556833155</v>
      </c>
      <c r="E34" s="141">
        <f t="shared" si="32"/>
        <v>5200.4882469061477</v>
      </c>
      <c r="F34" s="141">
        <f t="shared" si="32"/>
        <v>4851.3979279212563</v>
      </c>
      <c r="G34" s="141">
        <f t="shared" si="32"/>
        <v>4523.0256006567397</v>
      </c>
      <c r="H34" s="141">
        <f t="shared" si="32"/>
        <v>4378.8379320631584</v>
      </c>
      <c r="I34" s="141">
        <f t="shared" si="32"/>
        <v>4054.0005832227052</v>
      </c>
      <c r="J34" s="141">
        <f t="shared" si="32"/>
        <v>3995.5757781714287</v>
      </c>
      <c r="K34" s="141">
        <f t="shared" si="32"/>
        <v>3901.899740919022</v>
      </c>
      <c r="L34" s="141">
        <f t="shared" ref="L34" si="33">SUM(L35:L39)</f>
        <v>3687.9513178832863</v>
      </c>
      <c r="M34" s="141">
        <f t="shared" ref="M34:V34" si="34">SUM(M35:M39)</f>
        <v>3211.283015663475</v>
      </c>
      <c r="N34" s="141">
        <f t="shared" si="34"/>
        <v>2708.3012987607958</v>
      </c>
      <c r="O34" s="141">
        <f t="shared" si="34"/>
        <v>2579.6464350863457</v>
      </c>
      <c r="P34" s="141">
        <f t="shared" si="34"/>
        <v>2721.807669524148</v>
      </c>
      <c r="Q34" s="141">
        <f t="shared" si="34"/>
        <v>2660.4164255343931</v>
      </c>
      <c r="R34" s="141">
        <f t="shared" si="34"/>
        <v>2784.9315124823966</v>
      </c>
      <c r="S34" s="141">
        <f t="shared" si="34"/>
        <v>2860.2456719719694</v>
      </c>
      <c r="T34" s="141">
        <f t="shared" si="34"/>
        <v>2887.0223085977254</v>
      </c>
      <c r="U34" s="141">
        <f t="shared" si="34"/>
        <v>2924.5936155334343</v>
      </c>
      <c r="V34" s="141">
        <f t="shared" si="34"/>
        <v>2461.711381484095</v>
      </c>
      <c r="W34" s="141">
        <f t="shared" ref="W34:Y34" si="35">SUM(W35:W39)</f>
        <v>2687.4093170475012</v>
      </c>
      <c r="X34" s="141">
        <f t="shared" si="35"/>
        <v>3046.6324582669713</v>
      </c>
      <c r="Y34" s="141">
        <f t="shared" si="35"/>
        <v>3361.8346436282081</v>
      </c>
      <c r="DA34" s="174" t="s">
        <v>412</v>
      </c>
    </row>
    <row r="35" spans="1:105" ht="11.45" customHeight="1" x14ac:dyDescent="0.25">
      <c r="A35" s="111" t="s">
        <v>110</v>
      </c>
      <c r="B35" s="96">
        <v>68.246175641186639</v>
      </c>
      <c r="C35" s="96">
        <v>60.375989271894198</v>
      </c>
      <c r="D35" s="96">
        <v>59.38622287455631</v>
      </c>
      <c r="E35" s="96">
        <v>63.564703935712828</v>
      </c>
      <c r="F35" s="96">
        <v>55.276548645924265</v>
      </c>
      <c r="G35" s="96">
        <v>50.080352122121816</v>
      </c>
      <c r="H35" s="96">
        <v>48.179778504752271</v>
      </c>
      <c r="I35" s="96">
        <v>43.575968428726618</v>
      </c>
      <c r="J35" s="96">
        <v>42.124403569109887</v>
      </c>
      <c r="K35" s="96">
        <v>41.207052420321006</v>
      </c>
      <c r="L35" s="96">
        <v>38.882399804025496</v>
      </c>
      <c r="M35" s="96">
        <v>30.569496205332293</v>
      </c>
      <c r="N35" s="96">
        <v>25.925244229288896</v>
      </c>
      <c r="O35" s="96">
        <v>22.723126275168251</v>
      </c>
      <c r="P35" s="96">
        <v>21.822029421788386</v>
      </c>
      <c r="Q35" s="96">
        <v>23.009050233413735</v>
      </c>
      <c r="R35" s="96">
        <v>20.945144519189615</v>
      </c>
      <c r="S35" s="96">
        <v>21.701667992509737</v>
      </c>
      <c r="T35" s="96">
        <v>19.699584526712577</v>
      </c>
      <c r="U35" s="96">
        <v>23.627488465808415</v>
      </c>
      <c r="V35" s="96">
        <v>14.404590264310306</v>
      </c>
      <c r="W35" s="96">
        <v>15.19235128459572</v>
      </c>
      <c r="X35" s="96">
        <v>16.932740249910392</v>
      </c>
      <c r="Y35" s="96">
        <v>16.68667520565787</v>
      </c>
      <c r="DA35" s="171" t="s">
        <v>762</v>
      </c>
    </row>
    <row r="36" spans="1:105" ht="11.45" customHeight="1" x14ac:dyDescent="0.25">
      <c r="A36" s="111" t="s">
        <v>111</v>
      </c>
      <c r="B36" s="96">
        <v>5434.8732689570634</v>
      </c>
      <c r="C36" s="96">
        <v>5257.445790447342</v>
      </c>
      <c r="D36" s="96">
        <v>5247.405793704982</v>
      </c>
      <c r="E36" s="96">
        <v>5132.9866106885256</v>
      </c>
      <c r="F36" s="96">
        <v>4792.6210962892837</v>
      </c>
      <c r="G36" s="96">
        <v>4469.7107921229172</v>
      </c>
      <c r="H36" s="96">
        <v>4327.5053945686768</v>
      </c>
      <c r="I36" s="96">
        <v>4007.506856634107</v>
      </c>
      <c r="J36" s="96">
        <v>3950.602097022374</v>
      </c>
      <c r="K36" s="96">
        <v>3857.882287945698</v>
      </c>
      <c r="L36" s="96">
        <v>3646.4499485169308</v>
      </c>
      <c r="M36" s="96">
        <v>3178.5013862593833</v>
      </c>
      <c r="N36" s="96">
        <v>2680.6323634892046</v>
      </c>
      <c r="O36" s="96">
        <v>2555.2111120091149</v>
      </c>
      <c r="P36" s="96">
        <v>2698.2611721323174</v>
      </c>
      <c r="Q36" s="96">
        <v>2635.5717404048833</v>
      </c>
      <c r="R36" s="96">
        <v>2762.2836226973732</v>
      </c>
      <c r="S36" s="96">
        <v>2836.8727956871567</v>
      </c>
      <c r="T36" s="96">
        <v>2865.6912322967864</v>
      </c>
      <c r="U36" s="96">
        <v>2899.1706193264295</v>
      </c>
      <c r="V36" s="96">
        <v>2445.8250222720708</v>
      </c>
      <c r="W36" s="96">
        <v>2670.6198463832461</v>
      </c>
      <c r="X36" s="96">
        <v>3027.9042227294381</v>
      </c>
      <c r="Y36" s="96">
        <v>3343.2339428029923</v>
      </c>
      <c r="DA36" s="171" t="s">
        <v>763</v>
      </c>
    </row>
    <row r="37" spans="1:105" ht="11.45" customHeight="1" x14ac:dyDescent="0.25">
      <c r="A37" s="111" t="s">
        <v>112</v>
      </c>
      <c r="B37" s="96">
        <v>4.0913920179873138</v>
      </c>
      <c r="C37" s="96">
        <v>3.7117389434902628</v>
      </c>
      <c r="D37" s="96">
        <v>3.6949391037771386</v>
      </c>
      <c r="E37" s="96">
        <v>3.9369322819097685</v>
      </c>
      <c r="F37" s="96">
        <v>3.5002829860484166</v>
      </c>
      <c r="G37" s="96">
        <v>3.2344564117012853</v>
      </c>
      <c r="H37" s="96">
        <v>3.1527589897297528</v>
      </c>
      <c r="I37" s="96">
        <v>2.9177581598712616</v>
      </c>
      <c r="J37" s="96">
        <v>2.8492775799450603</v>
      </c>
      <c r="K37" s="96">
        <v>2.8104005530029115</v>
      </c>
      <c r="L37" s="96">
        <v>2.6189695623297204</v>
      </c>
      <c r="M37" s="96">
        <v>2.2121331987595947</v>
      </c>
      <c r="N37" s="96">
        <v>1.7436910423021597</v>
      </c>
      <c r="O37" s="96">
        <v>1.7029895198513394</v>
      </c>
      <c r="P37" s="96">
        <v>1.7003008954657086</v>
      </c>
      <c r="Q37" s="96">
        <v>1.7950805327397279</v>
      </c>
      <c r="R37" s="96">
        <v>1.6501880625148251</v>
      </c>
      <c r="S37" s="96">
        <v>1.6112290756374614</v>
      </c>
      <c r="T37" s="96">
        <v>1.5392250152153546</v>
      </c>
      <c r="U37" s="96">
        <v>1.6332479657924623</v>
      </c>
      <c r="V37" s="96">
        <v>1.3182126904931946</v>
      </c>
      <c r="W37" s="96">
        <v>1.3408253566682518</v>
      </c>
      <c r="X37" s="96">
        <v>1.4942578457742806</v>
      </c>
      <c r="Y37" s="96">
        <v>1.5778860332702345</v>
      </c>
      <c r="DA37" s="171" t="s">
        <v>764</v>
      </c>
    </row>
    <row r="38" spans="1:105" ht="11.45" customHeight="1" x14ac:dyDescent="0.25">
      <c r="A38" s="111" t="s">
        <v>113</v>
      </c>
      <c r="B38" s="96">
        <v>0</v>
      </c>
      <c r="C38" s="96">
        <v>0</v>
      </c>
      <c r="D38" s="96">
        <v>0</v>
      </c>
      <c r="E38" s="96">
        <v>0</v>
      </c>
      <c r="F38" s="96">
        <v>0</v>
      </c>
      <c r="G38" s="96">
        <v>0</v>
      </c>
      <c r="H38" s="96">
        <v>0</v>
      </c>
      <c r="I38" s="96">
        <v>0</v>
      </c>
      <c r="J38" s="96">
        <v>0</v>
      </c>
      <c r="K38" s="96">
        <v>0</v>
      </c>
      <c r="L38" s="96">
        <v>0</v>
      </c>
      <c r="M38" s="96">
        <v>0</v>
      </c>
      <c r="N38" s="96">
        <v>0</v>
      </c>
      <c r="O38" s="96">
        <v>9.2072822114213117E-3</v>
      </c>
      <c r="P38" s="96">
        <v>2.4167074576265414E-2</v>
      </c>
      <c r="Q38" s="96">
        <v>4.0554363356544859E-2</v>
      </c>
      <c r="R38" s="96">
        <v>5.25572033194667E-2</v>
      </c>
      <c r="S38" s="96">
        <v>5.9979216665786261E-2</v>
      </c>
      <c r="T38" s="96">
        <v>9.2266759011334326E-2</v>
      </c>
      <c r="U38" s="96">
        <v>0.16225977540390302</v>
      </c>
      <c r="V38" s="96">
        <v>0.16355625722081499</v>
      </c>
      <c r="W38" s="96">
        <v>0.25629402299131165</v>
      </c>
      <c r="X38" s="96">
        <v>0.30123744184836315</v>
      </c>
      <c r="Y38" s="96">
        <v>0.33613958628744256</v>
      </c>
      <c r="DA38" s="171" t="s">
        <v>765</v>
      </c>
    </row>
    <row r="39" spans="1:105" ht="11.45" customHeight="1" x14ac:dyDescent="0.25">
      <c r="A39" s="111" t="s">
        <v>115</v>
      </c>
      <c r="B39" s="96">
        <v>0</v>
      </c>
      <c r="C39" s="96">
        <v>0</v>
      </c>
      <c r="D39" s="96">
        <v>0</v>
      </c>
      <c r="E39" s="96">
        <v>0</v>
      </c>
      <c r="F39" s="96">
        <v>0</v>
      </c>
      <c r="G39" s="96">
        <v>0</v>
      </c>
      <c r="H39" s="96">
        <v>0</v>
      </c>
      <c r="I39" s="96">
        <v>0</v>
      </c>
      <c r="J39" s="96">
        <v>0</v>
      </c>
      <c r="K39" s="96">
        <v>0</v>
      </c>
      <c r="L39" s="96">
        <v>0</v>
      </c>
      <c r="M39" s="96">
        <v>0</v>
      </c>
      <c r="N39" s="96">
        <v>0</v>
      </c>
      <c r="O39" s="96">
        <v>0</v>
      </c>
      <c r="P39" s="96">
        <v>0</v>
      </c>
      <c r="Q39" s="96">
        <v>0</v>
      </c>
      <c r="R39" s="96">
        <v>0</v>
      </c>
      <c r="S39" s="96">
        <v>0</v>
      </c>
      <c r="T39" s="96">
        <v>0</v>
      </c>
      <c r="U39" s="96">
        <v>0</v>
      </c>
      <c r="V39" s="96">
        <v>0</v>
      </c>
      <c r="W39" s="96">
        <v>0</v>
      </c>
      <c r="X39" s="96">
        <v>0</v>
      </c>
      <c r="Y39" s="96">
        <v>0</v>
      </c>
      <c r="DA39" s="171" t="s">
        <v>766</v>
      </c>
    </row>
    <row r="40" spans="1:105" ht="11.45" customHeight="1" x14ac:dyDescent="0.25">
      <c r="A40" s="109" t="s">
        <v>154</v>
      </c>
      <c r="B40" s="130">
        <f t="shared" ref="B40:K40" si="36">SUM(B41:B42)</f>
        <v>1868.981793323539</v>
      </c>
      <c r="C40" s="130">
        <f t="shared" si="36"/>
        <v>2241.425793258838</v>
      </c>
      <c r="D40" s="130">
        <f t="shared" si="36"/>
        <v>2160.8549473384733</v>
      </c>
      <c r="E40" s="130">
        <f t="shared" si="36"/>
        <v>2534.2508282718368</v>
      </c>
      <c r="F40" s="130">
        <f t="shared" si="36"/>
        <v>3070.0214676870532</v>
      </c>
      <c r="G40" s="130">
        <f t="shared" si="36"/>
        <v>3160.6700386387133</v>
      </c>
      <c r="H40" s="130">
        <f t="shared" si="36"/>
        <v>3161.2547310113268</v>
      </c>
      <c r="I40" s="130">
        <f t="shared" si="36"/>
        <v>3248.8180284779428</v>
      </c>
      <c r="J40" s="130">
        <f t="shared" si="36"/>
        <v>3178.1836282754593</v>
      </c>
      <c r="K40" s="130">
        <f t="shared" si="36"/>
        <v>2836.9559000771465</v>
      </c>
      <c r="L40" s="130">
        <f t="shared" ref="L40" si="37">SUM(L41:L42)</f>
        <v>2837.9691632495542</v>
      </c>
      <c r="M40" s="130">
        <f t="shared" ref="M40:V40" si="38">SUM(M41:M42)</f>
        <v>2707.8804204695348</v>
      </c>
      <c r="N40" s="130">
        <f t="shared" si="38"/>
        <v>2405.7667279763841</v>
      </c>
      <c r="O40" s="130">
        <f t="shared" si="38"/>
        <v>2290.9842499113079</v>
      </c>
      <c r="P40" s="130">
        <f t="shared" si="38"/>
        <v>2129.6749664475728</v>
      </c>
      <c r="Q40" s="130">
        <f t="shared" si="38"/>
        <v>2212.3851293974844</v>
      </c>
      <c r="R40" s="130">
        <f t="shared" si="38"/>
        <v>2218.6394832741926</v>
      </c>
      <c r="S40" s="130">
        <f t="shared" si="38"/>
        <v>2173.82690442076</v>
      </c>
      <c r="T40" s="130">
        <f t="shared" si="38"/>
        <v>2134.0154471132919</v>
      </c>
      <c r="U40" s="130">
        <f t="shared" si="38"/>
        <v>2186.6628268001773</v>
      </c>
      <c r="V40" s="130">
        <f t="shared" si="38"/>
        <v>1870.3537681335174</v>
      </c>
      <c r="W40" s="130">
        <f t="shared" ref="W40:Y40" si="39">SUM(W41:W42)</f>
        <v>1971.4411582926118</v>
      </c>
      <c r="X40" s="130">
        <f t="shared" si="39"/>
        <v>2002.6868628670941</v>
      </c>
      <c r="Y40" s="130">
        <f t="shared" si="39"/>
        <v>1978.8851574348214</v>
      </c>
      <c r="DA40" s="176" t="s">
        <v>413</v>
      </c>
    </row>
    <row r="41" spans="1:105" ht="11.45" customHeight="1" x14ac:dyDescent="0.25">
      <c r="A41" s="128" t="s">
        <v>27</v>
      </c>
      <c r="B41" s="97">
        <v>1478.255166651516</v>
      </c>
      <c r="C41" s="97">
        <v>1803.2759674718884</v>
      </c>
      <c r="D41" s="97">
        <v>1692.2614666285206</v>
      </c>
      <c r="E41" s="97">
        <v>1967.062051661552</v>
      </c>
      <c r="F41" s="97">
        <v>2414.1486129921232</v>
      </c>
      <c r="G41" s="97">
        <v>2490.4074905854955</v>
      </c>
      <c r="H41" s="97">
        <v>2455.3583067021764</v>
      </c>
      <c r="I41" s="97">
        <v>2488.8229691700617</v>
      </c>
      <c r="J41" s="97">
        <v>2486.7028194108379</v>
      </c>
      <c r="K41" s="97">
        <v>2148.6196834989009</v>
      </c>
      <c r="L41" s="97">
        <v>2222.0415535529251</v>
      </c>
      <c r="M41" s="97">
        <v>2074.7770624938166</v>
      </c>
      <c r="N41" s="97">
        <v>1820.4321921629808</v>
      </c>
      <c r="O41" s="97">
        <v>1629.1435647304877</v>
      </c>
      <c r="P41" s="97">
        <v>1469.986861049789</v>
      </c>
      <c r="Q41" s="97">
        <v>1652.9789895189861</v>
      </c>
      <c r="R41" s="97">
        <v>1594.9500846089327</v>
      </c>
      <c r="S41" s="97">
        <v>1572.6456197731059</v>
      </c>
      <c r="T41" s="97">
        <v>1519.334819488407</v>
      </c>
      <c r="U41" s="97">
        <v>1535.2060104603356</v>
      </c>
      <c r="V41" s="97">
        <v>1309.3036553662273</v>
      </c>
      <c r="W41" s="97">
        <v>1343.8670912843247</v>
      </c>
      <c r="X41" s="97">
        <v>1314.4080361403728</v>
      </c>
      <c r="Y41" s="97">
        <v>1287.8467738163101</v>
      </c>
      <c r="DA41" s="175" t="s">
        <v>767</v>
      </c>
    </row>
    <row r="42" spans="1:105" ht="11.45" customHeight="1" x14ac:dyDescent="0.25">
      <c r="A42" s="138" t="s">
        <v>116</v>
      </c>
      <c r="B42" s="98">
        <v>390.72662667202303</v>
      </c>
      <c r="C42" s="98">
        <v>438.14982578694975</v>
      </c>
      <c r="D42" s="98">
        <v>468.5934807099527</v>
      </c>
      <c r="E42" s="98">
        <v>567.18877661028489</v>
      </c>
      <c r="F42" s="98">
        <v>655.87285469493008</v>
      </c>
      <c r="G42" s="98">
        <v>670.26254805321798</v>
      </c>
      <c r="H42" s="98">
        <v>705.89642430915023</v>
      </c>
      <c r="I42" s="98">
        <v>759.99505930788087</v>
      </c>
      <c r="J42" s="98">
        <v>691.48080886462117</v>
      </c>
      <c r="K42" s="98">
        <v>688.3362165782454</v>
      </c>
      <c r="L42" s="98">
        <v>615.92760969662936</v>
      </c>
      <c r="M42" s="98">
        <v>633.10335797571815</v>
      </c>
      <c r="N42" s="98">
        <v>585.33453581340325</v>
      </c>
      <c r="O42" s="98">
        <v>661.84068518082029</v>
      </c>
      <c r="P42" s="98">
        <v>659.68810539778394</v>
      </c>
      <c r="Q42" s="98">
        <v>559.40613987849827</v>
      </c>
      <c r="R42" s="98">
        <v>623.68939866526</v>
      </c>
      <c r="S42" s="98">
        <v>601.18128464765391</v>
      </c>
      <c r="T42" s="98">
        <v>614.68062762488466</v>
      </c>
      <c r="U42" s="98">
        <v>651.45681633984168</v>
      </c>
      <c r="V42" s="98">
        <v>561.05011276729022</v>
      </c>
      <c r="W42" s="98">
        <v>627.57406700828722</v>
      </c>
      <c r="X42" s="98">
        <v>688.27882672672138</v>
      </c>
      <c r="Y42" s="98">
        <v>691.03838361851138</v>
      </c>
      <c r="DA42" s="178" t="s">
        <v>768</v>
      </c>
    </row>
    <row r="43" spans="1:105" x14ac:dyDescent="0.25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DA43" s="171"/>
    </row>
    <row r="44" spans="1:105" ht="11.45" customHeight="1" x14ac:dyDescent="0.25">
      <c r="A44" s="68" t="s">
        <v>36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DA44" s="179"/>
    </row>
    <row r="45" spans="1:105" x14ac:dyDescent="0.2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DA45" s="171"/>
    </row>
    <row r="46" spans="1:105" ht="11.45" customHeight="1" x14ac:dyDescent="0.25">
      <c r="A46" s="53" t="s">
        <v>48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X46" s="132"/>
      <c r="Y46" s="132"/>
      <c r="DA46" s="172"/>
    </row>
    <row r="47" spans="1:105" ht="11.45" customHeight="1" x14ac:dyDescent="0.25">
      <c r="A47" s="133" t="s">
        <v>45</v>
      </c>
      <c r="B47" s="145">
        <f>IF(B4=0,0,B4/TrRoad_ene!B4)</f>
        <v>3.0205791887160829</v>
      </c>
      <c r="C47" s="145">
        <f>IF(C4=0,0,C4/TrRoad_ene!C4)</f>
        <v>3.0259704684576003</v>
      </c>
      <c r="D47" s="145">
        <f>IF(D4=0,0,D4/TrRoad_ene!D4)</f>
        <v>3.0253820012928276</v>
      </c>
      <c r="E47" s="145">
        <f>IF(E4=0,0,E4/TrRoad_ene!E4)</f>
        <v>3.0313704643806045</v>
      </c>
      <c r="F47" s="145">
        <f>IF(F4=0,0,F4/TrRoad_ene!F4)</f>
        <v>3.0358246888590887</v>
      </c>
      <c r="G47" s="145">
        <f>IF(G4=0,0,G4/TrRoad_ene!G4)</f>
        <v>3.036647815089109</v>
      </c>
      <c r="H47" s="145">
        <f>IF(H4=0,0,H4/TrRoad_ene!H4)</f>
        <v>3.0059286944773698</v>
      </c>
      <c r="I47" s="145">
        <f>IF(I4=0,0,I4/TrRoad_ene!I4)</f>
        <v>2.9837156484876979</v>
      </c>
      <c r="J47" s="145">
        <f>IF(J4=0,0,J4/TrRoad_ene!J4)</f>
        <v>2.9853312142577488</v>
      </c>
      <c r="K47" s="145">
        <f>IF(K4=0,0,K4/TrRoad_ene!K4)</f>
        <v>2.9436026014682466</v>
      </c>
      <c r="L47" s="145">
        <f>IF(L4=0,0,L4/TrRoad_ene!L4)</f>
        <v>2.8950175782947238</v>
      </c>
      <c r="M47" s="145">
        <f>IF(M4=0,0,M4/TrRoad_ene!M4)</f>
        <v>2.8943872904966867</v>
      </c>
      <c r="N47" s="145">
        <f>IF(N4=0,0,N4/TrRoad_ene!N4)</f>
        <v>2.8917248274934488</v>
      </c>
      <c r="O47" s="145">
        <f>IF(O4=0,0,O4/TrRoad_ene!O4)</f>
        <v>2.8960587027976525</v>
      </c>
      <c r="P47" s="145">
        <f>IF(P4=0,0,P4/TrRoad_ene!P4)</f>
        <v>2.8990536368476039</v>
      </c>
      <c r="Q47" s="145">
        <f>IF(Q4=0,0,Q4/TrRoad_ene!Q4)</f>
        <v>2.8650720682993267</v>
      </c>
      <c r="R47" s="145">
        <f>IF(R4=0,0,R4/TrRoad_ene!R4)</f>
        <v>2.9052539544315108</v>
      </c>
      <c r="S47" s="145">
        <f>IF(S4=0,0,S4/TrRoad_ene!S4)</f>
        <v>2.9195780147825392</v>
      </c>
      <c r="T47" s="145">
        <f>IF(T4=0,0,T4/TrRoad_ene!T4)</f>
        <v>2.9087620237569514</v>
      </c>
      <c r="U47" s="145">
        <f>IF(U4=0,0,U4/TrRoad_ene!U4)</f>
        <v>2.9050009522325282</v>
      </c>
      <c r="V47" s="145">
        <f>IF(V4=0,0,V4/TrRoad_ene!V4)</f>
        <v>2.8953334711719925</v>
      </c>
      <c r="W47" s="145">
        <f>IF(W4=0,0,W4/TrRoad_ene!W4)</f>
        <v>2.8480372111075369</v>
      </c>
      <c r="X47" s="145">
        <f>IF(X4=0,0,X4/TrRoad_ene!X4)</f>
        <v>2.8523948529974548</v>
      </c>
      <c r="Y47" s="145">
        <f>IF(Y4=0,0,Y4/TrRoad_ene!Y4)</f>
        <v>2.8473324842556686</v>
      </c>
      <c r="DA47" s="206"/>
    </row>
    <row r="48" spans="1:105" ht="11.45" customHeight="1" x14ac:dyDescent="0.25">
      <c r="A48" s="92" t="s">
        <v>126</v>
      </c>
      <c r="B48" s="97">
        <f>IF(B7=0,0,(B7+B12)/(TrRoad_ene!B7+TrRoad_ene!B12))</f>
        <v>2.9014524000000002</v>
      </c>
      <c r="C48" s="97">
        <f>IF(C7=0,0,(C7+C12)/(TrRoad_ene!C7+TrRoad_ene!C12))</f>
        <v>2.9014524000000002</v>
      </c>
      <c r="D48" s="97">
        <f>IF(D7=0,0,(D7+D12)/(TrRoad_ene!D7+TrRoad_ene!D12))</f>
        <v>2.9014524000000002</v>
      </c>
      <c r="E48" s="97">
        <f>IF(E7=0,0,(E7+E12)/(TrRoad_ene!E7+TrRoad_ene!E12))</f>
        <v>2.9014524000000002</v>
      </c>
      <c r="F48" s="97">
        <f>IF(F7=0,0,(F7+F12)/(TrRoad_ene!F7+TrRoad_ene!F12))</f>
        <v>2.9014524000000002</v>
      </c>
      <c r="G48" s="97">
        <f>IF(G7=0,0,(G7+G12)/(TrRoad_ene!G7+TrRoad_ene!G12))</f>
        <v>2.9014524000000002</v>
      </c>
      <c r="H48" s="97">
        <f>IF(H7=0,0,(H7+H12)/(TrRoad_ene!H7+TrRoad_ene!H12))</f>
        <v>2.9014524000000002</v>
      </c>
      <c r="I48" s="97">
        <f>IF(I7=0,0,(I7+I12)/(TrRoad_ene!I7+TrRoad_ene!I12))</f>
        <v>2.9014524000000002</v>
      </c>
      <c r="J48" s="97">
        <f>IF(J7=0,0,(J7+J12)/(TrRoad_ene!J7+TrRoad_ene!J12))</f>
        <v>2.9014524000000002</v>
      </c>
      <c r="K48" s="97">
        <f>IF(K7=0,0,(K7+K12)/(TrRoad_ene!K7+TrRoad_ene!K12))</f>
        <v>2.9014524000000006</v>
      </c>
      <c r="L48" s="97">
        <f>IF(L7=0,0,(L7+L12)/(TrRoad_ene!L7+TrRoad_ene!L12))</f>
        <v>2.9014523999999997</v>
      </c>
      <c r="M48" s="97">
        <f>IF(M7=0,0,(M7+M12)/(TrRoad_ene!M7+TrRoad_ene!M12))</f>
        <v>2.9014524000000002</v>
      </c>
      <c r="N48" s="97">
        <f>IF(N7=0,0,(N7+N12)/(TrRoad_ene!N7+TrRoad_ene!N12))</f>
        <v>2.898290628405376</v>
      </c>
      <c r="O48" s="97">
        <f>IF(O7=0,0,(O7+O12)/(TrRoad_ene!O7+TrRoad_ene!O12))</f>
        <v>2.8965871140748258</v>
      </c>
      <c r="P48" s="97">
        <f>IF(P7=0,0,(P7+P12)/(TrRoad_ene!P7+TrRoad_ene!P12))</f>
        <v>2.8965558930433151</v>
      </c>
      <c r="Q48" s="97">
        <f>IF(Q7=0,0,(Q7+Q12)/(TrRoad_ene!Q7+TrRoad_ene!Q12))</f>
        <v>2.8463486127983364</v>
      </c>
      <c r="R48" s="97">
        <f>IF(R7=0,0,(R7+R12)/(TrRoad_ene!R7+TrRoad_ene!R12))</f>
        <v>2.8355686022977493</v>
      </c>
      <c r="S48" s="97">
        <f>IF(S7=0,0,(S7+S12)/(TrRoad_ene!S7+TrRoad_ene!S12))</f>
        <v>2.8935565432816808</v>
      </c>
      <c r="T48" s="97">
        <f>IF(T7=0,0,(T7+T12)/(TrRoad_ene!T7+TrRoad_ene!T12))</f>
        <v>2.8863191324710225</v>
      </c>
      <c r="U48" s="97">
        <f>IF(U7=0,0,(U7+U12)/(TrRoad_ene!U7+TrRoad_ene!U12))</f>
        <v>2.8801549103055484</v>
      </c>
      <c r="V48" s="97">
        <f>IF(V7=0,0,(V7+V12)/(TrRoad_ene!V7+TrRoad_ene!V12))</f>
        <v>2.8812695896458385</v>
      </c>
      <c r="W48" s="97">
        <f>IF(W7=0,0,(W7+W12)/(TrRoad_ene!W7+TrRoad_ene!W12))</f>
        <v>2.852432500380492</v>
      </c>
      <c r="X48" s="97">
        <f>IF(X7=0,0,(X7+X12)/(TrRoad_ene!X7+TrRoad_ene!X12))</f>
        <v>2.8341993850329947</v>
      </c>
      <c r="Y48" s="97">
        <f>IF(Y7=0,0,(Y7+Y12)/(TrRoad_ene!Y7+TrRoad_ene!Y12))</f>
        <v>2.8418421989513982</v>
      </c>
      <c r="DA48" s="175"/>
    </row>
    <row r="49" spans="1:105" ht="11.45" customHeight="1" x14ac:dyDescent="0.25">
      <c r="A49" s="92" t="s">
        <v>95</v>
      </c>
      <c r="B49" s="97">
        <f>IF(B8=0,0,(B8+B13+B14)/(TrRoad_ene!B8+TrRoad_ene!B13+TrRoad_ene!B14))</f>
        <v>3.1024188000000001</v>
      </c>
      <c r="C49" s="97">
        <f>IF(C8=0,0,(C8+C13+C14)/(TrRoad_ene!C8+TrRoad_ene!C13+TrRoad_ene!C14))</f>
        <v>3.1024188000000001</v>
      </c>
      <c r="D49" s="97">
        <f>IF(D8=0,0,(D8+D13+D14)/(TrRoad_ene!D8+TrRoad_ene!D13+TrRoad_ene!D14))</f>
        <v>3.1024187999999997</v>
      </c>
      <c r="E49" s="97">
        <f>IF(E8=0,0,(E8+E13+E14)/(TrRoad_ene!E8+TrRoad_ene!E13+TrRoad_ene!E14))</f>
        <v>3.1024188000000001</v>
      </c>
      <c r="F49" s="97">
        <f>IF(F8=0,0,(F8+F13+F14)/(TrRoad_ene!F8+TrRoad_ene!F13+TrRoad_ene!F14))</f>
        <v>3.1024188000000001</v>
      </c>
      <c r="G49" s="97">
        <f>IF(G8=0,0,(G8+G13+G14)/(TrRoad_ene!G8+TrRoad_ene!G13+TrRoad_ene!G14))</f>
        <v>3.1024188000000001</v>
      </c>
      <c r="H49" s="97">
        <f>IF(H8=0,0,(H8+H13+H14)/(TrRoad_ene!H8+TrRoad_ene!H13+TrRoad_ene!H14))</f>
        <v>3.0519209970173904</v>
      </c>
      <c r="I49" s="97">
        <f>IF(I8=0,0,(I8+I13+I14)/(TrRoad_ene!I8+TrRoad_ene!I13+TrRoad_ene!I14))</f>
        <v>3.0178757907644402</v>
      </c>
      <c r="J49" s="97">
        <f>IF(J8=0,0,(J8+J13+J14)/(TrRoad_ene!J8+TrRoad_ene!J13+TrRoad_ene!J14))</f>
        <v>3.0175497095330037</v>
      </c>
      <c r="K49" s="97">
        <f>IF(K8=0,0,(K8+K13+K14)/(TrRoad_ene!K8+TrRoad_ene!K13+TrRoad_ene!K14))</f>
        <v>2.9614667287315131</v>
      </c>
      <c r="L49" s="97">
        <f>IF(L8=0,0,(L8+L13+L14)/(TrRoad_ene!L8+TrRoad_ene!L13+TrRoad_ene!L14))</f>
        <v>2.896371568304732</v>
      </c>
      <c r="M49" s="97">
        <f>IF(M8=0,0,(M8+M13+M14)/(TrRoad_ene!M8+TrRoad_ene!M13+TrRoad_ene!M14))</f>
        <v>2.8955445540005855</v>
      </c>
      <c r="N49" s="97">
        <f>IF(N8=0,0,(N8+N13+N14)/(TrRoad_ene!N8+TrRoad_ene!N13+TrRoad_ene!N14))</f>
        <v>2.8937423426784195</v>
      </c>
      <c r="O49" s="97">
        <f>IF(O8=0,0,(O8+O13+O14)/(TrRoad_ene!O8+TrRoad_ene!O13+TrRoad_ene!O14))</f>
        <v>2.9001887318620949</v>
      </c>
      <c r="P49" s="97">
        <f>IF(P8=0,0,(P8+P13+P14)/(TrRoad_ene!P8+TrRoad_ene!P13+TrRoad_ene!P14))</f>
        <v>2.9040540469009324</v>
      </c>
      <c r="Q49" s="97">
        <f>IF(Q8=0,0,(Q8+Q13+Q14)/(TrRoad_ene!Q8+TrRoad_ene!Q13+TrRoad_ene!Q14))</f>
        <v>2.8744149431279005</v>
      </c>
      <c r="R49" s="97">
        <f>IF(R8=0,0,(R8+R13+R14)/(TrRoad_ene!R8+TrRoad_ene!R13+TrRoad_ene!R14))</f>
        <v>2.9284354680650488</v>
      </c>
      <c r="S49" s="97">
        <f>IF(S8=0,0,(S8+S13+S14)/(TrRoad_ene!S8+TrRoad_ene!S13+TrRoad_ene!S14))</f>
        <v>2.9320946033998867</v>
      </c>
      <c r="T49" s="97">
        <f>IF(T8=0,0,(T8+T13+T14)/(TrRoad_ene!T8+TrRoad_ene!T13+TrRoad_ene!T14))</f>
        <v>2.9223292336212201</v>
      </c>
      <c r="U49" s="97">
        <f>IF(U8=0,0,(U8+U13+U14)/(TrRoad_ene!U8+TrRoad_ene!U13+TrRoad_ene!U14))</f>
        <v>2.92169080118448</v>
      </c>
      <c r="V49" s="97">
        <f>IF(V8=0,0,(V8+V13+V14)/(TrRoad_ene!V8+TrRoad_ene!V13+TrRoad_ene!V14))</f>
        <v>2.9116757507740414</v>
      </c>
      <c r="W49" s="97">
        <f>IF(W8=0,0,(W8+W13+W14)/(TrRoad_ene!W8+TrRoad_ene!W13+TrRoad_ene!W14))</f>
        <v>2.8632392827025939</v>
      </c>
      <c r="X49" s="97">
        <f>IF(X8=0,0,(X8+X13+X14)/(TrRoad_ene!X8+TrRoad_ene!X13+TrRoad_ene!X14))</f>
        <v>2.8787616101579374</v>
      </c>
      <c r="Y49" s="97">
        <f>IF(Y8=0,0,(Y8+Y13+Y14)/(TrRoad_ene!Y8+TrRoad_ene!Y13+TrRoad_ene!Y14))</f>
        <v>2.8800342945556321</v>
      </c>
      <c r="DA49" s="175"/>
    </row>
    <row r="50" spans="1:105" ht="11.45" customHeight="1" x14ac:dyDescent="0.25">
      <c r="A50" s="92" t="s">
        <v>127</v>
      </c>
      <c r="B50" s="97">
        <f>IF(B6=0,0,B6/TrRoad_ene!B6)</f>
        <v>2.6418708000000004</v>
      </c>
      <c r="C50" s="97">
        <f>IF(C6=0,0,C6/TrRoad_ene!C6)</f>
        <v>2.6418708000000004</v>
      </c>
      <c r="D50" s="97">
        <f>IF(D6=0,0,D6/TrRoad_ene!D6)</f>
        <v>2.6418708000000004</v>
      </c>
      <c r="E50" s="97">
        <f>IF(E6=0,0,E6/TrRoad_ene!E6)</f>
        <v>2.6418708000000004</v>
      </c>
      <c r="F50" s="97">
        <f>IF(F6=0,0,F6/TrRoad_ene!F6)</f>
        <v>2.6418708000000004</v>
      </c>
      <c r="G50" s="97">
        <f>IF(G6=0,0,G6/TrRoad_ene!G6)</f>
        <v>2.6418708000000004</v>
      </c>
      <c r="H50" s="97">
        <f>IF(H6=0,0,H6/TrRoad_ene!H6)</f>
        <v>2.6418708000000004</v>
      </c>
      <c r="I50" s="97">
        <f>IF(I6=0,0,I6/TrRoad_ene!I6)</f>
        <v>2.6418708000000004</v>
      </c>
      <c r="J50" s="97">
        <f>IF(J6=0,0,J6/TrRoad_ene!J6)</f>
        <v>2.6418708</v>
      </c>
      <c r="K50" s="97">
        <f>IF(K6=0,0,K6/TrRoad_ene!K6)</f>
        <v>2.6418708000000004</v>
      </c>
      <c r="L50" s="97">
        <f>IF(L6=0,0,L6/TrRoad_ene!L6)</f>
        <v>2.6418708000000004</v>
      </c>
      <c r="M50" s="97">
        <f>IF(M6=0,0,M6/TrRoad_ene!M6)</f>
        <v>2.6418708000000004</v>
      </c>
      <c r="N50" s="97">
        <f>IF(N6=0,0,N6/TrRoad_ene!N6)</f>
        <v>2.6418708000000004</v>
      </c>
      <c r="O50" s="97">
        <f>IF(O6=0,0,O6/TrRoad_ene!O6)</f>
        <v>2.6418708000000004</v>
      </c>
      <c r="P50" s="97">
        <f>IF(P6=0,0,P6/TrRoad_ene!P6)</f>
        <v>2.6418708000000004</v>
      </c>
      <c r="Q50" s="97">
        <f>IF(Q6=0,0,Q6/TrRoad_ene!Q6)</f>
        <v>2.6418708000000004</v>
      </c>
      <c r="R50" s="97">
        <f>IF(R6=0,0,R6/TrRoad_ene!R6)</f>
        <v>2.6418708000000004</v>
      </c>
      <c r="S50" s="97">
        <f>IF(S6=0,0,S6/TrRoad_ene!S6)</f>
        <v>2.6418708000000004</v>
      </c>
      <c r="T50" s="97">
        <f>IF(T6=0,0,T6/TrRoad_ene!T6)</f>
        <v>2.6418708000000004</v>
      </c>
      <c r="U50" s="97">
        <f>IF(U6=0,0,U6/TrRoad_ene!U6)</f>
        <v>2.6418708000000004</v>
      </c>
      <c r="V50" s="97">
        <f>IF(V6=0,0,V6/TrRoad_ene!V6)</f>
        <v>2.6418708000000004</v>
      </c>
      <c r="W50" s="97">
        <f>IF(W6=0,0,W6/TrRoad_ene!W6)</f>
        <v>2.6418708000000004</v>
      </c>
      <c r="X50" s="97">
        <f>IF(X6=0,0,X6/TrRoad_ene!X6)</f>
        <v>2.6418708000000004</v>
      </c>
      <c r="Y50" s="97">
        <f>IF(Y6=0,0,Y6/TrRoad_ene!Y6)</f>
        <v>2.6418708000000004</v>
      </c>
      <c r="DA50" s="175"/>
    </row>
    <row r="51" spans="1:105" ht="11.45" customHeight="1" x14ac:dyDescent="0.25">
      <c r="A51" s="92" t="s">
        <v>128</v>
      </c>
      <c r="B51" s="97">
        <f>IF(B9=0,0,(B9+B11)/(TrRoad_ene!B9+TrRoad_ene!B11))</f>
        <v>2.3487948000000003</v>
      </c>
      <c r="C51" s="97">
        <f>IF(C9=0,0,(C9+C11)/(TrRoad_ene!C9+TrRoad_ene!C11))</f>
        <v>2.3487948000000003</v>
      </c>
      <c r="D51" s="97">
        <f>IF(D9=0,0,(D9+D11)/(TrRoad_ene!D9+TrRoad_ene!D11))</f>
        <v>2.3487948000000007</v>
      </c>
      <c r="E51" s="97">
        <f>IF(E9=0,0,(E9+E11)/(TrRoad_ene!E9+TrRoad_ene!E11))</f>
        <v>2.3487948000000003</v>
      </c>
      <c r="F51" s="97">
        <f>IF(F9=0,0,(F9+F11)/(TrRoad_ene!F9+TrRoad_ene!F11))</f>
        <v>2.3487948000000003</v>
      </c>
      <c r="G51" s="97">
        <f>IF(G9=0,0,(G9+G11)/(TrRoad_ene!G9+TrRoad_ene!G11))</f>
        <v>2.3487948000000003</v>
      </c>
      <c r="H51" s="97">
        <f>IF(H9=0,0,(H9+H11)/(TrRoad_ene!H9+TrRoad_ene!H11))</f>
        <v>2.3487948000000003</v>
      </c>
      <c r="I51" s="97">
        <f>IF(I9=0,0,(I9+I11)/(TrRoad_ene!I9+TrRoad_ene!I11))</f>
        <v>2.3487948000000003</v>
      </c>
      <c r="J51" s="97">
        <f>IF(J9=0,0,(J9+J11)/(TrRoad_ene!J9+TrRoad_ene!J11))</f>
        <v>2.3487948000000003</v>
      </c>
      <c r="K51" s="97">
        <f>IF(K9=0,0,(K9+K11)/(TrRoad_ene!K9+TrRoad_ene!K11))</f>
        <v>2.3487948000000003</v>
      </c>
      <c r="L51" s="97">
        <f>IF(L9=0,0,(L9+L11)/(TrRoad_ene!L9+TrRoad_ene!L11))</f>
        <v>2.3487948000000003</v>
      </c>
      <c r="M51" s="97">
        <f>IF(M9=0,0,(M9+M11)/(TrRoad_ene!M9+TrRoad_ene!M11))</f>
        <v>2.3487948000000003</v>
      </c>
      <c r="N51" s="97">
        <f>IF(N9=0,0,(N9+N11)/(TrRoad_ene!N9+TrRoad_ene!N11))</f>
        <v>2.3487948000000003</v>
      </c>
      <c r="O51" s="97">
        <f>IF(O9=0,0,(O9+O11)/(TrRoad_ene!O9+TrRoad_ene!O11))</f>
        <v>2.3487948000000003</v>
      </c>
      <c r="P51" s="97">
        <f>IF(P9=0,0,(P9+P11)/(TrRoad_ene!P9+TrRoad_ene!P11))</f>
        <v>2.3487948000000003</v>
      </c>
      <c r="Q51" s="97">
        <f>IF(Q9=0,0,(Q9+Q11)/(TrRoad_ene!Q9+TrRoad_ene!Q11))</f>
        <v>2.3487948000000003</v>
      </c>
      <c r="R51" s="97">
        <f>IF(R9=0,0,(R9+R11)/(TrRoad_ene!R9+TrRoad_ene!R11))</f>
        <v>2.3487948000000003</v>
      </c>
      <c r="S51" s="97">
        <f>IF(S9=0,0,(S9+S11)/(TrRoad_ene!S9+TrRoad_ene!S11))</f>
        <v>2.3487948000000003</v>
      </c>
      <c r="T51" s="97">
        <f>IF(T9=0,0,(T9+T11)/(TrRoad_ene!T9+TrRoad_ene!T11))</f>
        <v>2.3487948000000003</v>
      </c>
      <c r="U51" s="97">
        <f>IF(U9=0,0,(U9+U11)/(TrRoad_ene!U9+TrRoad_ene!U11))</f>
        <v>2.3487948000000003</v>
      </c>
      <c r="V51" s="97">
        <f>IF(V9=0,0,(V9+V11)/(TrRoad_ene!V9+TrRoad_ene!V11))</f>
        <v>2.3487948000000003</v>
      </c>
      <c r="W51" s="97">
        <f>IF(W9=0,0,(W9+W11)/(TrRoad_ene!W9+TrRoad_ene!W11))</f>
        <v>2.3487948000000003</v>
      </c>
      <c r="X51" s="97">
        <f>IF(X9=0,0,(X9+X11)/(TrRoad_ene!X9+TrRoad_ene!X11))</f>
        <v>2.3487948000000003</v>
      </c>
      <c r="Y51" s="97">
        <f>IF(Y9=0,0,(Y9+Y11)/(TrRoad_ene!Y9+TrRoad_ene!Y11))</f>
        <v>2.3487948000000003</v>
      </c>
      <c r="DA51" s="175"/>
    </row>
    <row r="52" spans="1:105" ht="11.45" customHeight="1" x14ac:dyDescent="0.25">
      <c r="A52" s="85" t="s">
        <v>91</v>
      </c>
      <c r="B52" s="98">
        <f>IF(B15=0,0,B15/TrRoad_ene!B15)</f>
        <v>0</v>
      </c>
      <c r="C52" s="98">
        <f>IF(C15=0,0,C15/TrRoad_ene!C15)</f>
        <v>0</v>
      </c>
      <c r="D52" s="98">
        <f>IF(D15=0,0,D15/TrRoad_ene!D15)</f>
        <v>0</v>
      </c>
      <c r="E52" s="98">
        <f>IF(E15=0,0,E15/TrRoad_ene!E15)</f>
        <v>0</v>
      </c>
      <c r="F52" s="98">
        <f>IF(F15=0,0,F15/TrRoad_ene!F15)</f>
        <v>0</v>
      </c>
      <c r="G52" s="98">
        <f>IF(G15=0,0,G15/TrRoad_ene!G15)</f>
        <v>0</v>
      </c>
      <c r="H52" s="98">
        <f>IF(H15=0,0,H15/TrRoad_ene!H15)</f>
        <v>0</v>
      </c>
      <c r="I52" s="98">
        <f>IF(I15=0,0,I15/TrRoad_ene!I15)</f>
        <v>0</v>
      </c>
      <c r="J52" s="98">
        <f>IF(J15=0,0,J15/TrRoad_ene!J15)</f>
        <v>0</v>
      </c>
      <c r="K52" s="98">
        <f>IF(K15=0,0,K15/TrRoad_ene!K15)</f>
        <v>0</v>
      </c>
      <c r="L52" s="98">
        <f>IF(L15=0,0,L15/TrRoad_ene!L15)</f>
        <v>0</v>
      </c>
      <c r="M52" s="98">
        <f>IF(M15=0,0,M15/TrRoad_ene!M15)</f>
        <v>0</v>
      </c>
      <c r="N52" s="98">
        <f>IF(N15=0,0,N15/TrRoad_ene!N15)</f>
        <v>0</v>
      </c>
      <c r="O52" s="98">
        <f>IF(O15=0,0,O15/TrRoad_ene!O15)</f>
        <v>0</v>
      </c>
      <c r="P52" s="98">
        <f>IF(P15=0,0,P15/TrRoad_ene!P15)</f>
        <v>0</v>
      </c>
      <c r="Q52" s="98">
        <f>IF(Q15=0,0,Q15/TrRoad_ene!Q15)</f>
        <v>0</v>
      </c>
      <c r="R52" s="98">
        <f>IF(R15=0,0,R15/TrRoad_ene!R15)</f>
        <v>0</v>
      </c>
      <c r="S52" s="98">
        <f>IF(S15=0,0,S15/TrRoad_ene!S15)</f>
        <v>0</v>
      </c>
      <c r="T52" s="98">
        <f>IF(T15=0,0,T15/TrRoad_ene!T15)</f>
        <v>0</v>
      </c>
      <c r="U52" s="98">
        <f>IF(U15=0,0,U15/TrRoad_ene!U15)</f>
        <v>0</v>
      </c>
      <c r="V52" s="98">
        <f>IF(V15=0,0,V15/TrRoad_ene!V15)</f>
        <v>0</v>
      </c>
      <c r="W52" s="98">
        <f>IF(W15=0,0,W15/TrRoad_ene!W15)</f>
        <v>0</v>
      </c>
      <c r="X52" s="98">
        <f>IF(X15=0,0,X15/TrRoad_ene!X15)</f>
        <v>0</v>
      </c>
      <c r="Y52" s="98">
        <f>IF(Y15=0,0,Y15/TrRoad_ene!Y15)</f>
        <v>0</v>
      </c>
      <c r="DA52" s="178"/>
    </row>
    <row r="53" spans="1:105" x14ac:dyDescent="0.25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DA53" s="171"/>
    </row>
    <row r="54" spans="1:105" ht="11.45" customHeight="1" x14ac:dyDescent="0.25">
      <c r="A54" s="53" t="s">
        <v>129</v>
      </c>
      <c r="B54" s="62">
        <f>IF(TrRoad_act!B30=0,0,B17/TrRoad_act!B30*1000
)</f>
        <v>252.30103599009274</v>
      </c>
      <c r="C54" s="62">
        <f>IF(TrRoad_act!C30=0,0,C17/TrRoad_act!C30*1000
)</f>
        <v>251.80883046295327</v>
      </c>
      <c r="D54" s="62">
        <f>IF(TrRoad_act!D30=0,0,D17/TrRoad_act!D30*1000
)</f>
        <v>243.7947719425693</v>
      </c>
      <c r="E54" s="62">
        <f>IF(TrRoad_act!E30=0,0,E17/TrRoad_act!E30*1000
)</f>
        <v>251.93544240733584</v>
      </c>
      <c r="F54" s="62">
        <f>IF(TrRoad_act!F30=0,0,F17/TrRoad_act!F30*1000
)</f>
        <v>253.9070122556013</v>
      </c>
      <c r="G54" s="62">
        <f>IF(TrRoad_act!G30=0,0,G17/TrRoad_act!G30*1000
)</f>
        <v>241.64617783679489</v>
      </c>
      <c r="H54" s="62">
        <f>IF(TrRoad_act!H30=0,0,H17/TrRoad_act!H30*1000
)</f>
        <v>236.66768746427729</v>
      </c>
      <c r="I54" s="62">
        <f>IF(TrRoad_act!I30=0,0,I17/TrRoad_act!I30*1000
)</f>
        <v>234.570715976516</v>
      </c>
      <c r="J54" s="62">
        <f>IF(TrRoad_act!J30=0,0,J17/TrRoad_act!J30*1000
)</f>
        <v>232.11752387175133</v>
      </c>
      <c r="K54" s="62">
        <f>IF(TrRoad_act!K30=0,0,K17/TrRoad_act!K30*1000
)</f>
        <v>222.88422070592412</v>
      </c>
      <c r="L54" s="62">
        <f>IF(TrRoad_act!L30=0,0,L17/TrRoad_act!L30*1000
)</f>
        <v>216.55355018830468</v>
      </c>
      <c r="M54" s="62">
        <f>IF(TrRoad_act!M30=0,0,M17/TrRoad_act!M30*1000
)</f>
        <v>209.60449062965552</v>
      </c>
      <c r="N54" s="62">
        <f>IF(TrRoad_act!N30=0,0,N17/TrRoad_act!N30*1000
)</f>
        <v>210.46037622245319</v>
      </c>
      <c r="O54" s="62">
        <f>IF(TrRoad_act!O30=0,0,O17/TrRoad_act!O30*1000
)</f>
        <v>207.67282380694468</v>
      </c>
      <c r="P54" s="62">
        <f>IF(TrRoad_act!P30=0,0,P17/TrRoad_act!P30*1000
)</f>
        <v>201.61264011152809</v>
      </c>
      <c r="Q54" s="62">
        <f>IF(TrRoad_act!Q30=0,0,Q17/TrRoad_act!Q30*1000
)</f>
        <v>201.96480798865218</v>
      </c>
      <c r="R54" s="62">
        <f>IF(TrRoad_act!R30=0,0,R17/TrRoad_act!R30*1000
)</f>
        <v>201.97949402877114</v>
      </c>
      <c r="S54" s="62">
        <f>IF(TrRoad_act!S30=0,0,S17/TrRoad_act!S30*1000
)</f>
        <v>198.93204203264509</v>
      </c>
      <c r="T54" s="62">
        <f>IF(TrRoad_act!T30=0,0,T17/TrRoad_act!T30*1000
)</f>
        <v>197.1796250034445</v>
      </c>
      <c r="U54" s="62">
        <f>IF(TrRoad_act!U30=0,0,U17/TrRoad_act!U30*1000
)</f>
        <v>197.74195874621969</v>
      </c>
      <c r="V54" s="62">
        <f>IF(TrRoad_act!V30=0,0,V17/TrRoad_act!V30*1000
)</f>
        <v>191.64694360963662</v>
      </c>
      <c r="W54" s="62">
        <f>IF(TrRoad_act!W30=0,0,W17/TrRoad_act!W30*1000
)</f>
        <v>193.1177385992633</v>
      </c>
      <c r="X54" s="62">
        <f>IF(TrRoad_act!X30=0,0,X17/TrRoad_act!X30*1000
)</f>
        <v>194.21871432598874</v>
      </c>
      <c r="Y54" s="62">
        <f>IF(TrRoad_act!Y30=0,0,Y17/TrRoad_act!Y30*1000
)</f>
        <v>191.88427341046639</v>
      </c>
      <c r="DA54" s="172" t="s">
        <v>769</v>
      </c>
    </row>
    <row r="55" spans="1:105" ht="11.45" customHeight="1" x14ac:dyDescent="0.25">
      <c r="A55" s="27" t="s">
        <v>33</v>
      </c>
      <c r="B55" s="29">
        <f>IF(TrRoad_act!B31=0,0,B18/TrRoad_act!B31*1000
)</f>
        <v>192.83519472317721</v>
      </c>
      <c r="C55" s="29">
        <f>IF(TrRoad_act!C31=0,0,C18/TrRoad_act!C31*1000
)</f>
        <v>192.01782794736241</v>
      </c>
      <c r="D55" s="29">
        <f>IF(TrRoad_act!D31=0,0,D18/TrRoad_act!D31*1000
)</f>
        <v>187.85687680986643</v>
      </c>
      <c r="E55" s="29">
        <f>IF(TrRoad_act!E31=0,0,E18/TrRoad_act!E31*1000
)</f>
        <v>194.83180575654268</v>
      </c>
      <c r="F55" s="29">
        <f>IF(TrRoad_act!F31=0,0,F18/TrRoad_act!F31*1000
)</f>
        <v>194.63269088576183</v>
      </c>
      <c r="G55" s="29">
        <f>IF(TrRoad_act!G31=0,0,G18/TrRoad_act!G31*1000
)</f>
        <v>181.94343356111145</v>
      </c>
      <c r="H55" s="29">
        <f>IF(TrRoad_act!H31=0,0,H18/TrRoad_act!H31*1000
)</f>
        <v>179.51427614104313</v>
      </c>
      <c r="I55" s="29">
        <f>IF(TrRoad_act!I31=0,0,I18/TrRoad_act!I31*1000
)</f>
        <v>179.04445851161108</v>
      </c>
      <c r="J55" s="29">
        <f>IF(TrRoad_act!J31=0,0,J18/TrRoad_act!J31*1000
)</f>
        <v>179.12668834485521</v>
      </c>
      <c r="K55" s="29">
        <f>IF(TrRoad_act!K31=0,0,K18/TrRoad_act!K31*1000
)</f>
        <v>175.58799030576472</v>
      </c>
      <c r="L55" s="29">
        <f>IF(TrRoad_act!L31=0,0,L18/TrRoad_act!L31*1000
)</f>
        <v>171.47569478046765</v>
      </c>
      <c r="M55" s="29">
        <f>IF(TrRoad_act!M31=0,0,M18/TrRoad_act!M31*1000
)</f>
        <v>165.62097055948993</v>
      </c>
      <c r="N55" s="29">
        <f>IF(TrRoad_act!N31=0,0,N18/TrRoad_act!N31*1000
)</f>
        <v>169.23704872699076</v>
      </c>
      <c r="O55" s="29">
        <f>IF(TrRoad_act!O31=0,0,O18/TrRoad_act!O31*1000
)</f>
        <v>168.15988245023104</v>
      </c>
      <c r="P55" s="29">
        <f>IF(TrRoad_act!P31=0,0,P18/TrRoad_act!P31*1000
)</f>
        <v>165.56908743006045</v>
      </c>
      <c r="Q55" s="29">
        <f>IF(TrRoad_act!Q31=0,0,Q18/TrRoad_act!Q31*1000
)</f>
        <v>166.43506110252838</v>
      </c>
      <c r="R55" s="29">
        <f>IF(TrRoad_act!R31=0,0,R18/TrRoad_act!R31*1000
)</f>
        <v>166.80717190890033</v>
      </c>
      <c r="S55" s="29">
        <f>IF(TrRoad_act!S31=0,0,S18/TrRoad_act!S31*1000
)</f>
        <v>165.53285593649545</v>
      </c>
      <c r="T55" s="29">
        <f>IF(TrRoad_act!T31=0,0,T18/TrRoad_act!T31*1000
)</f>
        <v>165.07713079148962</v>
      </c>
      <c r="U55" s="29">
        <f>IF(TrRoad_act!U31=0,0,U18/TrRoad_act!U31*1000
)</f>
        <v>166.32780518532994</v>
      </c>
      <c r="V55" s="29">
        <f>IF(TrRoad_act!V31=0,0,V18/TrRoad_act!V31*1000
)</f>
        <v>160.05012213585459</v>
      </c>
      <c r="W55" s="29">
        <f>IF(TrRoad_act!W31=0,0,W18/TrRoad_act!W31*1000
)</f>
        <v>162.52978300284016</v>
      </c>
      <c r="X55" s="29">
        <f>IF(TrRoad_act!X31=0,0,X18/TrRoad_act!X31*1000
)</f>
        <v>164.06670419656112</v>
      </c>
      <c r="Y55" s="29">
        <f>IF(TrRoad_act!Y31=0,0,Y18/TrRoad_act!Y31*1000
)</f>
        <v>163.14622563133113</v>
      </c>
      <c r="DA55" s="173" t="s">
        <v>770</v>
      </c>
    </row>
    <row r="56" spans="1:105" ht="11.45" customHeight="1" x14ac:dyDescent="0.25">
      <c r="A56" s="136" t="s">
        <v>173</v>
      </c>
      <c r="B56" s="152">
        <f>IF(TrRoad_act!B32=0,0,B19/TrRoad_act!B32*1000
)</f>
        <v>123.38955963865938</v>
      </c>
      <c r="C56" s="152">
        <f>IF(TrRoad_act!C32=0,0,C19/TrRoad_act!C32*1000
)</f>
        <v>116.18958156892353</v>
      </c>
      <c r="D56" s="152">
        <f>IF(TrRoad_act!D32=0,0,D19/TrRoad_act!D32*1000
)</f>
        <v>115.13620071842261</v>
      </c>
      <c r="E56" s="152">
        <f>IF(TrRoad_act!E32=0,0,E19/TrRoad_act!E32*1000
)</f>
        <v>114.29903871368585</v>
      </c>
      <c r="F56" s="152">
        <f>IF(TrRoad_act!F32=0,0,F19/TrRoad_act!F32*1000
)</f>
        <v>113.42767434522435</v>
      </c>
      <c r="G56" s="152">
        <f>IF(TrRoad_act!G32=0,0,G19/TrRoad_act!G32*1000
)</f>
        <v>112.56103030892346</v>
      </c>
      <c r="H56" s="152">
        <f>IF(TrRoad_act!H32=0,0,H19/TrRoad_act!H32*1000
)</f>
        <v>111.58174459328708</v>
      </c>
      <c r="I56" s="152">
        <f>IF(TrRoad_act!I32=0,0,I19/TrRoad_act!I32*1000
)</f>
        <v>110.52622100236918</v>
      </c>
      <c r="J56" s="152">
        <f>IF(TrRoad_act!J32=0,0,J19/TrRoad_act!J32*1000
)</f>
        <v>109.92585585014029</v>
      </c>
      <c r="K56" s="152">
        <f>IF(TrRoad_act!K32=0,0,K19/TrRoad_act!K32*1000
)</f>
        <v>108.92044890474101</v>
      </c>
      <c r="L56" s="152">
        <f>IF(TrRoad_act!L32=0,0,L19/TrRoad_act!L32*1000
)</f>
        <v>106.51284656499536</v>
      </c>
      <c r="M56" s="152">
        <f>IF(TrRoad_act!M32=0,0,M19/TrRoad_act!M32*1000
)</f>
        <v>104.58614941918225</v>
      </c>
      <c r="N56" s="152">
        <f>IF(TrRoad_act!N32=0,0,N19/TrRoad_act!N32*1000
)</f>
        <v>102.74217765069041</v>
      </c>
      <c r="O56" s="152">
        <f>IF(TrRoad_act!O32=0,0,O19/TrRoad_act!O32*1000
)</f>
        <v>101.84030444267157</v>
      </c>
      <c r="P56" s="152">
        <f>IF(TrRoad_act!P32=0,0,P19/TrRoad_act!P32*1000
)</f>
        <v>100.55323938173208</v>
      </c>
      <c r="Q56" s="152">
        <f>IF(TrRoad_act!Q32=0,0,Q19/TrRoad_act!Q32*1000
)</f>
        <v>97.045757898336177</v>
      </c>
      <c r="R56" s="152">
        <f>IF(TrRoad_act!R32=0,0,R19/TrRoad_act!R32*1000
)</f>
        <v>95.350070534939377</v>
      </c>
      <c r="S56" s="152">
        <f>IF(TrRoad_act!S32=0,0,S19/TrRoad_act!S32*1000
)</f>
        <v>101.01820613362499</v>
      </c>
      <c r="T56" s="152">
        <f>IF(TrRoad_act!T32=0,0,T19/TrRoad_act!T32*1000
)</f>
        <v>99.697108950602129</v>
      </c>
      <c r="U56" s="152">
        <f>IF(TrRoad_act!U32=0,0,U19/TrRoad_act!U32*1000
)</f>
        <v>98.686001350676818</v>
      </c>
      <c r="V56" s="152">
        <f>IF(TrRoad_act!V32=0,0,V19/TrRoad_act!V32*1000
)</f>
        <v>96.607193301996872</v>
      </c>
      <c r="W56" s="152">
        <f>IF(TrRoad_act!W32=0,0,W19/TrRoad_act!W32*1000
)</f>
        <v>94.770519364934245</v>
      </c>
      <c r="X56" s="152">
        <f>IF(TrRoad_act!X32=0,0,X19/TrRoad_act!X32*1000
)</f>
        <v>94.019447659129952</v>
      </c>
      <c r="Y56" s="152">
        <f>IF(TrRoad_act!Y32=0,0,Y19/TrRoad_act!Y32*1000
)</f>
        <v>94.128275176102449</v>
      </c>
      <c r="DA56" s="174" t="s">
        <v>771</v>
      </c>
    </row>
    <row r="57" spans="1:105" ht="11.45" customHeight="1" x14ac:dyDescent="0.25">
      <c r="A57" s="109" t="s">
        <v>20</v>
      </c>
      <c r="B57" s="116">
        <f>IF(TrRoad_act!B33=0,0,B20/TrRoad_act!B33*1000
)</f>
        <v>176.44920215206196</v>
      </c>
      <c r="C57" s="116">
        <f>IF(TrRoad_act!C33=0,0,C20/TrRoad_act!C33*1000
)</f>
        <v>176.22098347014372</v>
      </c>
      <c r="D57" s="116">
        <f>IF(TrRoad_act!D33=0,0,D20/TrRoad_act!D33*1000
)</f>
        <v>173.3535658052582</v>
      </c>
      <c r="E57" s="116">
        <f>IF(TrRoad_act!E33=0,0,E20/TrRoad_act!E33*1000
)</f>
        <v>181.59537931837235</v>
      </c>
      <c r="F57" s="116">
        <f>IF(TrRoad_act!F33=0,0,F20/TrRoad_act!F33*1000
)</f>
        <v>182.34740106989588</v>
      </c>
      <c r="G57" s="116">
        <f>IF(TrRoad_act!G33=0,0,G20/TrRoad_act!G33*1000
)</f>
        <v>175.05362388176107</v>
      </c>
      <c r="H57" s="116">
        <f>IF(TrRoad_act!H33=0,0,H20/TrRoad_act!H33*1000
)</f>
        <v>172.91300720641567</v>
      </c>
      <c r="I57" s="116">
        <f>IF(TrRoad_act!I33=0,0,I20/TrRoad_act!I33*1000
)</f>
        <v>172.27799197691652</v>
      </c>
      <c r="J57" s="116">
        <f>IF(TrRoad_act!J33=0,0,J20/TrRoad_act!J33*1000
)</f>
        <v>172.20790232522316</v>
      </c>
      <c r="K57" s="116">
        <f>IF(TrRoad_act!K33=0,0,K20/TrRoad_act!K33*1000
)</f>
        <v>168.6048982238768</v>
      </c>
      <c r="L57" s="116">
        <f>IF(TrRoad_act!L33=0,0,L20/TrRoad_act!L33*1000
)</f>
        <v>164.47647651652375</v>
      </c>
      <c r="M57" s="116">
        <f>IF(TrRoad_act!M33=0,0,M20/TrRoad_act!M33*1000
)</f>
        <v>158.28462036904185</v>
      </c>
      <c r="N57" s="116">
        <f>IF(TrRoad_act!N33=0,0,N20/TrRoad_act!N33*1000
)</f>
        <v>163.40210208510621</v>
      </c>
      <c r="O57" s="116">
        <f>IF(TrRoad_act!O33=0,0,O20/TrRoad_act!O33*1000
)</f>
        <v>162.60606653494543</v>
      </c>
      <c r="P57" s="116">
        <f>IF(TrRoad_act!P33=0,0,P20/TrRoad_act!P33*1000
)</f>
        <v>158.50969984822095</v>
      </c>
      <c r="Q57" s="116">
        <f>IF(TrRoad_act!Q33=0,0,Q20/TrRoad_act!Q33*1000
)</f>
        <v>159.3702301156583</v>
      </c>
      <c r="R57" s="116">
        <f>IF(TrRoad_act!R33=0,0,R20/TrRoad_act!R33*1000
)</f>
        <v>159.46277164888556</v>
      </c>
      <c r="S57" s="116">
        <f>IF(TrRoad_act!S33=0,0,S20/TrRoad_act!S33*1000
)</f>
        <v>157.82514994107308</v>
      </c>
      <c r="T57" s="116">
        <f>IF(TrRoad_act!T33=0,0,T20/TrRoad_act!T33*1000
)</f>
        <v>157.06725310842486</v>
      </c>
      <c r="U57" s="116">
        <f>IF(TrRoad_act!U33=0,0,U20/TrRoad_act!U33*1000
)</f>
        <v>159.32636727353454</v>
      </c>
      <c r="V57" s="116">
        <f>IF(TrRoad_act!V33=0,0,V20/TrRoad_act!V33*1000
)</f>
        <v>154.11085818181181</v>
      </c>
      <c r="W57" s="116">
        <f>IF(TrRoad_act!W33=0,0,W20/TrRoad_act!W33*1000
)</f>
        <v>155.40890630692874</v>
      </c>
      <c r="X57" s="116">
        <f>IF(TrRoad_act!X33=0,0,X20/TrRoad_act!X33*1000
)</f>
        <v>155.73981427536327</v>
      </c>
      <c r="Y57" s="116">
        <f>IF(TrRoad_act!Y33=0,0,Y20/TrRoad_act!Y33*1000
)</f>
        <v>155.17322316785905</v>
      </c>
      <c r="DA57" s="176" t="s">
        <v>772</v>
      </c>
    </row>
    <row r="58" spans="1:105" ht="11.45" customHeight="1" x14ac:dyDescent="0.25">
      <c r="A58" s="111" t="s">
        <v>110</v>
      </c>
      <c r="B58" s="87">
        <f>IF(TrRoad_act!B34=0,0,B21/TrRoad_act!B34*1000
)</f>
        <v>199.88657711293993</v>
      </c>
      <c r="C58" s="87">
        <f>IF(TrRoad_act!C34=0,0,C21/TrRoad_act!C34*1000
)</f>
        <v>195.95518205657126</v>
      </c>
      <c r="D58" s="87">
        <f>IF(TrRoad_act!D34=0,0,D21/TrRoad_act!D34*1000
)</f>
        <v>193.7693693716044</v>
      </c>
      <c r="E58" s="87">
        <f>IF(TrRoad_act!E34=0,0,E21/TrRoad_act!E34*1000
)</f>
        <v>192.94012348144133</v>
      </c>
      <c r="F58" s="87">
        <f>IF(TrRoad_act!F34=0,0,F21/TrRoad_act!F34*1000
)</f>
        <v>192.48060994175736</v>
      </c>
      <c r="G58" s="87">
        <f>IF(TrRoad_act!G34=0,0,G21/TrRoad_act!G34*1000
)</f>
        <v>191.68976400022393</v>
      </c>
      <c r="H58" s="87">
        <f>IF(TrRoad_act!H34=0,0,H21/TrRoad_act!H34*1000
)</f>
        <v>191.04715049410549</v>
      </c>
      <c r="I58" s="87">
        <f>IF(TrRoad_act!I34=0,0,I21/TrRoad_act!I34*1000
)</f>
        <v>190.28670869060323</v>
      </c>
      <c r="J58" s="87">
        <f>IF(TrRoad_act!J34=0,0,J21/TrRoad_act!J34*1000
)</f>
        <v>189.25783753664697</v>
      </c>
      <c r="K58" s="87">
        <f>IF(TrRoad_act!K34=0,0,K21/TrRoad_act!K34*1000
)</f>
        <v>188.87178122437021</v>
      </c>
      <c r="L58" s="87">
        <f>IF(TrRoad_act!L34=0,0,L21/TrRoad_act!L34*1000
)</f>
        <v>185.88888713589805</v>
      </c>
      <c r="M58" s="87">
        <f>IF(TrRoad_act!M34=0,0,M21/TrRoad_act!M34*1000
)</f>
        <v>184.67773883535378</v>
      </c>
      <c r="N58" s="87">
        <f>IF(TrRoad_act!N34=0,0,N21/TrRoad_act!N34*1000
)</f>
        <v>181.21835063721957</v>
      </c>
      <c r="O58" s="87">
        <f>IF(TrRoad_act!O34=0,0,O21/TrRoad_act!O34*1000
)</f>
        <v>180.77953816536458</v>
      </c>
      <c r="P58" s="87">
        <f>IF(TrRoad_act!P34=0,0,P21/TrRoad_act!P34*1000
)</f>
        <v>179.89204240287492</v>
      </c>
      <c r="Q58" s="87">
        <f>IF(TrRoad_act!Q34=0,0,Q21/TrRoad_act!Q34*1000
)</f>
        <v>174.90816593034452</v>
      </c>
      <c r="R58" s="87">
        <f>IF(TrRoad_act!R34=0,0,R21/TrRoad_act!R34*1000
)</f>
        <v>174.99522937761444</v>
      </c>
      <c r="S58" s="87">
        <f>IF(TrRoad_act!S34=0,0,S21/TrRoad_act!S34*1000
)</f>
        <v>176.11451345574915</v>
      </c>
      <c r="T58" s="87">
        <f>IF(TrRoad_act!T34=0,0,T21/TrRoad_act!T34*1000
)</f>
        <v>176.57522646338083</v>
      </c>
      <c r="U58" s="87">
        <f>IF(TrRoad_act!U34=0,0,U21/TrRoad_act!U34*1000
)</f>
        <v>176.29840674309321</v>
      </c>
      <c r="V58" s="87">
        <f>IF(TrRoad_act!V34=0,0,V21/TrRoad_act!V34*1000
)</f>
        <v>174.7274934176618</v>
      </c>
      <c r="W58" s="87">
        <f>IF(TrRoad_act!W34=0,0,W21/TrRoad_act!W34*1000
)</f>
        <v>172.36943855119566</v>
      </c>
      <c r="X58" s="87">
        <f>IF(TrRoad_act!X34=0,0,X21/TrRoad_act!X34*1000
)</f>
        <v>177.36597426786369</v>
      </c>
      <c r="Y58" s="87">
        <f>IF(TrRoad_act!Y34=0,0,Y21/TrRoad_act!Y34*1000
)</f>
        <v>180.44298171772377</v>
      </c>
      <c r="DA58" s="171" t="s">
        <v>773</v>
      </c>
    </row>
    <row r="59" spans="1:105" ht="11.45" customHeight="1" x14ac:dyDescent="0.25">
      <c r="A59" s="111" t="s">
        <v>111</v>
      </c>
      <c r="B59" s="87">
        <f>IF(TrRoad_act!B35=0,0,B22/TrRoad_act!B35*1000
)</f>
        <v>133.18492497292553</v>
      </c>
      <c r="C59" s="87">
        <f>IF(TrRoad_act!C35=0,0,C22/TrRoad_act!C35*1000
)</f>
        <v>144.52037648617952</v>
      </c>
      <c r="D59" s="87">
        <f>IF(TrRoad_act!D35=0,0,D22/TrRoad_act!D35*1000
)</f>
        <v>143.43582313727711</v>
      </c>
      <c r="E59" s="87">
        <f>IF(TrRoad_act!E35=0,0,E22/TrRoad_act!E35*1000
)</f>
        <v>167.539286136257</v>
      </c>
      <c r="F59" s="87">
        <f>IF(TrRoad_act!F35=0,0,F22/TrRoad_act!F35*1000
)</f>
        <v>171.63653223899431</v>
      </c>
      <c r="G59" s="87">
        <f>IF(TrRoad_act!G35=0,0,G22/TrRoad_act!G35*1000
)</f>
        <v>159.90303807464278</v>
      </c>
      <c r="H59" s="87">
        <f>IF(TrRoad_act!H35=0,0,H22/TrRoad_act!H35*1000
)</f>
        <v>158.77563380981883</v>
      </c>
      <c r="I59" s="87">
        <f>IF(TrRoad_act!I35=0,0,I22/TrRoad_act!I35*1000
)</f>
        <v>159.61021958711223</v>
      </c>
      <c r="J59" s="87">
        <f>IF(TrRoad_act!J35=0,0,J22/TrRoad_act!J35*1000
)</f>
        <v>161.80567409660108</v>
      </c>
      <c r="K59" s="87">
        <f>IF(TrRoad_act!K35=0,0,K22/TrRoad_act!K35*1000
)</f>
        <v>157.26826210626891</v>
      </c>
      <c r="L59" s="87">
        <f>IF(TrRoad_act!L35=0,0,L22/TrRoad_act!L35*1000
)</f>
        <v>153.51588760063123</v>
      </c>
      <c r="M59" s="87">
        <f>IF(TrRoad_act!M35=0,0,M22/TrRoad_act!M35*1000
)</f>
        <v>146.14411536898658</v>
      </c>
      <c r="N59" s="87">
        <f>IF(TrRoad_act!N35=0,0,N22/TrRoad_act!N35*1000
)</f>
        <v>155.32836953280813</v>
      </c>
      <c r="O59" s="87">
        <f>IF(TrRoad_act!O35=0,0,O22/TrRoad_act!O35*1000
)</f>
        <v>154.67424654209947</v>
      </c>
      <c r="P59" s="87">
        <f>IF(TrRoad_act!P35=0,0,P22/TrRoad_act!P35*1000
)</f>
        <v>149.76461652876463</v>
      </c>
      <c r="Q59" s="87">
        <f>IF(TrRoad_act!Q35=0,0,Q22/TrRoad_act!Q35*1000
)</f>
        <v>153.08593721963271</v>
      </c>
      <c r="R59" s="87">
        <f>IF(TrRoad_act!R35=0,0,R22/TrRoad_act!R35*1000
)</f>
        <v>153.69682992636984</v>
      </c>
      <c r="S59" s="87">
        <f>IF(TrRoad_act!S35=0,0,S22/TrRoad_act!S35*1000
)</f>
        <v>151.76202538818632</v>
      </c>
      <c r="T59" s="87">
        <f>IF(TrRoad_act!T35=0,0,T22/TrRoad_act!T35*1000
)</f>
        <v>151.37010226660277</v>
      </c>
      <c r="U59" s="87">
        <f>IF(TrRoad_act!U35=0,0,U22/TrRoad_act!U35*1000
)</f>
        <v>155.09850320744019</v>
      </c>
      <c r="V59" s="87">
        <f>IF(TrRoad_act!V35=0,0,V22/TrRoad_act!V35*1000
)</f>
        <v>149.50222864123501</v>
      </c>
      <c r="W59" s="87">
        <f>IF(TrRoad_act!W35=0,0,W22/TrRoad_act!W35*1000
)</f>
        <v>152.9474042991996</v>
      </c>
      <c r="X59" s="87">
        <f>IF(TrRoad_act!X35=0,0,X22/TrRoad_act!X35*1000
)</f>
        <v>152.54493633722058</v>
      </c>
      <c r="Y59" s="87">
        <f>IF(TrRoad_act!Y35=0,0,Y22/TrRoad_act!Y35*1000
)</f>
        <v>152.18393181702368</v>
      </c>
      <c r="DA59" s="171" t="s">
        <v>774</v>
      </c>
    </row>
    <row r="60" spans="1:105" ht="11.45" customHeight="1" x14ac:dyDescent="0.25">
      <c r="A60" s="111" t="s">
        <v>112</v>
      </c>
      <c r="B60" s="87">
        <f>IF(TrRoad_act!B36=0,0,B23/TrRoad_act!B36*1000
)</f>
        <v>191.66853760088193</v>
      </c>
      <c r="C60" s="87">
        <f>IF(TrRoad_act!C36=0,0,C23/TrRoad_act!C36*1000
)</f>
        <v>205.50128491953581</v>
      </c>
      <c r="D60" s="87">
        <f>IF(TrRoad_act!D36=0,0,D23/TrRoad_act!D36*1000
)</f>
        <v>210.91520456968908</v>
      </c>
      <c r="E60" s="87">
        <f>IF(TrRoad_act!E36=0,0,E23/TrRoad_act!E36*1000
)</f>
        <v>184.12368898636618</v>
      </c>
      <c r="F60" s="87">
        <f>IF(TrRoad_act!F36=0,0,F23/TrRoad_act!F36*1000
)</f>
        <v>180.24671169375671</v>
      </c>
      <c r="G60" s="87">
        <f>IF(TrRoad_act!G36=0,0,G23/TrRoad_act!G36*1000
)</f>
        <v>189.81281167964332</v>
      </c>
      <c r="H60" s="87">
        <f>IF(TrRoad_act!H36=0,0,H23/TrRoad_act!H36*1000
)</f>
        <v>211.97732153297002</v>
      </c>
      <c r="I60" s="87">
        <f>IF(TrRoad_act!I36=0,0,I23/TrRoad_act!I36*1000
)</f>
        <v>230.75866332120603</v>
      </c>
      <c r="J60" s="87">
        <f>IF(TrRoad_act!J36=0,0,J23/TrRoad_act!J36*1000
)</f>
        <v>194.48762289422379</v>
      </c>
      <c r="K60" s="87">
        <f>IF(TrRoad_act!K36=0,0,K23/TrRoad_act!K36*1000
)</f>
        <v>163.4605246476992</v>
      </c>
      <c r="L60" s="87">
        <f>IF(TrRoad_act!L36=0,0,L23/TrRoad_act!L36*1000
)</f>
        <v>162.21351099067672</v>
      </c>
      <c r="M60" s="87">
        <f>IF(TrRoad_act!M36=0,0,M23/TrRoad_act!M36*1000
)</f>
        <v>158.85996471275979</v>
      </c>
      <c r="N60" s="87">
        <f>IF(TrRoad_act!N36=0,0,N23/TrRoad_act!N36*1000
)</f>
        <v>159.60960457904272</v>
      </c>
      <c r="O60" s="87">
        <f>IF(TrRoad_act!O36=0,0,O23/TrRoad_act!O36*1000
)</f>
        <v>162.38466397723491</v>
      </c>
      <c r="P60" s="87">
        <f>IF(TrRoad_act!P36=0,0,P23/TrRoad_act!P36*1000
)</f>
        <v>152.36716761828609</v>
      </c>
      <c r="Q60" s="87">
        <f>IF(TrRoad_act!Q36=0,0,Q23/TrRoad_act!Q36*1000
)</f>
        <v>157.48707701460037</v>
      </c>
      <c r="R60" s="87">
        <f>IF(TrRoad_act!R36=0,0,R23/TrRoad_act!R36*1000
)</f>
        <v>157.52073029618464</v>
      </c>
      <c r="S60" s="87">
        <f>IF(TrRoad_act!S36=0,0,S23/TrRoad_act!S36*1000
)</f>
        <v>149.43435060204496</v>
      </c>
      <c r="T60" s="87">
        <f>IF(TrRoad_act!T36=0,0,T23/TrRoad_act!T36*1000
)</f>
        <v>140.14572197126827</v>
      </c>
      <c r="U60" s="87">
        <f>IF(TrRoad_act!U36=0,0,U23/TrRoad_act!U36*1000
)</f>
        <v>140.95530191798696</v>
      </c>
      <c r="V60" s="87">
        <f>IF(TrRoad_act!V36=0,0,V23/TrRoad_act!V36*1000
)</f>
        <v>125.47691608120401</v>
      </c>
      <c r="W60" s="87">
        <f>IF(TrRoad_act!W36=0,0,W23/TrRoad_act!W36*1000
)</f>
        <v>120.71615207077501</v>
      </c>
      <c r="X60" s="87">
        <f>IF(TrRoad_act!X36=0,0,X23/TrRoad_act!X36*1000
)</f>
        <v>121.58449773029299</v>
      </c>
      <c r="Y60" s="87">
        <f>IF(TrRoad_act!Y36=0,0,Y23/TrRoad_act!Y36*1000
)</f>
        <v>128.83201969174829</v>
      </c>
      <c r="DA60" s="171" t="s">
        <v>775</v>
      </c>
    </row>
    <row r="61" spans="1:105" ht="11.45" customHeight="1" x14ac:dyDescent="0.25">
      <c r="A61" s="111" t="s">
        <v>113</v>
      </c>
      <c r="B61" s="87">
        <f>IF(TrRoad_act!B37=0,0,B24/TrRoad_act!B37*1000
)</f>
        <v>0</v>
      </c>
      <c r="C61" s="87">
        <f>IF(TrRoad_act!C37=0,0,C24/TrRoad_act!C37*1000
)</f>
        <v>0</v>
      </c>
      <c r="D61" s="87">
        <f>IF(TrRoad_act!D37=0,0,D24/TrRoad_act!D37*1000
)</f>
        <v>0</v>
      </c>
      <c r="E61" s="87">
        <f>IF(TrRoad_act!E37=0,0,E24/TrRoad_act!E37*1000
)</f>
        <v>0</v>
      </c>
      <c r="F61" s="87">
        <f>IF(TrRoad_act!F37=0,0,F24/TrRoad_act!F37*1000
)</f>
        <v>0</v>
      </c>
      <c r="G61" s="87">
        <f>IF(TrRoad_act!G37=0,0,G24/TrRoad_act!G37*1000
)</f>
        <v>0</v>
      </c>
      <c r="H61" s="87">
        <f>IF(TrRoad_act!H37=0,0,H24/TrRoad_act!H37*1000
)</f>
        <v>0</v>
      </c>
      <c r="I61" s="87">
        <f>IF(TrRoad_act!I37=0,0,I24/TrRoad_act!I37*1000
)</f>
        <v>0</v>
      </c>
      <c r="J61" s="87">
        <f>IF(TrRoad_act!J37=0,0,J24/TrRoad_act!J37*1000
)</f>
        <v>0</v>
      </c>
      <c r="K61" s="87">
        <f>IF(TrRoad_act!K37=0,0,K24/TrRoad_act!K37*1000
)</f>
        <v>0</v>
      </c>
      <c r="L61" s="87">
        <f>IF(TrRoad_act!L37=0,0,L24/TrRoad_act!L37*1000
)</f>
        <v>186.82371794958237</v>
      </c>
      <c r="M61" s="87">
        <f>IF(TrRoad_act!M37=0,0,M24/TrRoad_act!M37*1000
)</f>
        <v>186.82371794958237</v>
      </c>
      <c r="N61" s="87">
        <f>IF(TrRoad_act!N37=0,0,N24/TrRoad_act!N37*1000
)</f>
        <v>153.29369712334474</v>
      </c>
      <c r="O61" s="87">
        <f>IF(TrRoad_act!O37=0,0,O24/TrRoad_act!O37*1000
)</f>
        <v>143.52557788507244</v>
      </c>
      <c r="P61" s="87">
        <f>IF(TrRoad_act!P37=0,0,P24/TrRoad_act!P37*1000
)</f>
        <v>138.1637505403819</v>
      </c>
      <c r="Q61" s="87">
        <f>IF(TrRoad_act!Q37=0,0,Q24/TrRoad_act!Q37*1000
)</f>
        <v>130.74950094827398</v>
      </c>
      <c r="R61" s="87">
        <f>IF(TrRoad_act!R37=0,0,R24/TrRoad_act!R37*1000
)</f>
        <v>125.82115579085223</v>
      </c>
      <c r="S61" s="87">
        <f>IF(TrRoad_act!S37=0,0,S24/TrRoad_act!S37*1000
)</f>
        <v>123.29834429761216</v>
      </c>
      <c r="T61" s="87">
        <f>IF(TrRoad_act!T37=0,0,T24/TrRoad_act!T37*1000
)</f>
        <v>126.05765114018816</v>
      </c>
      <c r="U61" s="87">
        <f>IF(TrRoad_act!U37=0,0,U24/TrRoad_act!U37*1000
)</f>
        <v>123.83260121351883</v>
      </c>
      <c r="V61" s="87">
        <f>IF(TrRoad_act!V37=0,0,V24/TrRoad_act!V37*1000
)</f>
        <v>122.72016723280755</v>
      </c>
      <c r="W61" s="87">
        <f>IF(TrRoad_act!W37=0,0,W24/TrRoad_act!W37*1000
)</f>
        <v>121.21632068686793</v>
      </c>
      <c r="X61" s="87">
        <f>IF(TrRoad_act!X37=0,0,X24/TrRoad_act!X37*1000
)</f>
        <v>120.74365011032614</v>
      </c>
      <c r="Y61" s="87">
        <f>IF(TrRoad_act!Y37=0,0,Y24/TrRoad_act!Y37*1000
)</f>
        <v>120.50460768792453</v>
      </c>
      <c r="DA61" s="171" t="s">
        <v>776</v>
      </c>
    </row>
    <row r="62" spans="1:105" ht="11.45" customHeight="1" x14ac:dyDescent="0.25">
      <c r="A62" s="111" t="s">
        <v>114</v>
      </c>
      <c r="B62" s="87">
        <f>IF(TrRoad_act!B38=0,0,B25/TrRoad_act!B38*1000
)</f>
        <v>0</v>
      </c>
      <c r="C62" s="87">
        <f>IF(TrRoad_act!C38=0,0,C25/TrRoad_act!C38*1000
)</f>
        <v>0</v>
      </c>
      <c r="D62" s="87">
        <f>IF(TrRoad_act!D38=0,0,D25/TrRoad_act!D38*1000
)</f>
        <v>0</v>
      </c>
      <c r="E62" s="87">
        <f>IF(TrRoad_act!E38=0,0,E25/TrRoad_act!E38*1000
)</f>
        <v>0</v>
      </c>
      <c r="F62" s="87">
        <f>IF(TrRoad_act!F38=0,0,F25/TrRoad_act!F38*1000
)</f>
        <v>0</v>
      </c>
      <c r="G62" s="87">
        <f>IF(TrRoad_act!G38=0,0,G25/TrRoad_act!G38*1000
)</f>
        <v>0</v>
      </c>
      <c r="H62" s="87">
        <f>IF(TrRoad_act!H38=0,0,H25/TrRoad_act!H38*1000
)</f>
        <v>0</v>
      </c>
      <c r="I62" s="87">
        <f>IF(TrRoad_act!I38=0,0,I25/TrRoad_act!I38*1000
)</f>
        <v>0</v>
      </c>
      <c r="J62" s="87">
        <f>IF(TrRoad_act!J38=0,0,J25/TrRoad_act!J38*1000
)</f>
        <v>0</v>
      </c>
      <c r="K62" s="87">
        <f>IF(TrRoad_act!K38=0,0,K25/TrRoad_act!K38*1000
)</f>
        <v>0</v>
      </c>
      <c r="L62" s="87">
        <f>IF(TrRoad_act!L38=0,0,L25/TrRoad_act!L38*1000
)</f>
        <v>0</v>
      </c>
      <c r="M62" s="87">
        <f>IF(TrRoad_act!M38=0,0,M25/TrRoad_act!M38*1000
)</f>
        <v>69.201142800131464</v>
      </c>
      <c r="N62" s="87">
        <f>IF(TrRoad_act!N38=0,0,N25/TrRoad_act!N38*1000
)</f>
        <v>55.560949565707482</v>
      </c>
      <c r="O62" s="87">
        <f>IF(TrRoad_act!O38=0,0,O25/TrRoad_act!O38*1000
)</f>
        <v>57.041829145335413</v>
      </c>
      <c r="P62" s="87">
        <f>IF(TrRoad_act!P38=0,0,P25/TrRoad_act!P38*1000
)</f>
        <v>57.8624742925928</v>
      </c>
      <c r="Q62" s="87">
        <f>IF(TrRoad_act!Q38=0,0,Q25/TrRoad_act!Q38*1000
)</f>
        <v>57.940331096523764</v>
      </c>
      <c r="R62" s="87">
        <f>IF(TrRoad_act!R38=0,0,R25/TrRoad_act!R38*1000
)</f>
        <v>58.608148292548009</v>
      </c>
      <c r="S62" s="87">
        <f>IF(TrRoad_act!S38=0,0,S25/TrRoad_act!S38*1000
)</f>
        <v>61.012369322933615</v>
      </c>
      <c r="T62" s="87">
        <f>IF(TrRoad_act!T38=0,0,T25/TrRoad_act!T38*1000
)</f>
        <v>63.244281672972107</v>
      </c>
      <c r="U62" s="87">
        <f>IF(TrRoad_act!U38=0,0,U25/TrRoad_act!U38*1000
)</f>
        <v>60.101517992733541</v>
      </c>
      <c r="V62" s="87">
        <f>IF(TrRoad_act!V38=0,0,V25/TrRoad_act!V38*1000
)</f>
        <v>53.758847647232606</v>
      </c>
      <c r="W62" s="87">
        <f>IF(TrRoad_act!W38=0,0,W25/TrRoad_act!W38*1000
)</f>
        <v>48.265134505580718</v>
      </c>
      <c r="X62" s="87">
        <f>IF(TrRoad_act!X38=0,0,X25/TrRoad_act!X38*1000
)</f>
        <v>45.554311394109867</v>
      </c>
      <c r="Y62" s="87">
        <f>IF(TrRoad_act!Y38=0,0,Y25/TrRoad_act!Y38*1000
)</f>
        <v>42.396372844642514</v>
      </c>
      <c r="DA62" s="171" t="s">
        <v>777</v>
      </c>
    </row>
    <row r="63" spans="1:105" ht="11.45" customHeight="1" x14ac:dyDescent="0.25">
      <c r="A63" s="111" t="s">
        <v>115</v>
      </c>
      <c r="B63" s="87">
        <f>IF(TrRoad_act!B39=0,0,B26/TrRoad_act!B39*1000
)</f>
        <v>0</v>
      </c>
      <c r="C63" s="87">
        <f>IF(TrRoad_act!C39=0,0,C26/TrRoad_act!C39*1000
)</f>
        <v>0</v>
      </c>
      <c r="D63" s="87">
        <f>IF(TrRoad_act!D39=0,0,D26/TrRoad_act!D39*1000
)</f>
        <v>0</v>
      </c>
      <c r="E63" s="87">
        <f>IF(TrRoad_act!E39=0,0,E26/TrRoad_act!E39*1000
)</f>
        <v>0</v>
      </c>
      <c r="F63" s="87">
        <f>IF(TrRoad_act!F39=0,0,F26/TrRoad_act!F39*1000
)</f>
        <v>0</v>
      </c>
      <c r="G63" s="87">
        <f>IF(TrRoad_act!G39=0,0,G26/TrRoad_act!G39*1000
)</f>
        <v>0</v>
      </c>
      <c r="H63" s="87">
        <f>IF(TrRoad_act!H39=0,0,H26/TrRoad_act!H39*1000
)</f>
        <v>0</v>
      </c>
      <c r="I63" s="87">
        <f>IF(TrRoad_act!I39=0,0,I26/TrRoad_act!I39*1000
)</f>
        <v>0</v>
      </c>
      <c r="J63" s="87">
        <f>IF(TrRoad_act!J39=0,0,J26/TrRoad_act!J39*1000
)</f>
        <v>0</v>
      </c>
      <c r="K63" s="87">
        <f>IF(TrRoad_act!K39=0,0,K26/TrRoad_act!K39*1000
)</f>
        <v>0</v>
      </c>
      <c r="L63" s="87">
        <f>IF(TrRoad_act!L39=0,0,L26/TrRoad_act!L39*1000
)</f>
        <v>0</v>
      </c>
      <c r="M63" s="87">
        <f>IF(TrRoad_act!M39=0,0,M26/TrRoad_act!M39*1000
)</f>
        <v>0</v>
      </c>
      <c r="N63" s="87">
        <f>IF(TrRoad_act!N39=0,0,N26/TrRoad_act!N39*1000
)</f>
        <v>0</v>
      </c>
      <c r="O63" s="87">
        <f>IF(TrRoad_act!O39=0,0,O26/TrRoad_act!O39*1000
)</f>
        <v>0</v>
      </c>
      <c r="P63" s="87">
        <f>IF(TrRoad_act!P39=0,0,P26/TrRoad_act!P39*1000
)</f>
        <v>0</v>
      </c>
      <c r="Q63" s="87">
        <f>IF(TrRoad_act!Q39=0,0,Q26/TrRoad_act!Q39*1000
)</f>
        <v>0</v>
      </c>
      <c r="R63" s="87">
        <f>IF(TrRoad_act!R39=0,0,R26/TrRoad_act!R39*1000
)</f>
        <v>0</v>
      </c>
      <c r="S63" s="87">
        <f>IF(TrRoad_act!S39=0,0,S26/TrRoad_act!S39*1000
)</f>
        <v>0</v>
      </c>
      <c r="T63" s="87">
        <f>IF(TrRoad_act!T39=0,0,T26/TrRoad_act!T39*1000
)</f>
        <v>0</v>
      </c>
      <c r="U63" s="87">
        <f>IF(TrRoad_act!U39=0,0,U26/TrRoad_act!U39*1000
)</f>
        <v>0</v>
      </c>
      <c r="V63" s="87">
        <f>IF(TrRoad_act!V39=0,0,V26/TrRoad_act!V39*1000
)</f>
        <v>0</v>
      </c>
      <c r="W63" s="87">
        <f>IF(TrRoad_act!W39=0,0,W26/TrRoad_act!W39*1000
)</f>
        <v>0</v>
      </c>
      <c r="X63" s="87">
        <f>IF(TrRoad_act!X39=0,0,X26/TrRoad_act!X39*1000
)</f>
        <v>0</v>
      </c>
      <c r="Y63" s="87">
        <f>IF(TrRoad_act!Y39=0,0,Y26/TrRoad_act!Y39*1000
)</f>
        <v>0</v>
      </c>
      <c r="DA63" s="171" t="s">
        <v>778</v>
      </c>
    </row>
    <row r="64" spans="1:105" ht="11.45" customHeight="1" x14ac:dyDescent="0.25">
      <c r="A64" s="109" t="s">
        <v>21</v>
      </c>
      <c r="B64" s="116">
        <f>IF(TrRoad_act!B40=0,0,B27/TrRoad_act!B40*1000
)</f>
        <v>1943.5162847585655</v>
      </c>
      <c r="C64" s="116">
        <f>IF(TrRoad_act!C40=0,0,C27/TrRoad_act!C40*1000
)</f>
        <v>1879.6293913162483</v>
      </c>
      <c r="D64" s="116">
        <f>IF(TrRoad_act!D40=0,0,D27/TrRoad_act!D40*1000
)</f>
        <v>1858.5876219923659</v>
      </c>
      <c r="E64" s="116">
        <f>IF(TrRoad_act!E40=0,0,E27/TrRoad_act!E40*1000
)</f>
        <v>1835.2442636905066</v>
      </c>
      <c r="F64" s="116">
        <f>IF(TrRoad_act!F40=0,0,F27/TrRoad_act!F40*1000
)</f>
        <v>1817.3763608502641</v>
      </c>
      <c r="G64" s="116">
        <f>IF(TrRoad_act!G40=0,0,G27/TrRoad_act!G40*1000
)</f>
        <v>1749.092169955198</v>
      </c>
      <c r="H64" s="116">
        <f>IF(TrRoad_act!H40=0,0,H27/TrRoad_act!H40*1000
)</f>
        <v>1715.092148532282</v>
      </c>
      <c r="I64" s="116">
        <f>IF(TrRoad_act!I40=0,0,I27/TrRoad_act!I40*1000
)</f>
        <v>1685.1251654613479</v>
      </c>
      <c r="J64" s="116">
        <f>IF(TrRoad_act!J40=0,0,J27/TrRoad_act!J40*1000
)</f>
        <v>1675.6593812340723</v>
      </c>
      <c r="K64" s="116">
        <f>IF(TrRoad_act!K40=0,0,K27/TrRoad_act!K40*1000
)</f>
        <v>1635.7270953136513</v>
      </c>
      <c r="L64" s="116">
        <f>IF(TrRoad_act!L40=0,0,L27/TrRoad_act!L40*1000
)</f>
        <v>1588.7358519540824</v>
      </c>
      <c r="M64" s="116">
        <f>IF(TrRoad_act!M40=0,0,M27/TrRoad_act!M40*1000
)</f>
        <v>1582.3154699907248</v>
      </c>
      <c r="N64" s="116">
        <f>IF(TrRoad_act!N40=0,0,N27/TrRoad_act!N40*1000
)</f>
        <v>1540.5795376500475</v>
      </c>
      <c r="O64" s="116">
        <f>IF(TrRoad_act!O40=0,0,O27/TrRoad_act!O40*1000
)</f>
        <v>1550.8622080075818</v>
      </c>
      <c r="P64" s="116">
        <f>IF(TrRoad_act!P40=0,0,P27/TrRoad_act!P40*1000
)</f>
        <v>1570.8767230144249</v>
      </c>
      <c r="Q64" s="116">
        <f>IF(TrRoad_act!Q40=0,0,Q27/TrRoad_act!Q40*1000
)</f>
        <v>1573.9592306756861</v>
      </c>
      <c r="R64" s="116">
        <f>IF(TrRoad_act!R40=0,0,R27/TrRoad_act!R40*1000
)</f>
        <v>1600.6192492752712</v>
      </c>
      <c r="S64" s="116">
        <f>IF(TrRoad_act!S40=0,0,S27/TrRoad_act!S40*1000
)</f>
        <v>1610.2046801133588</v>
      </c>
      <c r="T64" s="116">
        <f>IF(TrRoad_act!T40=0,0,T27/TrRoad_act!T40*1000
)</f>
        <v>1565.1521962452232</v>
      </c>
      <c r="U64" s="116">
        <f>IF(TrRoad_act!U40=0,0,U27/TrRoad_act!U40*1000
)</f>
        <v>1614.7203014500201</v>
      </c>
      <c r="V64" s="116">
        <f>IF(TrRoad_act!V40=0,0,V27/TrRoad_act!V40*1000
)</f>
        <v>1624.6283292456999</v>
      </c>
      <c r="W64" s="116">
        <f>IF(TrRoad_act!W40=0,0,W27/TrRoad_act!W40*1000
)</f>
        <v>1553.4056012918945</v>
      </c>
      <c r="X64" s="116">
        <f>IF(TrRoad_act!X40=0,0,X27/TrRoad_act!X40*1000
)</f>
        <v>1567.2432646602397</v>
      </c>
      <c r="Y64" s="116">
        <f>IF(TrRoad_act!Y40=0,0,Y27/TrRoad_act!Y40*1000
)</f>
        <v>1495.0661137025809</v>
      </c>
      <c r="DA64" s="176" t="s">
        <v>779</v>
      </c>
    </row>
    <row r="65" spans="1:105" ht="11.45" customHeight="1" x14ac:dyDescent="0.25">
      <c r="A65" s="111" t="s">
        <v>110</v>
      </c>
      <c r="B65" s="101">
        <f>IF(TrRoad_act!B41=0,0,B28/TrRoad_act!B41*1000
)</f>
        <v>0</v>
      </c>
      <c r="C65" s="101">
        <f>IF(TrRoad_act!C41=0,0,C28/TrRoad_act!C41*1000
)</f>
        <v>0</v>
      </c>
      <c r="D65" s="101">
        <f>IF(TrRoad_act!D41=0,0,D28/TrRoad_act!D41*1000
)</f>
        <v>0</v>
      </c>
      <c r="E65" s="101">
        <f>IF(TrRoad_act!E41=0,0,E28/TrRoad_act!E41*1000
)</f>
        <v>0</v>
      </c>
      <c r="F65" s="101">
        <f>IF(TrRoad_act!F41=0,0,F28/TrRoad_act!F41*1000
)</f>
        <v>0</v>
      </c>
      <c r="G65" s="101">
        <f>IF(TrRoad_act!G41=0,0,G28/TrRoad_act!G41*1000
)</f>
        <v>0</v>
      </c>
      <c r="H65" s="101">
        <f>IF(TrRoad_act!H41=0,0,H28/TrRoad_act!H41*1000
)</f>
        <v>0</v>
      </c>
      <c r="I65" s="101">
        <f>IF(TrRoad_act!I41=0,0,I28/TrRoad_act!I41*1000
)</f>
        <v>0</v>
      </c>
      <c r="J65" s="101">
        <f>IF(TrRoad_act!J41=0,0,J28/TrRoad_act!J41*1000
)</f>
        <v>0</v>
      </c>
      <c r="K65" s="101">
        <f>IF(TrRoad_act!K41=0,0,K28/TrRoad_act!K41*1000
)</f>
        <v>0</v>
      </c>
      <c r="L65" s="101">
        <f>IF(TrRoad_act!L41=0,0,L28/TrRoad_act!L41*1000
)</f>
        <v>391.66648106360628</v>
      </c>
      <c r="M65" s="101">
        <f>IF(TrRoad_act!M41=0,0,M28/TrRoad_act!M41*1000
)</f>
        <v>391.66648106360634</v>
      </c>
      <c r="N65" s="101">
        <f>IF(TrRoad_act!N41=0,0,N28/TrRoad_act!N41*1000
)</f>
        <v>391.23967414635575</v>
      </c>
      <c r="O65" s="101">
        <f>IF(TrRoad_act!O41=0,0,O28/TrRoad_act!O41*1000
)</f>
        <v>387.63639844082616</v>
      </c>
      <c r="P65" s="101">
        <f>IF(TrRoad_act!P41=0,0,P28/TrRoad_act!P41*1000
)</f>
        <v>387.63222027951639</v>
      </c>
      <c r="Q65" s="101">
        <f>IF(TrRoad_act!Q41=0,0,Q28/TrRoad_act!Q41*1000
)</f>
        <v>377.41507426022213</v>
      </c>
      <c r="R65" s="101">
        <f>IF(TrRoad_act!R41=0,0,R28/TrRoad_act!R41*1000
)</f>
        <v>372.83173951170062</v>
      </c>
      <c r="S65" s="101">
        <f>IF(TrRoad_act!S41=0,0,S28/TrRoad_act!S41*1000
)</f>
        <v>379.27189097500536</v>
      </c>
      <c r="T65" s="101">
        <f>IF(TrRoad_act!T41=0,0,T28/TrRoad_act!T41*1000
)</f>
        <v>378.32324993659375</v>
      </c>
      <c r="U65" s="101">
        <f>IF(TrRoad_act!U41=0,0,U28/TrRoad_act!U41*1000
)</f>
        <v>372.75828008464333</v>
      </c>
      <c r="V65" s="101">
        <f>IF(TrRoad_act!V41=0,0,V28/TrRoad_act!V41*1000
)</f>
        <v>371.11200951806012</v>
      </c>
      <c r="W65" s="101">
        <f>IF(TrRoad_act!W41=0,0,W28/TrRoad_act!W41*1000
)</f>
        <v>367.3977475189842</v>
      </c>
      <c r="X65" s="101">
        <f>IF(TrRoad_act!X41=0,0,X28/TrRoad_act!X41*1000
)</f>
        <v>365.0492938717793</v>
      </c>
      <c r="Y65" s="101">
        <f>IF(TrRoad_act!Y41=0,0,Y28/TrRoad_act!Y41*1000
)</f>
        <v>366.03370020495407</v>
      </c>
      <c r="DA65" s="175" t="s">
        <v>780</v>
      </c>
    </row>
    <row r="66" spans="1:105" ht="11.45" customHeight="1" x14ac:dyDescent="0.25">
      <c r="A66" s="111" t="s">
        <v>111</v>
      </c>
      <c r="B66" s="101">
        <f>IF(TrRoad_act!B42=0,0,B29/TrRoad_act!B42*1000
)</f>
        <v>1944.9799423786039</v>
      </c>
      <c r="C66" s="101">
        <f>IF(TrRoad_act!C42=0,0,C29/TrRoad_act!C42*1000
)</f>
        <v>1887.6478758833964</v>
      </c>
      <c r="D66" s="101">
        <f>IF(TrRoad_act!D42=0,0,D29/TrRoad_act!D42*1000
)</f>
        <v>1870.2544389344762</v>
      </c>
      <c r="E66" s="101">
        <f>IF(TrRoad_act!E42=0,0,E29/TrRoad_act!E42*1000
)</f>
        <v>1852.3947807735935</v>
      </c>
      <c r="F66" s="101">
        <f>IF(TrRoad_act!F42=0,0,F29/TrRoad_act!F42*1000
)</f>
        <v>1834.8216051015074</v>
      </c>
      <c r="G66" s="101">
        <f>IF(TrRoad_act!G42=0,0,G29/TrRoad_act!G42*1000
)</f>
        <v>1777.6883143473829</v>
      </c>
      <c r="H66" s="101">
        <f>IF(TrRoad_act!H42=0,0,H29/TrRoad_act!H42*1000
)</f>
        <v>1739.2894068396786</v>
      </c>
      <c r="I66" s="101">
        <f>IF(TrRoad_act!I42=0,0,I29/TrRoad_act!I42*1000
)</f>
        <v>1709.1359304961056</v>
      </c>
      <c r="J66" s="101">
        <f>IF(TrRoad_act!J42=0,0,J29/TrRoad_act!J42*1000
)</f>
        <v>1701.5837702710994</v>
      </c>
      <c r="K66" s="101">
        <f>IF(TrRoad_act!K42=0,0,K29/TrRoad_act!K42*1000
)</f>
        <v>1663.7581934255152</v>
      </c>
      <c r="L66" s="101">
        <f>IF(TrRoad_act!L42=0,0,L29/TrRoad_act!L42*1000
)</f>
        <v>1616.5441572857712</v>
      </c>
      <c r="M66" s="101">
        <f>IF(TrRoad_act!M42=0,0,M29/TrRoad_act!M42*1000
)</f>
        <v>1610.5615946722598</v>
      </c>
      <c r="N66" s="101">
        <f>IF(TrRoad_act!N42=0,0,N29/TrRoad_act!N42*1000
)</f>
        <v>1577.8012517009201</v>
      </c>
      <c r="O66" s="101">
        <f>IF(TrRoad_act!O42=0,0,O29/TrRoad_act!O42*1000
)</f>
        <v>1576.4884952525993</v>
      </c>
      <c r="P66" s="101">
        <f>IF(TrRoad_act!P42=0,0,P29/TrRoad_act!P42*1000
)</f>
        <v>1587.4179502137426</v>
      </c>
      <c r="Q66" s="101">
        <f>IF(TrRoad_act!Q42=0,0,Q29/TrRoad_act!Q42*1000
)</f>
        <v>1576.4427994239136</v>
      </c>
      <c r="R66" s="101">
        <f>IF(TrRoad_act!R42=0,0,R29/TrRoad_act!R42*1000
)</f>
        <v>1605.0620374801074</v>
      </c>
      <c r="S66" s="101">
        <f>IF(TrRoad_act!S42=0,0,S29/TrRoad_act!S42*1000
)</f>
        <v>1607.9818248190838</v>
      </c>
      <c r="T66" s="101">
        <f>IF(TrRoad_act!T42=0,0,T29/TrRoad_act!T42*1000
)</f>
        <v>1602.7203303114061</v>
      </c>
      <c r="U66" s="101">
        <f>IF(TrRoad_act!U42=0,0,U29/TrRoad_act!U42*1000
)</f>
        <v>1592.533746235358</v>
      </c>
      <c r="V66" s="101">
        <f>IF(TrRoad_act!V42=0,0,V29/TrRoad_act!V42*1000
)</f>
        <v>1580.1518461636117</v>
      </c>
      <c r="W66" s="101">
        <f>IF(TrRoad_act!W42=0,0,W29/TrRoad_act!W42*1000
)</f>
        <v>1548.3868723377179</v>
      </c>
      <c r="X66" s="101">
        <f>IF(TrRoad_act!X42=0,0,X29/TrRoad_act!X42*1000
)</f>
        <v>1532.5904692068827</v>
      </c>
      <c r="Y66" s="101">
        <f>IF(TrRoad_act!Y42=0,0,Y29/TrRoad_act!Y42*1000
)</f>
        <v>1520.6882814581227</v>
      </c>
      <c r="DA66" s="175" t="s">
        <v>781</v>
      </c>
    </row>
    <row r="67" spans="1:105" ht="11.45" customHeight="1" x14ac:dyDescent="0.25">
      <c r="A67" s="111" t="s">
        <v>112</v>
      </c>
      <c r="B67" s="101">
        <f>IF(TrRoad_act!B43=0,0,B30/TrRoad_act!B43*1000
)</f>
        <v>0</v>
      </c>
      <c r="C67" s="101">
        <f>IF(TrRoad_act!C43=0,0,C30/TrRoad_act!C43*1000
)</f>
        <v>0</v>
      </c>
      <c r="D67" s="101">
        <f>IF(TrRoad_act!D43=0,0,D30/TrRoad_act!D43*1000
)</f>
        <v>0</v>
      </c>
      <c r="E67" s="101">
        <f>IF(TrRoad_act!E43=0,0,E30/TrRoad_act!E43*1000
)</f>
        <v>0</v>
      </c>
      <c r="F67" s="101">
        <f>IF(TrRoad_act!F43=0,0,F30/TrRoad_act!F43*1000
)</f>
        <v>0</v>
      </c>
      <c r="G67" s="101">
        <f>IF(TrRoad_act!G43=0,0,G30/TrRoad_act!G43*1000
)</f>
        <v>0</v>
      </c>
      <c r="H67" s="101">
        <f>IF(TrRoad_act!H43=0,0,H30/TrRoad_act!H43*1000
)</f>
        <v>0</v>
      </c>
      <c r="I67" s="101">
        <f>IF(TrRoad_act!I43=0,0,I30/TrRoad_act!I43*1000
)</f>
        <v>0</v>
      </c>
      <c r="J67" s="101">
        <f>IF(TrRoad_act!J43=0,0,J30/TrRoad_act!J43*1000
)</f>
        <v>0</v>
      </c>
      <c r="K67" s="101">
        <f>IF(TrRoad_act!K43=0,0,K30/TrRoad_act!K43*1000
)</f>
        <v>0</v>
      </c>
      <c r="L67" s="101">
        <f>IF(TrRoad_act!L43=0,0,L30/TrRoad_act!L43*1000
)</f>
        <v>1194.6553836721528</v>
      </c>
      <c r="M67" s="101">
        <f>IF(TrRoad_act!M43=0,0,M30/TrRoad_act!M43*1000
)</f>
        <v>1194.6553836721532</v>
      </c>
      <c r="N67" s="101">
        <f>IF(TrRoad_act!N43=0,0,N30/TrRoad_act!N43*1000
)</f>
        <v>1194.655383672153</v>
      </c>
      <c r="O67" s="101">
        <f>IF(TrRoad_act!O43=0,0,O30/TrRoad_act!O43*1000
)</f>
        <v>1194.655383672153</v>
      </c>
      <c r="P67" s="101">
        <f>IF(TrRoad_act!P43=0,0,P30/TrRoad_act!P43*1000
)</f>
        <v>1210.2165067232268</v>
      </c>
      <c r="Q67" s="101">
        <f>IF(TrRoad_act!Q43=0,0,Q30/TrRoad_act!Q43*1000
)</f>
        <v>1210.2165067232268</v>
      </c>
      <c r="R67" s="101">
        <f>IF(TrRoad_act!R43=0,0,R30/TrRoad_act!R43*1000
)</f>
        <v>1217.554118168199</v>
      </c>
      <c r="S67" s="101">
        <f>IF(TrRoad_act!S43=0,0,S30/TrRoad_act!S43*1000
)</f>
        <v>1217.5541181681992</v>
      </c>
      <c r="T67" s="101">
        <f>IF(TrRoad_act!T43=0,0,T30/TrRoad_act!T43*1000
)</f>
        <v>1217.5541181681992</v>
      </c>
      <c r="U67" s="101">
        <f>IF(TrRoad_act!U43=0,0,U30/TrRoad_act!U43*1000
)</f>
        <v>1217.5541181681988</v>
      </c>
      <c r="V67" s="101">
        <f>IF(TrRoad_act!V43=0,0,V30/TrRoad_act!V43*1000
)</f>
        <v>1222.5714383529585</v>
      </c>
      <c r="W67" s="101">
        <f>IF(TrRoad_act!W43=0,0,W30/TrRoad_act!W43*1000
)</f>
        <v>1222.5714383529589</v>
      </c>
      <c r="X67" s="101">
        <f>IF(TrRoad_act!X43=0,0,X30/TrRoad_act!X43*1000
)</f>
        <v>1230.4043637687323</v>
      </c>
      <c r="Y67" s="101">
        <f>IF(TrRoad_act!Y43=0,0,Y30/TrRoad_act!Y43*1000
)</f>
        <v>1230.4043637687321</v>
      </c>
      <c r="DA67" s="175" t="s">
        <v>782</v>
      </c>
    </row>
    <row r="68" spans="1:105" ht="11.45" customHeight="1" x14ac:dyDescent="0.25">
      <c r="A68" s="111" t="s">
        <v>113</v>
      </c>
      <c r="B68" s="101">
        <f>IF(TrRoad_act!B44=0,0,B31/TrRoad_act!B44*1000
)</f>
        <v>1511.2887898511503</v>
      </c>
      <c r="C68" s="101">
        <f>IF(TrRoad_act!C44=0,0,C31/TrRoad_act!C44*1000
)</f>
        <v>1346.8454272057998</v>
      </c>
      <c r="D68" s="101">
        <f>IF(TrRoad_act!D44=0,0,D31/TrRoad_act!D44*1000
)</f>
        <v>1349.9733228999244</v>
      </c>
      <c r="E68" s="101">
        <f>IF(TrRoad_act!E44=0,0,E31/TrRoad_act!E44*1000
)</f>
        <v>1293.1832875561308</v>
      </c>
      <c r="F68" s="101">
        <f>IF(TrRoad_act!F44=0,0,F31/TrRoad_act!F44*1000
)</f>
        <v>1295.3919763927377</v>
      </c>
      <c r="G68" s="101">
        <f>IF(TrRoad_act!G44=0,0,G31/TrRoad_act!G44*1000
)</f>
        <v>1294.4700249572547</v>
      </c>
      <c r="H68" s="101">
        <f>IF(TrRoad_act!H44=0,0,H31/TrRoad_act!H44*1000
)</f>
        <v>1299.4194512638142</v>
      </c>
      <c r="I68" s="101">
        <f>IF(TrRoad_act!I44=0,0,I31/TrRoad_act!I44*1000
)</f>
        <v>1303.0197875152835</v>
      </c>
      <c r="J68" s="101">
        <f>IF(TrRoad_act!J44=0,0,J31/TrRoad_act!J44*1000
)</f>
        <v>1273.5222573327601</v>
      </c>
      <c r="K68" s="101">
        <f>IF(TrRoad_act!K44=0,0,K31/TrRoad_act!K44*1000
)</f>
        <v>1209.6544985308453</v>
      </c>
      <c r="L68" s="101">
        <f>IF(TrRoad_act!L44=0,0,L31/TrRoad_act!L44*1000
)</f>
        <v>1210.25519474937</v>
      </c>
      <c r="M68" s="101">
        <f>IF(TrRoad_act!M44=0,0,M31/TrRoad_act!M44*1000
)</f>
        <v>1198.2152164812608</v>
      </c>
      <c r="N68" s="101">
        <f>IF(TrRoad_act!N44=0,0,N31/TrRoad_act!N44*1000
)</f>
        <v>1150.1398811971089</v>
      </c>
      <c r="O68" s="101">
        <f>IF(TrRoad_act!O44=0,0,O31/TrRoad_act!O44*1000
)</f>
        <v>1294.5783036166965</v>
      </c>
      <c r="P68" s="101">
        <f>IF(TrRoad_act!P44=0,0,P31/TrRoad_act!P44*1000
)</f>
        <v>1366.9082950307127</v>
      </c>
      <c r="Q68" s="101">
        <f>IF(TrRoad_act!Q44=0,0,Q31/TrRoad_act!Q44*1000
)</f>
        <v>1611.1107013727092</v>
      </c>
      <c r="R68" s="101">
        <f>IF(TrRoad_act!R44=0,0,R31/TrRoad_act!R44*1000
)</f>
        <v>1601.7396989436418</v>
      </c>
      <c r="S68" s="101">
        <f>IF(TrRoad_act!S44=0,0,S31/TrRoad_act!S44*1000
)</f>
        <v>1792.1821946680627</v>
      </c>
      <c r="T68" s="101">
        <f>IF(TrRoad_act!T44=0,0,T31/TrRoad_act!T44*1000
)</f>
        <v>1263.787259753728</v>
      </c>
      <c r="U68" s="101">
        <f>IF(TrRoad_act!U44=0,0,U31/TrRoad_act!U44*1000
)</f>
        <v>2630.8343651228638</v>
      </c>
      <c r="V68" s="101">
        <f>IF(TrRoad_act!V44=0,0,V31/TrRoad_act!V44*1000
)</f>
        <v>2806.1965277606146</v>
      </c>
      <c r="W68" s="101">
        <f>IF(TrRoad_act!W44=0,0,W31/TrRoad_act!W44*1000
)</f>
        <v>1889.3432382619303</v>
      </c>
      <c r="X68" s="101">
        <f>IF(TrRoad_act!X44=0,0,X31/TrRoad_act!X44*1000
)</f>
        <v>2380.6950960762092</v>
      </c>
      <c r="Y68" s="101">
        <f>IF(TrRoad_act!Y44=0,0,Y31/TrRoad_act!Y44*1000
)</f>
        <v>2087.9295318184118</v>
      </c>
      <c r="DA68" s="175" t="s">
        <v>783</v>
      </c>
    </row>
    <row r="69" spans="1:105" ht="11.45" customHeight="1" x14ac:dyDescent="0.25">
      <c r="A69" s="111" t="s">
        <v>115</v>
      </c>
      <c r="B69" s="101">
        <f>IF(TrRoad_act!B45=0,0,B32/TrRoad_act!B45*1000
)</f>
        <v>0</v>
      </c>
      <c r="C69" s="101">
        <f>IF(TrRoad_act!C45=0,0,C32/TrRoad_act!C45*1000
)</f>
        <v>0</v>
      </c>
      <c r="D69" s="101">
        <f>IF(TrRoad_act!D45=0,0,D32/TrRoad_act!D45*1000
)</f>
        <v>0</v>
      </c>
      <c r="E69" s="101">
        <f>IF(TrRoad_act!E45=0,0,E32/TrRoad_act!E45*1000
)</f>
        <v>0</v>
      </c>
      <c r="F69" s="101">
        <f>IF(TrRoad_act!F45=0,0,F32/TrRoad_act!F45*1000
)</f>
        <v>0</v>
      </c>
      <c r="G69" s="101">
        <f>IF(TrRoad_act!G45=0,0,G32/TrRoad_act!G45*1000
)</f>
        <v>0</v>
      </c>
      <c r="H69" s="101">
        <f>IF(TrRoad_act!H45=0,0,H32/TrRoad_act!H45*1000
)</f>
        <v>0</v>
      </c>
      <c r="I69" s="101">
        <f>IF(TrRoad_act!I45=0,0,I32/TrRoad_act!I45*1000
)</f>
        <v>0</v>
      </c>
      <c r="J69" s="101">
        <f>IF(TrRoad_act!J45=0,0,J32/TrRoad_act!J45*1000
)</f>
        <v>0</v>
      </c>
      <c r="K69" s="101">
        <f>IF(TrRoad_act!K45=0,0,K32/TrRoad_act!K45*1000
)</f>
        <v>0</v>
      </c>
      <c r="L69" s="101">
        <f>IF(TrRoad_act!L45=0,0,L32/TrRoad_act!L45*1000
)</f>
        <v>0</v>
      </c>
      <c r="M69" s="101">
        <f>IF(TrRoad_act!M45=0,0,M32/TrRoad_act!M45*1000
)</f>
        <v>0</v>
      </c>
      <c r="N69" s="101">
        <f>IF(TrRoad_act!N45=0,0,N32/TrRoad_act!N45*1000
)</f>
        <v>0</v>
      </c>
      <c r="O69" s="101">
        <f>IF(TrRoad_act!O45=0,0,O32/TrRoad_act!O45*1000
)</f>
        <v>0</v>
      </c>
      <c r="P69" s="101">
        <f>IF(TrRoad_act!P45=0,0,P32/TrRoad_act!P45*1000
)</f>
        <v>0</v>
      </c>
      <c r="Q69" s="101">
        <f>IF(TrRoad_act!Q45=0,0,Q32/TrRoad_act!Q45*1000
)</f>
        <v>0</v>
      </c>
      <c r="R69" s="101">
        <f>IF(TrRoad_act!R45=0,0,R32/TrRoad_act!R45*1000
)</f>
        <v>0</v>
      </c>
      <c r="S69" s="101">
        <f>IF(TrRoad_act!S45=0,0,S32/TrRoad_act!S45*1000
)</f>
        <v>0</v>
      </c>
      <c r="T69" s="101">
        <f>IF(TrRoad_act!T45=0,0,T32/TrRoad_act!T45*1000
)</f>
        <v>0</v>
      </c>
      <c r="U69" s="101">
        <f>IF(TrRoad_act!U45=0,0,U32/TrRoad_act!U45*1000
)</f>
        <v>0</v>
      </c>
      <c r="V69" s="101">
        <f>IF(TrRoad_act!V45=0,0,V32/TrRoad_act!V45*1000
)</f>
        <v>0</v>
      </c>
      <c r="W69" s="101">
        <f>IF(TrRoad_act!W45=0,0,W32/TrRoad_act!W45*1000
)</f>
        <v>0</v>
      </c>
      <c r="X69" s="101">
        <f>IF(TrRoad_act!X45=0,0,X32/TrRoad_act!X45*1000
)</f>
        <v>0</v>
      </c>
      <c r="Y69" s="101">
        <f>IF(TrRoad_act!Y45=0,0,Y32/TrRoad_act!Y45*1000
)</f>
        <v>0</v>
      </c>
      <c r="DA69" s="175" t="s">
        <v>784</v>
      </c>
    </row>
    <row r="70" spans="1:105" ht="11.45" customHeight="1" x14ac:dyDescent="0.25">
      <c r="A70" s="27" t="s">
        <v>34</v>
      </c>
      <c r="B70" s="29">
        <f>IF(TrRoad_act!B46=0,0,B33/TrRoad_act!B46*1000
)</f>
        <v>430.12336976154842</v>
      </c>
      <c r="C70" s="29">
        <f>IF(TrRoad_act!C46=0,0,C33/TrRoad_act!C46*1000
)</f>
        <v>426.97946371922609</v>
      </c>
      <c r="D70" s="29">
        <f>IF(TrRoad_act!D46=0,0,D33/TrRoad_act!D46*1000
)</f>
        <v>421.47593389847884</v>
      </c>
      <c r="E70" s="29">
        <f>IF(TrRoad_act!E46=0,0,E33/TrRoad_act!E46*1000
)</f>
        <v>443.37431654629052</v>
      </c>
      <c r="F70" s="29">
        <f>IF(TrRoad_act!F46=0,0,F33/TrRoad_act!F46*1000
)</f>
        <v>463.63890911858408</v>
      </c>
      <c r="G70" s="29">
        <f>IF(TrRoad_act!G46=0,0,G33/TrRoad_act!G46*1000
)</f>
        <v>462.51932452779721</v>
      </c>
      <c r="H70" s="29">
        <f>IF(TrRoad_act!H46=0,0,H33/TrRoad_act!H46*1000
)</f>
        <v>447.87442955365873</v>
      </c>
      <c r="I70" s="29">
        <f>IF(TrRoad_act!I46=0,0,I33/TrRoad_act!I46*1000
)</f>
        <v>444.61026659507263</v>
      </c>
      <c r="J70" s="29">
        <f>IF(TrRoad_act!J46=0,0,J33/TrRoad_act!J46*1000
)</f>
        <v>435.07425681033345</v>
      </c>
      <c r="K70" s="29">
        <f>IF(TrRoad_act!K46=0,0,K33/TrRoad_act!K46*1000
)</f>
        <v>406.97158304775093</v>
      </c>
      <c r="L70" s="29">
        <f>IF(TrRoad_act!L46=0,0,L33/TrRoad_act!L46*1000
)</f>
        <v>396.80803473810755</v>
      </c>
      <c r="M70" s="29">
        <f>IF(TrRoad_act!M46=0,0,M33/TrRoad_act!M46*1000
)</f>
        <v>400.46151683051392</v>
      </c>
      <c r="N70" s="29">
        <f>IF(TrRoad_act!N46=0,0,N33/TrRoad_act!N46*1000
)</f>
        <v>404.00388462114796</v>
      </c>
      <c r="O70" s="29">
        <f>IF(TrRoad_act!O46=0,0,O33/TrRoad_act!O46*1000
)</f>
        <v>403.3975071240817</v>
      </c>
      <c r="P70" s="29">
        <f>IF(TrRoad_act!P46=0,0,P33/TrRoad_act!P46*1000
)</f>
        <v>374.55540561301285</v>
      </c>
      <c r="Q70" s="29">
        <f>IF(TrRoad_act!Q46=0,0,Q33/TrRoad_act!Q46*1000
)</f>
        <v>367.96977711840606</v>
      </c>
      <c r="R70" s="29">
        <f>IF(TrRoad_act!R46=0,0,R33/TrRoad_act!R46*1000
)</f>
        <v>366.95951172710733</v>
      </c>
      <c r="S70" s="29">
        <f>IF(TrRoad_act!S46=0,0,S33/TrRoad_act!S46*1000
)</f>
        <v>354.34343938372712</v>
      </c>
      <c r="T70" s="29">
        <f>IF(TrRoad_act!T46=0,0,T33/TrRoad_act!T46*1000
)</f>
        <v>344.32090666164692</v>
      </c>
      <c r="U70" s="29">
        <f>IF(TrRoad_act!U46=0,0,U33/TrRoad_act!U46*1000
)</f>
        <v>341.75888049707248</v>
      </c>
      <c r="V70" s="29">
        <f>IF(TrRoad_act!V46=0,0,V33/TrRoad_act!V46*1000
)</f>
        <v>341.18943166730742</v>
      </c>
      <c r="W70" s="29">
        <f>IF(TrRoad_act!W46=0,0,W33/TrRoad_act!W46*1000
)</f>
        <v>330.44171936702634</v>
      </c>
      <c r="X70" s="29">
        <f>IF(TrRoad_act!X46=0,0,X33/TrRoad_act!X46*1000
)</f>
        <v>319.45838323565846</v>
      </c>
      <c r="Y70" s="29">
        <f>IF(TrRoad_act!Y46=0,0,Y33/TrRoad_act!Y46*1000
)</f>
        <v>309.44487337399158</v>
      </c>
      <c r="DA70" s="173" t="s">
        <v>785</v>
      </c>
    </row>
    <row r="71" spans="1:105" ht="11.45" customHeight="1" x14ac:dyDescent="0.25">
      <c r="A71" s="136" t="s">
        <v>153</v>
      </c>
      <c r="B71" s="152">
        <f>IF(TrRoad_act!B47=0,0,B34/TrRoad_act!B47*1000
)</f>
        <v>359.38118024200389</v>
      </c>
      <c r="C71" s="152">
        <f>IF(TrRoad_act!C47=0,0,C34/TrRoad_act!C47*1000
)</f>
        <v>340.54785788871851</v>
      </c>
      <c r="D71" s="152">
        <f>IF(TrRoad_act!D47=0,0,D34/TrRoad_act!D47*1000
)</f>
        <v>336.82728556913474</v>
      </c>
      <c r="E71" s="152">
        <f>IF(TrRoad_act!E47=0,0,E34/TrRoad_act!E47*1000
)</f>
        <v>335.19837323215995</v>
      </c>
      <c r="F71" s="152">
        <f>IF(TrRoad_act!F47=0,0,F34/TrRoad_act!F47*1000
)</f>
        <v>329.7912999210551</v>
      </c>
      <c r="G71" s="152">
        <f>IF(TrRoad_act!G47=0,0,G34/TrRoad_act!G47*1000
)</f>
        <v>319.84309293346075</v>
      </c>
      <c r="H71" s="152">
        <f>IF(TrRoad_act!H47=0,0,H34/TrRoad_act!H47*1000
)</f>
        <v>305.33892792703682</v>
      </c>
      <c r="I71" s="152">
        <f>IF(TrRoad_act!I47=0,0,I34/TrRoad_act!I47*1000
)</f>
        <v>293.09400584763068</v>
      </c>
      <c r="J71" s="152">
        <f>IF(TrRoad_act!J47=0,0,J34/TrRoad_act!J47*1000
)</f>
        <v>284.78722971258276</v>
      </c>
      <c r="K71" s="152">
        <f>IF(TrRoad_act!K47=0,0,K34/TrRoad_act!K47*1000
)</f>
        <v>271.78866601686906</v>
      </c>
      <c r="L71" s="152">
        <f>IF(TrRoad_act!L47=0,0,L34/TrRoad_act!L47*1000
)</f>
        <v>259.54954851438617</v>
      </c>
      <c r="M71" s="152">
        <f>IF(TrRoad_act!M47=0,0,M34/TrRoad_act!M47*1000
)</f>
        <v>254.85992157274205</v>
      </c>
      <c r="N71" s="152">
        <f>IF(TrRoad_act!N47=0,0,N34/TrRoad_act!N47*1000
)</f>
        <v>247.95236598845477</v>
      </c>
      <c r="O71" s="152">
        <f>IF(TrRoad_act!O47=0,0,O34/TrRoad_act!O47*1000
)</f>
        <v>247.41031127667529</v>
      </c>
      <c r="P71" s="152">
        <f>IF(TrRoad_act!P47=0,0,P34/TrRoad_act!P47*1000
)</f>
        <v>239.39589474341119</v>
      </c>
      <c r="Q71" s="152">
        <f>IF(TrRoad_act!Q47=0,0,Q34/TrRoad_act!Q47*1000
)</f>
        <v>232.07944396826537</v>
      </c>
      <c r="R71" s="152">
        <f>IF(TrRoad_act!R47=0,0,R34/TrRoad_act!R47*1000
)</f>
        <v>234.17362345582819</v>
      </c>
      <c r="S71" s="152">
        <f>IF(TrRoad_act!S47=0,0,S34/TrRoad_act!S47*1000
)</f>
        <v>229.4369613281209</v>
      </c>
      <c r="T71" s="152">
        <f>IF(TrRoad_act!T47=0,0,T34/TrRoad_act!T47*1000
)</f>
        <v>224.54424298898184</v>
      </c>
      <c r="U71" s="152">
        <f>IF(TrRoad_act!U47=0,0,U34/TrRoad_act!U47*1000
)</f>
        <v>220.69229648455877</v>
      </c>
      <c r="V71" s="152">
        <f>IF(TrRoad_act!V47=0,0,V34/TrRoad_act!V47*1000
)</f>
        <v>218.77374440466579</v>
      </c>
      <c r="W71" s="152">
        <f>IF(TrRoad_act!W47=0,0,W34/TrRoad_act!W47*1000
)</f>
        <v>215.07075424403357</v>
      </c>
      <c r="X71" s="152">
        <f>IF(TrRoad_act!X47=0,0,X34/TrRoad_act!X47*1000
)</f>
        <v>214.13671833705251</v>
      </c>
      <c r="Y71" s="152">
        <f>IF(TrRoad_act!Y47=0,0,Y34/TrRoad_act!Y47*1000
)</f>
        <v>212.76064245601361</v>
      </c>
      <c r="DA71" s="174" t="s">
        <v>786</v>
      </c>
    </row>
    <row r="72" spans="1:105" ht="11.45" customHeight="1" x14ac:dyDescent="0.25">
      <c r="A72" s="111" t="s">
        <v>110</v>
      </c>
      <c r="B72" s="87">
        <f>IF(TrRoad_act!B48=0,0,B35/TrRoad_act!B48*1000
)</f>
        <v>354.04033979287732</v>
      </c>
      <c r="C72" s="87">
        <f>IF(TrRoad_act!C48=0,0,C35/TrRoad_act!C48*1000
)</f>
        <v>348.6931023055368</v>
      </c>
      <c r="D72" s="87">
        <f>IF(TrRoad_act!D48=0,0,D35/TrRoad_act!D48*1000
)</f>
        <v>348.40264127179142</v>
      </c>
      <c r="E72" s="87">
        <f>IF(TrRoad_act!E48=0,0,E35/TrRoad_act!E48*1000
)</f>
        <v>335.40555710317574</v>
      </c>
      <c r="F72" s="87">
        <f>IF(TrRoad_act!F48=0,0,F35/TrRoad_act!F48*1000
)</f>
        <v>334.19220244985291</v>
      </c>
      <c r="G72" s="87">
        <f>IF(TrRoad_act!G48=0,0,G35/TrRoad_act!G48*1000
)</f>
        <v>326.65578396533141</v>
      </c>
      <c r="H72" s="87">
        <f>IF(TrRoad_act!H48=0,0,H35/TrRoad_act!H48*1000
)</f>
        <v>318.2770477040516</v>
      </c>
      <c r="I72" s="87">
        <f>IF(TrRoad_act!I48=0,0,I35/TrRoad_act!I48*1000
)</f>
        <v>309.69810643449023</v>
      </c>
      <c r="J72" s="87">
        <f>IF(TrRoad_act!J48=0,0,J35/TrRoad_act!J48*1000
)</f>
        <v>302.43631073107002</v>
      </c>
      <c r="K72" s="87">
        <f>IF(TrRoad_act!K48=0,0,K35/TrRoad_act!K48*1000
)</f>
        <v>295.73433216370563</v>
      </c>
      <c r="L72" s="87">
        <f>IF(TrRoad_act!L48=0,0,L35/TrRoad_act!L48*1000
)</f>
        <v>289.07211694486318</v>
      </c>
      <c r="M72" s="87">
        <f>IF(TrRoad_act!M48=0,0,M35/TrRoad_act!M48*1000
)</f>
        <v>284.12601608420306</v>
      </c>
      <c r="N72" s="87">
        <f>IF(TrRoad_act!N48=0,0,N35/TrRoad_act!N48*1000
)</f>
        <v>277.68004105186401</v>
      </c>
      <c r="O72" s="87">
        <f>IF(TrRoad_act!O48=0,0,O35/TrRoad_act!O48*1000
)</f>
        <v>273.36510277886805</v>
      </c>
      <c r="P72" s="87">
        <f>IF(TrRoad_act!P48=0,0,P35/TrRoad_act!P48*1000
)</f>
        <v>272.56810023681885</v>
      </c>
      <c r="Q72" s="87">
        <f>IF(TrRoad_act!Q48=0,0,Q35/TrRoad_act!Q48*1000
)</f>
        <v>256.28932883333056</v>
      </c>
      <c r="R72" s="87">
        <f>IF(TrRoad_act!R48=0,0,R35/TrRoad_act!R48*1000
)</f>
        <v>249.66627443902414</v>
      </c>
      <c r="S72" s="87">
        <f>IF(TrRoad_act!S48=0,0,S35/TrRoad_act!S48*1000
)</f>
        <v>249.32040607182708</v>
      </c>
      <c r="T72" s="87">
        <f>IF(TrRoad_act!T48=0,0,T35/TrRoad_act!T48*1000
)</f>
        <v>245.30966130080955</v>
      </c>
      <c r="U72" s="87">
        <f>IF(TrRoad_act!U48=0,0,U35/TrRoad_act!U48*1000
)</f>
        <v>240.10187794359922</v>
      </c>
      <c r="V72" s="87">
        <f>IF(TrRoad_act!V48=0,0,V35/TrRoad_act!V48*1000
)</f>
        <v>235.0741238413973</v>
      </c>
      <c r="W72" s="87">
        <f>IF(TrRoad_act!W48=0,0,W35/TrRoad_act!W48*1000
)</f>
        <v>231.81016966437707</v>
      </c>
      <c r="X72" s="87">
        <f>IF(TrRoad_act!X48=0,0,X35/TrRoad_act!X48*1000
)</f>
        <v>230.50307635026121</v>
      </c>
      <c r="Y72" s="87">
        <f>IF(TrRoad_act!Y48=0,0,Y35/TrRoad_act!Y48*1000
)</f>
        <v>231.61443210094211</v>
      </c>
      <c r="DA72" s="171" t="s">
        <v>787</v>
      </c>
    </row>
    <row r="73" spans="1:105" ht="11.45" customHeight="1" x14ac:dyDescent="0.25">
      <c r="A73" s="111" t="s">
        <v>111</v>
      </c>
      <c r="B73" s="87">
        <f>IF(TrRoad_act!B49=0,0,B36/TrRoad_act!B49*1000
)</f>
        <v>359.36883309264181</v>
      </c>
      <c r="C73" s="87">
        <f>IF(TrRoad_act!C49=0,0,C36/TrRoad_act!C49*1000
)</f>
        <v>340.37885948032317</v>
      </c>
      <c r="D73" s="87">
        <f>IF(TrRoad_act!D49=0,0,D36/TrRoad_act!D49*1000
)</f>
        <v>336.62424699140087</v>
      </c>
      <c r="E73" s="87">
        <f>IF(TrRoad_act!E49=0,0,E36/TrRoad_act!E49*1000
)</f>
        <v>335.11886427334292</v>
      </c>
      <c r="F73" s="87">
        <f>IF(TrRoad_act!F49=0,0,F36/TrRoad_act!F49*1000
)</f>
        <v>329.66743431943888</v>
      </c>
      <c r="G73" s="87">
        <f>IF(TrRoad_act!G49=0,0,G36/TrRoad_act!G49*1000
)</f>
        <v>319.69801906430376</v>
      </c>
      <c r="H73" s="87">
        <f>IF(TrRoad_act!H49=0,0,H36/TrRoad_act!H49*1000
)</f>
        <v>305.13198687569371</v>
      </c>
      <c r="I73" s="87">
        <f>IF(TrRoad_act!I49=0,0,I36/TrRoad_act!I49*1000
)</f>
        <v>292.85716086490118</v>
      </c>
      <c r="J73" s="87">
        <f>IF(TrRoad_act!J49=0,0,J36/TrRoad_act!J49*1000
)</f>
        <v>284.54773108864259</v>
      </c>
      <c r="K73" s="87">
        <f>IF(TrRoad_act!K49=0,0,K36/TrRoad_act!K49*1000
)</f>
        <v>271.49236706380447</v>
      </c>
      <c r="L73" s="87">
        <f>IF(TrRoad_act!L49=0,0,L36/TrRoad_act!L49*1000
)</f>
        <v>259.20677183832368</v>
      </c>
      <c r="M73" s="87">
        <f>IF(TrRoad_act!M49=0,0,M36/TrRoad_act!M49*1000
)</f>
        <v>254.55147776130167</v>
      </c>
      <c r="N73" s="87">
        <f>IF(TrRoad_act!N49=0,0,N36/TrRoad_act!N49*1000
)</f>
        <v>247.64863437698153</v>
      </c>
      <c r="O73" s="87">
        <f>IF(TrRoad_act!O49=0,0,O36/TrRoad_act!O49*1000
)</f>
        <v>247.16042409158538</v>
      </c>
      <c r="P73" s="87">
        <f>IF(TrRoad_act!P49=0,0,P36/TrRoad_act!P49*1000
)</f>
        <v>239.12794016509122</v>
      </c>
      <c r="Q73" s="87">
        <f>IF(TrRoad_act!Q49=0,0,Q36/TrRoad_act!Q49*1000
)</f>
        <v>231.86215436364648</v>
      </c>
      <c r="R73" s="87">
        <f>IF(TrRoad_act!R49=0,0,R36/TrRoad_act!R49*1000
)</f>
        <v>234.04950560978338</v>
      </c>
      <c r="S73" s="87">
        <f>IF(TrRoad_act!S49=0,0,S36/TrRoad_act!S49*1000
)</f>
        <v>229.33682078022767</v>
      </c>
      <c r="T73" s="87">
        <f>IF(TrRoad_act!T49=0,0,T36/TrRoad_act!T49*1000
)</f>
        <v>224.51609219395945</v>
      </c>
      <c r="U73" s="87">
        <f>IF(TrRoad_act!U49=0,0,U36/TrRoad_act!U49*1000
)</f>
        <v>220.68675956540821</v>
      </c>
      <c r="V73" s="87">
        <f>IF(TrRoad_act!V49=0,0,V36/TrRoad_act!V49*1000
)</f>
        <v>218.88594852449791</v>
      </c>
      <c r="W73" s="87">
        <f>IF(TrRoad_act!W49=0,0,W36/TrRoad_act!W49*1000
)</f>
        <v>215.21109899068895</v>
      </c>
      <c r="X73" s="87">
        <f>IF(TrRoad_act!X49=0,0,X36/TrRoad_act!X49*1000
)</f>
        <v>214.3447549171475</v>
      </c>
      <c r="Y73" s="87">
        <f>IF(TrRoad_act!Y49=0,0,Y36/TrRoad_act!Y49*1000
)</f>
        <v>213.14533726418705</v>
      </c>
      <c r="DA73" s="171" t="s">
        <v>788</v>
      </c>
    </row>
    <row r="74" spans="1:105" ht="11.45" customHeight="1" x14ac:dyDescent="0.25">
      <c r="A74" s="111" t="s">
        <v>112</v>
      </c>
      <c r="B74" s="87">
        <f>IF(TrRoad_act!B50=0,0,B37/TrRoad_act!B50*1000
)</f>
        <v>511.40782181951403</v>
      </c>
      <c r="C74" s="87">
        <f>IF(TrRoad_act!C50=0,0,C37/TrRoad_act!C50*1000
)</f>
        <v>503.24338602170781</v>
      </c>
      <c r="D74" s="87">
        <f>IF(TrRoad_act!D50=0,0,D37/TrRoad_act!D50*1000
)</f>
        <v>497.23348937102588</v>
      </c>
      <c r="E74" s="87">
        <f>IF(TrRoad_act!E50=0,0,E37/TrRoad_act!E50*1000
)</f>
        <v>478.41864657571335</v>
      </c>
      <c r="F74" s="87">
        <f>IF(TrRoad_act!F50=0,0,F37/TrRoad_act!F50*1000
)</f>
        <v>475.53940979885016</v>
      </c>
      <c r="G74" s="87">
        <f>IF(TrRoad_act!G50=0,0,G37/TrRoad_act!G50*1000
)</f>
        <v>459.65481730589408</v>
      </c>
      <c r="H74" s="87">
        <f>IF(TrRoad_act!H50=0,0,H37/TrRoad_act!H50*1000
)</f>
        <v>442.32389470824353</v>
      </c>
      <c r="I74" s="87">
        <f>IF(TrRoad_act!I50=0,0,I37/TrRoad_act!I50*1000
)</f>
        <v>424.82610622523856</v>
      </c>
      <c r="J74" s="87">
        <f>IF(TrRoad_act!J50=0,0,J37/TrRoad_act!J50*1000
)</f>
        <v>409.33031238476059</v>
      </c>
      <c r="K74" s="87">
        <f>IF(TrRoad_act!K50=0,0,K37/TrRoad_act!K50*1000
)</f>
        <v>394.42840121136385</v>
      </c>
      <c r="L74" s="87">
        <f>IF(TrRoad_act!L50=0,0,L37/TrRoad_act!L50*1000
)</f>
        <v>384.4989802135587</v>
      </c>
      <c r="M74" s="87">
        <f>IF(TrRoad_act!M50=0,0,M37/TrRoad_act!M50*1000
)</f>
        <v>375.53423519304147</v>
      </c>
      <c r="N74" s="87">
        <f>IF(TrRoad_act!N50=0,0,N37/TrRoad_act!N50*1000
)</f>
        <v>358.51246268899968</v>
      </c>
      <c r="O74" s="87">
        <f>IF(TrRoad_act!O50=0,0,O37/TrRoad_act!O50*1000
)</f>
        <v>357.17211177143184</v>
      </c>
      <c r="P74" s="87">
        <f>IF(TrRoad_act!P50=0,0,P37/TrRoad_act!P50*1000
)</f>
        <v>341.22776862495834</v>
      </c>
      <c r="Q74" s="87">
        <f>IF(TrRoad_act!Q50=0,0,Q37/TrRoad_act!Q50*1000
)</f>
        <v>334.42778381529473</v>
      </c>
      <c r="R74" s="87">
        <f>IF(TrRoad_act!R50=0,0,R37/TrRoad_act!R50*1000
)</f>
        <v>326.10783563261839</v>
      </c>
      <c r="S74" s="87">
        <f>IF(TrRoad_act!S50=0,0,S37/TrRoad_act!S50*1000
)</f>
        <v>317.27880296758138</v>
      </c>
      <c r="T74" s="87">
        <f>IF(TrRoad_act!T50=0,0,T37/TrRoad_act!T50*1000
)</f>
        <v>304.24923109341148</v>
      </c>
      <c r="U74" s="87">
        <f>IF(TrRoad_act!U50=0,0,U37/TrRoad_act!U50*1000
)</f>
        <v>282.67884496882158</v>
      </c>
      <c r="V74" s="87">
        <f>IF(TrRoad_act!V50=0,0,V37/TrRoad_act!V50*1000
)</f>
        <v>278.27124912726816</v>
      </c>
      <c r="W74" s="87">
        <f>IF(TrRoad_act!W50=0,0,W37/TrRoad_act!W50*1000
)</f>
        <v>275.82666630600801</v>
      </c>
      <c r="X74" s="87">
        <f>IF(TrRoad_act!X50=0,0,X37/TrRoad_act!X50*1000
)</f>
        <v>273.97215339476367</v>
      </c>
      <c r="Y74" s="87">
        <f>IF(TrRoad_act!Y50=0,0,Y37/TrRoad_act!Y50*1000
)</f>
        <v>269.47547749030099</v>
      </c>
      <c r="DA74" s="171" t="s">
        <v>789</v>
      </c>
    </row>
    <row r="75" spans="1:105" ht="11.45" customHeight="1" x14ac:dyDescent="0.25">
      <c r="A75" s="111" t="s">
        <v>113</v>
      </c>
      <c r="B75" s="87">
        <f>IF(TrRoad_act!B51=0,0,B38/TrRoad_act!B51*1000
)</f>
        <v>0</v>
      </c>
      <c r="C75" s="87">
        <f>IF(TrRoad_act!C51=0,0,C38/TrRoad_act!C51*1000
)</f>
        <v>0</v>
      </c>
      <c r="D75" s="87">
        <f>IF(TrRoad_act!D51=0,0,D38/TrRoad_act!D51*1000
)</f>
        <v>0</v>
      </c>
      <c r="E75" s="87">
        <f>IF(TrRoad_act!E51=0,0,E38/TrRoad_act!E51*1000
)</f>
        <v>0</v>
      </c>
      <c r="F75" s="87">
        <f>IF(TrRoad_act!F51=0,0,F38/TrRoad_act!F51*1000
)</f>
        <v>0</v>
      </c>
      <c r="G75" s="87">
        <f>IF(TrRoad_act!G51=0,0,G38/TrRoad_act!G51*1000
)</f>
        <v>0</v>
      </c>
      <c r="H75" s="87">
        <f>IF(TrRoad_act!H51=0,0,H38/TrRoad_act!H51*1000
)</f>
        <v>0</v>
      </c>
      <c r="I75" s="87">
        <f>IF(TrRoad_act!I51=0,0,I38/TrRoad_act!I51*1000
)</f>
        <v>0</v>
      </c>
      <c r="J75" s="87">
        <f>IF(TrRoad_act!J51=0,0,J38/TrRoad_act!J51*1000
)</f>
        <v>0</v>
      </c>
      <c r="K75" s="87">
        <f>IF(TrRoad_act!K51=0,0,K38/TrRoad_act!K51*1000
)</f>
        <v>0</v>
      </c>
      <c r="L75" s="87">
        <f>IF(TrRoad_act!L51=0,0,L38/TrRoad_act!L51*1000
)</f>
        <v>0</v>
      </c>
      <c r="M75" s="87">
        <f>IF(TrRoad_act!M51=0,0,M38/TrRoad_act!M51*1000
)</f>
        <v>0</v>
      </c>
      <c r="N75" s="87">
        <f>IF(TrRoad_act!N51=0,0,N38/TrRoad_act!N51*1000
)</f>
        <v>0</v>
      </c>
      <c r="O75" s="87">
        <f>IF(TrRoad_act!O51=0,0,O38/TrRoad_act!O51*1000
)</f>
        <v>208.65498734280689</v>
      </c>
      <c r="P75" s="87">
        <f>IF(TrRoad_act!P51=0,0,P38/TrRoad_act!P51*1000
)</f>
        <v>206.70697963675767</v>
      </c>
      <c r="Q75" s="87">
        <f>IF(TrRoad_act!Q51=0,0,Q38/TrRoad_act!Q51*1000
)</f>
        <v>226.18695474020379</v>
      </c>
      <c r="R75" s="87">
        <f>IF(TrRoad_act!R51=0,0,R38/TrRoad_act!R51*1000
)</f>
        <v>212.71749331838862</v>
      </c>
      <c r="S75" s="87">
        <f>IF(TrRoad_act!S51=0,0,S38/TrRoad_act!S51*1000
)</f>
        <v>210.22264155731992</v>
      </c>
      <c r="T75" s="87">
        <f>IF(TrRoad_act!T51=0,0,T38/TrRoad_act!T51*1000
)</f>
        <v>214.91312544754621</v>
      </c>
      <c r="U75" s="87">
        <f>IF(TrRoad_act!U51=0,0,U38/TrRoad_act!U51*1000
)</f>
        <v>239.54579298149113</v>
      </c>
      <c r="V75" s="87">
        <f>IF(TrRoad_act!V51=0,0,V38/TrRoad_act!V51*1000
)</f>
        <v>239.22517922145892</v>
      </c>
      <c r="W75" s="87">
        <f>IF(TrRoad_act!W51=0,0,W38/TrRoad_act!W51*1000
)</f>
        <v>241.1707171903447</v>
      </c>
      <c r="X75" s="87">
        <f>IF(TrRoad_act!X51=0,0,X38/TrRoad_act!X51*1000
)</f>
        <v>237.09539714316443</v>
      </c>
      <c r="Y75" s="87">
        <f>IF(TrRoad_act!Y51=0,0,Y38/TrRoad_act!Y51*1000
)</f>
        <v>232.1614350203883</v>
      </c>
      <c r="DA75" s="171" t="s">
        <v>790</v>
      </c>
    </row>
    <row r="76" spans="1:105" ht="11.45" customHeight="1" x14ac:dyDescent="0.25">
      <c r="A76" s="111" t="s">
        <v>115</v>
      </c>
      <c r="B76" s="87">
        <f>IF(TrRoad_act!B52=0,0,B39/TrRoad_act!B52*1000
)</f>
        <v>0</v>
      </c>
      <c r="C76" s="87">
        <f>IF(TrRoad_act!C52=0,0,C39/TrRoad_act!C52*1000
)</f>
        <v>0</v>
      </c>
      <c r="D76" s="87">
        <f>IF(TrRoad_act!D52=0,0,D39/TrRoad_act!D52*1000
)</f>
        <v>0</v>
      </c>
      <c r="E76" s="87">
        <f>IF(TrRoad_act!E52=0,0,E39/TrRoad_act!E52*1000
)</f>
        <v>0</v>
      </c>
      <c r="F76" s="87">
        <f>IF(TrRoad_act!F52=0,0,F39/TrRoad_act!F52*1000
)</f>
        <v>0</v>
      </c>
      <c r="G76" s="87">
        <f>IF(TrRoad_act!G52=0,0,G39/TrRoad_act!G52*1000
)</f>
        <v>0</v>
      </c>
      <c r="H76" s="87">
        <f>IF(TrRoad_act!H52=0,0,H39/TrRoad_act!H52*1000
)</f>
        <v>0</v>
      </c>
      <c r="I76" s="87">
        <f>IF(TrRoad_act!I52=0,0,I39/TrRoad_act!I52*1000
)</f>
        <v>0</v>
      </c>
      <c r="J76" s="87">
        <f>IF(TrRoad_act!J52=0,0,J39/TrRoad_act!J52*1000
)</f>
        <v>0</v>
      </c>
      <c r="K76" s="87">
        <f>IF(TrRoad_act!K52=0,0,K39/TrRoad_act!K52*1000
)</f>
        <v>0</v>
      </c>
      <c r="L76" s="87">
        <f>IF(TrRoad_act!L52=0,0,L39/TrRoad_act!L52*1000
)</f>
        <v>0</v>
      </c>
      <c r="M76" s="87">
        <f>IF(TrRoad_act!M52=0,0,M39/TrRoad_act!M52*1000
)</f>
        <v>0</v>
      </c>
      <c r="N76" s="87">
        <f>IF(TrRoad_act!N52=0,0,N39/TrRoad_act!N52*1000
)</f>
        <v>0</v>
      </c>
      <c r="O76" s="87">
        <f>IF(TrRoad_act!O52=0,0,O39/TrRoad_act!O52*1000
)</f>
        <v>0</v>
      </c>
      <c r="P76" s="87">
        <f>IF(TrRoad_act!P52=0,0,P39/TrRoad_act!P52*1000
)</f>
        <v>0</v>
      </c>
      <c r="Q76" s="87">
        <f>IF(TrRoad_act!Q52=0,0,Q39/TrRoad_act!Q52*1000
)</f>
        <v>0</v>
      </c>
      <c r="R76" s="87">
        <f>IF(TrRoad_act!R52=0,0,R39/TrRoad_act!R52*1000
)</f>
        <v>0</v>
      </c>
      <c r="S76" s="87">
        <f>IF(TrRoad_act!S52=0,0,S39/TrRoad_act!S52*1000
)</f>
        <v>0</v>
      </c>
      <c r="T76" s="87">
        <f>IF(TrRoad_act!T52=0,0,T39/TrRoad_act!T52*1000
)</f>
        <v>0</v>
      </c>
      <c r="U76" s="87">
        <f>IF(TrRoad_act!U52=0,0,U39/TrRoad_act!U52*1000
)</f>
        <v>0</v>
      </c>
      <c r="V76" s="87">
        <f>IF(TrRoad_act!V52=0,0,V39/TrRoad_act!V52*1000
)</f>
        <v>0</v>
      </c>
      <c r="W76" s="87">
        <f>IF(TrRoad_act!W52=0,0,W39/TrRoad_act!W52*1000
)</f>
        <v>0</v>
      </c>
      <c r="X76" s="87">
        <f>IF(TrRoad_act!X52=0,0,X39/TrRoad_act!X52*1000
)</f>
        <v>0</v>
      </c>
      <c r="Y76" s="87">
        <f>IF(TrRoad_act!Y52=0,0,Y39/TrRoad_act!Y52*1000
)</f>
        <v>0</v>
      </c>
      <c r="DA76" s="171" t="s">
        <v>791</v>
      </c>
    </row>
    <row r="77" spans="1:105" ht="11.45" customHeight="1" x14ac:dyDescent="0.25">
      <c r="A77" s="109" t="s">
        <v>154</v>
      </c>
      <c r="B77" s="116">
        <f>IF(TrRoad_act!B53=0,0,B40/TrRoad_act!B53*1000
)</f>
        <v>1024.1742762377846</v>
      </c>
      <c r="C77" s="116">
        <f>IF(TrRoad_act!C53=0,0,C40/TrRoad_act!C53*1000
)</f>
        <v>1074.3489664944364</v>
      </c>
      <c r="D77" s="116">
        <f>IF(TrRoad_act!D53=0,0,D40/TrRoad_act!D53*1000
)</f>
        <v>1102.2442539581489</v>
      </c>
      <c r="E77" s="116">
        <f>IF(TrRoad_act!E53=0,0,E40/TrRoad_act!E53*1000
)</f>
        <v>1312.7372515055258</v>
      </c>
      <c r="F77" s="116">
        <f>IF(TrRoad_act!F53=0,0,F40/TrRoad_act!F53*1000
)</f>
        <v>1292.7432473038264</v>
      </c>
      <c r="G77" s="116">
        <f>IF(TrRoad_act!G53=0,0,G40/TrRoad_act!G53*1000
)</f>
        <v>1278.9437216783076</v>
      </c>
      <c r="H77" s="116">
        <f>IF(TrRoad_act!H53=0,0,H40/TrRoad_act!H53*1000
)</f>
        <v>1267.3543207906987</v>
      </c>
      <c r="I77" s="116">
        <f>IF(TrRoad_act!I53=0,0,I40/TrRoad_act!I53*1000
)</f>
        <v>1252.6906464292142</v>
      </c>
      <c r="J77" s="116">
        <f>IF(TrRoad_act!J53=0,0,J40/TrRoad_act!J53*1000
)</f>
        <v>1292.7076760351963</v>
      </c>
      <c r="K77" s="116">
        <f>IF(TrRoad_act!K53=0,0,K40/TrRoad_act!K53*1000
)</f>
        <v>1288.2564860666364</v>
      </c>
      <c r="L77" s="116">
        <f>IF(TrRoad_act!L53=0,0,L40/TrRoad_act!L53*1000
)</f>
        <v>1268.6531372941879</v>
      </c>
      <c r="M77" s="116">
        <f>IF(TrRoad_act!M53=0,0,M40/TrRoad_act!M53*1000
)</f>
        <v>1241.7675002162271</v>
      </c>
      <c r="N77" s="116">
        <f>IF(TrRoad_act!N53=0,0,N40/TrRoad_act!N53*1000
)</f>
        <v>1385.974145261868</v>
      </c>
      <c r="O77" s="116">
        <f>IF(TrRoad_act!O53=0,0,O40/TrRoad_act!O53*1000
)</f>
        <v>1390.6408994155161</v>
      </c>
      <c r="P77" s="116">
        <f>IF(TrRoad_act!P53=0,0,P40/TrRoad_act!P53*1000
)</f>
        <v>1345.2051266937499</v>
      </c>
      <c r="Q77" s="116">
        <f>IF(TrRoad_act!Q53=0,0,Q40/TrRoad_act!Q53*1000
)</f>
        <v>1243.6050983694302</v>
      </c>
      <c r="R77" s="116">
        <f>IF(TrRoad_act!R53=0,0,R40/TrRoad_act!R53*1000
)</f>
        <v>1273.1630604261375</v>
      </c>
      <c r="S77" s="116">
        <f>IF(TrRoad_act!S53=0,0,S40/TrRoad_act!S53*1000
)</f>
        <v>1249.0439006142358</v>
      </c>
      <c r="T77" s="116">
        <f>IF(TrRoad_act!T53=0,0,T40/TrRoad_act!T53*1000
)</f>
        <v>1236.9793535866379</v>
      </c>
      <c r="U77" s="116">
        <f>IF(TrRoad_act!U53=0,0,U40/TrRoad_act!U53*1000
)</f>
        <v>1283.3791585911524</v>
      </c>
      <c r="V77" s="116">
        <f>IF(TrRoad_act!V53=0,0,V40/TrRoad_act!V53*1000
)</f>
        <v>1294.6907255651988</v>
      </c>
      <c r="W77" s="116">
        <f>IF(TrRoad_act!W53=0,0,W40/TrRoad_act!W53*1000
)</f>
        <v>1229.5450969459423</v>
      </c>
      <c r="X77" s="116">
        <f>IF(TrRoad_act!X53=0,0,X40/TrRoad_act!X53*1000
)</f>
        <v>1268.8368032983544</v>
      </c>
      <c r="Y77" s="116">
        <f>IF(TrRoad_act!Y53=0,0,Y40/TrRoad_act!Y53*1000
)</f>
        <v>1357.2440992916561</v>
      </c>
      <c r="DA77" s="176" t="s">
        <v>792</v>
      </c>
    </row>
    <row r="78" spans="1:105" ht="11.45" customHeight="1" x14ac:dyDescent="0.25">
      <c r="A78" s="128" t="s">
        <v>27</v>
      </c>
      <c r="B78" s="101">
        <f>IF(TrRoad_act!B54=0,0,B41/TrRoad_act!B54*1000
)</f>
        <v>985.50344443434403</v>
      </c>
      <c r="C78" s="101">
        <f>IF(TrRoad_act!C54=0,0,C41/TrRoad_act!C54*1000
)</f>
        <v>1037.5580940574732</v>
      </c>
      <c r="D78" s="101">
        <f>IF(TrRoad_act!D54=0,0,D41/TrRoad_act!D54*1000
)</f>
        <v>1061.6445838321961</v>
      </c>
      <c r="E78" s="101">
        <f>IF(TrRoad_act!E54=0,0,E41/TrRoad_act!E54*1000
)</f>
        <v>1264.178696440586</v>
      </c>
      <c r="F78" s="101">
        <f>IF(TrRoad_act!F54=0,0,F41/TrRoad_act!F54*1000
)</f>
        <v>1249.5593234948878</v>
      </c>
      <c r="G78" s="101">
        <f>IF(TrRoad_act!G54=0,0,G41/TrRoad_act!G54*1000
)</f>
        <v>1237.1621910509168</v>
      </c>
      <c r="H78" s="101">
        <f>IF(TrRoad_act!H54=0,0,H41/TrRoad_act!H54*1000
)</f>
        <v>1224.6176093277688</v>
      </c>
      <c r="I78" s="101">
        <f>IF(TrRoad_act!I54=0,0,I41/TrRoad_act!I54*1000
)</f>
        <v>1209.3406069825371</v>
      </c>
      <c r="J78" s="101">
        <f>IF(TrRoad_act!J54=0,0,J41/TrRoad_act!J54*1000
)</f>
        <v>1251.4860691549259</v>
      </c>
      <c r="K78" s="101">
        <f>IF(TrRoad_act!K54=0,0,K41/TrRoad_act!K54*1000
)</f>
        <v>1242.6950164828806</v>
      </c>
      <c r="L78" s="101">
        <f>IF(TrRoad_act!L54=0,0,L41/TrRoad_act!L54*1000
)</f>
        <v>1228.3259002503733</v>
      </c>
      <c r="M78" s="101">
        <f>IF(TrRoad_act!M54=0,0,M41/TrRoad_act!M54*1000
)</f>
        <v>1199.9867336574994</v>
      </c>
      <c r="N78" s="101">
        <f>IF(TrRoad_act!N54=0,0,N41/TrRoad_act!N54*1000
)</f>
        <v>1337.5695754320211</v>
      </c>
      <c r="O78" s="101">
        <f>IF(TrRoad_act!O54=0,0,O41/TrRoad_act!O54*1000
)</f>
        <v>1332.0879515376023</v>
      </c>
      <c r="P78" s="101">
        <f>IF(TrRoad_act!P54=0,0,P41/TrRoad_act!P54*1000
)</f>
        <v>1282.7110480364652</v>
      </c>
      <c r="Q78" s="101">
        <f>IF(TrRoad_act!Q54=0,0,Q41/TrRoad_act!Q54*1000
)</f>
        <v>1194.3489808663194</v>
      </c>
      <c r="R78" s="101">
        <f>IF(TrRoad_act!R54=0,0,R41/TrRoad_act!R54*1000
)</f>
        <v>1215.6631742446134</v>
      </c>
      <c r="S78" s="101">
        <f>IF(TrRoad_act!S54=0,0,S41/TrRoad_act!S54*1000
)</f>
        <v>1191.3981967978075</v>
      </c>
      <c r="T78" s="101">
        <f>IF(TrRoad_act!T54=0,0,T41/TrRoad_act!T54*1000
)</f>
        <v>1175.9557426380859</v>
      </c>
      <c r="U78" s="101">
        <f>IF(TrRoad_act!U54=0,0,U41/TrRoad_act!U54*1000
)</f>
        <v>1215.5233653684368</v>
      </c>
      <c r="V78" s="101">
        <f>IF(TrRoad_act!V54=0,0,V41/TrRoad_act!V54*1000
)</f>
        <v>1224.7929423444598</v>
      </c>
      <c r="W78" s="101">
        <f>IF(TrRoad_act!W54=0,0,W41/TrRoad_act!W54*1000
)</f>
        <v>1158.506113176142</v>
      </c>
      <c r="X78" s="101">
        <f>IF(TrRoad_act!X54=0,0,X41/TrRoad_act!X54*1000
)</f>
        <v>1188.4340290600114</v>
      </c>
      <c r="Y78" s="101">
        <f>IF(TrRoad_act!Y54=0,0,Y41/TrRoad_act!Y54*1000
)</f>
        <v>1270.0658518898522</v>
      </c>
      <c r="DA78" s="175" t="s">
        <v>793</v>
      </c>
    </row>
    <row r="79" spans="1:105" ht="11.45" customHeight="1" x14ac:dyDescent="0.25">
      <c r="A79" s="138" t="s">
        <v>116</v>
      </c>
      <c r="B79" s="88">
        <f>IF(TrRoad_act!B55=0,0,B42/TrRoad_act!B55*1000
)</f>
        <v>1202.7281326176476</v>
      </c>
      <c r="C79" s="88">
        <f>IF(TrRoad_act!C55=0,0,C42/TrRoad_act!C55*1000
)</f>
        <v>1257.9279605792105</v>
      </c>
      <c r="D79" s="88">
        <f>IF(TrRoad_act!D55=0,0,D42/TrRoad_act!D55*1000
)</f>
        <v>1278.8638518324783</v>
      </c>
      <c r="E79" s="88">
        <f>IF(TrRoad_act!E55=0,0,E42/TrRoad_act!E55*1000
)</f>
        <v>1514.48714313252</v>
      </c>
      <c r="F79" s="88">
        <f>IF(TrRoad_act!F55=0,0,F42/TrRoad_act!F55*1000
)</f>
        <v>1481.1560367557561</v>
      </c>
      <c r="G79" s="88">
        <f>IF(TrRoad_act!G55=0,0,G42/TrRoad_act!G55*1000
)</f>
        <v>1462.4564102924096</v>
      </c>
      <c r="H79" s="88">
        <f>IF(TrRoad_act!H55=0,0,H42/TrRoad_act!H55*1000
)</f>
        <v>1442.4499240269836</v>
      </c>
      <c r="I79" s="88">
        <f>IF(TrRoad_act!I55=0,0,I42/TrRoad_act!I55*1000
)</f>
        <v>1419.2995313852591</v>
      </c>
      <c r="J79" s="88">
        <f>IF(TrRoad_act!J55=0,0,J42/TrRoad_act!J55*1000
)</f>
        <v>1466.4065689430001</v>
      </c>
      <c r="K79" s="88">
        <f>IF(TrRoad_act!K55=0,0,K42/TrRoad_act!K55*1000
)</f>
        <v>1454.742702632635</v>
      </c>
      <c r="L79" s="88">
        <f>IF(TrRoad_act!L55=0,0,L42/TrRoad_act!L55*1000
)</f>
        <v>1439.1041510303348</v>
      </c>
      <c r="M79" s="88">
        <f>IF(TrRoad_act!M55=0,0,M42/TrRoad_act!M55*1000
)</f>
        <v>1401.7062886440397</v>
      </c>
      <c r="N79" s="88">
        <f>IF(TrRoad_act!N55=0,0,N42/TrRoad_act!N55*1000
)</f>
        <v>1561.7466421092442</v>
      </c>
      <c r="O79" s="88">
        <f>IF(TrRoad_act!O55=0,0,O42/TrRoad_act!O55*1000
)</f>
        <v>1559.3616984892237</v>
      </c>
      <c r="P79" s="88">
        <f>IF(TrRoad_act!P55=0,0,P42/TrRoad_act!P55*1000
)</f>
        <v>1509.0312131162411</v>
      </c>
      <c r="Q79" s="88">
        <f>IF(TrRoad_act!Q55=0,0,Q42/TrRoad_act!Q55*1000
)</f>
        <v>1416.1844619376386</v>
      </c>
      <c r="R79" s="88">
        <f>IF(TrRoad_act!R55=0,0,R42/TrRoad_act!R55*1000
)</f>
        <v>1448.3519529816306</v>
      </c>
      <c r="S79" s="88">
        <f>IF(TrRoad_act!S55=0,0,S42/TrRoad_act!S55*1000
)</f>
        <v>1430.0468686877994</v>
      </c>
      <c r="T79" s="88">
        <f>IF(TrRoad_act!T55=0,0,T42/TrRoad_act!T55*1000
)</f>
        <v>1418.9868428682951</v>
      </c>
      <c r="U79" s="88">
        <f>IF(TrRoad_act!U55=0,0,U42/TrRoad_act!U55*1000
)</f>
        <v>1477.7883985853832</v>
      </c>
      <c r="V79" s="88">
        <f>IF(TrRoad_act!V55=0,0,V42/TrRoad_act!V55*1000
)</f>
        <v>1493.6098942585825</v>
      </c>
      <c r="W79" s="88">
        <f>IF(TrRoad_act!W55=0,0,W42/TrRoad_act!W55*1000
)</f>
        <v>1415.3974919057525</v>
      </c>
      <c r="X79" s="88">
        <f>IF(TrRoad_act!X55=0,0,X42/TrRoad_act!X55*1000
)</f>
        <v>1457.0928718667276</v>
      </c>
      <c r="Y79" s="88">
        <f>IF(TrRoad_act!Y55=0,0,Y42/TrRoad_act!Y55*1000
)</f>
        <v>1556.3326822945501</v>
      </c>
      <c r="DA79" s="178" t="s">
        <v>794</v>
      </c>
    </row>
    <row r="80" spans="1:105" x14ac:dyDescent="0.25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DA80" s="171"/>
    </row>
    <row r="81" spans="1:105" ht="11.45" customHeight="1" x14ac:dyDescent="0.25">
      <c r="A81" s="53" t="s">
        <v>71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DA81" s="172"/>
    </row>
    <row r="82" spans="1:105" ht="11.45" customHeight="1" x14ac:dyDescent="0.25">
      <c r="A82" s="27" t="s">
        <v>157</v>
      </c>
      <c r="B82" s="29">
        <f>IF(TrRoad_act!B4=0,0,B18/TrRoad_act!B4*1000)</f>
        <v>117.17239901584558</v>
      </c>
      <c r="C82" s="29">
        <f>IF(TrRoad_act!C4=0,0,C18/TrRoad_act!C4*1000)</f>
        <v>115.78602278044377</v>
      </c>
      <c r="D82" s="29">
        <f>IF(TrRoad_act!D4=0,0,D18/TrRoad_act!D4*1000)</f>
        <v>118.2302428240119</v>
      </c>
      <c r="E82" s="29">
        <f>IF(TrRoad_act!E4=0,0,E18/TrRoad_act!E4*1000)</f>
        <v>121.25789532097835</v>
      </c>
      <c r="F82" s="29">
        <f>IF(TrRoad_act!F4=0,0,F18/TrRoad_act!F4*1000)</f>
        <v>122.71701884161848</v>
      </c>
      <c r="G82" s="29">
        <f>IF(TrRoad_act!G4=0,0,G18/TrRoad_act!G4*1000)</f>
        <v>119.52791444802327</v>
      </c>
      <c r="H82" s="29">
        <f>IF(TrRoad_act!H4=0,0,H18/TrRoad_act!H4*1000)</f>
        <v>118.36585435726963</v>
      </c>
      <c r="I82" s="29">
        <f>IF(TrRoad_act!I4=0,0,I18/TrRoad_act!I4*1000)</f>
        <v>117.07551096166968</v>
      </c>
      <c r="J82" s="29">
        <f>IF(TrRoad_act!J4=0,0,J18/TrRoad_act!J4*1000)</f>
        <v>118.47964447595353</v>
      </c>
      <c r="K82" s="29">
        <f>IF(TrRoad_act!K4=0,0,K18/TrRoad_act!K4*1000)</f>
        <v>120.31859307991535</v>
      </c>
      <c r="L82" s="29">
        <f>IF(TrRoad_act!L4=0,0,L18/TrRoad_act!L4*1000)</f>
        <v>122.88794949144031</v>
      </c>
      <c r="M82" s="29">
        <f>IF(TrRoad_act!M4=0,0,M18/TrRoad_act!M4*1000)</f>
        <v>116.75296037836281</v>
      </c>
      <c r="N82" s="29">
        <f>IF(TrRoad_act!N4=0,0,N18/TrRoad_act!N4*1000)</f>
        <v>111.83628205855884</v>
      </c>
      <c r="O82" s="29">
        <f>IF(TrRoad_act!O4=0,0,O18/TrRoad_act!O4*1000)</f>
        <v>111.98311971613398</v>
      </c>
      <c r="P82" s="29">
        <f>IF(TrRoad_act!P4=0,0,P18/TrRoad_act!P4*1000)</f>
        <v>113.21605741881312</v>
      </c>
      <c r="Q82" s="29">
        <f>IF(TrRoad_act!Q4=0,0,Q18/TrRoad_act!Q4*1000)</f>
        <v>112.21401120683289</v>
      </c>
      <c r="R82" s="29">
        <f>IF(TrRoad_act!R4=0,0,R18/TrRoad_act!R4*1000)</f>
        <v>109.16966625209595</v>
      </c>
      <c r="S82" s="29">
        <f>IF(TrRoad_act!S4=0,0,S18/TrRoad_act!S4*1000)</f>
        <v>109.11822936029564</v>
      </c>
      <c r="T82" s="29">
        <f>IF(TrRoad_act!T4=0,0,T18/TrRoad_act!T4*1000)</f>
        <v>106.15809481421469</v>
      </c>
      <c r="U82" s="29">
        <f>IF(TrRoad_act!U4=0,0,U18/TrRoad_act!U4*1000)</f>
        <v>106.96717849811893</v>
      </c>
      <c r="V82" s="29">
        <f>IF(TrRoad_act!V4=0,0,V18/TrRoad_act!V4*1000)</f>
        <v>106.02105355071775</v>
      </c>
      <c r="W82" s="29">
        <f>IF(TrRoad_act!W4=0,0,W18/TrRoad_act!W4*1000)</f>
        <v>104.87490790485582</v>
      </c>
      <c r="X82" s="29">
        <f>IF(TrRoad_act!X4=0,0,X18/TrRoad_act!X4*1000)</f>
        <v>100.97357136962188</v>
      </c>
      <c r="Y82" s="29">
        <f>IF(TrRoad_act!Y4=0,0,Y18/TrRoad_act!Y4*1000)</f>
        <v>103.69377304744057</v>
      </c>
      <c r="DA82" s="173" t="s">
        <v>436</v>
      </c>
    </row>
    <row r="83" spans="1:105" ht="11.45" customHeight="1" x14ac:dyDescent="0.25">
      <c r="A83" s="136" t="s">
        <v>173</v>
      </c>
      <c r="B83" s="152">
        <f>IF(TrRoad_act!B5=0,0,B19/TrRoad_act!B5*1000)</f>
        <v>102.38417909135924</v>
      </c>
      <c r="C83" s="152">
        <f>IF(TrRoad_act!C5=0,0,C19/TrRoad_act!C5*1000)</f>
        <v>96.411747757484449</v>
      </c>
      <c r="D83" s="152">
        <f>IF(TrRoad_act!D5=0,0,D19/TrRoad_act!D5*1000)</f>
        <v>95.55427759903769</v>
      </c>
      <c r="E83" s="152">
        <f>IF(TrRoad_act!E5=0,0,E19/TrRoad_act!E5*1000)</f>
        <v>94.819675520141374</v>
      </c>
      <c r="F83" s="152">
        <f>IF(TrRoad_act!F5=0,0,F19/TrRoad_act!F5*1000)</f>
        <v>94.084213450557172</v>
      </c>
      <c r="G83" s="152">
        <f>IF(TrRoad_act!G5=0,0,G19/TrRoad_act!G5*1000)</f>
        <v>93.449984555504813</v>
      </c>
      <c r="H83" s="152">
        <f>IF(TrRoad_act!H5=0,0,H19/TrRoad_act!H5*1000)</f>
        <v>92.611132344726698</v>
      </c>
      <c r="I83" s="152">
        <f>IF(TrRoad_act!I5=0,0,I19/TrRoad_act!I5*1000)</f>
        <v>91.588058927112129</v>
      </c>
      <c r="J83" s="152">
        <f>IF(TrRoad_act!J5=0,0,J19/TrRoad_act!J5*1000)</f>
        <v>91.042650043656536</v>
      </c>
      <c r="K83" s="152">
        <f>IF(TrRoad_act!K5=0,0,K19/TrRoad_act!K5*1000)</f>
        <v>90.166683045507696</v>
      </c>
      <c r="L83" s="152">
        <f>IF(TrRoad_act!L5=0,0,L19/TrRoad_act!L5*1000)</f>
        <v>88.325360419408256</v>
      </c>
      <c r="M83" s="152">
        <f>IF(TrRoad_act!M5=0,0,M19/TrRoad_act!M5*1000)</f>
        <v>86.803694592882479</v>
      </c>
      <c r="N83" s="152">
        <f>IF(TrRoad_act!N5=0,0,N19/TrRoad_act!N5*1000)</f>
        <v>85.802805096111172</v>
      </c>
      <c r="O83" s="152">
        <f>IF(TrRoad_act!O5=0,0,O19/TrRoad_act!O5*1000)</f>
        <v>85.093401354068547</v>
      </c>
      <c r="P83" s="152">
        <f>IF(TrRoad_act!P5=0,0,P19/TrRoad_act!P5*1000)</f>
        <v>83.835953724890174</v>
      </c>
      <c r="Q83" s="152">
        <f>IF(TrRoad_act!Q5=0,0,Q19/TrRoad_act!Q5*1000)</f>
        <v>80.772001576688126</v>
      </c>
      <c r="R83" s="152">
        <f>IF(TrRoad_act!R5=0,0,R19/TrRoad_act!R5*1000)</f>
        <v>79.309557845509147</v>
      </c>
      <c r="S83" s="152">
        <f>IF(TrRoad_act!S5=0,0,S19/TrRoad_act!S5*1000)</f>
        <v>84.063563405196803</v>
      </c>
      <c r="T83" s="152">
        <f>IF(TrRoad_act!T5=0,0,T19/TrRoad_act!T5*1000)</f>
        <v>82.999076821641353</v>
      </c>
      <c r="U83" s="152">
        <f>IF(TrRoad_act!U5=0,0,U19/TrRoad_act!U5*1000)</f>
        <v>82.100704102732522</v>
      </c>
      <c r="V83" s="152">
        <f>IF(TrRoad_act!V5=0,0,V19/TrRoad_act!V5*1000)</f>
        <v>80.45474166491779</v>
      </c>
      <c r="W83" s="152">
        <f>IF(TrRoad_act!W5=0,0,W19/TrRoad_act!W5*1000)</f>
        <v>78.888066584999862</v>
      </c>
      <c r="X83" s="152">
        <f>IF(TrRoad_act!X5=0,0,X19/TrRoad_act!X5*1000)</f>
        <v>78.25781089144445</v>
      </c>
      <c r="Y83" s="152">
        <f>IF(TrRoad_act!Y5=0,0,Y19/TrRoad_act!Y5*1000)</f>
        <v>78.243890879384509</v>
      </c>
      <c r="DA83" s="174" t="s">
        <v>437</v>
      </c>
    </row>
    <row r="84" spans="1:105" ht="11.45" customHeight="1" x14ac:dyDescent="0.25">
      <c r="A84" s="109" t="s">
        <v>20</v>
      </c>
      <c r="B84" s="116">
        <f>IF(TrRoad_act!B6=0,0,B20/TrRoad_act!B6*1000)</f>
        <v>122.91802148670475</v>
      </c>
      <c r="C84" s="116">
        <f>IF(TrRoad_act!C6=0,0,C20/TrRoad_act!C6*1000)</f>
        <v>120.25325856243396</v>
      </c>
      <c r="D84" s="116">
        <f>IF(TrRoad_act!D6=0,0,D20/TrRoad_act!D6*1000)</f>
        <v>121.03680052054003</v>
      </c>
      <c r="E84" s="116">
        <f>IF(TrRoad_act!E6=0,0,E20/TrRoad_act!E6*1000)</f>
        <v>125.5509089412587</v>
      </c>
      <c r="F84" s="116">
        <f>IF(TrRoad_act!F6=0,0,F20/TrRoad_act!F6*1000)</f>
        <v>127.88092144008115</v>
      </c>
      <c r="G84" s="116">
        <f>IF(TrRoad_act!G6=0,0,G20/TrRoad_act!G6*1000)</f>
        <v>122.15012243489272</v>
      </c>
      <c r="H84" s="116">
        <f>IF(TrRoad_act!H6=0,0,H20/TrRoad_act!H6*1000)</f>
        <v>120.58020830032788</v>
      </c>
      <c r="I84" s="116">
        <f>IF(TrRoad_act!I6=0,0,I20/TrRoad_act!I6*1000)</f>
        <v>119.3262443054488</v>
      </c>
      <c r="J84" s="116">
        <f>IF(TrRoad_act!J6=0,0,J20/TrRoad_act!J6*1000)</f>
        <v>120.67970976980908</v>
      </c>
      <c r="K84" s="116">
        <f>IF(TrRoad_act!K6=0,0,K20/TrRoad_act!K6*1000)</f>
        <v>122.28309767239041</v>
      </c>
      <c r="L84" s="116">
        <f>IF(TrRoad_act!L6=0,0,L20/TrRoad_act!L6*1000)</f>
        <v>125.22414673240301</v>
      </c>
      <c r="M84" s="116">
        <f>IF(TrRoad_act!M6=0,0,M20/TrRoad_act!M6*1000)</f>
        <v>118.22084117413419</v>
      </c>
      <c r="N84" s="116">
        <f>IF(TrRoad_act!N6=0,0,N20/TrRoad_act!N6*1000)</f>
        <v>114.34988991856591</v>
      </c>
      <c r="O84" s="116">
        <f>IF(TrRoad_act!O6=0,0,O20/TrRoad_act!O6*1000)</f>
        <v>114.98900046983144</v>
      </c>
      <c r="P84" s="116">
        <f>IF(TrRoad_act!P6=0,0,P20/TrRoad_act!P6*1000)</f>
        <v>114.49197490463362</v>
      </c>
      <c r="Q84" s="116">
        <f>IF(TrRoad_act!Q6=0,0,Q20/TrRoad_act!Q6*1000)</f>
        <v>113.14193191979683</v>
      </c>
      <c r="R84" s="116">
        <f>IF(TrRoad_act!R6=0,0,R20/TrRoad_act!R6*1000)</f>
        <v>109.16596457298968</v>
      </c>
      <c r="S84" s="116">
        <f>IF(TrRoad_act!S6=0,0,S20/TrRoad_act!S6*1000)</f>
        <v>109.80007783173603</v>
      </c>
      <c r="T84" s="116">
        <f>IF(TrRoad_act!T6=0,0,T20/TrRoad_act!T6*1000)</f>
        <v>106.79165405636441</v>
      </c>
      <c r="U84" s="116">
        <f>IF(TrRoad_act!U6=0,0,U20/TrRoad_act!U6*1000)</f>
        <v>108.18506736331165</v>
      </c>
      <c r="V84" s="116">
        <f>IF(TrRoad_act!V6=0,0,V20/TrRoad_act!V6*1000)</f>
        <v>105.56570397306353</v>
      </c>
      <c r="W84" s="116">
        <f>IF(TrRoad_act!W6=0,0,W20/TrRoad_act!W6*1000)</f>
        <v>105.31112606876459</v>
      </c>
      <c r="X84" s="116">
        <f>IF(TrRoad_act!X6=0,0,X20/TrRoad_act!X6*1000)</f>
        <v>102.67427409910502</v>
      </c>
      <c r="Y84" s="116">
        <f>IF(TrRoad_act!Y6=0,0,Y20/TrRoad_act!Y6*1000)</f>
        <v>105.64497557271511</v>
      </c>
      <c r="DA84" s="176" t="s">
        <v>438</v>
      </c>
    </row>
    <row r="85" spans="1:105" ht="11.45" customHeight="1" x14ac:dyDescent="0.25">
      <c r="A85" s="111" t="s">
        <v>110</v>
      </c>
      <c r="B85" s="87">
        <f>IF(TrRoad_act!B7=0,0,B21/TrRoad_act!B7*1000)</f>
        <v>141.45535026280712</v>
      </c>
      <c r="C85" s="87">
        <f>IF(TrRoad_act!C7=0,0,C21/TrRoad_act!C7*1000)</f>
        <v>136.05160142722829</v>
      </c>
      <c r="D85" s="87">
        <f>IF(TrRoad_act!D7=0,0,D21/TrRoad_act!D7*1000)</f>
        <v>137.79103921800291</v>
      </c>
      <c r="E85" s="87">
        <f>IF(TrRoad_act!E7=0,0,E21/TrRoad_act!E7*1000)</f>
        <v>136.08725087997433</v>
      </c>
      <c r="F85" s="87">
        <f>IF(TrRoad_act!F7=0,0,F21/TrRoad_act!F7*1000)</f>
        <v>137.94854655673495</v>
      </c>
      <c r="G85" s="87">
        <f>IF(TrRoad_act!G7=0,0,G21/TrRoad_act!G7*1000)</f>
        <v>136.93767728111965</v>
      </c>
      <c r="H85" s="87">
        <f>IF(TrRoad_act!H7=0,0,H21/TrRoad_act!H7*1000)</f>
        <v>136.64855875148905</v>
      </c>
      <c r="I85" s="87">
        <f>IF(TrRoad_act!I7=0,0,I21/TrRoad_act!I7*1000)</f>
        <v>135.35396900504517</v>
      </c>
      <c r="J85" s="87">
        <f>IF(TrRoad_act!J7=0,0,J21/TrRoad_act!J7*1000)</f>
        <v>136.38134472420657</v>
      </c>
      <c r="K85" s="87">
        <f>IF(TrRoad_act!K7=0,0,K21/TrRoad_act!K7*1000)</f>
        <v>140.93615103956151</v>
      </c>
      <c r="L85" s="87">
        <f>IF(TrRoad_act!L7=0,0,L21/TrRoad_act!L7*1000)</f>
        <v>145.74202956891338</v>
      </c>
      <c r="M85" s="87">
        <f>IF(TrRoad_act!M7=0,0,M21/TrRoad_act!M7*1000)</f>
        <v>142.20127648705542</v>
      </c>
      <c r="N85" s="87">
        <f>IF(TrRoad_act!N7=0,0,N21/TrRoad_act!N7*1000)</f>
        <v>130.73948446285445</v>
      </c>
      <c r="O85" s="87">
        <f>IF(TrRoad_act!O7=0,0,O21/TrRoad_act!O7*1000)</f>
        <v>131.84554197001188</v>
      </c>
      <c r="P85" s="87">
        <f>IF(TrRoad_act!P7=0,0,P21/TrRoad_act!P7*1000)</f>
        <v>134.0726351373055</v>
      </c>
      <c r="Q85" s="87">
        <f>IF(TrRoad_act!Q7=0,0,Q21/TrRoad_act!Q7*1000)</f>
        <v>128.13471789498567</v>
      </c>
      <c r="R85" s="87">
        <f>IF(TrRoad_act!R7=0,0,R21/TrRoad_act!R7*1000)</f>
        <v>123.69578347728499</v>
      </c>
      <c r="S85" s="87">
        <f>IF(TrRoad_act!S7=0,0,S21/TrRoad_act!S7*1000)</f>
        <v>126.56052151362654</v>
      </c>
      <c r="T85" s="87">
        <f>IF(TrRoad_act!T7=0,0,T21/TrRoad_act!T7*1000)</f>
        <v>124.01353061622403</v>
      </c>
      <c r="U85" s="87">
        <f>IF(TrRoad_act!U7=0,0,U21/TrRoad_act!U7*1000)</f>
        <v>123.60757724252268</v>
      </c>
      <c r="V85" s="87">
        <f>IF(TrRoad_act!V7=0,0,V21/TrRoad_act!V7*1000)</f>
        <v>123.63883793230035</v>
      </c>
      <c r="W85" s="87">
        <f>IF(TrRoad_act!W7=0,0,W21/TrRoad_act!W7*1000)</f>
        <v>120.52800439931399</v>
      </c>
      <c r="X85" s="87">
        <f>IF(TrRoad_act!X7=0,0,X21/TrRoad_act!X7*1000)</f>
        <v>120.56484360477029</v>
      </c>
      <c r="Y85" s="87">
        <f>IF(TrRoad_act!Y7=0,0,Y21/TrRoad_act!Y7*1000)</f>
        <v>126.51529209650974</v>
      </c>
      <c r="DA85" s="171" t="s">
        <v>795</v>
      </c>
    </row>
    <row r="86" spans="1:105" ht="11.45" customHeight="1" x14ac:dyDescent="0.25">
      <c r="A86" s="111" t="s">
        <v>111</v>
      </c>
      <c r="B86" s="87">
        <f>IF(TrRoad_act!B8=0,0,B22/TrRoad_act!B8*1000)</f>
        <v>90.148988869525397</v>
      </c>
      <c r="C86" s="87">
        <f>IF(TrRoad_act!C8=0,0,C22/TrRoad_act!C8*1000)</f>
        <v>95.972328464611081</v>
      </c>
      <c r="D86" s="87">
        <f>IF(TrRoad_act!D8=0,0,D22/TrRoad_act!D8*1000)</f>
        <v>97.558142338689876</v>
      </c>
      <c r="E86" s="87">
        <f>IF(TrRoad_act!E8=0,0,E22/TrRoad_act!E8*1000)</f>
        <v>113.0268415349458</v>
      </c>
      <c r="F86" s="87">
        <f>IF(TrRoad_act!F8=0,0,F22/TrRoad_act!F8*1000)</f>
        <v>117.65487222810285</v>
      </c>
      <c r="G86" s="87">
        <f>IF(TrRoad_act!G8=0,0,G22/TrRoad_act!G8*1000)</f>
        <v>109.25738252012989</v>
      </c>
      <c r="H86" s="87">
        <f>IF(TrRoad_act!H8=0,0,H22/TrRoad_act!H8*1000)</f>
        <v>108.62214840834243</v>
      </c>
      <c r="I86" s="87">
        <f>IF(TrRoad_act!I8=0,0,I22/TrRoad_act!I8*1000)</f>
        <v>108.59086139053009</v>
      </c>
      <c r="J86" s="87">
        <f>IF(TrRoad_act!J8=0,0,J22/TrRoad_act!J8*1000)</f>
        <v>111.52311313514313</v>
      </c>
      <c r="K86" s="87">
        <f>IF(TrRoad_act!K8=0,0,K22/TrRoad_act!K8*1000)</f>
        <v>112.24485947251839</v>
      </c>
      <c r="L86" s="87">
        <f>IF(TrRoad_act!L8=0,0,L22/TrRoad_act!L8*1000)</f>
        <v>115.12105366737826</v>
      </c>
      <c r="M86" s="87">
        <f>IF(TrRoad_act!M8=0,0,M22/TrRoad_act!M8*1000)</f>
        <v>107.63173014222664</v>
      </c>
      <c r="N86" s="87">
        <f>IF(TrRoad_act!N8=0,0,N22/TrRoad_act!N8*1000)</f>
        <v>107.18287955761737</v>
      </c>
      <c r="O86" s="87">
        <f>IF(TrRoad_act!O8=0,0,O22/TrRoad_act!O8*1000)</f>
        <v>107.89572277178139</v>
      </c>
      <c r="P86" s="87">
        <f>IF(TrRoad_act!P8=0,0,P22/TrRoad_act!P8*1000)</f>
        <v>106.75972682266904</v>
      </c>
      <c r="Q86" s="87">
        <f>IF(TrRoad_act!Q8=0,0,Q22/TrRoad_act!Q8*1000)</f>
        <v>107.26599629451677</v>
      </c>
      <c r="R86" s="87">
        <f>IF(TrRoad_act!R8=0,0,R22/TrRoad_act!R8*1000)</f>
        <v>103.91150589033292</v>
      </c>
      <c r="S86" s="87">
        <f>IF(TrRoad_act!S8=0,0,S22/TrRoad_act!S8*1000)</f>
        <v>104.31247853073866</v>
      </c>
      <c r="T86" s="87">
        <f>IF(TrRoad_act!T8=0,0,T22/TrRoad_act!T8*1000)</f>
        <v>101.6832565241039</v>
      </c>
      <c r="U86" s="87">
        <f>IF(TrRoad_act!U8=0,0,U22/TrRoad_act!U8*1000)</f>
        <v>104.00982258715813</v>
      </c>
      <c r="V86" s="87">
        <f>IF(TrRoad_act!V8=0,0,V22/TrRoad_act!V8*1000)</f>
        <v>101.18389118053219</v>
      </c>
      <c r="W86" s="87">
        <f>IF(TrRoad_act!W8=0,0,W22/TrRoad_act!W8*1000)</f>
        <v>102.29157182076477</v>
      </c>
      <c r="X86" s="87">
        <f>IF(TrRoad_act!X8=0,0,X22/TrRoad_act!X8*1000)</f>
        <v>99.178655505525995</v>
      </c>
      <c r="Y86" s="87">
        <f>IF(TrRoad_act!Y8=0,0,Y22/TrRoad_act!Y8*1000)</f>
        <v>102.05678197299831</v>
      </c>
      <c r="DA86" s="171" t="s">
        <v>796</v>
      </c>
    </row>
    <row r="87" spans="1:105" ht="11.45" customHeight="1" x14ac:dyDescent="0.25">
      <c r="A87" s="111" t="s">
        <v>112</v>
      </c>
      <c r="B87" s="87">
        <f>IF(TrRoad_act!B9=0,0,B23/TrRoad_act!B9*1000)</f>
        <v>137.64960110715859</v>
      </c>
      <c r="C87" s="87">
        <f>IF(TrRoad_act!C9=0,0,C23/TrRoad_act!C9*1000)</f>
        <v>144.57128468892265</v>
      </c>
      <c r="D87" s="87">
        <f>IF(TrRoad_act!D9=0,0,D23/TrRoad_act!D9*1000)</f>
        <v>151.81714148659253</v>
      </c>
      <c r="E87" s="87">
        <f>IF(TrRoad_act!E9=0,0,E23/TrRoad_act!E9*1000)</f>
        <v>131.23600480073048</v>
      </c>
      <c r="F87" s="87">
        <f>IF(TrRoad_act!F9=0,0,F23/TrRoad_act!F9*1000)</f>
        <v>130.31721653848695</v>
      </c>
      <c r="G87" s="87">
        <f>IF(TrRoad_act!G9=0,0,G23/TrRoad_act!G9*1000)</f>
        <v>136.54524749784395</v>
      </c>
      <c r="H87" s="87">
        <f>IF(TrRoad_act!H9=0,0,H23/TrRoad_act!H9*1000)</f>
        <v>152.39335555332028</v>
      </c>
      <c r="I87" s="87">
        <f>IF(TrRoad_act!I9=0,0,I23/TrRoad_act!I9*1000)</f>
        <v>164.77542900519251</v>
      </c>
      <c r="J87" s="87">
        <f>IF(TrRoad_act!J9=0,0,J23/TrRoad_act!J9*1000)</f>
        <v>140.50811723410382</v>
      </c>
      <c r="K87" s="87">
        <f>IF(TrRoad_act!K9=0,0,K23/TrRoad_act!K9*1000)</f>
        <v>122.2186264476792</v>
      </c>
      <c r="L87" s="87">
        <f>IF(TrRoad_act!L9=0,0,L23/TrRoad_act!L9*1000)</f>
        <v>127.32086410936316</v>
      </c>
      <c r="M87" s="87">
        <f>IF(TrRoad_act!M9=0,0,M23/TrRoad_act!M9*1000)</f>
        <v>122.32016371787327</v>
      </c>
      <c r="N87" s="87">
        <f>IF(TrRoad_act!N9=0,0,N23/TrRoad_act!N9*1000)</f>
        <v>115.15038624667075</v>
      </c>
      <c r="O87" s="87">
        <f>IF(TrRoad_act!O9=0,0,O23/TrRoad_act!O9*1000)</f>
        <v>118.38395130296003</v>
      </c>
      <c r="P87" s="87">
        <f>IF(TrRoad_act!P9=0,0,P23/TrRoad_act!P9*1000)</f>
        <v>113.45897695816315</v>
      </c>
      <c r="Q87" s="87">
        <f>IF(TrRoad_act!Q9=0,0,Q23/TrRoad_act!Q9*1000)</f>
        <v>115.26290967687454</v>
      </c>
      <c r="R87" s="87">
        <f>IF(TrRoad_act!R9=0,0,R23/TrRoad_act!R9*1000)</f>
        <v>111.17161902213532</v>
      </c>
      <c r="S87" s="87">
        <f>IF(TrRoad_act!S9=0,0,S23/TrRoad_act!S9*1000)</f>
        <v>107.17787539431673</v>
      </c>
      <c r="T87" s="87">
        <f>IF(TrRoad_act!T9=0,0,T23/TrRoad_act!T9*1000)</f>
        <v>98.233535642066585</v>
      </c>
      <c r="U87" s="87">
        <f>IF(TrRoad_act!U9=0,0,U23/TrRoad_act!U9*1000)</f>
        <v>98.670958637219144</v>
      </c>
      <c r="V87" s="87">
        <f>IF(TrRoad_act!V9=0,0,V23/TrRoad_act!V9*1000)</f>
        <v>88.609790813964167</v>
      </c>
      <c r="W87" s="87">
        <f>IF(TrRoad_act!W9=0,0,W23/TrRoad_act!W9*1000)</f>
        <v>84.331922646274819</v>
      </c>
      <c r="X87" s="87">
        <f>IF(TrRoad_act!X9=0,0,X23/TrRoad_act!X9*1000)</f>
        <v>82.63584253724882</v>
      </c>
      <c r="Y87" s="87">
        <f>IF(TrRoad_act!Y9=0,0,Y23/TrRoad_act!Y9*1000)</f>
        <v>90.424090006094616</v>
      </c>
      <c r="DA87" s="171" t="s">
        <v>797</v>
      </c>
    </row>
    <row r="88" spans="1:105" ht="11.45" customHeight="1" x14ac:dyDescent="0.25">
      <c r="A88" s="111" t="s">
        <v>113</v>
      </c>
      <c r="B88" s="87">
        <f>IF(TrRoad_act!B10=0,0,B24/TrRoad_act!B10*1000)</f>
        <v>0</v>
      </c>
      <c r="C88" s="87">
        <f>IF(TrRoad_act!C10=0,0,C24/TrRoad_act!C10*1000)</f>
        <v>0</v>
      </c>
      <c r="D88" s="87">
        <f>IF(TrRoad_act!D10=0,0,D24/TrRoad_act!D10*1000)</f>
        <v>0</v>
      </c>
      <c r="E88" s="87">
        <f>IF(TrRoad_act!E10=0,0,E24/TrRoad_act!E10*1000)</f>
        <v>0</v>
      </c>
      <c r="F88" s="87">
        <f>IF(TrRoad_act!F10=0,0,F24/TrRoad_act!F10*1000)</f>
        <v>0</v>
      </c>
      <c r="G88" s="87">
        <f>IF(TrRoad_act!G10=0,0,G24/TrRoad_act!G10*1000)</f>
        <v>0</v>
      </c>
      <c r="H88" s="87">
        <f>IF(TrRoad_act!H10=0,0,H24/TrRoad_act!H10*1000)</f>
        <v>0</v>
      </c>
      <c r="I88" s="87">
        <f>IF(TrRoad_act!I10=0,0,I24/TrRoad_act!I10*1000)</f>
        <v>0</v>
      </c>
      <c r="J88" s="87">
        <f>IF(TrRoad_act!J10=0,0,J24/TrRoad_act!J10*1000)</f>
        <v>0</v>
      </c>
      <c r="K88" s="87">
        <f>IF(TrRoad_act!K10=0,0,K24/TrRoad_act!K10*1000)</f>
        <v>0</v>
      </c>
      <c r="L88" s="87">
        <f>IF(TrRoad_act!L10=0,0,L24/TrRoad_act!L10*1000)</f>
        <v>146.63733655843203</v>
      </c>
      <c r="M88" s="87">
        <f>IF(TrRoad_act!M10=0,0,M24/TrRoad_act!M10*1000)</f>
        <v>143.85190005105912</v>
      </c>
      <c r="N88" s="87">
        <f>IF(TrRoad_act!N10=0,0,N24/TrRoad_act!N10*1000)</f>
        <v>110.59377334771654</v>
      </c>
      <c r="O88" s="87">
        <f>IF(TrRoad_act!O10=0,0,O24/TrRoad_act!O10*1000)</f>
        <v>104.63503514997967</v>
      </c>
      <c r="P88" s="87">
        <f>IF(TrRoad_act!P10=0,0,P24/TrRoad_act!P10*1000)</f>
        <v>102.88251750066181</v>
      </c>
      <c r="Q88" s="87">
        <f>IF(TrRoad_act!Q10=0,0,Q24/TrRoad_act!Q10*1000)</f>
        <v>95.693997271281873</v>
      </c>
      <c r="R88" s="87">
        <f>IF(TrRoad_act!R10=0,0,R24/TrRoad_act!R10*1000)</f>
        <v>88.799369900103642</v>
      </c>
      <c r="S88" s="87">
        <f>IF(TrRoad_act!S10=0,0,S24/TrRoad_act!S10*1000)</f>
        <v>88.432509180216542</v>
      </c>
      <c r="T88" s="87">
        <f>IF(TrRoad_act!T10=0,0,T24/TrRoad_act!T10*1000)</f>
        <v>88.358664053788004</v>
      </c>
      <c r="U88" s="87">
        <f>IF(TrRoad_act!U10=0,0,U24/TrRoad_act!U10*1000)</f>
        <v>86.684795151498818</v>
      </c>
      <c r="V88" s="87">
        <f>IF(TrRoad_act!V10=0,0,V24/TrRoad_act!V10*1000)</f>
        <v>86.663018878439715</v>
      </c>
      <c r="W88" s="87">
        <f>IF(TrRoad_act!W10=0,0,W24/TrRoad_act!W10*1000)</f>
        <v>84.68133886207427</v>
      </c>
      <c r="X88" s="87">
        <f>IF(TrRoad_act!X10=0,0,X24/TrRoad_act!X10*1000)</f>
        <v>82.064353960838901</v>
      </c>
      <c r="Y88" s="87">
        <f>IF(TrRoad_act!Y10=0,0,Y24/TrRoad_act!Y10*1000)</f>
        <v>84.579280195977034</v>
      </c>
      <c r="DA88" s="171" t="s">
        <v>798</v>
      </c>
    </row>
    <row r="89" spans="1:105" ht="11.45" customHeight="1" x14ac:dyDescent="0.25">
      <c r="A89" s="111" t="s">
        <v>114</v>
      </c>
      <c r="B89" s="87">
        <f>IF(TrRoad_act!B11=0,0,B25/TrRoad_act!B11*1000)</f>
        <v>0</v>
      </c>
      <c r="C89" s="87">
        <f>IF(TrRoad_act!C11=0,0,C25/TrRoad_act!C11*1000)</f>
        <v>0</v>
      </c>
      <c r="D89" s="87">
        <f>IF(TrRoad_act!D11=0,0,D25/TrRoad_act!D11*1000)</f>
        <v>0</v>
      </c>
      <c r="E89" s="87">
        <f>IF(TrRoad_act!E11=0,0,E25/TrRoad_act!E11*1000)</f>
        <v>0</v>
      </c>
      <c r="F89" s="87">
        <f>IF(TrRoad_act!F11=0,0,F25/TrRoad_act!F11*1000)</f>
        <v>0</v>
      </c>
      <c r="G89" s="87">
        <f>IF(TrRoad_act!G11=0,0,G25/TrRoad_act!G11*1000)</f>
        <v>0</v>
      </c>
      <c r="H89" s="87">
        <f>IF(TrRoad_act!H11=0,0,H25/TrRoad_act!H11*1000)</f>
        <v>0</v>
      </c>
      <c r="I89" s="87">
        <f>IF(TrRoad_act!I11=0,0,I25/TrRoad_act!I11*1000)</f>
        <v>0</v>
      </c>
      <c r="J89" s="87">
        <f>IF(TrRoad_act!J11=0,0,J25/TrRoad_act!J11*1000)</f>
        <v>0</v>
      </c>
      <c r="K89" s="87">
        <f>IF(TrRoad_act!K11=0,0,K25/TrRoad_act!K11*1000)</f>
        <v>0</v>
      </c>
      <c r="L89" s="87">
        <f>IF(TrRoad_act!L11=0,0,L25/TrRoad_act!L11*1000)</f>
        <v>0</v>
      </c>
      <c r="M89" s="87">
        <f>IF(TrRoad_act!M11=0,0,M25/TrRoad_act!M11*1000)</f>
        <v>53.284004765337301</v>
      </c>
      <c r="N89" s="87">
        <f>IF(TrRoad_act!N11=0,0,N25/TrRoad_act!N11*1000)</f>
        <v>40.084459952124156</v>
      </c>
      <c r="O89" s="87">
        <f>IF(TrRoad_act!O11=0,0,O25/TrRoad_act!O11*1000)</f>
        <v>41.585436446879307</v>
      </c>
      <c r="P89" s="87">
        <f>IF(TrRoad_act!P11=0,0,P25/TrRoad_act!P11*1000)</f>
        <v>43.086822706794905</v>
      </c>
      <c r="Q89" s="87">
        <f>IF(TrRoad_act!Q11=0,0,Q25/TrRoad_act!Q11*1000)</f>
        <v>42.40583593539985</v>
      </c>
      <c r="R89" s="87">
        <f>IF(TrRoad_act!R11=0,0,R25/TrRoad_act!R11*1000)</f>
        <v>41.363208012817189</v>
      </c>
      <c r="S89" s="87">
        <f>IF(TrRoad_act!S11=0,0,S25/TrRoad_act!S11*1000)</f>
        <v>43.759524436384339</v>
      </c>
      <c r="T89" s="87">
        <f>IF(TrRoad_act!T11=0,0,T25/TrRoad_act!T11*1000)</f>
        <v>44.330353509845217</v>
      </c>
      <c r="U89" s="87">
        <f>IF(TrRoad_act!U11=0,0,U25/TrRoad_act!U11*1000)</f>
        <v>42.072020812282375</v>
      </c>
      <c r="V89" s="87">
        <f>IF(TrRoad_act!V11=0,0,V25/TrRoad_act!V11*1000)</f>
        <v>37.963638198903865</v>
      </c>
      <c r="W89" s="87">
        <f>IF(TrRoad_act!W11=0,0,W25/TrRoad_act!W11*1000)</f>
        <v>33.717870556794253</v>
      </c>
      <c r="X89" s="87">
        <f>IF(TrRoad_act!X11=0,0,X25/TrRoad_act!X11*1000)</f>
        <v>30.961339426733112</v>
      </c>
      <c r="Y89" s="87">
        <f>IF(TrRoad_act!Y11=0,0,Y25/TrRoad_act!Y11*1000)</f>
        <v>29.756992424775635</v>
      </c>
      <c r="DA89" s="171" t="s">
        <v>799</v>
      </c>
    </row>
    <row r="90" spans="1:105" ht="11.45" customHeight="1" x14ac:dyDescent="0.25">
      <c r="A90" s="111" t="s">
        <v>115</v>
      </c>
      <c r="B90" s="87">
        <f>IF(TrRoad_act!B12=0,0,B26/TrRoad_act!B12*1000)</f>
        <v>0</v>
      </c>
      <c r="C90" s="87">
        <f>IF(TrRoad_act!C12=0,0,C26/TrRoad_act!C12*1000)</f>
        <v>0</v>
      </c>
      <c r="D90" s="87">
        <f>IF(TrRoad_act!D12=0,0,D26/TrRoad_act!D12*1000)</f>
        <v>0</v>
      </c>
      <c r="E90" s="87">
        <f>IF(TrRoad_act!E12=0,0,E26/TrRoad_act!E12*1000)</f>
        <v>0</v>
      </c>
      <c r="F90" s="87">
        <f>IF(TrRoad_act!F12=0,0,F26/TrRoad_act!F12*1000)</f>
        <v>0</v>
      </c>
      <c r="G90" s="87">
        <f>IF(TrRoad_act!G12=0,0,G26/TrRoad_act!G12*1000)</f>
        <v>0</v>
      </c>
      <c r="H90" s="87">
        <f>IF(TrRoad_act!H12=0,0,H26/TrRoad_act!H12*1000)</f>
        <v>0</v>
      </c>
      <c r="I90" s="87">
        <f>IF(TrRoad_act!I12=0,0,I26/TrRoad_act!I12*1000)</f>
        <v>0</v>
      </c>
      <c r="J90" s="87">
        <f>IF(TrRoad_act!J12=0,0,J26/TrRoad_act!J12*1000)</f>
        <v>0</v>
      </c>
      <c r="K90" s="87">
        <f>IF(TrRoad_act!K12=0,0,K26/TrRoad_act!K12*1000)</f>
        <v>0</v>
      </c>
      <c r="L90" s="87">
        <f>IF(TrRoad_act!L12=0,0,L26/TrRoad_act!L12*1000)</f>
        <v>0</v>
      </c>
      <c r="M90" s="87">
        <f>IF(TrRoad_act!M12=0,0,M26/TrRoad_act!M12*1000)</f>
        <v>0</v>
      </c>
      <c r="N90" s="87">
        <f>IF(TrRoad_act!N12=0,0,N26/TrRoad_act!N12*1000)</f>
        <v>0</v>
      </c>
      <c r="O90" s="87">
        <f>IF(TrRoad_act!O12=0,0,O26/TrRoad_act!O12*1000)</f>
        <v>0</v>
      </c>
      <c r="P90" s="87">
        <f>IF(TrRoad_act!P12=0,0,P26/TrRoad_act!P12*1000)</f>
        <v>0</v>
      </c>
      <c r="Q90" s="87">
        <f>IF(TrRoad_act!Q12=0,0,Q26/TrRoad_act!Q12*1000)</f>
        <v>0</v>
      </c>
      <c r="R90" s="87">
        <f>IF(TrRoad_act!R12=0,0,R26/TrRoad_act!R12*1000)</f>
        <v>0</v>
      </c>
      <c r="S90" s="87">
        <f>IF(TrRoad_act!S12=0,0,S26/TrRoad_act!S12*1000)</f>
        <v>0</v>
      </c>
      <c r="T90" s="87">
        <f>IF(TrRoad_act!T12=0,0,T26/TrRoad_act!T12*1000)</f>
        <v>0</v>
      </c>
      <c r="U90" s="87">
        <f>IF(TrRoad_act!U12=0,0,U26/TrRoad_act!U12*1000)</f>
        <v>0</v>
      </c>
      <c r="V90" s="87">
        <f>IF(TrRoad_act!V12=0,0,V26/TrRoad_act!V12*1000)</f>
        <v>0</v>
      </c>
      <c r="W90" s="87">
        <f>IF(TrRoad_act!W12=0,0,W26/TrRoad_act!W12*1000)</f>
        <v>0</v>
      </c>
      <c r="X90" s="87">
        <f>IF(TrRoad_act!X12=0,0,X26/TrRoad_act!X12*1000)</f>
        <v>0</v>
      </c>
      <c r="Y90" s="87">
        <f>IF(TrRoad_act!Y12=0,0,Y26/TrRoad_act!Y12*1000)</f>
        <v>0</v>
      </c>
      <c r="DA90" s="171" t="s">
        <v>800</v>
      </c>
    </row>
    <row r="91" spans="1:105" ht="11.45" customHeight="1" x14ac:dyDescent="0.25">
      <c r="A91" s="109" t="s">
        <v>21</v>
      </c>
      <c r="B91" s="116">
        <f>IF(TrRoad_act!B13=0,0,B27/TrRoad_act!B13*1000)</f>
        <v>84.632327435448076</v>
      </c>
      <c r="C91" s="116">
        <f>IF(TrRoad_act!C13=0,0,C27/TrRoad_act!C13*1000)</f>
        <v>89.43349660197498</v>
      </c>
      <c r="D91" s="116">
        <f>IF(TrRoad_act!D13=0,0,D27/TrRoad_act!D13*1000)</f>
        <v>100.46000447157743</v>
      </c>
      <c r="E91" s="116">
        <f>IF(TrRoad_act!E13=0,0,E27/TrRoad_act!E13*1000)</f>
        <v>92.904141777415347</v>
      </c>
      <c r="F91" s="116">
        <f>IF(TrRoad_act!F13=0,0,F27/TrRoad_act!F13*1000)</f>
        <v>88.552883059211965</v>
      </c>
      <c r="G91" s="116">
        <f>IF(TrRoad_act!G13=0,0,G27/TrRoad_act!G13*1000)</f>
        <v>93.473016909157849</v>
      </c>
      <c r="H91" s="116">
        <f>IF(TrRoad_act!H13=0,0,H27/TrRoad_act!H13*1000)</f>
        <v>96.685910253976431</v>
      </c>
      <c r="I91" s="116">
        <f>IF(TrRoad_act!I13=0,0,I27/TrRoad_act!I13*1000)</f>
        <v>94.733429525471877</v>
      </c>
      <c r="J91" s="116">
        <f>IF(TrRoad_act!J13=0,0,J27/TrRoad_act!J13*1000)</f>
        <v>97.600617795425677</v>
      </c>
      <c r="K91" s="116">
        <f>IF(TrRoad_act!K13=0,0,K27/TrRoad_act!K13*1000)</f>
        <v>102.48664661040142</v>
      </c>
      <c r="L91" s="116">
        <f>IF(TrRoad_act!L13=0,0,L27/TrRoad_act!L13*1000)</f>
        <v>102.01675015365903</v>
      </c>
      <c r="M91" s="116">
        <f>IF(TrRoad_act!M13=0,0,M27/TrRoad_act!M13*1000)</f>
        <v>105.83097861786494</v>
      </c>
      <c r="N91" s="116">
        <f>IF(TrRoad_act!N13=0,0,N27/TrRoad_act!N13*1000)</f>
        <v>85.243716754947229</v>
      </c>
      <c r="O91" s="116">
        <f>IF(TrRoad_act!O13=0,0,O27/TrRoad_act!O13*1000)</f>
        <v>79.706232417952862</v>
      </c>
      <c r="P91" s="116">
        <f>IF(TrRoad_act!P13=0,0,P27/TrRoad_act!P13*1000)</f>
        <v>104.2600424242752</v>
      </c>
      <c r="Q91" s="116">
        <f>IF(TrRoad_act!Q13=0,0,Q27/TrRoad_act!Q13*1000)</f>
        <v>108.44270818854505</v>
      </c>
      <c r="R91" s="116">
        <f>IF(TrRoad_act!R13=0,0,R27/TrRoad_act!R13*1000)</f>
        <v>120.26829079129259</v>
      </c>
      <c r="S91" s="116">
        <f>IF(TrRoad_act!S13=0,0,S27/TrRoad_act!S13*1000)</f>
        <v>106.5455599273311</v>
      </c>
      <c r="T91" s="116">
        <f>IF(TrRoad_act!T13=0,0,T27/TrRoad_act!T13*1000)</f>
        <v>103.32111540344515</v>
      </c>
      <c r="U91" s="116">
        <f>IF(TrRoad_act!U13=0,0,U27/TrRoad_act!U13*1000)</f>
        <v>96.202185337383781</v>
      </c>
      <c r="V91" s="116">
        <f>IF(TrRoad_act!V13=0,0,V27/TrRoad_act!V13*1000)</f>
        <v>127.87972569519191</v>
      </c>
      <c r="W91" s="116">
        <f>IF(TrRoad_act!W13=0,0,W27/TrRoad_act!W13*1000)</f>
        <v>106.22180546862982</v>
      </c>
      <c r="X91" s="116">
        <f>IF(TrRoad_act!X13=0,0,X27/TrRoad_act!X13*1000)</f>
        <v>86.199137850906098</v>
      </c>
      <c r="Y91" s="116">
        <f>IF(TrRoad_act!Y13=0,0,Y27/TrRoad_act!Y13*1000)</f>
        <v>86.839587819266754</v>
      </c>
      <c r="DA91" s="176" t="s">
        <v>439</v>
      </c>
    </row>
    <row r="92" spans="1:105" ht="11.45" customHeight="1" x14ac:dyDescent="0.25">
      <c r="A92" s="111" t="s">
        <v>110</v>
      </c>
      <c r="B92" s="101">
        <f>IF(TrRoad_act!B14=0,0,B28/TrRoad_act!B14*1000)</f>
        <v>0</v>
      </c>
      <c r="C92" s="101">
        <f>IF(TrRoad_act!C14=0,0,C28/TrRoad_act!C14*1000)</f>
        <v>0</v>
      </c>
      <c r="D92" s="101">
        <f>IF(TrRoad_act!D14=0,0,D28/TrRoad_act!D14*1000)</f>
        <v>0</v>
      </c>
      <c r="E92" s="101">
        <f>IF(TrRoad_act!E14=0,0,E28/TrRoad_act!E14*1000)</f>
        <v>0</v>
      </c>
      <c r="F92" s="101">
        <f>IF(TrRoad_act!F14=0,0,F28/TrRoad_act!F14*1000)</f>
        <v>0</v>
      </c>
      <c r="G92" s="101">
        <f>IF(TrRoad_act!G14=0,0,G28/TrRoad_act!G14*1000)</f>
        <v>0</v>
      </c>
      <c r="H92" s="101">
        <f>IF(TrRoad_act!H14=0,0,H28/TrRoad_act!H14*1000)</f>
        <v>0</v>
      </c>
      <c r="I92" s="101">
        <f>IF(TrRoad_act!I14=0,0,I28/TrRoad_act!I14*1000)</f>
        <v>0</v>
      </c>
      <c r="J92" s="101">
        <f>IF(TrRoad_act!J14=0,0,J28/TrRoad_act!J14*1000)</f>
        <v>0</v>
      </c>
      <c r="K92" s="101">
        <f>IF(TrRoad_act!K14=0,0,K28/TrRoad_act!K14*1000)</f>
        <v>0</v>
      </c>
      <c r="L92" s="101">
        <f>IF(TrRoad_act!L14=0,0,L28/TrRoad_act!L14*1000)</f>
        <v>59.352646597067427</v>
      </c>
      <c r="M92" s="101">
        <f>IF(TrRoad_act!M14=0,0,M28/TrRoad_act!M14*1000)</f>
        <v>59.568577886002892</v>
      </c>
      <c r="N92" s="101">
        <f>IF(TrRoad_act!N14=0,0,N28/TrRoad_act!N14*1000)</f>
        <v>56.285235648699512</v>
      </c>
      <c r="O92" s="101">
        <f>IF(TrRoad_act!O14=0,0,O28/TrRoad_act!O14*1000)</f>
        <v>51.798474062656545</v>
      </c>
      <c r="P92" s="101">
        <f>IF(TrRoad_act!P14=0,0,P28/TrRoad_act!P14*1000)</f>
        <v>58.91517944989527</v>
      </c>
      <c r="Q92" s="101">
        <f>IF(TrRoad_act!Q14=0,0,Q28/TrRoad_act!Q14*1000)</f>
        <v>57.548238743208621</v>
      </c>
      <c r="R92" s="101">
        <f>IF(TrRoad_act!R14=0,0,R28/TrRoad_act!R14*1000)</f>
        <v>57.254134104084059</v>
      </c>
      <c r="S92" s="101">
        <f>IF(TrRoad_act!S14=0,0,S28/TrRoad_act!S14*1000)</f>
        <v>57.629046886256923</v>
      </c>
      <c r="T92" s="101">
        <f>IF(TrRoad_act!T14=0,0,T28/TrRoad_act!T14*1000)</f>
        <v>57.472947720204814</v>
      </c>
      <c r="U92" s="101">
        <f>IF(TrRoad_act!U14=0,0,U28/TrRoad_act!U14*1000)</f>
        <v>56.09129695456582</v>
      </c>
      <c r="V92" s="101">
        <f>IF(TrRoad_act!V14=0,0,V28/TrRoad_act!V14*1000)</f>
        <v>57.194212567396093</v>
      </c>
      <c r="W92" s="101">
        <f>IF(TrRoad_act!W14=0,0,W28/TrRoad_act!W14*1000)</f>
        <v>55.984691436531136</v>
      </c>
      <c r="X92" s="101">
        <f>IF(TrRoad_act!X14=0,0,X28/TrRoad_act!X14*1000)</f>
        <v>52.2025082496002</v>
      </c>
      <c r="Y92" s="101">
        <f>IF(TrRoad_act!Y14=0,0,Y28/TrRoad_act!Y14*1000)</f>
        <v>54.942116053391914</v>
      </c>
      <c r="DA92" s="175" t="s">
        <v>801</v>
      </c>
    </row>
    <row r="93" spans="1:105" ht="11.45" customHeight="1" x14ac:dyDescent="0.25">
      <c r="A93" s="111" t="s">
        <v>111</v>
      </c>
      <c r="B93" s="101">
        <f>IF(TrRoad_act!B15=0,0,B29/TrRoad_act!B15*1000)</f>
        <v>84.696063845543478</v>
      </c>
      <c r="C93" s="101">
        <f>IF(TrRoad_act!C15=0,0,C29/TrRoad_act!C15*1000)</f>
        <v>89.815019212550297</v>
      </c>
      <c r="D93" s="101">
        <f>IF(TrRoad_act!D15=0,0,D29/TrRoad_act!D15*1000)</f>
        <v>101.09061691529801</v>
      </c>
      <c r="E93" s="101">
        <f>IF(TrRoad_act!E15=0,0,E29/TrRoad_act!E15*1000)</f>
        <v>93.772339053476571</v>
      </c>
      <c r="F93" s="101">
        <f>IF(TrRoad_act!F15=0,0,F29/TrRoad_act!F15*1000)</f>
        <v>89.402914295117895</v>
      </c>
      <c r="G93" s="101">
        <f>IF(TrRoad_act!G15=0,0,G29/TrRoad_act!G15*1000)</f>
        <v>95.001219901671334</v>
      </c>
      <c r="H93" s="101">
        <f>IF(TrRoad_act!H15=0,0,H29/TrRoad_act!H15*1000)</f>
        <v>98.04999669510633</v>
      </c>
      <c r="I93" s="101">
        <f>IF(TrRoad_act!I15=0,0,I29/TrRoad_act!I15*1000)</f>
        <v>96.083253362830661</v>
      </c>
      <c r="J93" s="101">
        <f>IF(TrRoad_act!J15=0,0,J29/TrRoad_act!J15*1000)</f>
        <v>99.110612257497877</v>
      </c>
      <c r="K93" s="101">
        <f>IF(TrRoad_act!K15=0,0,K29/TrRoad_act!K15*1000)</f>
        <v>104.24293789794119</v>
      </c>
      <c r="L93" s="101">
        <f>IF(TrRoad_act!L15=0,0,L29/TrRoad_act!L15*1000)</f>
        <v>103.79156555625995</v>
      </c>
      <c r="M93" s="101">
        <f>IF(TrRoad_act!M15=0,0,M29/TrRoad_act!M15*1000)</f>
        <v>107.70895129331942</v>
      </c>
      <c r="N93" s="101">
        <f>IF(TrRoad_act!N15=0,0,N29/TrRoad_act!N15*1000)</f>
        <v>87.290939026263757</v>
      </c>
      <c r="O93" s="101">
        <f>IF(TrRoad_act!O15=0,0,O29/TrRoad_act!O15*1000)</f>
        <v>81.009486312962025</v>
      </c>
      <c r="P93" s="101">
        <f>IF(TrRoad_act!P15=0,0,P29/TrRoad_act!P15*1000)</f>
        <v>105.34434870627734</v>
      </c>
      <c r="Q93" s="101">
        <f>IF(TrRoad_act!Q15=0,0,Q29/TrRoad_act!Q15*1000)</f>
        <v>108.59785272721746</v>
      </c>
      <c r="R93" s="101">
        <f>IF(TrRoad_act!R15=0,0,R29/TrRoad_act!R15*1000)</f>
        <v>120.5838208855951</v>
      </c>
      <c r="S93" s="101">
        <f>IF(TrRoad_act!S15=0,0,S29/TrRoad_act!S15*1000)</f>
        <v>106.38313641212871</v>
      </c>
      <c r="T93" s="101">
        <f>IF(TrRoad_act!T15=0,0,T29/TrRoad_act!T15*1000)</f>
        <v>105.78620253816187</v>
      </c>
      <c r="U93" s="101">
        <f>IF(TrRoad_act!U15=0,0,U29/TrRoad_act!U15*1000)</f>
        <v>94.866527244231989</v>
      </c>
      <c r="V93" s="101">
        <f>IF(TrRoad_act!V15=0,0,V29/TrRoad_act!V15*1000)</f>
        <v>124.36378761500868</v>
      </c>
      <c r="W93" s="101">
        <f>IF(TrRoad_act!W15=0,0,W29/TrRoad_act!W15*1000)</f>
        <v>105.86442357118841</v>
      </c>
      <c r="X93" s="101">
        <f>IF(TrRoad_act!X15=0,0,X29/TrRoad_act!X15*1000)</f>
        <v>84.281341593218372</v>
      </c>
      <c r="Y93" s="101">
        <f>IF(TrRoad_act!Y15=0,0,Y29/TrRoad_act!Y15*1000)</f>
        <v>88.315573408138945</v>
      </c>
      <c r="DA93" s="175" t="s">
        <v>802</v>
      </c>
    </row>
    <row r="94" spans="1:105" ht="11.45" customHeight="1" x14ac:dyDescent="0.25">
      <c r="A94" s="111" t="s">
        <v>112</v>
      </c>
      <c r="B94" s="101">
        <f>IF(TrRoad_act!B16=0,0,B30/TrRoad_act!B16*1000)</f>
        <v>0</v>
      </c>
      <c r="C94" s="101">
        <f>IF(TrRoad_act!C16=0,0,C30/TrRoad_act!C16*1000)</f>
        <v>0</v>
      </c>
      <c r="D94" s="101">
        <f>IF(TrRoad_act!D16=0,0,D30/TrRoad_act!D16*1000)</f>
        <v>0</v>
      </c>
      <c r="E94" s="101">
        <f>IF(TrRoad_act!E16=0,0,E30/TrRoad_act!E16*1000)</f>
        <v>0</v>
      </c>
      <c r="F94" s="101">
        <f>IF(TrRoad_act!F16=0,0,F30/TrRoad_act!F16*1000)</f>
        <v>0</v>
      </c>
      <c r="G94" s="101">
        <f>IF(TrRoad_act!G16=0,0,G30/TrRoad_act!G16*1000)</f>
        <v>0</v>
      </c>
      <c r="H94" s="101">
        <f>IF(TrRoad_act!H16=0,0,H30/TrRoad_act!H16*1000)</f>
        <v>0</v>
      </c>
      <c r="I94" s="101">
        <f>IF(TrRoad_act!I16=0,0,I30/TrRoad_act!I16*1000)</f>
        <v>0</v>
      </c>
      <c r="J94" s="101">
        <f>IF(TrRoad_act!J16=0,0,J30/TrRoad_act!J16*1000)</f>
        <v>0</v>
      </c>
      <c r="K94" s="101">
        <f>IF(TrRoad_act!K16=0,0,K30/TrRoad_act!K16*1000)</f>
        <v>0</v>
      </c>
      <c r="L94" s="101">
        <f>IF(TrRoad_act!L16=0,0,L30/TrRoad_act!L16*1000)</f>
        <v>76.703845059041839</v>
      </c>
      <c r="M94" s="101">
        <f>IF(TrRoad_act!M16=0,0,M30/TrRoad_act!M16*1000)</f>
        <v>79.894540486935185</v>
      </c>
      <c r="N94" s="101">
        <f>IF(TrRoad_act!N16=0,0,N30/TrRoad_act!N16*1000)</f>
        <v>66.093616126304681</v>
      </c>
      <c r="O94" s="101">
        <f>IF(TrRoad_act!O16=0,0,O30/TrRoad_act!O16*1000)</f>
        <v>61.388598295345616</v>
      </c>
      <c r="P94" s="101">
        <f>IF(TrRoad_act!P16=0,0,P30/TrRoad_act!P16*1000)</f>
        <v>80.312478309306144</v>
      </c>
      <c r="Q94" s="101">
        <f>IF(TrRoad_act!Q16=0,0,Q30/TrRoad_act!Q16*1000)</f>
        <v>83.369288129708522</v>
      </c>
      <c r="R94" s="101">
        <f>IF(TrRoad_act!R16=0,0,R30/TrRoad_act!R16*1000)</f>
        <v>91.471434919868273</v>
      </c>
      <c r="S94" s="101">
        <f>IF(TrRoad_act!S16=0,0,S30/TrRoad_act!S16*1000)</f>
        <v>80.552667849221422</v>
      </c>
      <c r="T94" s="101">
        <f>IF(TrRoad_act!T16=0,0,T30/TrRoad_act!T16*1000)</f>
        <v>80.363631826326483</v>
      </c>
      <c r="U94" s="101">
        <f>IF(TrRoad_act!U16=0,0,U30/TrRoad_act!U16*1000)</f>
        <v>72.529157511152661</v>
      </c>
      <c r="V94" s="101">
        <f>IF(TrRoad_act!V16=0,0,V30/TrRoad_act!V16*1000)</f>
        <v>96.220888563743841</v>
      </c>
      <c r="W94" s="101">
        <f>IF(TrRoad_act!W16=0,0,W30/TrRoad_act!W16*1000)</f>
        <v>83.588167084127477</v>
      </c>
      <c r="X94" s="101">
        <f>IF(TrRoad_act!X16=0,0,X30/TrRoad_act!X16*1000)</f>
        <v>67.663301165016364</v>
      </c>
      <c r="Y94" s="101">
        <f>IF(TrRoad_act!Y16=0,0,Y30/TrRoad_act!Y16*1000)</f>
        <v>71.457029185441513</v>
      </c>
      <c r="DA94" s="175" t="s">
        <v>803</v>
      </c>
    </row>
    <row r="95" spans="1:105" ht="11.45" customHeight="1" x14ac:dyDescent="0.25">
      <c r="A95" s="111" t="s">
        <v>113</v>
      </c>
      <c r="B95" s="101">
        <f>IF(TrRoad_act!B17=0,0,B31/TrRoad_act!B17*1000)</f>
        <v>65.81055621465687</v>
      </c>
      <c r="C95" s="101">
        <f>IF(TrRoad_act!C17=0,0,C31/TrRoad_act!C17*1000)</f>
        <v>64.083428623685094</v>
      </c>
      <c r="D95" s="101">
        <f>IF(TrRoad_act!D17=0,0,D31/TrRoad_act!D17*1000)</f>
        <v>72.968486634844112</v>
      </c>
      <c r="E95" s="101">
        <f>IF(TrRoad_act!E17=0,0,E31/TrRoad_act!E17*1000)</f>
        <v>65.463810931469283</v>
      </c>
      <c r="F95" s="101">
        <f>IF(TrRoad_act!F17=0,0,F31/TrRoad_act!F17*1000)</f>
        <v>63.118843555156566</v>
      </c>
      <c r="G95" s="101">
        <f>IF(TrRoad_act!G17=0,0,G31/TrRoad_act!G17*1000)</f>
        <v>69.177611454476278</v>
      </c>
      <c r="H95" s="101">
        <f>IF(TrRoad_act!H17=0,0,H31/TrRoad_act!H17*1000)</f>
        <v>73.252945945020571</v>
      </c>
      <c r="I95" s="101">
        <f>IF(TrRoad_act!I17=0,0,I31/TrRoad_act!I17*1000)</f>
        <v>73.252441860649355</v>
      </c>
      <c r="J95" s="101">
        <f>IF(TrRoad_act!J17=0,0,J31/TrRoad_act!J17*1000)</f>
        <v>74.177700124449984</v>
      </c>
      <c r="K95" s="101">
        <f>IF(TrRoad_act!K17=0,0,K31/TrRoad_act!K17*1000)</f>
        <v>75.791024961802151</v>
      </c>
      <c r="L95" s="101">
        <f>IF(TrRoad_act!L17=0,0,L31/TrRoad_act!L17*1000)</f>
        <v>77.70544393698701</v>
      </c>
      <c r="M95" s="101">
        <f>IF(TrRoad_act!M17=0,0,M31/TrRoad_act!M17*1000)</f>
        <v>80.132610151527288</v>
      </c>
      <c r="N95" s="101">
        <f>IF(TrRoad_act!N17=0,0,N31/TrRoad_act!N17*1000)</f>
        <v>63.630821773667705</v>
      </c>
      <c r="O95" s="101">
        <f>IF(TrRoad_act!O17=0,0,O31/TrRoad_act!O17*1000)</f>
        <v>66.523240533443072</v>
      </c>
      <c r="P95" s="101">
        <f>IF(TrRoad_act!P17=0,0,P31/TrRoad_act!P17*1000)</f>
        <v>90.71087048110401</v>
      </c>
      <c r="Q95" s="101">
        <f>IF(TrRoad_act!Q17=0,0,Q31/TrRoad_act!Q17*1000)</f>
        <v>110.98605210341601</v>
      </c>
      <c r="R95" s="101">
        <f>IF(TrRoad_act!R17=0,0,R31/TrRoad_act!R17*1000)</f>
        <v>120.33422288523904</v>
      </c>
      <c r="S95" s="101">
        <f>IF(TrRoad_act!S17=0,0,S31/TrRoad_act!S17*1000)</f>
        <v>118.56972507273949</v>
      </c>
      <c r="T95" s="101">
        <f>IF(TrRoad_act!T17=0,0,T31/TrRoad_act!T17*1000)</f>
        <v>83.415211311059167</v>
      </c>
      <c r="U95" s="101">
        <f>IF(TrRoad_act!U17=0,0,U31/TrRoad_act!U17*1000)</f>
        <v>156.71763349692003</v>
      </c>
      <c r="V95" s="101">
        <f>IF(TrRoad_act!V17=0,0,V31/TrRoad_act!V17*1000)</f>
        <v>220.85803325274912</v>
      </c>
      <c r="W95" s="101">
        <f>IF(TrRoad_act!W17=0,0,W31/TrRoad_act!W17*1000)</f>
        <v>129.17587743736487</v>
      </c>
      <c r="X95" s="101">
        <f>IF(TrRoad_act!X17=0,0,X31/TrRoad_act!X17*1000)</f>
        <v>130.92093462223764</v>
      </c>
      <c r="Y95" s="101">
        <f>IF(TrRoad_act!Y17=0,0,Y31/TrRoad_act!Y17*1000)</f>
        <v>121.25870639413365</v>
      </c>
      <c r="DA95" s="175" t="s">
        <v>804</v>
      </c>
    </row>
    <row r="96" spans="1:105" ht="11.45" customHeight="1" x14ac:dyDescent="0.25">
      <c r="A96" s="111" t="s">
        <v>115</v>
      </c>
      <c r="B96" s="101">
        <f>IF(TrRoad_act!B18=0,0,B32/TrRoad_act!B18*1000)</f>
        <v>0</v>
      </c>
      <c r="C96" s="101">
        <f>IF(TrRoad_act!C18=0,0,C32/TrRoad_act!C18*1000)</f>
        <v>0</v>
      </c>
      <c r="D96" s="101">
        <f>IF(TrRoad_act!D18=0,0,D32/TrRoad_act!D18*1000)</f>
        <v>0</v>
      </c>
      <c r="E96" s="101">
        <f>IF(TrRoad_act!E18=0,0,E32/TrRoad_act!E18*1000)</f>
        <v>0</v>
      </c>
      <c r="F96" s="101">
        <f>IF(TrRoad_act!F18=0,0,F32/TrRoad_act!F18*1000)</f>
        <v>0</v>
      </c>
      <c r="G96" s="101">
        <f>IF(TrRoad_act!G18=0,0,G32/TrRoad_act!G18*1000)</f>
        <v>0</v>
      </c>
      <c r="H96" s="101">
        <f>IF(TrRoad_act!H18=0,0,H32/TrRoad_act!H18*1000)</f>
        <v>0</v>
      </c>
      <c r="I96" s="101">
        <f>IF(TrRoad_act!I18=0,0,I32/TrRoad_act!I18*1000)</f>
        <v>0</v>
      </c>
      <c r="J96" s="101">
        <f>IF(TrRoad_act!J18=0,0,J32/TrRoad_act!J18*1000)</f>
        <v>0</v>
      </c>
      <c r="K96" s="101">
        <f>IF(TrRoad_act!K18=0,0,K32/TrRoad_act!K18*1000)</f>
        <v>0</v>
      </c>
      <c r="L96" s="101">
        <f>IF(TrRoad_act!L18=0,0,L32/TrRoad_act!L18*1000)</f>
        <v>0</v>
      </c>
      <c r="M96" s="101">
        <f>IF(TrRoad_act!M18=0,0,M32/TrRoad_act!M18*1000)</f>
        <v>0</v>
      </c>
      <c r="N96" s="101">
        <f>IF(TrRoad_act!N18=0,0,N32/TrRoad_act!N18*1000)</f>
        <v>0</v>
      </c>
      <c r="O96" s="101">
        <f>IF(TrRoad_act!O18=0,0,O32/TrRoad_act!O18*1000)</f>
        <v>0</v>
      </c>
      <c r="P96" s="101">
        <f>IF(TrRoad_act!P18=0,0,P32/TrRoad_act!P18*1000)</f>
        <v>0</v>
      </c>
      <c r="Q96" s="101">
        <f>IF(TrRoad_act!Q18=0,0,Q32/TrRoad_act!Q18*1000)</f>
        <v>0</v>
      </c>
      <c r="R96" s="101">
        <f>IF(TrRoad_act!R18=0,0,R32/TrRoad_act!R18*1000)</f>
        <v>0</v>
      </c>
      <c r="S96" s="101">
        <f>IF(TrRoad_act!S18=0,0,S32/TrRoad_act!S18*1000)</f>
        <v>0</v>
      </c>
      <c r="T96" s="101">
        <f>IF(TrRoad_act!T18=0,0,T32/TrRoad_act!T18*1000)</f>
        <v>0</v>
      </c>
      <c r="U96" s="101">
        <f>IF(TrRoad_act!U18=0,0,U32/TrRoad_act!U18*1000)</f>
        <v>0</v>
      </c>
      <c r="V96" s="101">
        <f>IF(TrRoad_act!V18=0,0,V32/TrRoad_act!V18*1000)</f>
        <v>0</v>
      </c>
      <c r="W96" s="101">
        <f>IF(TrRoad_act!W18=0,0,W32/TrRoad_act!W18*1000)</f>
        <v>0</v>
      </c>
      <c r="X96" s="101">
        <f>IF(TrRoad_act!X18=0,0,X32/TrRoad_act!X18*1000)</f>
        <v>0</v>
      </c>
      <c r="Y96" s="101">
        <f>IF(TrRoad_act!Y18=0,0,Y32/TrRoad_act!Y18*1000)</f>
        <v>0</v>
      </c>
      <c r="DA96" s="175" t="s">
        <v>805</v>
      </c>
    </row>
    <row r="97" spans="1:105" ht="11.45" customHeight="1" x14ac:dyDescent="0.25">
      <c r="A97" s="27" t="s">
        <v>158</v>
      </c>
      <c r="B97" s="29">
        <f>IF(TrRoad_act!B19=0,0,B33/TrRoad_act!B19*1000)</f>
        <v>346.95599164451886</v>
      </c>
      <c r="C97" s="29">
        <f>IF(TrRoad_act!C19=0,0,C33/TrRoad_act!C19*1000)</f>
        <v>317.66858933243628</v>
      </c>
      <c r="D97" s="29">
        <f>IF(TrRoad_act!D19=0,0,D33/TrRoad_act!D19*1000)</f>
        <v>329.57044507251572</v>
      </c>
      <c r="E97" s="29">
        <f>IF(TrRoad_act!E19=0,0,E33/TrRoad_act!E19*1000)</f>
        <v>352.14558336474289</v>
      </c>
      <c r="F97" s="29">
        <f>IF(TrRoad_act!F19=0,0,F33/TrRoad_act!F19*1000)</f>
        <v>305.19090505522553</v>
      </c>
      <c r="G97" s="29">
        <f>IF(TrRoad_act!G19=0,0,G33/TrRoad_act!G19*1000)</f>
        <v>294.19657537465986</v>
      </c>
      <c r="H97" s="29">
        <f>IF(TrRoad_act!H19=0,0,H33/TrRoad_act!H19*1000)</f>
        <v>282.15708470577795</v>
      </c>
      <c r="I97" s="29">
        <f>IF(TrRoad_act!I19=0,0,I33/TrRoad_act!I19*1000)</f>
        <v>259.8204407230499</v>
      </c>
      <c r="J97" s="29">
        <f>IF(TrRoad_act!J19=0,0,J33/TrRoad_act!J19*1000)</f>
        <v>276.63348226455759</v>
      </c>
      <c r="K97" s="29">
        <f>IF(TrRoad_act!K19=0,0,K33/TrRoad_act!K19*1000)</f>
        <v>290.20427012470333</v>
      </c>
      <c r="L97" s="29">
        <f>IF(TrRoad_act!L19=0,0,L33/TrRoad_act!L19*1000)</f>
        <v>307.38703420164643</v>
      </c>
      <c r="M97" s="29">
        <f>IF(TrRoad_act!M19=0,0,M33/TrRoad_act!M19*1000)</f>
        <v>280.21042149615607</v>
      </c>
      <c r="N97" s="29">
        <f>IF(TrRoad_act!N19=0,0,N33/TrRoad_act!N19*1000)</f>
        <v>280.06608363800518</v>
      </c>
      <c r="O97" s="29">
        <f>IF(TrRoad_act!O19=0,0,O33/TrRoad_act!O19*1000)</f>
        <v>278.44010229839296</v>
      </c>
      <c r="P97" s="29">
        <f>IF(TrRoad_act!P19=0,0,P33/TrRoad_act!P19*1000)</f>
        <v>261.72416014998242</v>
      </c>
      <c r="Q97" s="29">
        <f>IF(TrRoad_act!Q19=0,0,Q33/TrRoad_act!Q19*1000)</f>
        <v>267.56399104837215</v>
      </c>
      <c r="R97" s="29">
        <f>IF(TrRoad_act!R19=0,0,R33/TrRoad_act!R19*1000)</f>
        <v>273.02926304275115</v>
      </c>
      <c r="S97" s="29">
        <f>IF(TrRoad_act!S19=0,0,S33/TrRoad_act!S19*1000)</f>
        <v>268.20340753375473</v>
      </c>
      <c r="T97" s="29">
        <f>IF(TrRoad_act!T19=0,0,T33/TrRoad_act!T19*1000)</f>
        <v>267.89064049873019</v>
      </c>
      <c r="U97" s="29">
        <f>IF(TrRoad_act!U19=0,0,U33/TrRoad_act!U19*1000)</f>
        <v>272.03660863362074</v>
      </c>
      <c r="V97" s="29">
        <f>IF(TrRoad_act!V19=0,0,V33/TrRoad_act!V19*1000)</f>
        <v>274.01080796425578</v>
      </c>
      <c r="W97" s="29">
        <f>IF(TrRoad_act!W19=0,0,W33/TrRoad_act!W19*1000)</f>
        <v>263.77532547486607</v>
      </c>
      <c r="X97" s="29">
        <f>IF(TrRoad_act!X19=0,0,X33/TrRoad_act!X19*1000)</f>
        <v>281.51906566924436</v>
      </c>
      <c r="Y97" s="29">
        <f>IF(TrRoad_act!Y19=0,0,Y33/TrRoad_act!Y19*1000)</f>
        <v>328.69111207110114</v>
      </c>
      <c r="DA97" s="173" t="s">
        <v>445</v>
      </c>
    </row>
    <row r="98" spans="1:105" ht="11.45" customHeight="1" x14ac:dyDescent="0.25">
      <c r="A98" s="136" t="s">
        <v>153</v>
      </c>
      <c r="B98" s="152">
        <f>IF(TrRoad_act!B20=0,0,B34/TrRoad_act!B20*1000)</f>
        <v>2287.0759155469732</v>
      </c>
      <c r="C98" s="152">
        <f>IF(TrRoad_act!C20=0,0,C34/TrRoad_act!C20*1000)</f>
        <v>2132.8828164059023</v>
      </c>
      <c r="D98" s="152">
        <f>IF(TrRoad_act!D20=0,0,D34/TrRoad_act!D20*1000)</f>
        <v>2124.1306553037421</v>
      </c>
      <c r="E98" s="152">
        <f>IF(TrRoad_act!E20=0,0,E34/TrRoad_act!E20*1000)</f>
        <v>2142.49868480946</v>
      </c>
      <c r="F98" s="152">
        <f>IF(TrRoad_act!F20=0,0,F34/TrRoad_act!F20*1000)</f>
        <v>2087.2520224321106</v>
      </c>
      <c r="G98" s="152">
        <f>IF(TrRoad_act!G20=0,0,G34/TrRoad_act!G20*1000)</f>
        <v>2004.487478623309</v>
      </c>
      <c r="H98" s="152">
        <f>IF(TrRoad_act!H20=0,0,H34/TrRoad_act!H20*1000)</f>
        <v>1913.5555517808843</v>
      </c>
      <c r="I98" s="152">
        <f>IF(TrRoad_act!I20=0,0,I34/TrRoad_act!I20*1000)</f>
        <v>1818.0610513791723</v>
      </c>
      <c r="J98" s="152">
        <f>IF(TrRoad_act!J20=0,0,J34/TrRoad_act!J20*1000)</f>
        <v>1770.6472842188127</v>
      </c>
      <c r="K98" s="152">
        <f>IF(TrRoad_act!K20=0,0,K34/TrRoad_act!K20*1000)</f>
        <v>1696.7424957982462</v>
      </c>
      <c r="L98" s="152">
        <f>IF(TrRoad_act!L20=0,0,L34/TrRoad_act!L20*1000)</f>
        <v>1616.8774290031308</v>
      </c>
      <c r="M98" s="152">
        <f>IF(TrRoad_act!M20=0,0,M34/TrRoad_act!M20*1000)</f>
        <v>1553.217186855059</v>
      </c>
      <c r="N98" s="152">
        <f>IF(TrRoad_act!N20=0,0,N34/TrRoad_act!N20*1000)</f>
        <v>1504.0272710139175</v>
      </c>
      <c r="O98" s="152">
        <f>IF(TrRoad_act!O20=0,0,O34/TrRoad_act!O20*1000)</f>
        <v>1488.6307425014802</v>
      </c>
      <c r="P98" s="152">
        <f>IF(TrRoad_act!P20=0,0,P34/TrRoad_act!P20*1000)</f>
        <v>1442.4266609330748</v>
      </c>
      <c r="Q98" s="152">
        <f>IF(TrRoad_act!Q20=0,0,Q34/TrRoad_act!Q20*1000)</f>
        <v>1408.8219298299716</v>
      </c>
      <c r="R98" s="152">
        <f>IF(TrRoad_act!R20=0,0,R34/TrRoad_act!R20*1000)</f>
        <v>1432.4423747478952</v>
      </c>
      <c r="S98" s="152">
        <f>IF(TrRoad_act!S20=0,0,S34/TrRoad_act!S20*1000)</f>
        <v>1412.4332793703804</v>
      </c>
      <c r="T98" s="152">
        <f>IF(TrRoad_act!T20=0,0,T34/TrRoad_act!T20*1000)</f>
        <v>1384.7535154778473</v>
      </c>
      <c r="U98" s="152">
        <f>IF(TrRoad_act!U20=0,0,U34/TrRoad_act!U20*1000)</f>
        <v>1343.4948025273711</v>
      </c>
      <c r="V98" s="152">
        <f>IF(TrRoad_act!V20=0,0,V34/TrRoad_act!V20*1000)</f>
        <v>1308.8409294594981</v>
      </c>
      <c r="W98" s="152">
        <f>IF(TrRoad_act!W20=0,0,W34/TrRoad_act!W20*1000)</f>
        <v>1314.0131380983939</v>
      </c>
      <c r="X98" s="152">
        <f>IF(TrRoad_act!X20=0,0,X34/TrRoad_act!X20*1000)</f>
        <v>1341.5517850830433</v>
      </c>
      <c r="Y98" s="152">
        <f>IF(TrRoad_act!Y20=0,0,Y34/TrRoad_act!Y20*1000)</f>
        <v>1366.9072537162276</v>
      </c>
      <c r="DA98" s="174" t="s">
        <v>446</v>
      </c>
    </row>
    <row r="99" spans="1:105" ht="11.45" customHeight="1" x14ac:dyDescent="0.25">
      <c r="A99" s="111" t="s">
        <v>110</v>
      </c>
      <c r="B99" s="87">
        <f>IF(TrRoad_act!B21=0,0,B35/TrRoad_act!B21*1000)</f>
        <v>2780.2020625927616</v>
      </c>
      <c r="C99" s="87">
        <f>IF(TrRoad_act!C21=0,0,C35/TrRoad_act!C21*1000)</f>
        <v>2687.5704271749764</v>
      </c>
      <c r="D99" s="87">
        <f>IF(TrRoad_act!D21=0,0,D35/TrRoad_act!D21*1000)</f>
        <v>2707.8610612137218</v>
      </c>
      <c r="E99" s="87">
        <f>IF(TrRoad_act!E21=0,0,E35/TrRoad_act!E21*1000)</f>
        <v>2648.0481757344501</v>
      </c>
      <c r="F99" s="87">
        <f>IF(TrRoad_act!F21=0,0,F35/TrRoad_act!F21*1000)</f>
        <v>2608.2547163621407</v>
      </c>
      <c r="G99" s="87">
        <f>IF(TrRoad_act!G21=0,0,G35/TrRoad_act!G21*1000)</f>
        <v>2519.8549220868745</v>
      </c>
      <c r="H99" s="87">
        <f>IF(TrRoad_act!H21=0,0,H35/TrRoad_act!H21*1000)</f>
        <v>2455.4119671196095</v>
      </c>
      <c r="I99" s="87">
        <f>IF(TrRoad_act!I21=0,0,I35/TrRoad_act!I21*1000)</f>
        <v>2360.2461382839278</v>
      </c>
      <c r="J99" s="87">
        <f>IF(TrRoad_act!J21=0,0,J35/TrRoad_act!J21*1000)</f>
        <v>2311.5592081477098</v>
      </c>
      <c r="K99" s="87">
        <f>IF(TrRoad_act!K21=0,0,K35/TrRoad_act!K21*1000)</f>
        <v>2271.6345836815003</v>
      </c>
      <c r="L99" s="87">
        <f>IF(TrRoad_act!L21=0,0,L35/TrRoad_act!L21*1000)</f>
        <v>2216.9006093744365</v>
      </c>
      <c r="M99" s="87">
        <f>IF(TrRoad_act!M21=0,0,M35/TrRoad_act!M21*1000)</f>
        <v>2131.6132327898649</v>
      </c>
      <c r="N99" s="87">
        <f>IF(TrRoad_act!N21=0,0,N35/TrRoad_act!N21*1000)</f>
        <v>2079.9725256316669</v>
      </c>
      <c r="O99" s="87">
        <f>IF(TrRoad_act!O21=0,0,O35/TrRoad_act!O21*1000)</f>
        <v>2036.4400253688525</v>
      </c>
      <c r="P99" s="87">
        <f>IF(TrRoad_act!P21=0,0,P35/TrRoad_act!P21*1000)</f>
        <v>2042.8353227080981</v>
      </c>
      <c r="Q99" s="87">
        <f>IF(TrRoad_act!Q21=0,0,Q35/TrRoad_act!Q21*1000)</f>
        <v>1945.4542421787983</v>
      </c>
      <c r="R99" s="87">
        <f>IF(TrRoad_act!R21=0,0,R35/TrRoad_act!R21*1000)</f>
        <v>1894.9072186006874</v>
      </c>
      <c r="S99" s="87">
        <f>IF(TrRoad_act!S21=0,0,S35/TrRoad_act!S21*1000)</f>
        <v>1889.328558541727</v>
      </c>
      <c r="T99" s="87">
        <f>IF(TrRoad_act!T21=0,0,T35/TrRoad_act!T21*1000)</f>
        <v>1847.7299736070777</v>
      </c>
      <c r="U99" s="87">
        <f>IF(TrRoad_act!U21=0,0,U35/TrRoad_act!U21*1000)</f>
        <v>1770.6966910886356</v>
      </c>
      <c r="V99" s="87">
        <f>IF(TrRoad_act!V21=0,0,V35/TrRoad_act!V21*1000)</f>
        <v>1692.0353941758619</v>
      </c>
      <c r="W99" s="87">
        <f>IF(TrRoad_act!W21=0,0,W35/TrRoad_act!W21*1000)</f>
        <v>1702.5872263180979</v>
      </c>
      <c r="X99" s="87">
        <f>IF(TrRoad_act!X21=0,0,X35/TrRoad_act!X21*1000)</f>
        <v>1738.8419730723194</v>
      </c>
      <c r="Y99" s="87">
        <f>IF(TrRoad_act!Y21=0,0,Y35/TrRoad_act!Y21*1000)</f>
        <v>1789.329313586964</v>
      </c>
      <c r="DA99" s="171" t="s">
        <v>806</v>
      </c>
    </row>
    <row r="100" spans="1:105" ht="11.45" customHeight="1" x14ac:dyDescent="0.25">
      <c r="A100" s="111" t="s">
        <v>111</v>
      </c>
      <c r="B100" s="87">
        <f>IF(TrRoad_act!B22=0,0,B36/TrRoad_act!B22*1000)</f>
        <v>2281.264630010266</v>
      </c>
      <c r="C100" s="87">
        <f>IF(TrRoad_act!C22=0,0,C36/TrRoad_act!C22*1000)</f>
        <v>2127.1701230876097</v>
      </c>
      <c r="D100" s="87">
        <f>IF(TrRoad_act!D22=0,0,D36/TrRoad_act!D22*1000)</f>
        <v>2118.2971292930083</v>
      </c>
      <c r="E100" s="87">
        <f>IF(TrRoad_act!E22=0,0,E36/TrRoad_act!E22*1000)</f>
        <v>2136.7471402317633</v>
      </c>
      <c r="F100" s="87">
        <f>IF(TrRoad_act!F22=0,0,F36/TrRoad_act!F22*1000)</f>
        <v>2081.7974593164795</v>
      </c>
      <c r="G100" s="87">
        <f>IF(TrRoad_act!G22=0,0,G36/TrRoad_act!G22*1000)</f>
        <v>1999.2814174384093</v>
      </c>
      <c r="H100" s="87">
        <f>IF(TrRoad_act!H22=0,0,H36/TrRoad_act!H22*1000)</f>
        <v>1908.2590337252561</v>
      </c>
      <c r="I100" s="87">
        <f>IF(TrRoad_act!I22=0,0,I36/TrRoad_act!I22*1000)</f>
        <v>1812.9532413099923</v>
      </c>
      <c r="J100" s="87">
        <f>IF(TrRoad_act!J22=0,0,J36/TrRoad_act!J22*1000)</f>
        <v>1765.6872578383511</v>
      </c>
      <c r="K100" s="87">
        <f>IF(TrRoad_act!K22=0,0,K36/TrRoad_act!K22*1000)</f>
        <v>1691.6251637864898</v>
      </c>
      <c r="L100" s="87">
        <f>IF(TrRoad_act!L22=0,0,L36/TrRoad_act!L22*1000)</f>
        <v>1611.6999231848849</v>
      </c>
      <c r="M100" s="87">
        <f>IF(TrRoad_act!M22=0,0,M36/TrRoad_act!M22*1000)</f>
        <v>1548.6917062467023</v>
      </c>
      <c r="N100" s="87">
        <f>IF(TrRoad_act!N22=0,0,N36/TrRoad_act!N22*1000)</f>
        <v>1499.5933002899033</v>
      </c>
      <c r="O100" s="87">
        <f>IF(TrRoad_act!O22=0,0,O36/TrRoad_act!O22*1000)</f>
        <v>1484.6955930467848</v>
      </c>
      <c r="P100" s="87">
        <f>IF(TrRoad_act!P22=0,0,P36/TrRoad_act!P22*1000)</f>
        <v>1438.6819661423431</v>
      </c>
      <c r="Q100" s="87">
        <f>IF(TrRoad_act!Q22=0,0,Q36/TrRoad_act!Q22*1000)</f>
        <v>1405.144617512253</v>
      </c>
      <c r="R100" s="87">
        <f>IF(TrRoad_act!R22=0,0,R36/TrRoad_act!R22*1000)</f>
        <v>1429.5892619784238</v>
      </c>
      <c r="S100" s="87">
        <f>IF(TrRoad_act!S22=0,0,S36/TrRoad_act!S22*1000)</f>
        <v>1409.8527327904474</v>
      </c>
      <c r="T100" s="87">
        <f>IF(TrRoad_act!T22=0,0,T36/TrRoad_act!T22*1000)</f>
        <v>1382.9180458886678</v>
      </c>
      <c r="U100" s="87">
        <f>IF(TrRoad_act!U22=0,0,U36/TrRoad_act!U22*1000)</f>
        <v>1341.6055125106941</v>
      </c>
      <c r="V100" s="87">
        <f>IF(TrRoad_act!V22=0,0,V36/TrRoad_act!V22*1000)</f>
        <v>1308.2044496613819</v>
      </c>
      <c r="W100" s="87">
        <f>IF(TrRoad_act!W22=0,0,W36/TrRoad_act!W22*1000)</f>
        <v>1313.6275464604128</v>
      </c>
      <c r="X100" s="87">
        <f>IF(TrRoad_act!X22=0,0,X36/TrRoad_act!X22*1000)</f>
        <v>1341.6585857317409</v>
      </c>
      <c r="Y100" s="87">
        <f>IF(TrRoad_act!Y22=0,0,Y36/TrRoad_act!Y22*1000)</f>
        <v>1368.4571147749966</v>
      </c>
      <c r="DA100" s="171" t="s">
        <v>807</v>
      </c>
    </row>
    <row r="101" spans="1:105" ht="11.45" customHeight="1" x14ac:dyDescent="0.25">
      <c r="A101" s="111" t="s">
        <v>112</v>
      </c>
      <c r="B101" s="87">
        <f>IF(TrRoad_act!B23=0,0,B37/TrRoad_act!B23*1000)</f>
        <v>3979.3323222915592</v>
      </c>
      <c r="C101" s="87">
        <f>IF(TrRoad_act!C23=0,0,C37/TrRoad_act!C23*1000)</f>
        <v>3855.3604681984079</v>
      </c>
      <c r="D101" s="87">
        <f>IF(TrRoad_act!D23=0,0,D37/TrRoad_act!D23*1000)</f>
        <v>3835.9327651553749</v>
      </c>
      <c r="E101" s="87">
        <f>IF(TrRoad_act!E23=0,0,E37/TrRoad_act!E23*1000)</f>
        <v>3739.3342546293584</v>
      </c>
      <c r="F101" s="87">
        <f>IF(TrRoad_act!F23=0,0,F37/TrRoad_act!F23*1000)</f>
        <v>3681.3272162784715</v>
      </c>
      <c r="G101" s="87">
        <f>IF(TrRoad_act!G23=0,0,G37/TrRoad_act!G23*1000)</f>
        <v>3527.344336691267</v>
      </c>
      <c r="H101" s="87">
        <f>IF(TrRoad_act!H23=0,0,H37/TrRoad_act!H23*1000)</f>
        <v>3401.3993297185548</v>
      </c>
      <c r="I101" s="87">
        <f>IF(TrRoad_act!I23=0,0,I37/TrRoad_act!I23*1000)</f>
        <v>3240.2943310436581</v>
      </c>
      <c r="J101" s="87">
        <f>IF(TrRoad_act!J23=0,0,J37/TrRoad_act!J23*1000)</f>
        <v>3135.9111725819284</v>
      </c>
      <c r="K101" s="87">
        <f>IF(TrRoad_act!K23=0,0,K37/TrRoad_act!K23*1000)</f>
        <v>3040.4347163421498</v>
      </c>
      <c r="L101" s="87">
        <f>IF(TrRoad_act!L23=0,0,L37/TrRoad_act!L23*1000)</f>
        <v>2963.7421940529689</v>
      </c>
      <c r="M101" s="87">
        <f>IF(TrRoad_act!M23=0,0,M37/TrRoad_act!M23*1000)</f>
        <v>2838.2668706068725</v>
      </c>
      <c r="N101" s="87">
        <f>IF(TrRoad_act!N23=0,0,N37/TrRoad_act!N23*1000)</f>
        <v>2702.3910690048829</v>
      </c>
      <c r="O101" s="87">
        <f>IF(TrRoad_act!O23=0,0,O37/TrRoad_act!O23*1000)</f>
        <v>2676.363736036486</v>
      </c>
      <c r="P101" s="87">
        <f>IF(TrRoad_act!P23=0,0,P37/TrRoad_act!P23*1000)</f>
        <v>2566.3393601739722</v>
      </c>
      <c r="Q101" s="87">
        <f>IF(TrRoad_act!Q23=0,0,Q37/TrRoad_act!Q23*1000)</f>
        <v>2538.5916522065763</v>
      </c>
      <c r="R101" s="87">
        <f>IF(TrRoad_act!R23=0,0,R37/TrRoad_act!R23*1000)</f>
        <v>2478.5008246334555</v>
      </c>
      <c r="S101" s="87">
        <f>IF(TrRoad_act!S23=0,0,S37/TrRoad_act!S23*1000)</f>
        <v>2411.5313576827461</v>
      </c>
      <c r="T101" s="87">
        <f>IF(TrRoad_act!T23=0,0,T37/TrRoad_act!T23*1000)</f>
        <v>2304.0002769219336</v>
      </c>
      <c r="U101" s="87">
        <f>IF(TrRoad_act!U23=0,0,U37/TrRoad_act!U23*1000)</f>
        <v>2106.1518432227836</v>
      </c>
      <c r="V101" s="87">
        <f>IF(TrRoad_act!V23=0,0,V37/TrRoad_act!V23*1000)</f>
        <v>2034.5454665414006</v>
      </c>
      <c r="W101" s="87">
        <f>IF(TrRoad_act!W23=0,0,W37/TrRoad_act!W23*1000)</f>
        <v>2048.270075560893</v>
      </c>
      <c r="X101" s="87">
        <f>IF(TrRoad_act!X23=0,0,X37/TrRoad_act!X23*1000)</f>
        <v>2083.1418234386565</v>
      </c>
      <c r="Y101" s="87">
        <f>IF(TrRoad_act!Y23=0,0,Y37/TrRoad_act!Y23*1000)</f>
        <v>2088.5611999941152</v>
      </c>
      <c r="DA101" s="171" t="s">
        <v>808</v>
      </c>
    </row>
    <row r="102" spans="1:105" ht="11.45" customHeight="1" x14ac:dyDescent="0.25">
      <c r="A102" s="111" t="s">
        <v>113</v>
      </c>
      <c r="B102" s="87">
        <f>IF(TrRoad_act!B24=0,0,B38/TrRoad_act!B24*1000)</f>
        <v>0</v>
      </c>
      <c r="C102" s="87">
        <f>IF(TrRoad_act!C24=0,0,C38/TrRoad_act!C24*1000)</f>
        <v>0</v>
      </c>
      <c r="D102" s="87">
        <f>IF(TrRoad_act!D24=0,0,D38/TrRoad_act!D24*1000)</f>
        <v>0</v>
      </c>
      <c r="E102" s="87">
        <f>IF(TrRoad_act!E24=0,0,E38/TrRoad_act!E24*1000)</f>
        <v>0</v>
      </c>
      <c r="F102" s="87">
        <f>IF(TrRoad_act!F24=0,0,F38/TrRoad_act!F24*1000)</f>
        <v>0</v>
      </c>
      <c r="G102" s="87">
        <f>IF(TrRoad_act!G24=0,0,G38/TrRoad_act!G24*1000)</f>
        <v>0</v>
      </c>
      <c r="H102" s="87">
        <f>IF(TrRoad_act!H24=0,0,H38/TrRoad_act!H24*1000)</f>
        <v>0</v>
      </c>
      <c r="I102" s="87">
        <f>IF(TrRoad_act!I24=0,0,I38/TrRoad_act!I24*1000)</f>
        <v>0</v>
      </c>
      <c r="J102" s="87">
        <f>IF(TrRoad_act!J24=0,0,J38/TrRoad_act!J24*1000)</f>
        <v>0</v>
      </c>
      <c r="K102" s="87">
        <f>IF(TrRoad_act!K24=0,0,K38/TrRoad_act!K24*1000)</f>
        <v>0</v>
      </c>
      <c r="L102" s="87">
        <f>IF(TrRoad_act!L24=0,0,L38/TrRoad_act!L24*1000)</f>
        <v>0</v>
      </c>
      <c r="M102" s="87">
        <f>IF(TrRoad_act!M24=0,0,M38/TrRoad_act!M24*1000)</f>
        <v>0</v>
      </c>
      <c r="N102" s="87">
        <f>IF(TrRoad_act!N24=0,0,N38/TrRoad_act!N24*1000)</f>
        <v>0</v>
      </c>
      <c r="O102" s="87">
        <f>IF(TrRoad_act!O24=0,0,O38/TrRoad_act!O24*1000)</f>
        <v>1562.7968097213313</v>
      </c>
      <c r="P102" s="87">
        <f>IF(TrRoad_act!P24=0,0,P38/TrRoad_act!P24*1000)</f>
        <v>1554.0588789013073</v>
      </c>
      <c r="Q102" s="87">
        <f>IF(TrRoad_act!Q24=0,0,Q38/TrRoad_act!Q24*1000)</f>
        <v>1716.951589939184</v>
      </c>
      <c r="R102" s="87">
        <f>IF(TrRoad_act!R24=0,0,R38/TrRoad_act!R24*1000)</f>
        <v>1616.9684837782029</v>
      </c>
      <c r="S102" s="87">
        <f>IF(TrRoad_act!S24=0,0,S38/TrRoad_act!S24*1000)</f>
        <v>1598.2573418883624</v>
      </c>
      <c r="T102" s="87">
        <f>IF(TrRoad_act!T24=0,0,T38/TrRoad_act!T24*1000)</f>
        <v>1627.7775290833947</v>
      </c>
      <c r="U102" s="87">
        <f>IF(TrRoad_act!U24=0,0,U38/TrRoad_act!U24*1000)</f>
        <v>1783.8355069782126</v>
      </c>
      <c r="V102" s="87">
        <f>IF(TrRoad_act!V24=0,0,V38/TrRoad_act!V24*1000)</f>
        <v>1746.6650054940715</v>
      </c>
      <c r="W102" s="87">
        <f>IF(TrRoad_act!W24=0,0,W38/TrRoad_act!W24*1000)</f>
        <v>1790.0306056375098</v>
      </c>
      <c r="X102" s="87">
        <f>IF(TrRoad_act!X24=0,0,X38/TrRoad_act!X24*1000)</f>
        <v>1804.1688088299909</v>
      </c>
      <c r="Y102" s="87">
        <f>IF(TrRoad_act!Y24=0,0,Y38/TrRoad_act!Y24*1000)</f>
        <v>1802.6818762571156</v>
      </c>
      <c r="DA102" s="171" t="s">
        <v>809</v>
      </c>
    </row>
    <row r="103" spans="1:105" ht="11.45" customHeight="1" x14ac:dyDescent="0.25">
      <c r="A103" s="111" t="s">
        <v>115</v>
      </c>
      <c r="B103" s="87">
        <f>IF(TrRoad_act!B25=0,0,B39/TrRoad_act!B25*1000)</f>
        <v>0</v>
      </c>
      <c r="C103" s="87">
        <f>IF(TrRoad_act!C25=0,0,C39/TrRoad_act!C25*1000)</f>
        <v>0</v>
      </c>
      <c r="D103" s="87">
        <f>IF(TrRoad_act!D25=0,0,D39/TrRoad_act!D25*1000)</f>
        <v>0</v>
      </c>
      <c r="E103" s="87">
        <f>IF(TrRoad_act!E25=0,0,E39/TrRoad_act!E25*1000)</f>
        <v>0</v>
      </c>
      <c r="F103" s="87">
        <f>IF(TrRoad_act!F25=0,0,F39/TrRoad_act!F25*1000)</f>
        <v>0</v>
      </c>
      <c r="G103" s="87">
        <f>IF(TrRoad_act!G25=0,0,G39/TrRoad_act!G25*1000)</f>
        <v>0</v>
      </c>
      <c r="H103" s="87">
        <f>IF(TrRoad_act!H25=0,0,H39/TrRoad_act!H25*1000)</f>
        <v>0</v>
      </c>
      <c r="I103" s="87">
        <f>IF(TrRoad_act!I25=0,0,I39/TrRoad_act!I25*1000)</f>
        <v>0</v>
      </c>
      <c r="J103" s="87">
        <f>IF(TrRoad_act!J25=0,0,J39/TrRoad_act!J25*1000)</f>
        <v>0</v>
      </c>
      <c r="K103" s="87">
        <f>IF(TrRoad_act!K25=0,0,K39/TrRoad_act!K25*1000)</f>
        <v>0</v>
      </c>
      <c r="L103" s="87">
        <f>IF(TrRoad_act!L25=0,0,L39/TrRoad_act!L25*1000)</f>
        <v>0</v>
      </c>
      <c r="M103" s="87">
        <f>IF(TrRoad_act!M25=0,0,M39/TrRoad_act!M25*1000)</f>
        <v>0</v>
      </c>
      <c r="N103" s="87">
        <f>IF(TrRoad_act!N25=0,0,N39/TrRoad_act!N25*1000)</f>
        <v>0</v>
      </c>
      <c r="O103" s="87">
        <f>IF(TrRoad_act!O25=0,0,O39/TrRoad_act!O25*1000)</f>
        <v>0</v>
      </c>
      <c r="P103" s="87">
        <f>IF(TrRoad_act!P25=0,0,P39/TrRoad_act!P25*1000)</f>
        <v>0</v>
      </c>
      <c r="Q103" s="87">
        <f>IF(TrRoad_act!Q25=0,0,Q39/TrRoad_act!Q25*1000)</f>
        <v>0</v>
      </c>
      <c r="R103" s="87">
        <f>IF(TrRoad_act!R25=0,0,R39/TrRoad_act!R25*1000)</f>
        <v>0</v>
      </c>
      <c r="S103" s="87">
        <f>IF(TrRoad_act!S25=0,0,S39/TrRoad_act!S25*1000)</f>
        <v>0</v>
      </c>
      <c r="T103" s="87">
        <f>IF(TrRoad_act!T25=0,0,T39/TrRoad_act!T25*1000)</f>
        <v>0</v>
      </c>
      <c r="U103" s="87">
        <f>IF(TrRoad_act!U25=0,0,U39/TrRoad_act!U25*1000)</f>
        <v>0</v>
      </c>
      <c r="V103" s="87">
        <f>IF(TrRoad_act!V25=0,0,V39/TrRoad_act!V25*1000)</f>
        <v>0</v>
      </c>
      <c r="W103" s="87">
        <f>IF(TrRoad_act!W25=0,0,W39/TrRoad_act!W25*1000)</f>
        <v>0</v>
      </c>
      <c r="X103" s="87">
        <f>IF(TrRoad_act!X25=0,0,X39/TrRoad_act!X25*1000)</f>
        <v>0</v>
      </c>
      <c r="Y103" s="87">
        <f>IF(TrRoad_act!Y25=0,0,Y39/TrRoad_act!Y25*1000)</f>
        <v>0</v>
      </c>
      <c r="DA103" s="171" t="s">
        <v>810</v>
      </c>
    </row>
    <row r="104" spans="1:105" ht="11.45" customHeight="1" x14ac:dyDescent="0.25">
      <c r="A104" s="109" t="s">
        <v>154</v>
      </c>
      <c r="B104" s="116">
        <f>IF(TrRoad_act!B26=0,0,B40/TrRoad_act!B26*1000)</f>
        <v>99.140943391664266</v>
      </c>
      <c r="C104" s="116">
        <f>IF(TrRoad_act!C26=0,0,C40/TrRoad_act!C26*1000)</f>
        <v>105.16851768308096</v>
      </c>
      <c r="D104" s="116">
        <f>IF(TrRoad_act!D26=0,0,D40/TrRoad_act!D26*1000)</f>
        <v>107.132848918805</v>
      </c>
      <c r="E104" s="116">
        <f>IF(TrRoad_act!E26=0,0,E40/TrRoad_act!E26*1000)</f>
        <v>129.71342467043576</v>
      </c>
      <c r="F104" s="116">
        <f>IF(TrRoad_act!F26=0,0,F40/TrRoad_act!F26*1000)</f>
        <v>129.91323572965393</v>
      </c>
      <c r="G104" s="116">
        <f>IF(TrRoad_act!G26=0,0,G40/TrRoad_act!G26*1000)</f>
        <v>132.46116836426549</v>
      </c>
      <c r="H104" s="116">
        <f>IF(TrRoad_act!H26=0,0,H40/TrRoad_act!H26*1000)</f>
        <v>129.37559913971398</v>
      </c>
      <c r="I104" s="116">
        <f>IF(TrRoad_act!I26=0,0,I40/TrRoad_act!I26*1000)</f>
        <v>125.5468957445236</v>
      </c>
      <c r="J104" s="116">
        <f>IF(TrRoad_act!J26=0,0,J40/TrRoad_act!J26*1000)</f>
        <v>134.23765001674278</v>
      </c>
      <c r="K104" s="116">
        <f>IF(TrRoad_act!K26=0,0,K40/TrRoad_act!K26*1000)</f>
        <v>135.60044440151361</v>
      </c>
      <c r="L104" s="116">
        <f>IF(TrRoad_act!L26=0,0,L40/TrRoad_act!L26*1000)</f>
        <v>149.76568452716219</v>
      </c>
      <c r="M104" s="116">
        <f>IF(TrRoad_act!M26=0,0,M40/TrRoad_act!M26*1000)</f>
        <v>142.09754036478958</v>
      </c>
      <c r="N104" s="116">
        <f>IF(TrRoad_act!N26=0,0,N40/TrRoad_act!N26*1000)</f>
        <v>146.16263490128912</v>
      </c>
      <c r="O104" s="116">
        <f>IF(TrRoad_act!O26=0,0,O40/TrRoad_act!O26*1000)</f>
        <v>145.37012986656271</v>
      </c>
      <c r="P104" s="116">
        <f>IF(TrRoad_act!P26=0,0,P40/TrRoad_act!P26*1000)</f>
        <v>127.91101254682829</v>
      </c>
      <c r="Q104" s="116">
        <f>IF(TrRoad_act!Q26=0,0,Q40/TrRoad_act!Q26*1000)</f>
        <v>135.53519191063137</v>
      </c>
      <c r="R104" s="116">
        <f>IF(TrRoad_act!R26=0,0,R40/TrRoad_act!R26*1000)</f>
        <v>135.43194876029261</v>
      </c>
      <c r="S104" s="116">
        <f>IF(TrRoad_act!S26=0,0,S40/TrRoad_act!S26*1000)</f>
        <v>129.822883888478</v>
      </c>
      <c r="T104" s="116">
        <f>IF(TrRoad_act!T26=0,0,T40/TrRoad_act!T26*1000)</f>
        <v>128.107542749027</v>
      </c>
      <c r="U104" s="116">
        <f>IF(TrRoad_act!U26=0,0,U40/TrRoad_act!U26*1000)</f>
        <v>131.63152099688043</v>
      </c>
      <c r="V104" s="116">
        <f>IF(TrRoad_act!V26=0,0,V40/TrRoad_act!V26*1000)</f>
        <v>134.27767737335898</v>
      </c>
      <c r="W104" s="116">
        <f>IF(TrRoad_act!W26=0,0,W40/TrRoad_act!W26*1000)</f>
        <v>126.23686740683945</v>
      </c>
      <c r="X104" s="116">
        <f>IF(TrRoad_act!X26=0,0,X40/TrRoad_act!X26*1000)</f>
        <v>127.8446768507561</v>
      </c>
      <c r="Y104" s="116">
        <f>IF(TrRoad_act!Y26=0,0,Y40/TrRoad_act!Y26*1000)</f>
        <v>143.51186869496129</v>
      </c>
      <c r="DA104" s="176" t="s">
        <v>447</v>
      </c>
    </row>
    <row r="105" spans="1:105" ht="11.45" customHeight="1" x14ac:dyDescent="0.25">
      <c r="A105" s="128" t="s">
        <v>27</v>
      </c>
      <c r="B105" s="101">
        <f>IF(TrRoad_act!B27=0,0,B41/TrRoad_act!B27*1000)</f>
        <v>103.95605953948777</v>
      </c>
      <c r="C105" s="101">
        <f>IF(TrRoad_act!C27=0,0,C41/TrRoad_act!C27*1000)</f>
        <v>110.28536282012649</v>
      </c>
      <c r="D105" s="101">
        <f>IF(TrRoad_act!D27=0,0,D41/TrRoad_act!D27*1000)</f>
        <v>113.45276660153664</v>
      </c>
      <c r="E105" s="101">
        <f>IF(TrRoad_act!E27=0,0,E41/TrRoad_act!E27*1000)</f>
        <v>138.53525259958812</v>
      </c>
      <c r="F105" s="101">
        <f>IF(TrRoad_act!F27=0,0,F41/TrRoad_act!F27*1000)</f>
        <v>138.46565030066665</v>
      </c>
      <c r="G105" s="101">
        <f>IF(TrRoad_act!G27=0,0,G41/TrRoad_act!G27*1000)</f>
        <v>142.75766641361395</v>
      </c>
      <c r="H105" s="101">
        <f>IF(TrRoad_act!H27=0,0,H41/TrRoad_act!H27*1000)</f>
        <v>139.98622045052318</v>
      </c>
      <c r="I105" s="101">
        <f>IF(TrRoad_act!I27=0,0,I41/TrRoad_act!I27*1000)</f>
        <v>135.86019810961633</v>
      </c>
      <c r="J105" s="101">
        <f>IF(TrRoad_act!J27=0,0,J41/TrRoad_act!J27*1000)</f>
        <v>145.30225659757144</v>
      </c>
      <c r="K105" s="101">
        <f>IF(TrRoad_act!K27=0,0,K41/TrRoad_act!K27*1000)</f>
        <v>148.96143119099426</v>
      </c>
      <c r="L105" s="101">
        <f>IF(TrRoad_act!L27=0,0,L41/TrRoad_act!L27*1000)</f>
        <v>172.50536088447521</v>
      </c>
      <c r="M105" s="101">
        <f>IF(TrRoad_act!M27=0,0,M41/TrRoad_act!M27*1000)</f>
        <v>163.71633097875929</v>
      </c>
      <c r="N105" s="101">
        <f>IF(TrRoad_act!N27=0,0,N41/TrRoad_act!N27*1000)</f>
        <v>162.82935529185877</v>
      </c>
      <c r="O105" s="101">
        <f>IF(TrRoad_act!O27=0,0,O41/TrRoad_act!O27*1000)</f>
        <v>166.69841038887625</v>
      </c>
      <c r="P105" s="101">
        <f>IF(TrRoad_act!P27=0,0,P41/TrRoad_act!P27*1000)</f>
        <v>140.41330223037434</v>
      </c>
      <c r="Q105" s="101">
        <f>IF(TrRoad_act!Q27=0,0,Q41/TrRoad_act!Q27*1000)</f>
        <v>153.18126119163989</v>
      </c>
      <c r="R105" s="101">
        <f>IF(TrRoad_act!R27=0,0,R41/TrRoad_act!R27*1000)</f>
        <v>153.62647703804015</v>
      </c>
      <c r="S105" s="101">
        <f>IF(TrRoad_act!S27=0,0,S41/TrRoad_act!S27*1000)</f>
        <v>144.89088076037459</v>
      </c>
      <c r="T105" s="101">
        <f>IF(TrRoad_act!T27=0,0,T41/TrRoad_act!T27*1000)</f>
        <v>144.28630764372335</v>
      </c>
      <c r="U105" s="101">
        <f>IF(TrRoad_act!U27=0,0,U41/TrRoad_act!U27*1000)</f>
        <v>147.43167295307168</v>
      </c>
      <c r="V105" s="101">
        <f>IF(TrRoad_act!V27=0,0,V41/TrRoad_act!V27*1000)</f>
        <v>150.11507169986555</v>
      </c>
      <c r="W105" s="101">
        <f>IF(TrRoad_act!W27=0,0,W41/TrRoad_act!W27*1000)</f>
        <v>143.1320791654409</v>
      </c>
      <c r="X105" s="101">
        <f>IF(TrRoad_act!X27=0,0,X41/TrRoad_act!X27*1000)</f>
        <v>145.15825909888159</v>
      </c>
      <c r="Y105" s="101">
        <f>IF(TrRoad_act!Y27=0,0,Y41/TrRoad_act!Y27*1000)</f>
        <v>168.45608552208111</v>
      </c>
      <c r="DA105" s="175" t="s">
        <v>811</v>
      </c>
    </row>
    <row r="106" spans="1:105" ht="11.45" customHeight="1" x14ac:dyDescent="0.25">
      <c r="A106" s="138" t="s">
        <v>116</v>
      </c>
      <c r="B106" s="88">
        <f>IF(TrRoad_act!B28=0,0,B42/TrRoad_act!B28*1000)</f>
        <v>84.35803716651904</v>
      </c>
      <c r="C106" s="88">
        <f>IF(TrRoad_act!C28=0,0,C42/TrRoad_act!C28*1000)</f>
        <v>88.306269187089896</v>
      </c>
      <c r="D106" s="88">
        <f>IF(TrRoad_act!D28=0,0,D42/TrRoad_act!D28*1000)</f>
        <v>89.190264234432462</v>
      </c>
      <c r="E106" s="88">
        <f>IF(TrRoad_act!E28=0,0,E42/TrRoad_act!E28*1000)</f>
        <v>106.24883827701343</v>
      </c>
      <c r="F106" s="88">
        <f>IF(TrRoad_act!F28=0,0,F42/TrRoad_act!F28*1000)</f>
        <v>105.84874149154867</v>
      </c>
      <c r="G106" s="88">
        <f>IF(TrRoad_act!G28=0,0,G42/TrRoad_act!G28*1000)</f>
        <v>104.46562154606285</v>
      </c>
      <c r="H106" s="88">
        <f>IF(TrRoad_act!H28=0,0,H42/TrRoad_act!H28*1000)</f>
        <v>102.38238183956609</v>
      </c>
      <c r="I106" s="88">
        <f>IF(TrRoad_act!I28=0,0,I42/TrRoad_act!I28*1000)</f>
        <v>100.55070342686147</v>
      </c>
      <c r="J106" s="88">
        <f>IF(TrRoad_act!J28=0,0,J42/TrRoad_act!J28*1000)</f>
        <v>105.37975978702738</v>
      </c>
      <c r="K106" s="88">
        <f>IF(TrRoad_act!K28=0,0,K42/TrRoad_act!K28*1000)</f>
        <v>105.93968291190359</v>
      </c>
      <c r="L106" s="88">
        <f>IF(TrRoad_act!L28=0,0,L42/TrRoad_act!L28*1000)</f>
        <v>101.49760785432917</v>
      </c>
      <c r="M106" s="88">
        <f>IF(TrRoad_act!M28=0,0,M42/TrRoad_act!M28*1000)</f>
        <v>99.178241630670129</v>
      </c>
      <c r="N106" s="88">
        <f>IF(TrRoad_act!N28=0,0,N42/TrRoad_act!N28*1000)</f>
        <v>110.86890472226277</v>
      </c>
      <c r="O106" s="88">
        <f>IF(TrRoad_act!O28=0,0,O42/TrRoad_act!O28*1000)</f>
        <v>110.55252158736201</v>
      </c>
      <c r="P106" s="88">
        <f>IF(TrRoad_act!P28=0,0,P42/TrRoad_act!P28*1000)</f>
        <v>106.73423618470623</v>
      </c>
      <c r="Q106" s="88">
        <f>IF(TrRoad_act!Q28=0,0,Q42/TrRoad_act!Q28*1000)</f>
        <v>101.11590213263702</v>
      </c>
      <c r="R106" s="88">
        <f>IF(TrRoad_act!R28=0,0,R42/TrRoad_act!R28*1000)</f>
        <v>103.94909036280838</v>
      </c>
      <c r="S106" s="88">
        <f>IF(TrRoad_act!S28=0,0,S42/TrRoad_act!S28*1000)</f>
        <v>102.05844839016829</v>
      </c>
      <c r="T106" s="88">
        <f>IF(TrRoad_act!T28=0,0,T42/TrRoad_act!T28*1000)</f>
        <v>100.30689093095377</v>
      </c>
      <c r="U106" s="88">
        <f>IF(TrRoad_act!U28=0,0,U42/TrRoad_act!U28*1000)</f>
        <v>105.09063015645131</v>
      </c>
      <c r="V106" s="88">
        <f>IF(TrRoad_act!V28=0,0,V42/TrRoad_act!V28*1000)</f>
        <v>107.74920544791439</v>
      </c>
      <c r="W106" s="88">
        <f>IF(TrRoad_act!W28=0,0,W42/TrRoad_act!W28*1000)</f>
        <v>100.76654897371343</v>
      </c>
      <c r="X106" s="88">
        <f>IF(TrRoad_act!X28=0,0,X42/TrRoad_act!X28*1000)</f>
        <v>104.12690268180354</v>
      </c>
      <c r="Y106" s="88">
        <f>IF(TrRoad_act!Y28=0,0,Y42/TrRoad_act!Y28*1000)</f>
        <v>112.47369525040875</v>
      </c>
      <c r="DA106" s="178" t="s">
        <v>812</v>
      </c>
    </row>
    <row r="107" spans="1:105" x14ac:dyDescent="0.25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DA107" s="171"/>
    </row>
    <row r="108" spans="1:105" ht="11.45" customHeight="1" x14ac:dyDescent="0.25">
      <c r="A108" s="53" t="s">
        <v>130</v>
      </c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DA108" s="172"/>
    </row>
    <row r="109" spans="1:105" ht="11.45" customHeight="1" x14ac:dyDescent="0.25">
      <c r="A109" s="27" t="s">
        <v>33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DA109" s="173"/>
    </row>
    <row r="110" spans="1:105" ht="11.45" customHeight="1" x14ac:dyDescent="0.25">
      <c r="A110" s="136" t="s">
        <v>173</v>
      </c>
      <c r="B110" s="152">
        <f>IF(B19=0,0,1000000*B19/TrRoad_act!B59)</f>
        <v>300.14200989400746</v>
      </c>
      <c r="C110" s="152">
        <f>IF(C19=0,0,1000000*C19/TrRoad_act!C59)</f>
        <v>297.17650344041431</v>
      </c>
      <c r="D110" s="152">
        <f>IF(D19=0,0,1000000*D19/TrRoad_act!D59)</f>
        <v>310.67316065464405</v>
      </c>
      <c r="E110" s="152">
        <f>IF(E19=0,0,1000000*E19/TrRoad_act!E59)</f>
        <v>320.8686352783169</v>
      </c>
      <c r="F110" s="152">
        <f>IF(F19=0,0,1000000*F19/TrRoad_act!F59)</f>
        <v>336.04560059221672</v>
      </c>
      <c r="G110" s="152">
        <f>IF(G19=0,0,1000000*G19/TrRoad_act!G59)</f>
        <v>345.63781989996016</v>
      </c>
      <c r="H110" s="152">
        <f>IF(H19=0,0,1000000*H19/TrRoad_act!H59)</f>
        <v>379.46194643423723</v>
      </c>
      <c r="I110" s="152">
        <f>IF(I19=0,0,1000000*I19/TrRoad_act!I59)</f>
        <v>370.32199405723134</v>
      </c>
      <c r="J110" s="152">
        <f>IF(J19=0,0,1000000*J19/TrRoad_act!J59)</f>
        <v>373.56909762293759</v>
      </c>
      <c r="K110" s="152">
        <f>IF(K19=0,0,1000000*K19/TrRoad_act!K59)</f>
        <v>347.39254505468421</v>
      </c>
      <c r="L110" s="152">
        <f>IF(L19=0,0,1000000*L19/TrRoad_act!L59)</f>
        <v>352.50688351734226</v>
      </c>
      <c r="M110" s="152">
        <f>IF(M19=0,0,1000000*M19/TrRoad_act!M59)</f>
        <v>339.51922260810676</v>
      </c>
      <c r="N110" s="152">
        <f>IF(N19=0,0,1000000*N19/TrRoad_act!N59)</f>
        <v>334.82852203385931</v>
      </c>
      <c r="O110" s="152">
        <f>IF(O19=0,0,1000000*O19/TrRoad_act!O59)</f>
        <v>321.61876998701456</v>
      </c>
      <c r="P110" s="152">
        <f>IF(P19=0,0,1000000*P19/TrRoad_act!P59)</f>
        <v>311.65459463511922</v>
      </c>
      <c r="Q110" s="152">
        <f>IF(Q19=0,0,1000000*Q19/TrRoad_act!Q59)</f>
        <v>281.3284071375848</v>
      </c>
      <c r="R110" s="152">
        <f>IF(R19=0,0,1000000*R19/TrRoad_act!R59)</f>
        <v>281.53446853965715</v>
      </c>
      <c r="S110" s="152">
        <f>IF(S19=0,0,1000000*S19/TrRoad_act!S59)</f>
        <v>265.31699546044456</v>
      </c>
      <c r="T110" s="152">
        <f>IF(T19=0,0,1000000*T19/TrRoad_act!T59)</f>
        <v>241.56966295130994</v>
      </c>
      <c r="U110" s="152">
        <f>IF(U19=0,0,1000000*U19/TrRoad_act!U59)</f>
        <v>238.62997062259774</v>
      </c>
      <c r="V110" s="152">
        <f>IF(V19=0,0,1000000*V19/TrRoad_act!V59)</f>
        <v>227.61418718116948</v>
      </c>
      <c r="W110" s="152">
        <f>IF(W19=0,0,1000000*W19/TrRoad_act!W59)</f>
        <v>233.92239830744549</v>
      </c>
      <c r="X110" s="152">
        <f>IF(X19=0,0,1000000*X19/TrRoad_act!X59)</f>
        <v>223.19418631676041</v>
      </c>
      <c r="Y110" s="152">
        <f>IF(Y19=0,0,1000000*Y19/TrRoad_act!Y59)</f>
        <v>224.21808218946654</v>
      </c>
      <c r="DA110" s="174" t="s">
        <v>813</v>
      </c>
    </row>
    <row r="111" spans="1:105" ht="11.45" customHeight="1" x14ac:dyDescent="0.25">
      <c r="A111" s="109" t="s">
        <v>20</v>
      </c>
      <c r="B111" s="116">
        <f>IF(B20=0,0,1000000*B20/TrRoad_act!B60)</f>
        <v>2534.7602455869992</v>
      </c>
      <c r="C111" s="116">
        <f>IF(C20=0,0,1000000*C20/TrRoad_act!C60)</f>
        <v>2452.6437800975664</v>
      </c>
      <c r="D111" s="116">
        <f>IF(D20=0,0,1000000*D20/TrRoad_act!D60)</f>
        <v>2420.7360104108002</v>
      </c>
      <c r="E111" s="116">
        <f>IF(E20=0,0,1000000*E20/TrRoad_act!E60)</f>
        <v>2580.0300248897079</v>
      </c>
      <c r="F111" s="116">
        <f>IF(F20=0,0,1000000*F20/TrRoad_act!F60)</f>
        <v>2588.808897445545</v>
      </c>
      <c r="G111" s="116">
        <f>IF(G20=0,0,1000000*G20/TrRoad_act!G60)</f>
        <v>2472.0858111823527</v>
      </c>
      <c r="H111" s="116">
        <f>IF(H20=0,0,1000000*H20/TrRoad_act!H60)</f>
        <v>2417.2256209389739</v>
      </c>
      <c r="I111" s="116">
        <f>IF(I20=0,0,1000000*I20/TrRoad_act!I60)</f>
        <v>2359.8202230764714</v>
      </c>
      <c r="J111" s="116">
        <f>IF(J20=0,0,1000000*J20/TrRoad_act!J60)</f>
        <v>2381.8363770357055</v>
      </c>
      <c r="K111" s="116">
        <f>IF(K20=0,0,1000000*K20/TrRoad_act!K60)</f>
        <v>2359.5123176633556</v>
      </c>
      <c r="L111" s="116">
        <f>IF(L20=0,0,1000000*L20/TrRoad_act!L60)</f>
        <v>2233.8578605077009</v>
      </c>
      <c r="M111" s="116">
        <f>IF(M20=0,0,1000000*M20/TrRoad_act!M60)</f>
        <v>2087.0934532397296</v>
      </c>
      <c r="N111" s="116">
        <f>IF(N20=0,0,1000000*N20/TrRoad_act!N60)</f>
        <v>2205.1291147743582</v>
      </c>
      <c r="O111" s="116">
        <f>IF(O20=0,0,1000000*O20/TrRoad_act!O60)</f>
        <v>2175.3275925045718</v>
      </c>
      <c r="P111" s="116">
        <f>IF(P20=0,0,1000000*P20/TrRoad_act!P60)</f>
        <v>2030.215247009482</v>
      </c>
      <c r="Q111" s="116">
        <f>IF(Q20=0,0,1000000*Q20/TrRoad_act!Q60)</f>
        <v>2023.4874980666234</v>
      </c>
      <c r="R111" s="116">
        <f>IF(R20=0,0,1000000*R20/TrRoad_act!R60)</f>
        <v>2036.0627987544187</v>
      </c>
      <c r="S111" s="116">
        <f>IF(S20=0,0,1000000*S20/TrRoad_act!S60)</f>
        <v>2000.7294589894291</v>
      </c>
      <c r="T111" s="116">
        <f>IF(T20=0,0,1000000*T20/TrRoad_act!T60)</f>
        <v>1929.668783467675</v>
      </c>
      <c r="U111" s="116">
        <f>IF(U20=0,0,1000000*U20/TrRoad_act!U60)</f>
        <v>1930.1499308939142</v>
      </c>
      <c r="V111" s="116">
        <f>IF(V20=0,0,1000000*V20/TrRoad_act!V60)</f>
        <v>1615.6369668220077</v>
      </c>
      <c r="W111" s="116">
        <f>IF(W20=0,0,1000000*W20/TrRoad_act!W60)</f>
        <v>1693.7887966209091</v>
      </c>
      <c r="X111" s="116">
        <f>IF(X20=0,0,1000000*X20/TrRoad_act!X60)</f>
        <v>1715.5868296860958</v>
      </c>
      <c r="Y111" s="116">
        <f>IF(Y20=0,0,1000000*Y20/TrRoad_act!Y60)</f>
        <v>1815.4353302628886</v>
      </c>
      <c r="DA111" s="176" t="s">
        <v>814</v>
      </c>
    </row>
    <row r="112" spans="1:105" ht="11.45" customHeight="1" x14ac:dyDescent="0.25">
      <c r="A112" s="111" t="s">
        <v>110</v>
      </c>
      <c r="B112" s="87">
        <f>IF(B21=0,0,1000000*B21/TrRoad_act!B61)</f>
        <v>2708.4928415655049</v>
      </c>
      <c r="C112" s="87">
        <f>IF(C21=0,0,1000000*C21/TrRoad_act!C61)</f>
        <v>2422.6366954869691</v>
      </c>
      <c r="D112" s="87">
        <f>IF(D21=0,0,1000000*D21/TrRoad_act!D61)</f>
        <v>2330.2309272341108</v>
      </c>
      <c r="E112" s="87">
        <f>IF(E21=0,0,1000000*E21/TrRoad_act!E61)</f>
        <v>2253.8185577164231</v>
      </c>
      <c r="F112" s="87">
        <f>IF(F21=0,0,1000000*F21/TrRoad_act!F61)</f>
        <v>2126.1102373653603</v>
      </c>
      <c r="G112" s="87">
        <f>IF(G21=0,0,1000000*G21/TrRoad_act!G61)</f>
        <v>2004.6238363980856</v>
      </c>
      <c r="H112" s="87">
        <f>IF(H21=0,0,1000000*H21/TrRoad_act!H61)</f>
        <v>1859.568652713459</v>
      </c>
      <c r="I112" s="87">
        <f>IF(I21=0,0,1000000*I21/TrRoad_act!I61)</f>
        <v>1759.0496102617049</v>
      </c>
      <c r="J112" s="87">
        <f>IF(J21=0,0,1000000*J21/TrRoad_act!J61)</f>
        <v>1695.4191796744408</v>
      </c>
      <c r="K112" s="87">
        <f>IF(K21=0,0,1000000*K21/TrRoad_act!K61)</f>
        <v>1696.9468403185892</v>
      </c>
      <c r="L112" s="87">
        <f>IF(L21=0,0,1000000*L21/TrRoad_act!L61)</f>
        <v>1547.8242307182459</v>
      </c>
      <c r="M112" s="87">
        <f>IF(M21=0,0,1000000*M21/TrRoad_act!M61)</f>
        <v>1431.0587992007756</v>
      </c>
      <c r="N112" s="87">
        <f>IF(N21=0,0,1000000*N21/TrRoad_act!N61)</f>
        <v>1491.5996064989013</v>
      </c>
      <c r="O112" s="87">
        <f>IF(O21=0,0,1000000*O21/TrRoad_act!O61)</f>
        <v>1457.4267838550704</v>
      </c>
      <c r="P112" s="87">
        <f>IF(P21=0,0,1000000*P21/TrRoad_act!P61)</f>
        <v>1374.7094586880626</v>
      </c>
      <c r="Q112" s="87">
        <f>IF(Q21=0,0,1000000*Q21/TrRoad_act!Q61)</f>
        <v>1373.246670104576</v>
      </c>
      <c r="R112" s="87">
        <f>IF(R21=0,0,1000000*R21/TrRoad_act!R61)</f>
        <v>1364.6021426858983</v>
      </c>
      <c r="S112" s="87">
        <f>IF(S21=0,0,1000000*S21/TrRoad_act!S61)</f>
        <v>1349.5126096928243</v>
      </c>
      <c r="T112" s="87">
        <f>IF(T21=0,0,1000000*T21/TrRoad_act!T61)</f>
        <v>1305.0293283849662</v>
      </c>
      <c r="U112" s="87">
        <f>IF(U21=0,0,1000000*U21/TrRoad_act!U61)</f>
        <v>1292.1554296787563</v>
      </c>
      <c r="V112" s="87">
        <f>IF(V21=0,0,1000000*V21/TrRoad_act!V61)</f>
        <v>1091.9375651711423</v>
      </c>
      <c r="W112" s="87">
        <f>IF(W21=0,0,1000000*W21/TrRoad_act!W61)</f>
        <v>1191.7504094611779</v>
      </c>
      <c r="X112" s="87">
        <f>IF(X21=0,0,1000000*X21/TrRoad_act!X61)</f>
        <v>1276.9882854069542</v>
      </c>
      <c r="Y112" s="87">
        <f>IF(Y21=0,0,1000000*Y21/TrRoad_act!Y61)</f>
        <v>1423.1137352773526</v>
      </c>
      <c r="DA112" s="171" t="s">
        <v>815</v>
      </c>
    </row>
    <row r="113" spans="1:105" ht="11.45" customHeight="1" x14ac:dyDescent="0.25">
      <c r="A113" s="111" t="s">
        <v>111</v>
      </c>
      <c r="B113" s="87">
        <f>IF(B22=0,0,1000000*B22/TrRoad_act!B62)</f>
        <v>2144.328147813746</v>
      </c>
      <c r="C113" s="87">
        <f>IF(C22=0,0,1000000*C22/TrRoad_act!C62)</f>
        <v>2505.8941836924687</v>
      </c>
      <c r="D113" s="87">
        <f>IF(D22=0,0,1000000*D22/TrRoad_act!D62)</f>
        <v>2605.5635422147707</v>
      </c>
      <c r="E113" s="87">
        <f>IF(E22=0,0,1000000*E22/TrRoad_act!E62)</f>
        <v>3238.1052226413408</v>
      </c>
      <c r="F113" s="87">
        <f>IF(F22=0,0,1000000*F22/TrRoad_act!F62)</f>
        <v>3480.3481254334783</v>
      </c>
      <c r="G113" s="87">
        <f>IF(G22=0,0,1000000*G22/TrRoad_act!G62)</f>
        <v>3293.2068252121003</v>
      </c>
      <c r="H113" s="87">
        <f>IF(H22=0,0,1000000*H22/TrRoad_act!H62)</f>
        <v>3318.7053956801869</v>
      </c>
      <c r="I113" s="87">
        <f>IF(I22=0,0,1000000*I22/TrRoad_act!I62)</f>
        <v>3246.0450688140813</v>
      </c>
      <c r="J113" s="87">
        <f>IF(J22=0,0,1000000*J22/TrRoad_act!J62)</f>
        <v>3311.2599098688343</v>
      </c>
      <c r="K113" s="87">
        <f>IF(K22=0,0,1000000*K22/TrRoad_act!K62)</f>
        <v>3199.1719564276659</v>
      </c>
      <c r="L113" s="87">
        <f>IF(L22=0,0,1000000*L22/TrRoad_act!L62)</f>
        <v>3081.0803048537473</v>
      </c>
      <c r="M113" s="87">
        <f>IF(M22=0,0,1000000*M22/TrRoad_act!M62)</f>
        <v>2842.7882167217763</v>
      </c>
      <c r="N113" s="87">
        <f>IF(N22=0,0,1000000*N22/TrRoad_act!N62)</f>
        <v>2957.004728392747</v>
      </c>
      <c r="O113" s="87">
        <f>IF(O22=0,0,1000000*O22/TrRoad_act!O62)</f>
        <v>2905.7562154357065</v>
      </c>
      <c r="P113" s="87">
        <f>IF(P22=0,0,1000000*P22/TrRoad_act!P62)</f>
        <v>2662.3392384276754</v>
      </c>
      <c r="Q113" s="87">
        <f>IF(Q22=0,0,1000000*Q22/TrRoad_act!Q62)</f>
        <v>2599.7063364276137</v>
      </c>
      <c r="R113" s="87">
        <f>IF(R22=0,0,1000000*R22/TrRoad_act!R62)</f>
        <v>2592.3597878547403</v>
      </c>
      <c r="S113" s="87">
        <f>IF(S22=0,0,1000000*S22/TrRoad_act!S62)</f>
        <v>2515.3327192673805</v>
      </c>
      <c r="T113" s="87">
        <f>IF(T22=0,0,1000000*T22/TrRoad_act!T62)</f>
        <v>2419.8092405323041</v>
      </c>
      <c r="U113" s="87">
        <f>IF(U22=0,0,1000000*U22/TrRoad_act!U62)</f>
        <v>2446.6156358787189</v>
      </c>
      <c r="V113" s="87">
        <f>IF(V22=0,0,1000000*V22/TrRoad_act!V62)</f>
        <v>2026.5901775642569</v>
      </c>
      <c r="W113" s="87">
        <f>IF(W22=0,0,1000000*W22/TrRoad_act!W62)</f>
        <v>2100.9258874312245</v>
      </c>
      <c r="X113" s="87">
        <f>IF(X22=0,0,1000000*X22/TrRoad_act!X62)</f>
        <v>2096.4469786705117</v>
      </c>
      <c r="Y113" s="87">
        <f>IF(Y22=0,0,1000000*Y22/TrRoad_act!Y62)</f>
        <v>2201.2217850811098</v>
      </c>
      <c r="DA113" s="171" t="s">
        <v>816</v>
      </c>
    </row>
    <row r="114" spans="1:105" ht="11.45" customHeight="1" x14ac:dyDescent="0.25">
      <c r="A114" s="111" t="s">
        <v>112</v>
      </c>
      <c r="B114" s="87">
        <f>IF(B23=0,0,1000000*B23/TrRoad_act!B63)</f>
        <v>3270.6622624713341</v>
      </c>
      <c r="C114" s="87">
        <f>IF(C23=0,0,1000000*C23/TrRoad_act!C63)</f>
        <v>3344.3402554817931</v>
      </c>
      <c r="D114" s="87">
        <f>IF(D23=0,0,1000000*D23/TrRoad_act!D63)</f>
        <v>3410.296309824565</v>
      </c>
      <c r="E114" s="87">
        <f>IF(E23=0,0,1000000*E23/TrRoad_act!E63)</f>
        <v>3281.8716933362898</v>
      </c>
      <c r="F114" s="87">
        <f>IF(F23=0,0,1000000*F23/TrRoad_act!F63)</f>
        <v>3248.8359129451778</v>
      </c>
      <c r="G114" s="87">
        <f>IF(G23=0,0,1000000*G23/TrRoad_act!G63)</f>
        <v>3120.975723911567</v>
      </c>
      <c r="H114" s="87">
        <f>IF(H23=0,0,1000000*H23/TrRoad_act!H63)</f>
        <v>3413.0773910955204</v>
      </c>
      <c r="I114" s="87">
        <f>IF(I23=0,0,1000000*I23/TrRoad_act!I63)</f>
        <v>3539.9022131936531</v>
      </c>
      <c r="J114" s="87">
        <f>IF(J23=0,0,1000000*J23/TrRoad_act!J63)</f>
        <v>3160.5107918663634</v>
      </c>
      <c r="K114" s="87">
        <f>IF(K23=0,0,1000000*K23/TrRoad_act!K63)</f>
        <v>2637.3986331256328</v>
      </c>
      <c r="L114" s="87">
        <f>IF(L23=0,0,1000000*L23/TrRoad_act!L63)</f>
        <v>2546.7188288161851</v>
      </c>
      <c r="M114" s="87">
        <f>IF(M23=0,0,1000000*M23/TrRoad_act!M63)</f>
        <v>2267.3980276911298</v>
      </c>
      <c r="N114" s="87">
        <f>IF(N23=0,0,1000000*N23/TrRoad_act!N63)</f>
        <v>2383.6138240804353</v>
      </c>
      <c r="O114" s="87">
        <f>IF(O23=0,0,1000000*O23/TrRoad_act!O63)</f>
        <v>2325.2535259279312</v>
      </c>
      <c r="P114" s="87">
        <f>IF(P23=0,0,1000000*P23/TrRoad_act!P63)</f>
        <v>2063.7116362819684</v>
      </c>
      <c r="Q114" s="87">
        <f>IF(Q23=0,0,1000000*Q23/TrRoad_act!Q63)</f>
        <v>2134.9389497744783</v>
      </c>
      <c r="R114" s="87">
        <f>IF(R23=0,0,1000000*R23/TrRoad_act!R63)</f>
        <v>2142.5390410536447</v>
      </c>
      <c r="S114" s="87">
        <f>IF(S23=0,0,1000000*S23/TrRoad_act!S63)</f>
        <v>2017.6811994873037</v>
      </c>
      <c r="T114" s="87">
        <f>IF(T23=0,0,1000000*T23/TrRoad_act!T63)</f>
        <v>1843.7403961602743</v>
      </c>
      <c r="U114" s="87">
        <f>IF(U23=0,0,1000000*U23/TrRoad_act!U63)</f>
        <v>1848.5345610344352</v>
      </c>
      <c r="V114" s="87">
        <f>IF(V23=0,0,1000000*V23/TrRoad_act!V63)</f>
        <v>1361.8058911441169</v>
      </c>
      <c r="W114" s="87">
        <f>IF(W23=0,0,1000000*W23/TrRoad_act!W63)</f>
        <v>1406.8255955082425</v>
      </c>
      <c r="X114" s="87">
        <f>IF(X23=0,0,1000000*X23/TrRoad_act!X63)</f>
        <v>1432.1208486913761</v>
      </c>
      <c r="Y114" s="87">
        <f>IF(Y23=0,0,1000000*Y23/TrRoad_act!Y63)</f>
        <v>1613.4046755899001</v>
      </c>
      <c r="DA114" s="171" t="s">
        <v>817</v>
      </c>
    </row>
    <row r="115" spans="1:105" ht="11.45" customHeight="1" x14ac:dyDescent="0.25">
      <c r="A115" s="111" t="s">
        <v>113</v>
      </c>
      <c r="B115" s="87">
        <f>IF(B24=0,0,1000000*B24/TrRoad_act!B64)</f>
        <v>0</v>
      </c>
      <c r="C115" s="87">
        <f>IF(C24=0,0,1000000*C24/TrRoad_act!C64)</f>
        <v>0</v>
      </c>
      <c r="D115" s="87">
        <f>IF(D24=0,0,1000000*D24/TrRoad_act!D64)</f>
        <v>0</v>
      </c>
      <c r="E115" s="87">
        <f>IF(E24=0,0,1000000*E24/TrRoad_act!E64)</f>
        <v>0</v>
      </c>
      <c r="F115" s="87">
        <f>IF(F24=0,0,1000000*F24/TrRoad_act!F64)</f>
        <v>0</v>
      </c>
      <c r="G115" s="87">
        <f>IF(G24=0,0,1000000*G24/TrRoad_act!G64)</f>
        <v>0</v>
      </c>
      <c r="H115" s="87">
        <f>IF(H24=0,0,1000000*H24/TrRoad_act!H64)</f>
        <v>0</v>
      </c>
      <c r="I115" s="87">
        <f>IF(I24=0,0,1000000*I24/TrRoad_act!I64)</f>
        <v>0</v>
      </c>
      <c r="J115" s="87">
        <f>IF(J24=0,0,1000000*J24/TrRoad_act!J64)</f>
        <v>0</v>
      </c>
      <c r="K115" s="87">
        <f>IF(K24=0,0,1000000*K24/TrRoad_act!K64)</f>
        <v>0</v>
      </c>
      <c r="L115" s="87">
        <f>IF(L24=0,0,1000000*L24/TrRoad_act!L64)</f>
        <v>2292.9906951059688</v>
      </c>
      <c r="M115" s="87">
        <f>IF(M24=0,0,1000000*M24/TrRoad_act!M64)</f>
        <v>2126.7076805307488</v>
      </c>
      <c r="N115" s="87">
        <f>IF(N24=0,0,1000000*N24/TrRoad_act!N64)</f>
        <v>1825.8439573185301</v>
      </c>
      <c r="O115" s="87">
        <f>IF(O24=0,0,1000000*O24/TrRoad_act!O64)</f>
        <v>1650.6422765539803</v>
      </c>
      <c r="P115" s="87">
        <f>IF(P24=0,0,1000000*P24/TrRoad_act!P64)</f>
        <v>1533.3322529307252</v>
      </c>
      <c r="Q115" s="87">
        <f>IF(Q24=0,0,1000000*Q24/TrRoad_act!Q64)</f>
        <v>1452.3293580920028</v>
      </c>
      <c r="R115" s="87">
        <f>IF(R24=0,0,1000000*R24/TrRoad_act!R64)</f>
        <v>1402.2622302675318</v>
      </c>
      <c r="S115" s="87">
        <f>IF(S24=0,0,1000000*S24/TrRoad_act!S64)</f>
        <v>1364.0927163341569</v>
      </c>
      <c r="T115" s="87">
        <f>IF(T24=0,0,1000000*T24/TrRoad_act!T64)</f>
        <v>1358.8567468028946</v>
      </c>
      <c r="U115" s="87">
        <f>IF(U24=0,0,1000000*U24/TrRoad_act!U64)</f>
        <v>1330.6556823637425</v>
      </c>
      <c r="V115" s="87">
        <f>IF(V24=0,0,1000000*V24/TrRoad_act!V64)</f>
        <v>1091.3193339837439</v>
      </c>
      <c r="W115" s="87">
        <f>IF(W24=0,0,1000000*W24/TrRoad_act!W64)</f>
        <v>1157.4987050944835</v>
      </c>
      <c r="X115" s="87">
        <f>IF(X24=0,0,1000000*X24/TrRoad_act!X64)</f>
        <v>1165.3336875224916</v>
      </c>
      <c r="Y115" s="87">
        <f>IF(Y24=0,0,1000000*Y24/TrRoad_act!Y64)</f>
        <v>1236.538627654428</v>
      </c>
      <c r="DA115" s="171" t="s">
        <v>818</v>
      </c>
    </row>
    <row r="116" spans="1:105" ht="11.45" customHeight="1" x14ac:dyDescent="0.25">
      <c r="A116" s="111" t="s">
        <v>114</v>
      </c>
      <c r="B116" s="87">
        <f>IF(B25=0,0,1000000*B25/TrRoad_act!B65)</f>
        <v>0</v>
      </c>
      <c r="C116" s="87">
        <f>IF(C25=0,0,1000000*C25/TrRoad_act!C65)</f>
        <v>0</v>
      </c>
      <c r="D116" s="87">
        <f>IF(D25=0,0,1000000*D25/TrRoad_act!D65)</f>
        <v>0</v>
      </c>
      <c r="E116" s="87">
        <f>IF(E25=0,0,1000000*E25/TrRoad_act!E65)</f>
        <v>0</v>
      </c>
      <c r="F116" s="87">
        <f>IF(F25=0,0,1000000*F25/TrRoad_act!F65)</f>
        <v>0</v>
      </c>
      <c r="G116" s="87">
        <f>IF(G25=0,0,1000000*G25/TrRoad_act!G65)</f>
        <v>0</v>
      </c>
      <c r="H116" s="87">
        <f>IF(H25=0,0,1000000*H25/TrRoad_act!H65)</f>
        <v>0</v>
      </c>
      <c r="I116" s="87">
        <f>IF(I25=0,0,1000000*I25/TrRoad_act!I65)</f>
        <v>0</v>
      </c>
      <c r="J116" s="87">
        <f>IF(J25=0,0,1000000*J25/TrRoad_act!J65)</f>
        <v>0</v>
      </c>
      <c r="K116" s="87">
        <f>IF(K25=0,0,1000000*K25/TrRoad_act!K65)</f>
        <v>0</v>
      </c>
      <c r="L116" s="87">
        <f>IF(L25=0,0,1000000*L25/TrRoad_act!L65)</f>
        <v>0</v>
      </c>
      <c r="M116" s="87">
        <f>IF(M25=0,0,1000000*M25/TrRoad_act!M65)</f>
        <v>605.32236364925677</v>
      </c>
      <c r="N116" s="87">
        <f>IF(N25=0,0,1000000*N25/TrRoad_act!N65)</f>
        <v>521.3286463655636</v>
      </c>
      <c r="O116" s="87">
        <f>IF(O25=0,0,1000000*O25/TrRoad_act!O65)</f>
        <v>539.91443794389215</v>
      </c>
      <c r="P116" s="87">
        <f>IF(P25=0,0,1000000*P25/TrRoad_act!P65)</f>
        <v>528.50243865158984</v>
      </c>
      <c r="Q116" s="87">
        <f>IF(Q25=0,0,1000000*Q25/TrRoad_act!Q65)</f>
        <v>529.68038059021183</v>
      </c>
      <c r="R116" s="87">
        <f>IF(R25=0,0,1000000*R25/TrRoad_act!R65)</f>
        <v>537.5778971824426</v>
      </c>
      <c r="S116" s="87">
        <f>IF(S25=0,0,1000000*S25/TrRoad_act!S65)</f>
        <v>555.53621232180512</v>
      </c>
      <c r="T116" s="87">
        <f>IF(T25=0,0,1000000*T25/TrRoad_act!T65)</f>
        <v>561.09134082787034</v>
      </c>
      <c r="U116" s="87">
        <f>IF(U25=0,0,1000000*U25/TrRoad_act!U65)</f>
        <v>531.5253425365903</v>
      </c>
      <c r="V116" s="87">
        <f>IF(V25=0,0,1000000*V25/TrRoad_act!V65)</f>
        <v>393.45375947535092</v>
      </c>
      <c r="W116" s="87">
        <f>IF(W25=0,0,1000000*W25/TrRoad_act!W65)</f>
        <v>379.31566166076351</v>
      </c>
      <c r="X116" s="87">
        <f>IF(X25=0,0,1000000*X25/TrRoad_act!X65)</f>
        <v>361.84562378772046</v>
      </c>
      <c r="Y116" s="87">
        <f>IF(Y25=0,0,1000000*Y25/TrRoad_act!Y65)</f>
        <v>365.28072334235037</v>
      </c>
      <c r="DA116" s="171" t="s">
        <v>819</v>
      </c>
    </row>
    <row r="117" spans="1:105" ht="11.45" customHeight="1" x14ac:dyDescent="0.25">
      <c r="A117" s="111" t="s">
        <v>115</v>
      </c>
      <c r="B117" s="87">
        <f>IF(B26=0,0,1000000*B26/TrRoad_act!B66)</f>
        <v>0</v>
      </c>
      <c r="C117" s="87">
        <f>IF(C26=0,0,1000000*C26/TrRoad_act!C66)</f>
        <v>0</v>
      </c>
      <c r="D117" s="87">
        <f>IF(D26=0,0,1000000*D26/TrRoad_act!D66)</f>
        <v>0</v>
      </c>
      <c r="E117" s="87">
        <f>IF(E26=0,0,1000000*E26/TrRoad_act!E66)</f>
        <v>0</v>
      </c>
      <c r="F117" s="87">
        <f>IF(F26=0,0,1000000*F26/TrRoad_act!F66)</f>
        <v>0</v>
      </c>
      <c r="G117" s="87">
        <f>IF(G26=0,0,1000000*G26/TrRoad_act!G66)</f>
        <v>0</v>
      </c>
      <c r="H117" s="87">
        <f>IF(H26=0,0,1000000*H26/TrRoad_act!H66)</f>
        <v>0</v>
      </c>
      <c r="I117" s="87">
        <f>IF(I26=0,0,1000000*I26/TrRoad_act!I66)</f>
        <v>0</v>
      </c>
      <c r="J117" s="87">
        <f>IF(J26=0,0,1000000*J26/TrRoad_act!J66)</f>
        <v>0</v>
      </c>
      <c r="K117" s="87">
        <f>IF(K26=0,0,1000000*K26/TrRoad_act!K66)</f>
        <v>0</v>
      </c>
      <c r="L117" s="87">
        <f>IF(L26=0,0,1000000*L26/TrRoad_act!L66)</f>
        <v>0</v>
      </c>
      <c r="M117" s="87">
        <f>IF(M26=0,0,1000000*M26/TrRoad_act!M66)</f>
        <v>0</v>
      </c>
      <c r="N117" s="87">
        <f>IF(N26=0,0,1000000*N26/TrRoad_act!N66)</f>
        <v>0</v>
      </c>
      <c r="O117" s="87">
        <f>IF(O26=0,0,1000000*O26/TrRoad_act!O66)</f>
        <v>0</v>
      </c>
      <c r="P117" s="87">
        <f>IF(P26=0,0,1000000*P26/TrRoad_act!P66)</f>
        <v>0</v>
      </c>
      <c r="Q117" s="87">
        <f>IF(Q26=0,0,1000000*Q26/TrRoad_act!Q66)</f>
        <v>0</v>
      </c>
      <c r="R117" s="87">
        <f>IF(R26=0,0,1000000*R26/TrRoad_act!R66)</f>
        <v>0</v>
      </c>
      <c r="S117" s="87">
        <f>IF(S26=0,0,1000000*S26/TrRoad_act!S66)</f>
        <v>0</v>
      </c>
      <c r="T117" s="87">
        <f>IF(T26=0,0,1000000*T26/TrRoad_act!T66)</f>
        <v>0</v>
      </c>
      <c r="U117" s="87">
        <f>IF(U26=0,0,1000000*U26/TrRoad_act!U66)</f>
        <v>0</v>
      </c>
      <c r="V117" s="87">
        <f>IF(V26=0,0,1000000*V26/TrRoad_act!V66)</f>
        <v>0</v>
      </c>
      <c r="W117" s="87">
        <f>IF(W26=0,0,1000000*W26/TrRoad_act!W66)</f>
        <v>0</v>
      </c>
      <c r="X117" s="87">
        <f>IF(X26=0,0,1000000*X26/TrRoad_act!X66)</f>
        <v>0</v>
      </c>
      <c r="Y117" s="87">
        <f>IF(Y26=0,0,1000000*Y26/TrRoad_act!Y66)</f>
        <v>0</v>
      </c>
      <c r="DA117" s="171" t="s">
        <v>820</v>
      </c>
    </row>
    <row r="118" spans="1:105" ht="11.45" customHeight="1" x14ac:dyDescent="0.25">
      <c r="A118" s="109" t="s">
        <v>21</v>
      </c>
      <c r="B118" s="116">
        <f>IF(B27=0,0,1000000*B27/TrRoad_act!B67)</f>
        <v>50578.298413267526</v>
      </c>
      <c r="C118" s="116">
        <f>IF(C27=0,0,1000000*C27/TrRoad_act!C67)</f>
        <v>48072.658409510543</v>
      </c>
      <c r="D118" s="116">
        <f>IF(D27=0,0,1000000*D27/TrRoad_act!D67)</f>
        <v>46671.838239565783</v>
      </c>
      <c r="E118" s="116">
        <f>IF(E27=0,0,1000000*E27/TrRoad_act!E67)</f>
        <v>45209.94513040343</v>
      </c>
      <c r="F118" s="116">
        <f>IF(F27=0,0,1000000*F27/TrRoad_act!F67)</f>
        <v>43906.794173716611</v>
      </c>
      <c r="G118" s="116">
        <f>IF(G27=0,0,1000000*G27/TrRoad_act!G67)</f>
        <v>40616.638598414269</v>
      </c>
      <c r="H118" s="116">
        <f>IF(H27=0,0,1000000*H27/TrRoad_act!H67)</f>
        <v>39089.103249705287</v>
      </c>
      <c r="I118" s="116">
        <f>IF(I27=0,0,1000000*I27/TrRoad_act!I67)</f>
        <v>39202.93852891682</v>
      </c>
      <c r="J118" s="116">
        <f>IF(J27=0,0,1000000*J27/TrRoad_act!J67)</f>
        <v>39817.438002042152</v>
      </c>
      <c r="K118" s="116">
        <f>IF(K27=0,0,1000000*K27/TrRoad_act!K67)</f>
        <v>39674.630531415722</v>
      </c>
      <c r="L118" s="116">
        <f>IF(L27=0,0,1000000*L27/TrRoad_act!L67)</f>
        <v>39353.376384220195</v>
      </c>
      <c r="M118" s="116">
        <f>IF(M27=0,0,1000000*M27/TrRoad_act!M67)</f>
        <v>39960.70644255534</v>
      </c>
      <c r="N118" s="116">
        <f>IF(N27=0,0,1000000*N27/TrRoad_act!N67)</f>
        <v>39306.041066953672</v>
      </c>
      <c r="O118" s="116">
        <f>IF(O27=0,0,1000000*O27/TrRoad_act!O67)</f>
        <v>38746.621295668294</v>
      </c>
      <c r="P118" s="116">
        <f>IF(P27=0,0,1000000*P27/TrRoad_act!P67)</f>
        <v>38869.056280092576</v>
      </c>
      <c r="Q118" s="116">
        <f>IF(Q27=0,0,1000000*Q27/TrRoad_act!Q67)</f>
        <v>39706.602870912975</v>
      </c>
      <c r="R118" s="116">
        <f>IF(R27=0,0,1000000*R27/TrRoad_act!R67)</f>
        <v>42400.129375496908</v>
      </c>
      <c r="S118" s="116">
        <f>IF(S27=0,0,1000000*S27/TrRoad_act!S67)</f>
        <v>43040.200282811886</v>
      </c>
      <c r="T118" s="116">
        <f>IF(T27=0,0,1000000*T27/TrRoad_act!T67)</f>
        <v>43718.986199887935</v>
      </c>
      <c r="U118" s="116">
        <f>IF(U27=0,0,1000000*U27/TrRoad_act!U67)</f>
        <v>35923.652792178655</v>
      </c>
      <c r="V118" s="116">
        <f>IF(V27=0,0,1000000*V27/TrRoad_act!V67)</f>
        <v>31975.148600209835</v>
      </c>
      <c r="W118" s="116">
        <f>IF(W27=0,0,1000000*W27/TrRoad_act!W67)</f>
        <v>38931.98326540328</v>
      </c>
      <c r="X118" s="116">
        <f>IF(X27=0,0,1000000*X27/TrRoad_act!X67)</f>
        <v>43532.407601772204</v>
      </c>
      <c r="Y118" s="116">
        <f>IF(Y27=0,0,1000000*Y27/TrRoad_act!Y67)</f>
        <v>45155.319629019759</v>
      </c>
      <c r="DA118" s="176" t="s">
        <v>821</v>
      </c>
    </row>
    <row r="119" spans="1:105" ht="11.45" customHeight="1" x14ac:dyDescent="0.25">
      <c r="A119" s="111" t="s">
        <v>110</v>
      </c>
      <c r="B119" s="101">
        <f>IF(B28=0,0,1000000*B28/TrRoad_act!B68)</f>
        <v>0</v>
      </c>
      <c r="C119" s="101">
        <f>IF(C28=0,0,1000000*C28/TrRoad_act!C68)</f>
        <v>0</v>
      </c>
      <c r="D119" s="101">
        <f>IF(D28=0,0,1000000*D28/TrRoad_act!D68)</f>
        <v>0</v>
      </c>
      <c r="E119" s="101">
        <f>IF(E28=0,0,1000000*E28/TrRoad_act!E68)</f>
        <v>0</v>
      </c>
      <c r="F119" s="101">
        <f>IF(F28=0,0,1000000*F28/TrRoad_act!F68)</f>
        <v>0</v>
      </c>
      <c r="G119" s="101">
        <f>IF(G28=0,0,1000000*G28/TrRoad_act!G68)</f>
        <v>0</v>
      </c>
      <c r="H119" s="101">
        <f>IF(H28=0,0,1000000*H28/TrRoad_act!H68)</f>
        <v>0</v>
      </c>
      <c r="I119" s="101">
        <f>IF(I28=0,0,1000000*I28/TrRoad_act!I68)</f>
        <v>0</v>
      </c>
      <c r="J119" s="101">
        <f>IF(J28=0,0,1000000*J28/TrRoad_act!J68)</f>
        <v>0</v>
      </c>
      <c r="K119" s="101">
        <f>IF(K28=0,0,1000000*K28/TrRoad_act!K68)</f>
        <v>0</v>
      </c>
      <c r="L119" s="101">
        <f>IF(L28=0,0,1000000*L28/TrRoad_act!L68)</f>
        <v>4610.3186082740485</v>
      </c>
      <c r="M119" s="101">
        <f>IF(M28=0,0,1000000*M28/TrRoad_act!M68)</f>
        <v>4752.5425503945908</v>
      </c>
      <c r="N119" s="101">
        <f>IF(N28=0,0,1000000*N28/TrRoad_act!N68)</f>
        <v>4847.0126339651588</v>
      </c>
      <c r="O119" s="101">
        <f>IF(O28=0,0,1000000*O28/TrRoad_act!O68)</f>
        <v>4745.1542808457307</v>
      </c>
      <c r="P119" s="101">
        <f>IF(P28=0,0,1000000*P28/TrRoad_act!P68)</f>
        <v>4744.6238971135199</v>
      </c>
      <c r="Q119" s="101">
        <f>IF(Q28=0,0,1000000*Q28/TrRoad_act!Q68)</f>
        <v>4762.0472512050001</v>
      </c>
      <c r="R119" s="101">
        <f>IF(R28=0,0,1000000*R28/TrRoad_act!R68)</f>
        <v>4902.2213542164445</v>
      </c>
      <c r="S119" s="101">
        <f>IF(S28=0,0,1000000*S28/TrRoad_act!S68)</f>
        <v>4983.9726131414845</v>
      </c>
      <c r="T119" s="101">
        <f>IF(T28=0,0,1000000*T28/TrRoad_act!T68)</f>
        <v>5199.2482099881463</v>
      </c>
      <c r="U119" s="101">
        <f>IF(U28=0,0,1000000*U28/TrRoad_act!U68)</f>
        <v>3959.3798045873427</v>
      </c>
      <c r="V119" s="101">
        <f>IF(V28=0,0,1000000*V28/TrRoad_act!V68)</f>
        <v>3431.2645299851429</v>
      </c>
      <c r="W119" s="101">
        <f>IF(W28=0,0,1000000*W28/TrRoad_act!W68)</f>
        <v>4334.4314942919373</v>
      </c>
      <c r="X119" s="101">
        <f>IF(X28=0,0,1000000*X28/TrRoad_act!X68)</f>
        <v>4749.7385612460612</v>
      </c>
      <c r="Y119" s="101">
        <f>IF(Y28=0,0,1000000*Y28/TrRoad_act!Y68)</f>
        <v>5148.317469881702</v>
      </c>
      <c r="DA119" s="175" t="s">
        <v>822</v>
      </c>
    </row>
    <row r="120" spans="1:105" ht="11.45" customHeight="1" x14ac:dyDescent="0.25">
      <c r="A120" s="111" t="s">
        <v>111</v>
      </c>
      <c r="B120" s="101">
        <f>IF(B29=0,0,1000000*B29/TrRoad_act!B69)</f>
        <v>50550.345134729803</v>
      </c>
      <c r="C120" s="101">
        <f>IF(C29=0,0,1000000*C29/TrRoad_act!C69)</f>
        <v>48008.240802326</v>
      </c>
      <c r="D120" s="101">
        <f>IF(D29=0,0,1000000*D29/TrRoad_act!D69)</f>
        <v>46580.304764212204</v>
      </c>
      <c r="E120" s="101">
        <f>IF(E29=0,0,1000000*E29/TrRoad_act!E69)</f>
        <v>45101.508377690028</v>
      </c>
      <c r="F120" s="101">
        <f>IF(F29=0,0,1000000*F29/TrRoad_act!F69)</f>
        <v>43802.884719272166</v>
      </c>
      <c r="G120" s="101">
        <f>IF(G29=0,0,1000000*G29/TrRoad_act!G69)</f>
        <v>40404.482438364481</v>
      </c>
      <c r="H120" s="101">
        <f>IF(H29=0,0,1000000*H29/TrRoad_act!H69)</f>
        <v>38891.153706089382</v>
      </c>
      <c r="I120" s="101">
        <f>IF(I29=0,0,1000000*I29/TrRoad_act!I69)</f>
        <v>38972.17880556357</v>
      </c>
      <c r="J120" s="101">
        <f>IF(J29=0,0,1000000*J29/TrRoad_act!J69)</f>
        <v>39642.493577625981</v>
      </c>
      <c r="K120" s="101">
        <f>IF(K29=0,0,1000000*K29/TrRoad_act!K69)</f>
        <v>39563.457815622467</v>
      </c>
      <c r="L120" s="101">
        <f>IF(L29=0,0,1000000*L29/TrRoad_act!L69)</f>
        <v>39198.896052016556</v>
      </c>
      <c r="M120" s="101">
        <f>IF(M29=0,0,1000000*M29/TrRoad_act!M69)</f>
        <v>39774.482262296122</v>
      </c>
      <c r="N120" s="101">
        <f>IF(N29=0,0,1000000*N29/TrRoad_act!N69)</f>
        <v>39110.003293567504</v>
      </c>
      <c r="O120" s="101">
        <f>IF(O29=0,0,1000000*O29/TrRoad_act!O69)</f>
        <v>38350.17399242206</v>
      </c>
      <c r="P120" s="101">
        <f>IF(P29=0,0,1000000*P29/TrRoad_act!P69)</f>
        <v>38528.216972824695</v>
      </c>
      <c r="Q120" s="101">
        <f>IF(Q29=0,0,1000000*Q29/TrRoad_act!Q69)</f>
        <v>38992.809957123965</v>
      </c>
      <c r="R120" s="101">
        <f>IF(R29=0,0,1000000*R29/TrRoad_act!R69)</f>
        <v>41749.781052075683</v>
      </c>
      <c r="S120" s="101">
        <f>IF(S29=0,0,1000000*S29/TrRoad_act!S69)</f>
        <v>42248.296714811935</v>
      </c>
      <c r="T120" s="101">
        <f>IF(T29=0,0,1000000*T29/TrRoad_act!T69)</f>
        <v>43571.746970419947</v>
      </c>
      <c r="U120" s="101">
        <f>IF(U29=0,0,1000000*U29/TrRoad_act!U69)</f>
        <v>34776.778792484612</v>
      </c>
      <c r="V120" s="101">
        <f>IF(V29=0,0,1000000*V29/TrRoad_act!V69)</f>
        <v>30276.072303163055</v>
      </c>
      <c r="W120" s="101">
        <f>IF(W29=0,0,1000000*W29/TrRoad_act!W69)</f>
        <v>37573.818339385019</v>
      </c>
      <c r="X120" s="101">
        <f>IF(X29=0,0,1000000*X29/TrRoad_act!X69)</f>
        <v>41294.421693243319</v>
      </c>
      <c r="Y120" s="101">
        <f>IF(Y29=0,0,1000000*Y29/TrRoad_act!Y69)</f>
        <v>44106.989489953346</v>
      </c>
      <c r="DA120" s="175" t="s">
        <v>823</v>
      </c>
    </row>
    <row r="121" spans="1:105" ht="11.45" customHeight="1" x14ac:dyDescent="0.25">
      <c r="A121" s="111" t="s">
        <v>112</v>
      </c>
      <c r="B121" s="101">
        <f>IF(B30=0,0,1000000*B30/TrRoad_act!B70)</f>
        <v>0</v>
      </c>
      <c r="C121" s="101">
        <f>IF(C30=0,0,1000000*C30/TrRoad_act!C70)</f>
        <v>0</v>
      </c>
      <c r="D121" s="101">
        <f>IF(D30=0,0,1000000*D30/TrRoad_act!D70)</f>
        <v>0</v>
      </c>
      <c r="E121" s="101">
        <f>IF(E30=0,0,1000000*E30/TrRoad_act!E70)</f>
        <v>0</v>
      </c>
      <c r="F121" s="101">
        <f>IF(F30=0,0,1000000*F30/TrRoad_act!F70)</f>
        <v>0</v>
      </c>
      <c r="G121" s="101">
        <f>IF(G30=0,0,1000000*G30/TrRoad_act!G70)</f>
        <v>0</v>
      </c>
      <c r="H121" s="101">
        <f>IF(H30=0,0,1000000*H30/TrRoad_act!H70)</f>
        <v>0</v>
      </c>
      <c r="I121" s="101">
        <f>IF(I30=0,0,1000000*I30/TrRoad_act!I70)</f>
        <v>0</v>
      </c>
      <c r="J121" s="101">
        <f>IF(J30=0,0,1000000*J30/TrRoad_act!J70)</f>
        <v>0</v>
      </c>
      <c r="K121" s="101">
        <f>IF(K30=0,0,1000000*K30/TrRoad_act!K70)</f>
        <v>0</v>
      </c>
      <c r="L121" s="101">
        <f>IF(L30=0,0,1000000*L30/TrRoad_act!L70)</f>
        <v>20509.625184114058</v>
      </c>
      <c r="M121" s="101">
        <f>IF(M30=0,0,1000000*M30/TrRoad_act!M70)</f>
        <v>21142.327605127753</v>
      </c>
      <c r="N121" s="101">
        <f>IF(N30=0,0,1000000*N30/TrRoad_act!N70)</f>
        <v>21586.113360861538</v>
      </c>
      <c r="O121" s="101">
        <f>IF(O30=0,0,1000000*O30/TrRoad_act!O70)</f>
        <v>21328.925522678339</v>
      </c>
      <c r="P121" s="101">
        <f>IF(P30=0,0,1000000*P30/TrRoad_act!P70)</f>
        <v>21604.565728613146</v>
      </c>
      <c r="Q121" s="101">
        <f>IF(Q30=0,0,1000000*Q30/TrRoad_act!Q70)</f>
        <v>22270.915799828555</v>
      </c>
      <c r="R121" s="101">
        <f>IF(R30=0,0,1000000*R30/TrRoad_act!R70)</f>
        <v>23349.030899889367</v>
      </c>
      <c r="S121" s="101">
        <f>IF(S30=0,0,1000000*S30/TrRoad_act!S70)</f>
        <v>23335.322636853558</v>
      </c>
      <c r="T121" s="101">
        <f>IF(T30=0,0,1000000*T30/TrRoad_act!T70)</f>
        <v>24404.299085430306</v>
      </c>
      <c r="U121" s="101">
        <f>IF(U30=0,0,1000000*U30/TrRoad_act!U70)</f>
        <v>18862.040975576321</v>
      </c>
      <c r="V121" s="101">
        <f>IF(V30=0,0,1000000*V30/TrRoad_act!V70)</f>
        <v>16486.329799427294</v>
      </c>
      <c r="W121" s="101">
        <f>IF(W30=0,0,1000000*W30/TrRoad_act!W70)</f>
        <v>21036.352775686708</v>
      </c>
      <c r="X121" s="101">
        <f>IF(X30=0,0,1000000*X30/TrRoad_act!X70)</f>
        <v>23348.909465759923</v>
      </c>
      <c r="Y121" s="101">
        <f>IF(Y30=0,0,1000000*Y30/TrRoad_act!Y70)</f>
        <v>25240.192104793638</v>
      </c>
      <c r="DA121" s="175" t="s">
        <v>824</v>
      </c>
    </row>
    <row r="122" spans="1:105" ht="11.45" customHeight="1" x14ac:dyDescent="0.25">
      <c r="A122" s="111" t="s">
        <v>113</v>
      </c>
      <c r="B122" s="101">
        <f>IF(B31=0,0,1000000*B31/TrRoad_act!B71)</f>
        <v>64036.097560975599</v>
      </c>
      <c r="C122" s="101">
        <f>IF(C31=0,0,1000000*C31/TrRoad_act!C71)</f>
        <v>54937.305699481862</v>
      </c>
      <c r="D122" s="101">
        <f>IF(D31=0,0,1000000*D31/TrRoad_act!D71)</f>
        <v>52956.938110749201</v>
      </c>
      <c r="E122" s="101">
        <f>IF(E31=0,0,1000000*E31/TrRoad_act!E71)</f>
        <v>50732.158273381305</v>
      </c>
      <c r="F122" s="101">
        <f>IF(F31=0,0,1000000*F31/TrRoad_act!F71)</f>
        <v>48814.446902654869</v>
      </c>
      <c r="G122" s="101">
        <f>IF(G31=0,0,1000000*G31/TrRoad_act!G71)</f>
        <v>45875.799648506159</v>
      </c>
      <c r="H122" s="101">
        <f>IF(H31=0,0,1000000*H31/TrRoad_act!H71)</f>
        <v>44270.217391304344</v>
      </c>
      <c r="I122" s="101">
        <f>IF(I31=0,0,1000000*I31/TrRoad_act!I71)</f>
        <v>44731.63636363636</v>
      </c>
      <c r="J122" s="101">
        <f>IF(J31=0,0,1000000*J31/TrRoad_act!J71)</f>
        <v>43825.94720496895</v>
      </c>
      <c r="K122" s="101">
        <f>IF(K31=0,0,1000000*K31/TrRoad_act!K71)</f>
        <v>42150.810810810828</v>
      </c>
      <c r="L122" s="101">
        <f>IF(L31=0,0,1000000*L31/TrRoad_act!L71)</f>
        <v>43992.651746800882</v>
      </c>
      <c r="M122" s="101">
        <f>IF(M31=0,0,1000000*M31/TrRoad_act!M71)</f>
        <v>45356.779360982997</v>
      </c>
      <c r="N122" s="101">
        <f>IF(N31=0,0,1000000*N31/TrRoad_act!N71)</f>
        <v>44904.391521244041</v>
      </c>
      <c r="O122" s="101">
        <f>IF(O31=0,0,1000000*O31/TrRoad_act!O71)</f>
        <v>48472.567521582372</v>
      </c>
      <c r="P122" s="101">
        <f>IF(P31=0,0,1000000*P31/TrRoad_act!P71)</f>
        <v>49670.466351747011</v>
      </c>
      <c r="Q122" s="101">
        <f>IF(Q31=0,0,1000000*Q31/TrRoad_act!Q71)</f>
        <v>60965.746336093223</v>
      </c>
      <c r="R122" s="101">
        <f>IF(R31=0,0,1000000*R31/TrRoad_act!R71)</f>
        <v>63644.714842549227</v>
      </c>
      <c r="S122" s="101">
        <f>IF(S31=0,0,1000000*S31/TrRoad_act!S71)</f>
        <v>71856.592103904826</v>
      </c>
      <c r="T122" s="101">
        <f>IF(T31=0,0,1000000*T31/TrRoad_act!T71)</f>
        <v>53387.748579424013</v>
      </c>
      <c r="U122" s="101">
        <f>IF(U31=0,0,1000000*U31/TrRoad_act!U71)</f>
        <v>87794.629387085995</v>
      </c>
      <c r="V122" s="101">
        <f>IF(V31=0,0,1000000*V31/TrRoad_act!V71)</f>
        <v>82845.303163769146</v>
      </c>
      <c r="W122" s="101">
        <f>IF(W31=0,0,1000000*W31/TrRoad_act!W71)</f>
        <v>71027.051087085711</v>
      </c>
      <c r="X122" s="101">
        <f>IF(X31=0,0,1000000*X31/TrRoad_act!X71)</f>
        <v>99190.781324299256</v>
      </c>
      <c r="Y122" s="101">
        <f>IF(Y31=0,0,1000000*Y31/TrRoad_act!Y71)</f>
        <v>94592.263687897663</v>
      </c>
      <c r="DA122" s="175" t="s">
        <v>825</v>
      </c>
    </row>
    <row r="123" spans="1:105" ht="11.45" customHeight="1" x14ac:dyDescent="0.25">
      <c r="A123" s="111" t="s">
        <v>115</v>
      </c>
      <c r="B123" s="101">
        <f>IF(B32=0,0,1000000*B32/TrRoad_act!B72)</f>
        <v>0</v>
      </c>
      <c r="C123" s="101">
        <f>IF(C32=0,0,1000000*C32/TrRoad_act!C72)</f>
        <v>0</v>
      </c>
      <c r="D123" s="101">
        <f>IF(D32=0,0,1000000*D32/TrRoad_act!D72)</f>
        <v>0</v>
      </c>
      <c r="E123" s="101">
        <f>IF(E32=0,0,1000000*E32/TrRoad_act!E72)</f>
        <v>0</v>
      </c>
      <c r="F123" s="101">
        <f>IF(F32=0,0,1000000*F32/TrRoad_act!F72)</f>
        <v>0</v>
      </c>
      <c r="G123" s="101">
        <f>IF(G32=0,0,1000000*G32/TrRoad_act!G72)</f>
        <v>0</v>
      </c>
      <c r="H123" s="101">
        <f>IF(H32=0,0,1000000*H32/TrRoad_act!H72)</f>
        <v>0</v>
      </c>
      <c r="I123" s="101">
        <f>IF(I32=0,0,1000000*I32/TrRoad_act!I72)</f>
        <v>0</v>
      </c>
      <c r="J123" s="101">
        <f>IF(J32=0,0,1000000*J32/TrRoad_act!J72)</f>
        <v>0</v>
      </c>
      <c r="K123" s="101">
        <f>IF(K32=0,0,1000000*K32/TrRoad_act!K72)</f>
        <v>0</v>
      </c>
      <c r="L123" s="101">
        <f>IF(L32=0,0,1000000*L32/TrRoad_act!L72)</f>
        <v>0</v>
      </c>
      <c r="M123" s="101">
        <f>IF(M32=0,0,1000000*M32/TrRoad_act!M72)</f>
        <v>0</v>
      </c>
      <c r="N123" s="101">
        <f>IF(N32=0,0,1000000*N32/TrRoad_act!N72)</f>
        <v>0</v>
      </c>
      <c r="O123" s="101">
        <f>IF(O32=0,0,1000000*O32/TrRoad_act!O72)</f>
        <v>0</v>
      </c>
      <c r="P123" s="101">
        <f>IF(P32=0,0,1000000*P32/TrRoad_act!P72)</f>
        <v>0</v>
      </c>
      <c r="Q123" s="101">
        <f>IF(Q32=0,0,1000000*Q32/TrRoad_act!Q72)</f>
        <v>0</v>
      </c>
      <c r="R123" s="101">
        <f>IF(R32=0,0,1000000*R32/TrRoad_act!R72)</f>
        <v>0</v>
      </c>
      <c r="S123" s="101">
        <f>IF(S32=0,0,1000000*S32/TrRoad_act!S72)</f>
        <v>0</v>
      </c>
      <c r="T123" s="101">
        <f>IF(T32=0,0,1000000*T32/TrRoad_act!T72)</f>
        <v>0</v>
      </c>
      <c r="U123" s="101">
        <f>IF(U32=0,0,1000000*U32/TrRoad_act!U72)</f>
        <v>0</v>
      </c>
      <c r="V123" s="101">
        <f>IF(V32=0,0,1000000*V32/TrRoad_act!V72)</f>
        <v>0</v>
      </c>
      <c r="W123" s="101">
        <f>IF(W32=0,0,1000000*W32/TrRoad_act!W72)</f>
        <v>0</v>
      </c>
      <c r="X123" s="101">
        <f>IF(X32=0,0,1000000*X32/TrRoad_act!X72)</f>
        <v>0</v>
      </c>
      <c r="Y123" s="101">
        <f>IF(Y32=0,0,1000000*Y32/TrRoad_act!Y72)</f>
        <v>0</v>
      </c>
      <c r="DA123" s="175" t="s">
        <v>826</v>
      </c>
    </row>
    <row r="124" spans="1:105" ht="11.45" customHeight="1" x14ac:dyDescent="0.25">
      <c r="A124" s="27" t="s">
        <v>34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DA124" s="173"/>
    </row>
    <row r="125" spans="1:105" ht="11.45" customHeight="1" x14ac:dyDescent="0.25">
      <c r="A125" s="136" t="s">
        <v>153</v>
      </c>
      <c r="B125" s="152">
        <f>IF(B34=0,0,1000000*B34/TrRoad_act!B74)</f>
        <v>4230.2732455379028</v>
      </c>
      <c r="C125" s="152">
        <f>IF(C34=0,0,1000000*C34/TrRoad_act!C74)</f>
        <v>3708.3650534789545</v>
      </c>
      <c r="D125" s="152">
        <f>IF(D34=0,0,1000000*D34/TrRoad_act!D74)</f>
        <v>3797.6889539458484</v>
      </c>
      <c r="E125" s="152">
        <f>IF(E34=0,0,1000000*E34/TrRoad_act!E74)</f>
        <v>4034.6796624734361</v>
      </c>
      <c r="F125" s="152">
        <f>IF(F34=0,0,1000000*F34/TrRoad_act!F74)</f>
        <v>3783.524595510567</v>
      </c>
      <c r="G125" s="152">
        <f>IF(G34=0,0,1000000*G34/TrRoad_act!G74)</f>
        <v>3495.1182991216579</v>
      </c>
      <c r="H125" s="152">
        <f>IF(H34=0,0,1000000*H34/TrRoad_act!H74)</f>
        <v>3337.6637410376775</v>
      </c>
      <c r="I125" s="152">
        <f>IF(I34=0,0,1000000*I34/TrRoad_act!I74)</f>
        <v>3044.970454043565</v>
      </c>
      <c r="J125" s="152">
        <f>IF(J34=0,0,1000000*J34/TrRoad_act!J74)</f>
        <v>2994.3469915619012</v>
      </c>
      <c r="K125" s="152">
        <f>IF(K34=0,0,1000000*K34/TrRoad_act!K74)</f>
        <v>2917.585251772708</v>
      </c>
      <c r="L125" s="152">
        <f>IF(L34=0,0,1000000*L34/TrRoad_act!L74)</f>
        <v>2757.6086236848555</v>
      </c>
      <c r="M125" s="152">
        <f>IF(M34=0,0,1000000*M34/TrRoad_act!M74)</f>
        <v>2429.6408334828679</v>
      </c>
      <c r="N125" s="152">
        <f>IF(N34=0,0,1000000*N34/TrRoad_act!N74)</f>
        <v>2309.0523015150366</v>
      </c>
      <c r="O125" s="152">
        <f>IF(O34=0,0,1000000*O34/TrRoad_act!O74)</f>
        <v>2214.3610135664044</v>
      </c>
      <c r="P125" s="152">
        <f>IF(P34=0,0,1000000*P34/TrRoad_act!P74)</f>
        <v>2160.6363845475385</v>
      </c>
      <c r="Q125" s="152">
        <f>IF(Q34=0,0,1000000*Q34/TrRoad_act!Q74)</f>
        <v>2172.0823543764222</v>
      </c>
      <c r="R125" s="152">
        <f>IF(R34=0,0,1000000*R34/TrRoad_act!R74)</f>
        <v>2279.1569551043294</v>
      </c>
      <c r="S125" s="152">
        <f>IF(S34=0,0,1000000*S34/TrRoad_act!S74)</f>
        <v>2304.950763688676</v>
      </c>
      <c r="T125" s="152">
        <f>IF(T34=0,0,1000000*T34/TrRoad_act!T74)</f>
        <v>2277.4654999362797</v>
      </c>
      <c r="U125" s="152">
        <f>IF(U34=0,0,1000000*U34/TrRoad_act!U74)</f>
        <v>2093.9536227090821</v>
      </c>
      <c r="V125" s="152">
        <f>IF(V34=0,0,1000000*V34/TrRoad_act!V74)</f>
        <v>1907.7266419331327</v>
      </c>
      <c r="W125" s="152">
        <f>IF(W34=0,0,1000000*W34/TrRoad_act!W74)</f>
        <v>2083.6506924137057</v>
      </c>
      <c r="X125" s="152">
        <f>IF(X34=0,0,1000000*X34/TrRoad_act!X74)</f>
        <v>2351.7402493801301</v>
      </c>
      <c r="Y125" s="152">
        <f>IF(Y34=0,0,1000000*Y34/TrRoad_act!Y74)</f>
        <v>2650.597236548037</v>
      </c>
      <c r="DA125" s="174" t="s">
        <v>827</v>
      </c>
    </row>
    <row r="126" spans="1:105" ht="11.45" customHeight="1" x14ac:dyDescent="0.25">
      <c r="A126" s="111" t="s">
        <v>110</v>
      </c>
      <c r="B126" s="87">
        <f>IF(B35=0,0,1000000*B35/TrRoad_act!B75)</f>
        <v>2968.9031035449011</v>
      </c>
      <c r="C126" s="87">
        <f>IF(C35=0,0,1000000*C35/TrRoad_act!C75)</f>
        <v>2663.4899096477061</v>
      </c>
      <c r="D126" s="87">
        <f>IF(D35=0,0,1000000*D35/TrRoad_act!D75)</f>
        <v>2774.7978167720917</v>
      </c>
      <c r="E126" s="87">
        <f>IF(E35=0,0,1000000*E35/TrRoad_act!E75)</f>
        <v>2889.1733982870246</v>
      </c>
      <c r="F126" s="87">
        <f>IF(F35=0,0,1000000*F35/TrRoad_act!F75)</f>
        <v>2717.6277603699245</v>
      </c>
      <c r="G126" s="87">
        <f>IF(G35=0,0,1000000*G35/TrRoad_act!G75)</f>
        <v>2505.7716462584717</v>
      </c>
      <c r="H126" s="87">
        <f>IF(H35=0,0,1000000*H35/TrRoad_act!H75)</f>
        <v>2442.4504970471598</v>
      </c>
      <c r="I126" s="87">
        <f>IF(I35=0,0,1000000*I35/TrRoad_act!I75)</f>
        <v>2235.9263394082109</v>
      </c>
      <c r="J126" s="87">
        <f>IF(J35=0,0,1000000*J35/TrRoad_act!J75)</f>
        <v>2215.2084333776761</v>
      </c>
      <c r="K126" s="87">
        <f>IF(K35=0,0,1000000*K35/TrRoad_act!K75)</f>
        <v>2220.8058431862573</v>
      </c>
      <c r="L126" s="87">
        <f>IF(L35=0,0,1000000*L35/TrRoad_act!L75)</f>
        <v>2153.4337507767773</v>
      </c>
      <c r="M126" s="87">
        <f>IF(M35=0,0,1000000*M35/TrRoad_act!M75)</f>
        <v>1896.3707323407129</v>
      </c>
      <c r="N126" s="87">
        <f>IF(N35=0,0,1000000*N35/TrRoad_act!N75)</f>
        <v>1838.8002148584221</v>
      </c>
      <c r="O126" s="87">
        <f>IF(O35=0,0,1000000*O35/TrRoad_act!O75)</f>
        <v>1761.2096012376571</v>
      </c>
      <c r="P126" s="87">
        <f>IF(P35=0,0,1000000*P35/TrRoad_act!P75)</f>
        <v>1810.0555260275703</v>
      </c>
      <c r="Q126" s="87">
        <f>IF(Q35=0,0,1000000*Q35/TrRoad_act!Q75)</f>
        <v>1813.8786151686033</v>
      </c>
      <c r="R126" s="87">
        <f>IF(R35=0,0,1000000*R35/TrRoad_act!R75)</f>
        <v>1765.7346585052785</v>
      </c>
      <c r="S126" s="87">
        <f>IF(S35=0,0,1000000*S35/TrRoad_act!S75)</f>
        <v>1749.5701380610881</v>
      </c>
      <c r="T126" s="87">
        <f>IF(T35=0,0,1000000*T35/TrRoad_act!T75)</f>
        <v>1670.1640124385399</v>
      </c>
      <c r="U126" s="87">
        <f>IF(U35=0,0,1000000*U35/TrRoad_act!U75)</f>
        <v>1470.8346903516194</v>
      </c>
      <c r="V126" s="87">
        <f>IF(V35=0,0,1000000*V35/TrRoad_act!V75)</f>
        <v>1275.4197152745091</v>
      </c>
      <c r="W126" s="87">
        <f>IF(W35=0,0,1000000*W35/TrRoad_act!W75)</f>
        <v>1391.3683748141516</v>
      </c>
      <c r="X126" s="87">
        <f>IF(X35=0,0,1000000*X35/TrRoad_act!X75)</f>
        <v>1581.3167958451991</v>
      </c>
      <c r="Y126" s="87">
        <f>IF(Y35=0,0,1000000*Y35/TrRoad_act!Y75)</f>
        <v>1789.8396659506457</v>
      </c>
      <c r="DA126" s="171" t="s">
        <v>828</v>
      </c>
    </row>
    <row r="127" spans="1:105" ht="11.45" customHeight="1" x14ac:dyDescent="0.25">
      <c r="A127" s="111" t="s">
        <v>111</v>
      </c>
      <c r="B127" s="87">
        <f>IF(B36=0,0,1000000*B36/TrRoad_act!B76)</f>
        <v>4252.5929050519508</v>
      </c>
      <c r="C127" s="87">
        <f>IF(C36=0,0,1000000*C36/TrRoad_act!C76)</f>
        <v>3724.7567922675462</v>
      </c>
      <c r="D127" s="87">
        <f>IF(D36=0,0,1000000*D36/TrRoad_act!D76)</f>
        <v>3813.20296174737</v>
      </c>
      <c r="E127" s="87">
        <f>IF(E36=0,0,1000000*E36/TrRoad_act!E76)</f>
        <v>4054.2195908556891</v>
      </c>
      <c r="F127" s="87">
        <f>IF(F36=0,0,1000000*F36/TrRoad_act!F76)</f>
        <v>3800.3648387229223</v>
      </c>
      <c r="G127" s="87">
        <f>IF(G36=0,0,1000000*G36/TrRoad_act!G76)</f>
        <v>3510.3221868467626</v>
      </c>
      <c r="H127" s="87">
        <f>IF(H36=0,0,1000000*H36/TrRoad_act!H76)</f>
        <v>3350.9874420933652</v>
      </c>
      <c r="I127" s="87">
        <f>IF(I36=0,0,1000000*I36/TrRoad_act!I76)</f>
        <v>3056.657213839107</v>
      </c>
      <c r="J127" s="87">
        <f>IF(J36=0,0,1000000*J36/TrRoad_act!J76)</f>
        <v>3005.2840032363679</v>
      </c>
      <c r="K127" s="87">
        <f>IF(K36=0,0,1000000*K36/TrRoad_act!K76)</f>
        <v>2927.0308606671815</v>
      </c>
      <c r="L127" s="87">
        <f>IF(L36=0,0,1000000*L36/TrRoad_act!L76)</f>
        <v>2765.4936498699185</v>
      </c>
      <c r="M127" s="87">
        <f>IF(M36=0,0,1000000*M36/TrRoad_act!M76)</f>
        <v>2435.9001685697231</v>
      </c>
      <c r="N127" s="87">
        <f>IF(N36=0,0,1000000*N36/TrRoad_act!N76)</f>
        <v>2314.5193743371756</v>
      </c>
      <c r="O127" s="87">
        <f>IF(O36=0,0,1000000*O36/TrRoad_act!O76)</f>
        <v>2219.2615220610369</v>
      </c>
      <c r="P127" s="87">
        <f>IF(P36=0,0,1000000*P36/TrRoad_act!P76)</f>
        <v>2163.9131215493958</v>
      </c>
      <c r="Q127" s="87">
        <f>IF(Q36=0,0,1000000*Q36/TrRoad_act!Q76)</f>
        <v>2175.8190081613766</v>
      </c>
      <c r="R127" s="87">
        <f>IF(R36=0,0,1000000*R36/TrRoad_act!R76)</f>
        <v>2284.3496951321335</v>
      </c>
      <c r="S127" s="87">
        <f>IF(S36=0,0,1000000*S36/TrRoad_act!S76)</f>
        <v>2311.5895075752619</v>
      </c>
      <c r="T127" s="87">
        <f>IF(T36=0,0,1000000*T36/TrRoad_act!T76)</f>
        <v>2285.227460689443</v>
      </c>
      <c r="U127" s="87">
        <f>IF(U36=0,0,1000000*U36/TrRoad_act!U76)</f>
        <v>2103.5661433043051</v>
      </c>
      <c r="V127" s="87">
        <f>IF(V36=0,0,1000000*V36/TrRoad_act!V76)</f>
        <v>1916.2126022102038</v>
      </c>
      <c r="W127" s="87">
        <f>IF(W36=0,0,1000000*W36/TrRoad_act!W76)</f>
        <v>2093.3395881571491</v>
      </c>
      <c r="X127" s="87">
        <f>IF(X36=0,0,1000000*X36/TrRoad_act!X76)</f>
        <v>2364.2627590518582</v>
      </c>
      <c r="Y127" s="87">
        <f>IF(Y36=0,0,1000000*Y36/TrRoad_act!Y76)</f>
        <v>2669.2529192086472</v>
      </c>
      <c r="DA127" s="171" t="s">
        <v>829</v>
      </c>
    </row>
    <row r="128" spans="1:105" ht="11.45" customHeight="1" x14ac:dyDescent="0.25">
      <c r="A128" s="111" t="s">
        <v>112</v>
      </c>
      <c r="B128" s="87">
        <f>IF(B37=0,0,1000000*B37/TrRoad_act!B77)</f>
        <v>4779.6635724150865</v>
      </c>
      <c r="C128" s="87">
        <f>IF(C37=0,0,1000000*C37/TrRoad_act!C77)</f>
        <v>4351.3938376204724</v>
      </c>
      <c r="D128" s="87">
        <f>IF(D37=0,0,1000000*D37/TrRoad_act!D77)</f>
        <v>4451.7338599724562</v>
      </c>
      <c r="E128" s="87">
        <f>IF(E37=0,0,1000000*E37/TrRoad_act!E77)</f>
        <v>4572.5113611030993</v>
      </c>
      <c r="F128" s="87">
        <f>IF(F37=0,0,1000000*F37/TrRoad_act!F77)</f>
        <v>4332.0333985747729</v>
      </c>
      <c r="G128" s="87">
        <f>IF(G37=0,0,1000000*G37/TrRoad_act!G77)</f>
        <v>4008.000510162683</v>
      </c>
      <c r="H128" s="87">
        <f>IF(H37=0,0,1000000*H37/TrRoad_act!H77)</f>
        <v>3897.1062913841197</v>
      </c>
      <c r="I128" s="87">
        <f>IF(I37=0,0,1000000*I37/TrRoad_act!I77)</f>
        <v>3593.2982264424404</v>
      </c>
      <c r="J128" s="87">
        <f>IF(J37=0,0,1000000*J37/TrRoad_act!J77)</f>
        <v>3539.475254590137</v>
      </c>
      <c r="K128" s="87">
        <f>IF(K37=0,0,1000000*K37/TrRoad_act!K77)</f>
        <v>3517.3974380512036</v>
      </c>
      <c r="L128" s="87">
        <f>IF(L37=0,0,1000000*L37/TrRoad_act!L77)</f>
        <v>3427.9706313216234</v>
      </c>
      <c r="M128" s="87">
        <f>IF(M37=0,0,1000000*M37/TrRoad_act!M77)</f>
        <v>3034.4762671599374</v>
      </c>
      <c r="N128" s="87">
        <f>IF(N37=0,0,1000000*N37/TrRoad_act!N77)</f>
        <v>2858.5099054133766</v>
      </c>
      <c r="O128" s="87">
        <f>IF(O37=0,0,1000000*O37/TrRoad_act!O77)</f>
        <v>2764.5933763820444</v>
      </c>
      <c r="P128" s="87">
        <f>IF(P37=0,0,1000000*P37/TrRoad_act!P77)</f>
        <v>2690.3495181419439</v>
      </c>
      <c r="Q128" s="87">
        <f>IF(Q37=0,0,1000000*Q37/TrRoad_act!Q77)</f>
        <v>2761.6623580611199</v>
      </c>
      <c r="R128" s="87">
        <f>IF(R37=0,0,1000000*R37/TrRoad_act!R77)</f>
        <v>2709.6684113543924</v>
      </c>
      <c r="S128" s="87">
        <f>IF(S37=0,0,1000000*S37/TrRoad_act!S77)</f>
        <v>2637.0361303395439</v>
      </c>
      <c r="T128" s="87">
        <f>IF(T37=0,0,1000000*T37/TrRoad_act!T77)</f>
        <v>2482.6209922828298</v>
      </c>
      <c r="U128" s="87">
        <f>IF(U37=0,0,1000000*U37/TrRoad_act!U77)</f>
        <v>2126.6249554589353</v>
      </c>
      <c r="V128" s="87">
        <f>IF(V37=0,0,1000000*V37/TrRoad_act!V77)</f>
        <v>1904.931633660686</v>
      </c>
      <c r="W128" s="87">
        <f>IF(W37=0,0,1000000*W37/TrRoad_act!W77)</f>
        <v>2040.8300710323467</v>
      </c>
      <c r="X128" s="87">
        <f>IF(X37=0,0,1000000*X37/TrRoad_act!X77)</f>
        <v>2281.3096882050086</v>
      </c>
      <c r="Y128" s="87">
        <f>IF(Y37=0,0,1000000*Y37/TrRoad_act!Y77)</f>
        <v>2469.3052163853436</v>
      </c>
      <c r="DA128" s="171" t="s">
        <v>830</v>
      </c>
    </row>
    <row r="129" spans="1:105" ht="11.45" customHeight="1" x14ac:dyDescent="0.25">
      <c r="A129" s="111" t="s">
        <v>113</v>
      </c>
      <c r="B129" s="87">
        <f>IF(B38=0,0,1000000*B38/TrRoad_act!B78)</f>
        <v>0</v>
      </c>
      <c r="C129" s="87">
        <f>IF(C38=0,0,1000000*C38/TrRoad_act!C78)</f>
        <v>0</v>
      </c>
      <c r="D129" s="87">
        <f>IF(D38=0,0,1000000*D38/TrRoad_act!D78)</f>
        <v>0</v>
      </c>
      <c r="E129" s="87">
        <f>IF(E38=0,0,1000000*E38/TrRoad_act!E78)</f>
        <v>0</v>
      </c>
      <c r="F129" s="87">
        <f>IF(F38=0,0,1000000*F38/TrRoad_act!F78)</f>
        <v>0</v>
      </c>
      <c r="G129" s="87">
        <f>IF(G38=0,0,1000000*G38/TrRoad_act!G78)</f>
        <v>0</v>
      </c>
      <c r="H129" s="87">
        <f>IF(H38=0,0,1000000*H38/TrRoad_act!H78)</f>
        <v>0</v>
      </c>
      <c r="I129" s="87">
        <f>IF(I38=0,0,1000000*I38/TrRoad_act!I78)</f>
        <v>0</v>
      </c>
      <c r="J129" s="87">
        <f>IF(J38=0,0,1000000*J38/TrRoad_act!J78)</f>
        <v>0</v>
      </c>
      <c r="K129" s="87">
        <f>IF(K38=0,0,1000000*K38/TrRoad_act!K78)</f>
        <v>0</v>
      </c>
      <c r="L129" s="87">
        <f>IF(L38=0,0,1000000*L38/TrRoad_act!L78)</f>
        <v>0</v>
      </c>
      <c r="M129" s="87">
        <f>IF(M38=0,0,1000000*M38/TrRoad_act!M78)</f>
        <v>0</v>
      </c>
      <c r="N129" s="87">
        <f>IF(N38=0,0,1000000*N38/TrRoad_act!N78)</f>
        <v>0</v>
      </c>
      <c r="O129" s="87">
        <f>IF(O38=0,0,1000000*O38/TrRoad_act!O78)</f>
        <v>1841.4564422842625</v>
      </c>
      <c r="P129" s="87">
        <f>IF(P38=0,0,1000000*P38/TrRoad_act!P78)</f>
        <v>1859.0057366358012</v>
      </c>
      <c r="Q129" s="87">
        <f>IF(Q38=0,0,1000000*Q38/TrRoad_act!Q78)</f>
        <v>2134.4401766602559</v>
      </c>
      <c r="R129" s="87">
        <f>IF(R38=0,0,1000000*R38/TrRoad_act!R78)</f>
        <v>2021.4308969025656</v>
      </c>
      <c r="S129" s="87">
        <f>IF(S38=0,0,1000000*S38/TrRoad_act!S78)</f>
        <v>1999.3072221928753</v>
      </c>
      <c r="T129" s="87">
        <f>IF(T38=0,0,1000000*T38/TrRoad_act!T78)</f>
        <v>2005.7991089420507</v>
      </c>
      <c r="U129" s="87">
        <f>IF(U38=0,0,1000000*U38/TrRoad_act!U78)</f>
        <v>2053.9212076443418</v>
      </c>
      <c r="V129" s="87">
        <f>IF(V38=0,0,1000000*V38/TrRoad_act!V78)</f>
        <v>1858.5938320547159</v>
      </c>
      <c r="W129" s="87">
        <f>IF(W38=0,0,1000000*W38/TrRoad_act!W78)</f>
        <v>2034.0795475500925</v>
      </c>
      <c r="X129" s="87">
        <f>IF(X38=0,0,1000000*X38/TrRoad_act!X78)</f>
        <v>2264.9431717922039</v>
      </c>
      <c r="Y129" s="87">
        <f>IF(Y38=0,0,1000000*Y38/TrRoad_act!Y78)</f>
        <v>2453.573622536077</v>
      </c>
      <c r="DA129" s="171" t="s">
        <v>831</v>
      </c>
    </row>
    <row r="130" spans="1:105" ht="11.45" customHeight="1" x14ac:dyDescent="0.25">
      <c r="A130" s="111" t="s">
        <v>115</v>
      </c>
      <c r="B130" s="87">
        <f>IF(B39=0,0,1000000*B39/TrRoad_act!B79)</f>
        <v>0</v>
      </c>
      <c r="C130" s="87">
        <f>IF(C39=0,0,1000000*C39/TrRoad_act!C79)</f>
        <v>0</v>
      </c>
      <c r="D130" s="87">
        <f>IF(D39=0,0,1000000*D39/TrRoad_act!D79)</f>
        <v>0</v>
      </c>
      <c r="E130" s="87">
        <f>IF(E39=0,0,1000000*E39/TrRoad_act!E79)</f>
        <v>0</v>
      </c>
      <c r="F130" s="87">
        <f>IF(F39=0,0,1000000*F39/TrRoad_act!F79)</f>
        <v>0</v>
      </c>
      <c r="G130" s="87">
        <f>IF(G39=0,0,1000000*G39/TrRoad_act!G79)</f>
        <v>0</v>
      </c>
      <c r="H130" s="87">
        <f>IF(H39=0,0,1000000*H39/TrRoad_act!H79)</f>
        <v>0</v>
      </c>
      <c r="I130" s="87">
        <f>IF(I39=0,0,1000000*I39/TrRoad_act!I79)</f>
        <v>0</v>
      </c>
      <c r="J130" s="87">
        <f>IF(J39=0,0,1000000*J39/TrRoad_act!J79)</f>
        <v>0</v>
      </c>
      <c r="K130" s="87">
        <f>IF(K39=0,0,1000000*K39/TrRoad_act!K79)</f>
        <v>0</v>
      </c>
      <c r="L130" s="87">
        <f>IF(L39=0,0,1000000*L39/TrRoad_act!L79)</f>
        <v>0</v>
      </c>
      <c r="M130" s="87">
        <f>IF(M39=0,0,1000000*M39/TrRoad_act!M79)</f>
        <v>0</v>
      </c>
      <c r="N130" s="87">
        <f>IF(N39=0,0,1000000*N39/TrRoad_act!N79)</f>
        <v>0</v>
      </c>
      <c r="O130" s="87">
        <f>IF(O39=0,0,1000000*O39/TrRoad_act!O79)</f>
        <v>0</v>
      </c>
      <c r="P130" s="87">
        <f>IF(P39=0,0,1000000*P39/TrRoad_act!P79)</f>
        <v>0</v>
      </c>
      <c r="Q130" s="87">
        <f>IF(Q39=0,0,1000000*Q39/TrRoad_act!Q79)</f>
        <v>0</v>
      </c>
      <c r="R130" s="87">
        <f>IF(R39=0,0,1000000*R39/TrRoad_act!R79)</f>
        <v>0</v>
      </c>
      <c r="S130" s="87">
        <f>IF(S39=0,0,1000000*S39/TrRoad_act!S79)</f>
        <v>0</v>
      </c>
      <c r="T130" s="87">
        <f>IF(T39=0,0,1000000*T39/TrRoad_act!T79)</f>
        <v>0</v>
      </c>
      <c r="U130" s="87">
        <f>IF(U39=0,0,1000000*U39/TrRoad_act!U79)</f>
        <v>0</v>
      </c>
      <c r="V130" s="87">
        <f>IF(V39=0,0,1000000*V39/TrRoad_act!V79)</f>
        <v>0</v>
      </c>
      <c r="W130" s="87">
        <f>IF(W39=0,0,1000000*W39/TrRoad_act!W79)</f>
        <v>0</v>
      </c>
      <c r="X130" s="87">
        <f>IF(X39=0,0,1000000*X39/TrRoad_act!X79)</f>
        <v>0</v>
      </c>
      <c r="Y130" s="87">
        <f>IF(Y39=0,0,1000000*Y39/TrRoad_act!Y79)</f>
        <v>0</v>
      </c>
      <c r="DA130" s="171" t="s">
        <v>832</v>
      </c>
    </row>
    <row r="131" spans="1:105" ht="11.45" customHeight="1" x14ac:dyDescent="0.25">
      <c r="A131" s="109" t="s">
        <v>154</v>
      </c>
      <c r="B131" s="116">
        <f>IF(B40=0,0,1000000*B40/TrRoad_act!B80)</f>
        <v>18739.289657932331</v>
      </c>
      <c r="C131" s="116">
        <f>IF(C40=0,0,1000000*C40/TrRoad_act!C80)</f>
        <v>21820.946399973112</v>
      </c>
      <c r="D131" s="116">
        <f>IF(D40=0,0,1000000*D40/TrRoad_act!D80)</f>
        <v>21277.262496317075</v>
      </c>
      <c r="E131" s="116">
        <f>IF(E40=0,0,1000000*E40/TrRoad_act!E80)</f>
        <v>25909.6709804811</v>
      </c>
      <c r="F131" s="116">
        <f>IF(F40=0,0,1000000*F40/TrRoad_act!F80)</f>
        <v>33237.210991880791</v>
      </c>
      <c r="G131" s="116">
        <f>IF(G40=0,0,1000000*G40/TrRoad_act!G80)</f>
        <v>34566.641935307518</v>
      </c>
      <c r="H131" s="116">
        <f>IF(H40=0,0,1000000*H40/TrRoad_act!H80)</f>
        <v>34724.181186209498</v>
      </c>
      <c r="I131" s="116">
        <f>IF(I40=0,0,1000000*I40/TrRoad_act!I80)</f>
        <v>35495.733810547084</v>
      </c>
      <c r="J131" s="116">
        <f>IF(J40=0,0,1000000*J40/TrRoad_act!J80)</f>
        <v>33332.112851476777</v>
      </c>
      <c r="K131" s="116">
        <f>IF(K40=0,0,1000000*K40/TrRoad_act!K80)</f>
        <v>29400.030054170129</v>
      </c>
      <c r="L131" s="116">
        <f>IF(L40=0,0,1000000*L40/TrRoad_act!L80)</f>
        <v>29799.957612297647</v>
      </c>
      <c r="M131" s="116">
        <f>IF(M40=0,0,1000000*M40/TrRoad_act!M80)</f>
        <v>29993.24812500177</v>
      </c>
      <c r="N131" s="116">
        <f>IF(N40=0,0,1000000*N40/TrRoad_act!N80)</f>
        <v>32624.104689001982</v>
      </c>
      <c r="O131" s="116">
        <f>IF(O40=0,0,1000000*O40/TrRoad_act!O80)</f>
        <v>33705.31917893378</v>
      </c>
      <c r="P131" s="116">
        <f>IF(P40=0,0,1000000*P40/TrRoad_act!P80)</f>
        <v>27798.916152559366</v>
      </c>
      <c r="Q131" s="116">
        <f>IF(Q40=0,0,1000000*Q40/TrRoad_act!Q80)</f>
        <v>28889.85543741818</v>
      </c>
      <c r="R131" s="116">
        <f>IF(R40=0,0,1000000*R40/TrRoad_act!R80)</f>
        <v>29687.150203042689</v>
      </c>
      <c r="S131" s="116">
        <f>IF(S40=0,0,1000000*S40/TrRoad_act!S80)</f>
        <v>25789.54935189712</v>
      </c>
      <c r="T131" s="116">
        <f>IF(T40=0,0,1000000*T40/TrRoad_act!T80)</f>
        <v>23555.034351173792</v>
      </c>
      <c r="U131" s="116">
        <f>IF(U40=0,0,1000000*U40/TrRoad_act!U80)</f>
        <v>20671.016664147479</v>
      </c>
      <c r="V131" s="116">
        <f>IF(V40=0,0,1000000*V40/TrRoad_act!V80)</f>
        <v>19049.282152401258</v>
      </c>
      <c r="W131" s="116">
        <f>IF(W40=0,0,1000000*W40/TrRoad_act!W80)</f>
        <v>20688.205411652605</v>
      </c>
      <c r="X131" s="116">
        <f>IF(X40=0,0,1000000*X40/TrRoad_act!X80)</f>
        <v>20603.35037208179</v>
      </c>
      <c r="Y131" s="116">
        <f>IF(Y40=0,0,1000000*Y40/TrRoad_act!Y80)</f>
        <v>19870.319885880323</v>
      </c>
      <c r="DA131" s="176" t="s">
        <v>833</v>
      </c>
    </row>
    <row r="132" spans="1:105" ht="11.45" customHeight="1" x14ac:dyDescent="0.25">
      <c r="A132" s="128" t="s">
        <v>27</v>
      </c>
      <c r="B132" s="101">
        <f>IF(B41=0,0,1000000*B41/TrRoad_act!B81)</f>
        <v>15412.298169730342</v>
      </c>
      <c r="C132" s="101">
        <f>IF(C41=0,0,1000000*C41/TrRoad_act!C81)</f>
        <v>18284.908563813875</v>
      </c>
      <c r="D132" s="101">
        <f>IF(D41=0,0,1000000*D41/TrRoad_act!D81)</f>
        <v>17401.86194422928</v>
      </c>
      <c r="E132" s="101">
        <f>IF(E41=0,0,1000000*E41/TrRoad_act!E81)</f>
        <v>21059.494156218105</v>
      </c>
      <c r="F132" s="101">
        <f>IF(F41=0,0,1000000*F41/TrRoad_act!F81)</f>
        <v>27698.849352227855</v>
      </c>
      <c r="G132" s="101">
        <f>IF(G41=0,0,1000000*G41/TrRoad_act!G81)</f>
        <v>28943.081998785467</v>
      </c>
      <c r="H132" s="101">
        <f>IF(H41=0,0,1000000*H41/TrRoad_act!H81)</f>
        <v>28791.049772544928</v>
      </c>
      <c r="I132" s="101">
        <f>IF(I41=0,0,1000000*I41/TrRoad_act!I81)</f>
        <v>29202.282952234171</v>
      </c>
      <c r="J132" s="101">
        <f>IF(J41=0,0,1000000*J41/TrRoad_act!J81)</f>
        <v>27691.259778965024</v>
      </c>
      <c r="K132" s="101">
        <f>IF(K41=0,0,1000000*K41/TrRoad_act!K81)</f>
        <v>23629.901498976124</v>
      </c>
      <c r="L132" s="101">
        <f>IF(L41=0,0,1000000*L41/TrRoad_act!L81)</f>
        <v>24634.880137838834</v>
      </c>
      <c r="M132" s="101">
        <f>IF(M41=0,0,1000000*M41/TrRoad_act!M81)</f>
        <v>24418.047317184111</v>
      </c>
      <c r="N132" s="101">
        <f>IF(N41=0,0,1000000*N41/TrRoad_act!N81)</f>
        <v>26256.359773311135</v>
      </c>
      <c r="O132" s="101">
        <f>IF(O41=0,0,1000000*O41/TrRoad_act!O81)</f>
        <v>25868.455091150681</v>
      </c>
      <c r="P132" s="101">
        <f>IF(P41=0,0,1000000*P41/TrRoad_act!P81)</f>
        <v>20568.750067160912</v>
      </c>
      <c r="Q132" s="101">
        <f>IF(Q41=0,0,1000000*Q41/TrRoad_act!Q81)</f>
        <v>22979.425152836473</v>
      </c>
      <c r="R132" s="101">
        <f>IF(R41=0,0,1000000*R41/TrRoad_act!R81)</f>
        <v>22893.582198555043</v>
      </c>
      <c r="S132" s="101">
        <f>IF(S41=0,0,1000000*S41/TrRoad_act!S81)</f>
        <v>19820.34935752859</v>
      </c>
      <c r="T132" s="101">
        <f>IF(T41=0,0,1000000*T41/TrRoad_act!T81)</f>
        <v>17769.790054951485</v>
      </c>
      <c r="U132" s="101">
        <f>IF(U41=0,0,1000000*U41/TrRoad_act!U81)</f>
        <v>15260.800517508656</v>
      </c>
      <c r="V132" s="101">
        <f>IF(V41=0,0,1000000*V41/TrRoad_act!V81)</f>
        <v>13963.522549391329</v>
      </c>
      <c r="W132" s="101">
        <f>IF(W41=0,0,1000000*W41/TrRoad_act!W81)</f>
        <v>14919.092457390063</v>
      </c>
      <c r="X132" s="101">
        <f>IF(X41=0,0,1000000*X41/TrRoad_act!X81)</f>
        <v>14342.386776587624</v>
      </c>
      <c r="Y132" s="101">
        <f>IF(Y41=0,0,1000000*Y41/TrRoad_act!Y81)</f>
        <v>13647.36000059672</v>
      </c>
      <c r="DA132" s="175" t="s">
        <v>834</v>
      </c>
    </row>
    <row r="133" spans="1:105" ht="11.45" customHeight="1" x14ac:dyDescent="0.25">
      <c r="A133" s="138" t="s">
        <v>116</v>
      </c>
      <c r="B133" s="88">
        <f>IF(B42=0,0,1000000*B42/TrRoad_act!B82)</f>
        <v>102230.9331951918</v>
      </c>
      <c r="C133" s="88">
        <f>IF(C42=0,0,1000000*C42/TrRoad_act!C82)</f>
        <v>106917.96627304777</v>
      </c>
      <c r="D133" s="88">
        <f>IF(D42=0,0,1000000*D42/TrRoad_act!D82)</f>
        <v>108697.16555554459</v>
      </c>
      <c r="E133" s="88">
        <f>IF(E42=0,0,1000000*E42/TrRoad_act!E82)</f>
        <v>128730.99786887992</v>
      </c>
      <c r="F133" s="88">
        <f>IF(F42=0,0,1000000*F42/TrRoad_act!F82)</f>
        <v>125887.30416409406</v>
      </c>
      <c r="G133" s="88">
        <f>IF(G42=0,0,1000000*G42/TrRoad_act!G82)</f>
        <v>124306.85238375705</v>
      </c>
      <c r="H133" s="88">
        <f>IF(H42=0,0,1000000*H42/TrRoad_act!H82)</f>
        <v>122615.32470195417</v>
      </c>
      <c r="I133" s="88">
        <f>IF(I42=0,0,1000000*I42/TrRoad_act!I82)</f>
        <v>120634.13639807633</v>
      </c>
      <c r="J133" s="88">
        <f>IF(J42=0,0,1000000*J42/TrRoad_act!J82)</f>
        <v>124636.0506244811</v>
      </c>
      <c r="K133" s="88">
        <f>IF(K42=0,0,1000000*K42/TrRoad_act!K82)</f>
        <v>123645.80861833041</v>
      </c>
      <c r="L133" s="88">
        <f>IF(L42=0,0,1000000*L42/TrRoad_act!L82)</f>
        <v>122329.21741740406</v>
      </c>
      <c r="M133" s="88">
        <f>IF(M42=0,0,1000000*M42/TrRoad_act!M82)</f>
        <v>119138.75761680809</v>
      </c>
      <c r="N133" s="88">
        <f>IF(N42=0,0,1000000*N42/TrRoad_act!N82)</f>
        <v>132759.02377260223</v>
      </c>
      <c r="O133" s="88">
        <f>IF(O42=0,0,1000000*O42/TrRoad_act!O82)</f>
        <v>132553.71223329069</v>
      </c>
      <c r="P133" s="88">
        <f>IF(P42=0,0,1000000*P42/TrRoad_act!P82)</f>
        <v>128269.1241294544</v>
      </c>
      <c r="Q133" s="88">
        <f>IF(Q42=0,0,1000000*Q42/TrRoad_act!Q82)</f>
        <v>120380.060227781</v>
      </c>
      <c r="R133" s="88">
        <f>IF(R42=0,0,1000000*R42/TrRoad_act!R82)</f>
        <v>123112.79089326094</v>
      </c>
      <c r="S133" s="88">
        <f>IF(S42=0,0,1000000*S42/TrRoad_act!S82)</f>
        <v>121548.98597809421</v>
      </c>
      <c r="T133" s="88">
        <f>IF(T42=0,0,1000000*T42/TrRoad_act!T82)</f>
        <v>120620.21735182194</v>
      </c>
      <c r="U133" s="88">
        <f>IF(U42=0,0,1000000*U42/TrRoad_act!U82)</f>
        <v>125618.36026607052</v>
      </c>
      <c r="V133" s="88">
        <f>IF(V42=0,0,1000000*V42/TrRoad_act!V82)</f>
        <v>126963.13934539267</v>
      </c>
      <c r="W133" s="88">
        <f>IF(W42=0,0,1000000*W42/TrRoad_act!W82)</f>
        <v>120317.11407367469</v>
      </c>
      <c r="X133" s="88">
        <f>IF(X42=0,0,1000000*X42/TrRoad_act!X82)</f>
        <v>123857.98573451888</v>
      </c>
      <c r="Y133" s="88">
        <f>IF(Y42=0,0,1000000*Y42/TrRoad_act!Y82)</f>
        <v>132281.46700201213</v>
      </c>
      <c r="DA133" s="178" t="s">
        <v>835</v>
      </c>
    </row>
    <row r="134" spans="1:105" x14ac:dyDescent="0.25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DA134" s="171"/>
    </row>
    <row r="135" spans="1:105" ht="11.45" customHeight="1" x14ac:dyDescent="0.25">
      <c r="A135" s="53" t="s">
        <v>41</v>
      </c>
      <c r="B135" s="76">
        <f t="shared" ref="B135:V147" si="40">IF(B17=0,0,B17/B$17)</f>
        <v>1</v>
      </c>
      <c r="C135" s="76">
        <f t="shared" si="40"/>
        <v>1</v>
      </c>
      <c r="D135" s="76">
        <f t="shared" si="40"/>
        <v>1</v>
      </c>
      <c r="E135" s="76">
        <f t="shared" si="40"/>
        <v>1</v>
      </c>
      <c r="F135" s="76">
        <f t="shared" si="40"/>
        <v>1</v>
      </c>
      <c r="G135" s="76">
        <f t="shared" si="40"/>
        <v>1</v>
      </c>
      <c r="H135" s="76">
        <f t="shared" si="40"/>
        <v>1</v>
      </c>
      <c r="I135" s="76">
        <f t="shared" si="40"/>
        <v>1</v>
      </c>
      <c r="J135" s="76">
        <f t="shared" si="40"/>
        <v>1</v>
      </c>
      <c r="K135" s="76">
        <f t="shared" si="40"/>
        <v>1</v>
      </c>
      <c r="L135" s="76">
        <f t="shared" ref="L135:L147" si="41">IF(L17=0,0,L17/L$17)</f>
        <v>1</v>
      </c>
      <c r="M135" s="76">
        <f t="shared" si="40"/>
        <v>1</v>
      </c>
      <c r="N135" s="76">
        <f t="shared" si="40"/>
        <v>1</v>
      </c>
      <c r="O135" s="76">
        <f t="shared" si="40"/>
        <v>1</v>
      </c>
      <c r="P135" s="76">
        <f t="shared" si="40"/>
        <v>1</v>
      </c>
      <c r="Q135" s="76">
        <f t="shared" si="40"/>
        <v>1</v>
      </c>
      <c r="R135" s="76">
        <f t="shared" si="40"/>
        <v>1</v>
      </c>
      <c r="S135" s="76">
        <f t="shared" si="40"/>
        <v>1</v>
      </c>
      <c r="T135" s="76">
        <f t="shared" si="40"/>
        <v>1</v>
      </c>
      <c r="U135" s="76">
        <f t="shared" si="40"/>
        <v>1</v>
      </c>
      <c r="V135" s="76">
        <f t="shared" si="40"/>
        <v>1</v>
      </c>
      <c r="W135" s="76">
        <f t="shared" ref="W135:Y146" si="42">IF(W17=0,0,W17/W$17)</f>
        <v>1</v>
      </c>
      <c r="X135" s="76">
        <f t="shared" si="42"/>
        <v>1</v>
      </c>
      <c r="Y135" s="76">
        <f t="shared" si="42"/>
        <v>1</v>
      </c>
      <c r="DA135" s="183"/>
    </row>
    <row r="136" spans="1:105" ht="11.45" customHeight="1" x14ac:dyDescent="0.25">
      <c r="A136" s="27" t="s">
        <v>33</v>
      </c>
      <c r="B136" s="46">
        <f t="shared" si="40"/>
        <v>0.57276632510695746</v>
      </c>
      <c r="C136" s="46">
        <f t="shared" si="40"/>
        <v>0.5685058523529718</v>
      </c>
      <c r="D136" s="46">
        <f t="shared" si="40"/>
        <v>0.58605156294252458</v>
      </c>
      <c r="E136" s="46">
        <f t="shared" si="40"/>
        <v>0.59566219477277171</v>
      </c>
      <c r="F136" s="46">
        <f t="shared" si="40"/>
        <v>0.5976449546450473</v>
      </c>
      <c r="G136" s="46">
        <f t="shared" si="40"/>
        <v>0.59271923850300123</v>
      </c>
      <c r="H136" s="46">
        <f t="shared" si="40"/>
        <v>0.59696623960148887</v>
      </c>
      <c r="I136" s="46">
        <f t="shared" si="40"/>
        <v>0.60369282279502801</v>
      </c>
      <c r="J136" s="46">
        <f t="shared" si="40"/>
        <v>0.61193433686471821</v>
      </c>
      <c r="K136" s="46">
        <f t="shared" si="40"/>
        <v>0.62676812200323595</v>
      </c>
      <c r="L136" s="46">
        <f t="shared" si="41"/>
        <v>0.63343173082717452</v>
      </c>
      <c r="M136" s="46">
        <f t="shared" si="40"/>
        <v>0.64216970465995338</v>
      </c>
      <c r="N136" s="46">
        <f t="shared" si="40"/>
        <v>0.66292891699117573</v>
      </c>
      <c r="O136" s="46">
        <f t="shared" si="40"/>
        <v>0.67372325853958714</v>
      </c>
      <c r="P136" s="46">
        <f t="shared" si="40"/>
        <v>0.67958853410991493</v>
      </c>
      <c r="Q136" s="46">
        <f t="shared" si="40"/>
        <v>0.67879766436732714</v>
      </c>
      <c r="R136" s="46">
        <f t="shared" si="40"/>
        <v>0.68073505222826225</v>
      </c>
      <c r="S136" s="46">
        <f t="shared" si="40"/>
        <v>0.68491392884846047</v>
      </c>
      <c r="T136" s="46">
        <f t="shared" si="40"/>
        <v>0.68725091393564974</v>
      </c>
      <c r="U136" s="46">
        <f t="shared" si="40"/>
        <v>0.69051485112381727</v>
      </c>
      <c r="V136" s="46">
        <f t="shared" si="40"/>
        <v>0.68945512860035052</v>
      </c>
      <c r="W136" s="46">
        <f t="shared" si="42"/>
        <v>0.6882965658106972</v>
      </c>
      <c r="X136" s="46">
        <f t="shared" si="42"/>
        <v>0.68083759756387618</v>
      </c>
      <c r="Y136" s="46">
        <f t="shared" si="42"/>
        <v>0.68321773428900134</v>
      </c>
      <c r="DA136" s="211"/>
    </row>
    <row r="137" spans="1:105" ht="11.45" customHeight="1" x14ac:dyDescent="0.25">
      <c r="A137" s="153" t="s">
        <v>173</v>
      </c>
      <c r="B137" s="154">
        <f t="shared" si="40"/>
        <v>9.3366115446781531E-3</v>
      </c>
      <c r="C137" s="154">
        <f t="shared" si="40"/>
        <v>9.3503903943980074E-3</v>
      </c>
      <c r="D137" s="154">
        <f t="shared" si="40"/>
        <v>9.6900628875617421E-3</v>
      </c>
      <c r="E137" s="154">
        <f t="shared" si="40"/>
        <v>9.5836560973345808E-3</v>
      </c>
      <c r="F137" s="154">
        <f t="shared" si="40"/>
        <v>9.9012051325386412E-3</v>
      </c>
      <c r="G137" s="154">
        <f t="shared" si="40"/>
        <v>1.0780339182565575E-2</v>
      </c>
      <c r="H137" s="154">
        <f t="shared" si="40"/>
        <v>1.1332538190404567E-2</v>
      </c>
      <c r="I137" s="154">
        <f t="shared" si="40"/>
        <v>1.0784698726930178E-2</v>
      </c>
      <c r="J137" s="154">
        <f t="shared" si="40"/>
        <v>1.0811429863971083E-2</v>
      </c>
      <c r="K137" s="154">
        <f t="shared" si="40"/>
        <v>1.0260303886610379E-2</v>
      </c>
      <c r="L137" s="154">
        <f t="shared" si="41"/>
        <v>9.8607519952087913E-3</v>
      </c>
      <c r="M137" s="154">
        <f t="shared" si="40"/>
        <v>1.0200877490568021E-2</v>
      </c>
      <c r="N137" s="154">
        <f t="shared" si="40"/>
        <v>1.1052353567025939E-2</v>
      </c>
      <c r="O137" s="154">
        <f t="shared" si="40"/>
        <v>1.0954578682521386E-2</v>
      </c>
      <c r="P137" s="154">
        <f t="shared" si="40"/>
        <v>1.0490520207557988E-2</v>
      </c>
      <c r="Q137" s="154">
        <f t="shared" si="40"/>
        <v>9.783727540727696E-3</v>
      </c>
      <c r="R137" s="154">
        <f t="shared" si="40"/>
        <v>9.9178636698056266E-3</v>
      </c>
      <c r="S137" s="154">
        <f t="shared" si="40"/>
        <v>9.839558640017898E-3</v>
      </c>
      <c r="T137" s="154">
        <f t="shared" si="40"/>
        <v>9.2699745376713608E-3</v>
      </c>
      <c r="U137" s="154">
        <f t="shared" si="40"/>
        <v>9.5498930828614732E-3</v>
      </c>
      <c r="V137" s="154">
        <f t="shared" si="40"/>
        <v>9.9870098912180575E-3</v>
      </c>
      <c r="W137" s="154">
        <f t="shared" si="42"/>
        <v>9.5794680406597488E-3</v>
      </c>
      <c r="X137" s="154">
        <f t="shared" si="42"/>
        <v>9.1605993932347331E-3</v>
      </c>
      <c r="Y137" s="154">
        <f t="shared" si="42"/>
        <v>9.4459577888701268E-3</v>
      </c>
      <c r="DA137" s="212"/>
    </row>
    <row r="138" spans="1:105" ht="11.45" customHeight="1" x14ac:dyDescent="0.25">
      <c r="A138" s="155" t="s">
        <v>20</v>
      </c>
      <c r="B138" s="156">
        <f t="shared" si="40"/>
        <v>0.50548367799134708</v>
      </c>
      <c r="C138" s="156">
        <f t="shared" si="40"/>
        <v>0.50221661945894813</v>
      </c>
      <c r="D138" s="156">
        <f t="shared" si="40"/>
        <v>0.52105802619664154</v>
      </c>
      <c r="E138" s="156">
        <f t="shared" si="40"/>
        <v>0.53490437692632231</v>
      </c>
      <c r="F138" s="156">
        <f t="shared" si="40"/>
        <v>0.53912602075966398</v>
      </c>
      <c r="G138" s="156">
        <f t="shared" si="40"/>
        <v>0.55034696368812697</v>
      </c>
      <c r="H138" s="156">
        <f t="shared" si="40"/>
        <v>0.55429278364527279</v>
      </c>
      <c r="I138" s="156">
        <f t="shared" si="40"/>
        <v>0.56078357851074256</v>
      </c>
      <c r="J138" s="156">
        <f t="shared" si="40"/>
        <v>0.56795237451559644</v>
      </c>
      <c r="K138" s="156">
        <f t="shared" si="40"/>
        <v>0.58244840453225544</v>
      </c>
      <c r="L138" s="156">
        <f t="shared" si="41"/>
        <v>0.58874418474798529</v>
      </c>
      <c r="M138" s="156">
        <f t="shared" si="40"/>
        <v>0.59454178957364245</v>
      </c>
      <c r="N138" s="156">
        <f t="shared" si="40"/>
        <v>0.61900856638344071</v>
      </c>
      <c r="O138" s="156">
        <f t="shared" si="40"/>
        <v>0.63060941886606714</v>
      </c>
      <c r="P138" s="156">
        <f t="shared" si="40"/>
        <v>0.6301453069520907</v>
      </c>
      <c r="Q138" s="156">
        <f t="shared" si="40"/>
        <v>0.6299629938934781</v>
      </c>
      <c r="R138" s="156">
        <f t="shared" si="40"/>
        <v>0.63012191806359696</v>
      </c>
      <c r="S138" s="156">
        <f t="shared" si="40"/>
        <v>0.633582679189029</v>
      </c>
      <c r="T138" s="156">
        <f t="shared" si="40"/>
        <v>0.63498501709108912</v>
      </c>
      <c r="U138" s="156">
        <f t="shared" si="40"/>
        <v>0.64220565486015058</v>
      </c>
      <c r="V138" s="156">
        <f t="shared" si="40"/>
        <v>0.64463440188687982</v>
      </c>
      <c r="W138" s="156">
        <f t="shared" si="42"/>
        <v>0.63839786649186603</v>
      </c>
      <c r="X138" s="156">
        <f t="shared" si="42"/>
        <v>0.62663265533496904</v>
      </c>
      <c r="Y138" s="156">
        <f t="shared" si="42"/>
        <v>0.62968050884181515</v>
      </c>
      <c r="DA138" s="213"/>
    </row>
    <row r="139" spans="1:105" ht="11.45" customHeight="1" x14ac:dyDescent="0.25">
      <c r="A139" s="157" t="s">
        <v>110</v>
      </c>
      <c r="B139" s="103">
        <f t="shared" si="40"/>
        <v>0.36847409197776576</v>
      </c>
      <c r="C139" s="103">
        <f t="shared" si="40"/>
        <v>0.34058114458438793</v>
      </c>
      <c r="D139" s="103">
        <f t="shared" si="40"/>
        <v>0.34256857610432045</v>
      </c>
      <c r="E139" s="103">
        <f t="shared" si="40"/>
        <v>0.31249852606271117</v>
      </c>
      <c r="F139" s="103">
        <f t="shared" si="40"/>
        <v>0.29116921439712251</v>
      </c>
      <c r="G139" s="103">
        <f t="shared" si="40"/>
        <v>0.28409693430597399</v>
      </c>
      <c r="H139" s="103">
        <f t="shared" si="40"/>
        <v>0.26355974220900497</v>
      </c>
      <c r="I139" s="103">
        <f t="shared" si="40"/>
        <v>0.24945630663802063</v>
      </c>
      <c r="J139" s="103">
        <f t="shared" si="40"/>
        <v>0.23235092770080065</v>
      </c>
      <c r="K139" s="103">
        <f t="shared" si="40"/>
        <v>0.23300911119792039</v>
      </c>
      <c r="L139" s="103">
        <f t="shared" si="41"/>
        <v>0.22431586638449685</v>
      </c>
      <c r="M139" s="103">
        <f t="shared" si="40"/>
        <v>0.21707442890770756</v>
      </c>
      <c r="N139" s="103">
        <f t="shared" si="40"/>
        <v>0.21333110399755811</v>
      </c>
      <c r="O139" s="103">
        <f t="shared" si="40"/>
        <v>0.21138787087836453</v>
      </c>
      <c r="P139" s="103">
        <f t="shared" si="40"/>
        <v>0.20736318317861105</v>
      </c>
      <c r="Q139" s="103">
        <f t="shared" si="40"/>
        <v>0.19891264283556861</v>
      </c>
      <c r="R139" s="103">
        <f t="shared" si="40"/>
        <v>0.18907924341505725</v>
      </c>
      <c r="S139" s="103">
        <f t="shared" si="40"/>
        <v>0.18478406647847354</v>
      </c>
      <c r="T139" s="103">
        <f t="shared" si="40"/>
        <v>0.18217343132156405</v>
      </c>
      <c r="U139" s="103">
        <f t="shared" si="40"/>
        <v>0.1829116270673726</v>
      </c>
      <c r="V139" s="103">
        <f t="shared" si="40"/>
        <v>0.17874218550200263</v>
      </c>
      <c r="W139" s="103">
        <f t="shared" si="42"/>
        <v>0.18158756553864197</v>
      </c>
      <c r="X139" s="103">
        <f t="shared" si="42"/>
        <v>0.18704810443740991</v>
      </c>
      <c r="Y139" s="103">
        <f t="shared" si="42"/>
        <v>0.19587029963278998</v>
      </c>
      <c r="DA139" s="191"/>
    </row>
    <row r="140" spans="1:105" ht="11.45" customHeight="1" x14ac:dyDescent="0.25">
      <c r="A140" s="157" t="s">
        <v>111</v>
      </c>
      <c r="B140" s="103">
        <f t="shared" si="40"/>
        <v>0.13378912646579463</v>
      </c>
      <c r="C140" s="103">
        <f t="shared" si="40"/>
        <v>0.15844156165729964</v>
      </c>
      <c r="D140" s="103">
        <f t="shared" si="40"/>
        <v>0.17555227066510815</v>
      </c>
      <c r="E140" s="103">
        <f t="shared" si="40"/>
        <v>0.21949118955364771</v>
      </c>
      <c r="F140" s="103">
        <f t="shared" si="40"/>
        <v>0.2451019758851104</v>
      </c>
      <c r="G140" s="103">
        <f t="shared" si="40"/>
        <v>0.26294027241410045</v>
      </c>
      <c r="H140" s="103">
        <f t="shared" si="40"/>
        <v>0.28755062537593579</v>
      </c>
      <c r="I140" s="103">
        <f t="shared" si="40"/>
        <v>0.3080202298308149</v>
      </c>
      <c r="J140" s="103">
        <f t="shared" si="40"/>
        <v>0.33198717616904366</v>
      </c>
      <c r="K140" s="103">
        <f t="shared" si="40"/>
        <v>0.34477213205202062</v>
      </c>
      <c r="L140" s="103">
        <f t="shared" si="41"/>
        <v>0.35985039511382561</v>
      </c>
      <c r="M140" s="103">
        <f t="shared" si="40"/>
        <v>0.37321725404132045</v>
      </c>
      <c r="N140" s="103">
        <f t="shared" si="40"/>
        <v>0.39986155840712223</v>
      </c>
      <c r="O140" s="103">
        <f t="shared" si="40"/>
        <v>0.41291547517596255</v>
      </c>
      <c r="P140" s="103">
        <f t="shared" si="40"/>
        <v>0.41637242492248061</v>
      </c>
      <c r="Q140" s="103">
        <f t="shared" si="40"/>
        <v>0.42425795811365952</v>
      </c>
      <c r="R140" s="103">
        <f t="shared" si="40"/>
        <v>0.43423719976017805</v>
      </c>
      <c r="S140" s="103">
        <f t="shared" si="40"/>
        <v>0.44203703666069416</v>
      </c>
      <c r="T140" s="103">
        <f t="shared" si="40"/>
        <v>0.44601232221663639</v>
      </c>
      <c r="U140" s="103">
        <f t="shared" si="40"/>
        <v>0.45229349454118506</v>
      </c>
      <c r="V140" s="103">
        <f t="shared" si="40"/>
        <v>0.45936830480374979</v>
      </c>
      <c r="W140" s="103">
        <f t="shared" si="42"/>
        <v>0.44990022528775719</v>
      </c>
      <c r="X140" s="103">
        <f t="shared" si="42"/>
        <v>0.43200790688021368</v>
      </c>
      <c r="Y140" s="103">
        <f t="shared" si="42"/>
        <v>0.42454747121883113</v>
      </c>
      <c r="DA140" s="191"/>
    </row>
    <row r="141" spans="1:105" ht="11.45" customHeight="1" x14ac:dyDescent="0.25">
      <c r="A141" s="157" t="s">
        <v>112</v>
      </c>
      <c r="B141" s="103">
        <f t="shared" si="40"/>
        <v>3.2204595477867159E-3</v>
      </c>
      <c r="C141" s="103">
        <f t="shared" si="40"/>
        <v>3.1939132172605395E-3</v>
      </c>
      <c r="D141" s="103">
        <f t="shared" si="40"/>
        <v>2.9371794272129515E-3</v>
      </c>
      <c r="E141" s="103">
        <f t="shared" si="40"/>
        <v>2.9146613099634354E-3</v>
      </c>
      <c r="F141" s="103">
        <f t="shared" si="40"/>
        <v>2.8548304774311337E-3</v>
      </c>
      <c r="G141" s="103">
        <f t="shared" si="40"/>
        <v>3.309756968052554E-3</v>
      </c>
      <c r="H141" s="103">
        <f t="shared" si="40"/>
        <v>3.1824160603320939E-3</v>
      </c>
      <c r="I141" s="103">
        <f t="shared" si="40"/>
        <v>3.3070420419069844E-3</v>
      </c>
      <c r="J141" s="103">
        <f t="shared" si="40"/>
        <v>3.6142706457521559E-3</v>
      </c>
      <c r="K141" s="103">
        <f t="shared" si="40"/>
        <v>4.6671612823145029E-3</v>
      </c>
      <c r="L141" s="103">
        <f t="shared" si="41"/>
        <v>4.5776656499470639E-3</v>
      </c>
      <c r="M141" s="103">
        <f t="shared" si="40"/>
        <v>4.2491908112269354E-3</v>
      </c>
      <c r="N141" s="103">
        <f t="shared" si="40"/>
        <v>5.8128968350461187E-3</v>
      </c>
      <c r="O141" s="103">
        <f t="shared" si="40"/>
        <v>6.299623448447385E-3</v>
      </c>
      <c r="P141" s="103">
        <f t="shared" si="40"/>
        <v>6.3997708714289133E-3</v>
      </c>
      <c r="Q141" s="103">
        <f t="shared" si="40"/>
        <v>6.7637456741609413E-3</v>
      </c>
      <c r="R141" s="103">
        <f t="shared" si="40"/>
        <v>6.7399340366573737E-3</v>
      </c>
      <c r="S141" s="103">
        <f t="shared" si="40"/>
        <v>6.6067596761112879E-3</v>
      </c>
      <c r="T141" s="103">
        <f t="shared" si="40"/>
        <v>6.4556369225656982E-3</v>
      </c>
      <c r="U141" s="103">
        <f t="shared" si="40"/>
        <v>6.4282633094277439E-3</v>
      </c>
      <c r="V141" s="103">
        <f t="shared" si="40"/>
        <v>5.7320299228770929E-3</v>
      </c>
      <c r="W141" s="103">
        <f t="shared" si="42"/>
        <v>5.7955330967463005E-3</v>
      </c>
      <c r="X141" s="103">
        <f t="shared" si="42"/>
        <v>6.0611431767937487E-3</v>
      </c>
      <c r="Y141" s="103">
        <f t="shared" si="42"/>
        <v>7.2257027273251971E-3</v>
      </c>
      <c r="DA141" s="191"/>
    </row>
    <row r="142" spans="1:105" ht="11.45" customHeight="1" x14ac:dyDescent="0.25">
      <c r="A142" s="157" t="s">
        <v>113</v>
      </c>
      <c r="B142" s="103">
        <f t="shared" si="40"/>
        <v>0</v>
      </c>
      <c r="C142" s="103">
        <f t="shared" si="40"/>
        <v>0</v>
      </c>
      <c r="D142" s="103">
        <f t="shared" si="40"/>
        <v>0</v>
      </c>
      <c r="E142" s="103">
        <f t="shared" si="40"/>
        <v>0</v>
      </c>
      <c r="F142" s="103">
        <f t="shared" si="40"/>
        <v>0</v>
      </c>
      <c r="G142" s="103">
        <f t="shared" si="40"/>
        <v>0</v>
      </c>
      <c r="H142" s="103">
        <f t="shared" si="40"/>
        <v>0</v>
      </c>
      <c r="I142" s="103">
        <f t="shared" si="40"/>
        <v>0</v>
      </c>
      <c r="J142" s="103">
        <f t="shared" si="40"/>
        <v>0</v>
      </c>
      <c r="K142" s="103">
        <f t="shared" si="40"/>
        <v>0</v>
      </c>
      <c r="L142" s="103">
        <f t="shared" si="41"/>
        <v>2.5759971570737845E-7</v>
      </c>
      <c r="M142" s="103">
        <f t="shared" si="40"/>
        <v>2.5713107794280634E-7</v>
      </c>
      <c r="N142" s="103">
        <f t="shared" si="40"/>
        <v>8.4239677262132738E-7</v>
      </c>
      <c r="O142" s="103">
        <f t="shared" si="40"/>
        <v>2.5432070335989896E-6</v>
      </c>
      <c r="P142" s="103">
        <f t="shared" si="40"/>
        <v>2.6329534834564224E-6</v>
      </c>
      <c r="Q142" s="103">
        <f t="shared" si="40"/>
        <v>3.1592138588143111E-6</v>
      </c>
      <c r="R142" s="103">
        <f t="shared" si="40"/>
        <v>3.4895145777774641E-6</v>
      </c>
      <c r="S142" s="103">
        <f t="shared" si="40"/>
        <v>4.0128366413531037E-6</v>
      </c>
      <c r="T142" s="103">
        <f t="shared" si="40"/>
        <v>4.6552062438562663E-6</v>
      </c>
      <c r="U142" s="103">
        <f t="shared" si="40"/>
        <v>8.2182246212378593E-6</v>
      </c>
      <c r="V142" s="103">
        <f t="shared" si="40"/>
        <v>1.032654786783063E-5</v>
      </c>
      <c r="W142" s="103">
        <f t="shared" si="42"/>
        <v>1.2081140282082141E-5</v>
      </c>
      <c r="X142" s="103">
        <f t="shared" si="42"/>
        <v>1.2153829355928313E-5</v>
      </c>
      <c r="Y142" s="103">
        <f t="shared" si="42"/>
        <v>1.2175220713303256E-5</v>
      </c>
      <c r="DA142" s="191"/>
    </row>
    <row r="143" spans="1:105" ht="11.45" customHeight="1" x14ac:dyDescent="0.25">
      <c r="A143" s="157" t="s">
        <v>114</v>
      </c>
      <c r="B143" s="103">
        <f t="shared" si="40"/>
        <v>0</v>
      </c>
      <c r="C143" s="103">
        <f t="shared" si="40"/>
        <v>0</v>
      </c>
      <c r="D143" s="103">
        <f t="shared" si="40"/>
        <v>0</v>
      </c>
      <c r="E143" s="103">
        <f t="shared" si="40"/>
        <v>0</v>
      </c>
      <c r="F143" s="103">
        <f t="shared" si="40"/>
        <v>0</v>
      </c>
      <c r="G143" s="103">
        <f t="shared" si="40"/>
        <v>0</v>
      </c>
      <c r="H143" s="103">
        <f t="shared" si="40"/>
        <v>0</v>
      </c>
      <c r="I143" s="103">
        <f t="shared" si="40"/>
        <v>0</v>
      </c>
      <c r="J143" s="103">
        <f t="shared" si="40"/>
        <v>0</v>
      </c>
      <c r="K143" s="103">
        <f t="shared" si="40"/>
        <v>0</v>
      </c>
      <c r="L143" s="103">
        <f t="shared" si="41"/>
        <v>0</v>
      </c>
      <c r="M143" s="103">
        <f t="shared" si="40"/>
        <v>6.5868230957937406E-7</v>
      </c>
      <c r="N143" s="103">
        <f t="shared" si="40"/>
        <v>2.1647469416637711E-6</v>
      </c>
      <c r="O143" s="103">
        <f t="shared" si="40"/>
        <v>3.9061562590684519E-6</v>
      </c>
      <c r="P143" s="103">
        <f t="shared" si="40"/>
        <v>7.2950260867486276E-6</v>
      </c>
      <c r="Q143" s="103">
        <f t="shared" si="40"/>
        <v>2.5488056230176833E-5</v>
      </c>
      <c r="R143" s="103">
        <f t="shared" si="40"/>
        <v>6.2051337126556563E-5</v>
      </c>
      <c r="S143" s="103">
        <f t="shared" si="40"/>
        <v>1.5080353710866475E-4</v>
      </c>
      <c r="T143" s="103">
        <f t="shared" si="40"/>
        <v>3.3897142407915523E-4</v>
      </c>
      <c r="U143" s="103">
        <f t="shared" si="40"/>
        <v>5.6405171754396661E-4</v>
      </c>
      <c r="V143" s="103">
        <f t="shared" si="40"/>
        <v>7.8155511038247505E-4</v>
      </c>
      <c r="W143" s="103">
        <f t="shared" si="42"/>
        <v>1.102461428438419E-3</v>
      </c>
      <c r="X143" s="103">
        <f t="shared" si="42"/>
        <v>1.5033470111956548E-3</v>
      </c>
      <c r="Y143" s="103">
        <f t="shared" si="42"/>
        <v>2.0248600421554669E-3</v>
      </c>
      <c r="DA143" s="191"/>
    </row>
    <row r="144" spans="1:105" ht="11.45" customHeight="1" x14ac:dyDescent="0.25">
      <c r="A144" s="157" t="s">
        <v>115</v>
      </c>
      <c r="B144" s="103">
        <f t="shared" si="40"/>
        <v>0</v>
      </c>
      <c r="C144" s="103">
        <f t="shared" si="40"/>
        <v>0</v>
      </c>
      <c r="D144" s="103">
        <f t="shared" si="40"/>
        <v>0</v>
      </c>
      <c r="E144" s="103">
        <f t="shared" si="40"/>
        <v>0</v>
      </c>
      <c r="F144" s="103">
        <f t="shared" si="40"/>
        <v>0</v>
      </c>
      <c r="G144" s="103">
        <f t="shared" si="40"/>
        <v>0</v>
      </c>
      <c r="H144" s="103">
        <f t="shared" si="40"/>
        <v>0</v>
      </c>
      <c r="I144" s="103">
        <f t="shared" si="40"/>
        <v>0</v>
      </c>
      <c r="J144" s="103">
        <f t="shared" si="40"/>
        <v>0</v>
      </c>
      <c r="K144" s="103">
        <f t="shared" si="40"/>
        <v>0</v>
      </c>
      <c r="L144" s="103">
        <f t="shared" si="41"/>
        <v>0</v>
      </c>
      <c r="M144" s="103">
        <f t="shared" si="40"/>
        <v>0</v>
      </c>
      <c r="N144" s="103">
        <f t="shared" si="40"/>
        <v>0</v>
      </c>
      <c r="O144" s="103">
        <f t="shared" si="40"/>
        <v>0</v>
      </c>
      <c r="P144" s="103">
        <f t="shared" si="40"/>
        <v>0</v>
      </c>
      <c r="Q144" s="103">
        <f t="shared" si="40"/>
        <v>0</v>
      </c>
      <c r="R144" s="103">
        <f t="shared" si="40"/>
        <v>0</v>
      </c>
      <c r="S144" s="103">
        <f t="shared" si="40"/>
        <v>0</v>
      </c>
      <c r="T144" s="103">
        <f t="shared" si="40"/>
        <v>0</v>
      </c>
      <c r="U144" s="103">
        <f t="shared" si="40"/>
        <v>0</v>
      </c>
      <c r="V144" s="103">
        <f t="shared" si="40"/>
        <v>0</v>
      </c>
      <c r="W144" s="103">
        <f t="shared" si="42"/>
        <v>0</v>
      </c>
      <c r="X144" s="103">
        <f t="shared" si="42"/>
        <v>0</v>
      </c>
      <c r="Y144" s="103">
        <f t="shared" si="42"/>
        <v>0</v>
      </c>
      <c r="DA144" s="191"/>
    </row>
    <row r="145" spans="1:105" ht="11.45" customHeight="1" x14ac:dyDescent="0.25">
      <c r="A145" s="155" t="s">
        <v>21</v>
      </c>
      <c r="B145" s="156">
        <f t="shared" si="40"/>
        <v>5.7946035570932225E-2</v>
      </c>
      <c r="C145" s="156">
        <f t="shared" si="40"/>
        <v>5.6938842499625657E-2</v>
      </c>
      <c r="D145" s="156">
        <f t="shared" si="40"/>
        <v>5.5303473858321253E-2</v>
      </c>
      <c r="E145" s="156">
        <f t="shared" si="40"/>
        <v>5.1174161749114822E-2</v>
      </c>
      <c r="F145" s="156">
        <f t="shared" si="40"/>
        <v>4.8617728752844695E-2</v>
      </c>
      <c r="G145" s="156">
        <f t="shared" si="40"/>
        <v>3.1591935632308596E-2</v>
      </c>
      <c r="H145" s="156">
        <f t="shared" si="40"/>
        <v>3.1340917765811459E-2</v>
      </c>
      <c r="I145" s="156">
        <f t="shared" si="40"/>
        <v>3.2124545557355277E-2</v>
      </c>
      <c r="J145" s="156">
        <f t="shared" si="40"/>
        <v>3.3170532485150589E-2</v>
      </c>
      <c r="K145" s="156">
        <f t="shared" si="40"/>
        <v>3.4059413584370202E-2</v>
      </c>
      <c r="L145" s="156">
        <f t="shared" si="41"/>
        <v>3.4826794083980477E-2</v>
      </c>
      <c r="M145" s="156">
        <f t="shared" si="40"/>
        <v>3.7427037595742924E-2</v>
      </c>
      <c r="N145" s="156">
        <f t="shared" si="40"/>
        <v>3.2867997040708967E-2</v>
      </c>
      <c r="O145" s="156">
        <f t="shared" si="40"/>
        <v>3.2159260990998736E-2</v>
      </c>
      <c r="P145" s="156">
        <f t="shared" si="40"/>
        <v>3.8952706950266258E-2</v>
      </c>
      <c r="Q145" s="156">
        <f t="shared" si="40"/>
        <v>3.9050942933121308E-2</v>
      </c>
      <c r="R145" s="156">
        <f t="shared" si="40"/>
        <v>4.0695270494859652E-2</v>
      </c>
      <c r="S145" s="156">
        <f t="shared" si="40"/>
        <v>4.1491691019413635E-2</v>
      </c>
      <c r="T145" s="156">
        <f t="shared" si="40"/>
        <v>4.2995922306889339E-2</v>
      </c>
      <c r="U145" s="156">
        <f t="shared" si="40"/>
        <v>3.8759303180805303E-2</v>
      </c>
      <c r="V145" s="156">
        <f t="shared" si="40"/>
        <v>3.4833716822252753E-2</v>
      </c>
      <c r="W145" s="156">
        <f t="shared" si="42"/>
        <v>4.0319231278171504E-2</v>
      </c>
      <c r="X145" s="156">
        <f t="shared" si="42"/>
        <v>4.5044342835672289E-2</v>
      </c>
      <c r="Y145" s="156">
        <f t="shared" si="42"/>
        <v>4.4091267658316086E-2</v>
      </c>
      <c r="DA145" s="213"/>
    </row>
    <row r="146" spans="1:105" ht="11.45" customHeight="1" x14ac:dyDescent="0.25">
      <c r="A146" s="157" t="s">
        <v>110</v>
      </c>
      <c r="B146" s="103">
        <f t="shared" si="40"/>
        <v>0</v>
      </c>
      <c r="C146" s="103">
        <f t="shared" si="40"/>
        <v>0</v>
      </c>
      <c r="D146" s="103">
        <f t="shared" si="40"/>
        <v>0</v>
      </c>
      <c r="E146" s="103">
        <f t="shared" si="40"/>
        <v>0</v>
      </c>
      <c r="F146" s="103">
        <f t="shared" si="40"/>
        <v>0</v>
      </c>
      <c r="G146" s="103">
        <f t="shared" si="40"/>
        <v>0</v>
      </c>
      <c r="H146" s="103">
        <f t="shared" si="40"/>
        <v>0</v>
      </c>
      <c r="I146" s="103">
        <f t="shared" si="40"/>
        <v>0</v>
      </c>
      <c r="J146" s="103">
        <f t="shared" si="40"/>
        <v>0</v>
      </c>
      <c r="K146" s="103">
        <f t="shared" si="40"/>
        <v>0</v>
      </c>
      <c r="L146" s="103">
        <f t="shared" si="41"/>
        <v>1.5538005871719597E-6</v>
      </c>
      <c r="M146" s="103">
        <f t="shared" si="40"/>
        <v>1.7238284322841799E-6</v>
      </c>
      <c r="N146" s="103">
        <f t="shared" si="40"/>
        <v>1.9168158765347446E-6</v>
      </c>
      <c r="O146" s="103">
        <f t="shared" si="40"/>
        <v>2.225098767753141E-6</v>
      </c>
      <c r="P146" s="103">
        <f t="shared" si="40"/>
        <v>2.1934785887711317E-6</v>
      </c>
      <c r="Q146" s="103">
        <f t="shared" si="40"/>
        <v>2.5112136125175401E-6</v>
      </c>
      <c r="R146" s="103">
        <f t="shared" si="40"/>
        <v>2.8151827991489826E-6</v>
      </c>
      <c r="S146" s="103">
        <f t="shared" si="40"/>
        <v>2.4956022394526718E-6</v>
      </c>
      <c r="T146" s="103">
        <f t="shared" si="40"/>
        <v>2.5907952977186711E-6</v>
      </c>
      <c r="U146" s="103">
        <f t="shared" si="40"/>
        <v>2.1576540639165151E-6</v>
      </c>
      <c r="V146" s="103">
        <f t="shared" si="40"/>
        <v>1.967766532405859E-6</v>
      </c>
      <c r="W146" s="103">
        <f t="shared" si="42"/>
        <v>2.3199837628279946E-6</v>
      </c>
      <c r="X146" s="103">
        <f t="shared" si="42"/>
        <v>2.4018096281703411E-6</v>
      </c>
      <c r="Y146" s="103">
        <f t="shared" si="42"/>
        <v>2.4429601004479206E-6</v>
      </c>
      <c r="DA146" s="191"/>
    </row>
    <row r="147" spans="1:105" ht="11.45" customHeight="1" x14ac:dyDescent="0.25">
      <c r="A147" s="157" t="s">
        <v>111</v>
      </c>
      <c r="B147" s="103">
        <f t="shared" si="40"/>
        <v>5.7793966132804311E-2</v>
      </c>
      <c r="C147" s="103">
        <f t="shared" si="40"/>
        <v>5.6333908754857928E-2</v>
      </c>
      <c r="D147" s="103">
        <f t="shared" si="40"/>
        <v>5.4402714301553766E-2</v>
      </c>
      <c r="E147" s="103">
        <f t="shared" si="40"/>
        <v>5.0068256103021028E-2</v>
      </c>
      <c r="F147" s="103">
        <f t="shared" si="40"/>
        <v>4.7497018740723713E-2</v>
      </c>
      <c r="G147" s="103">
        <f t="shared" si="40"/>
        <v>3.0208306631488061E-2</v>
      </c>
      <c r="H147" s="103">
        <f t="shared" si="40"/>
        <v>3.0034700332106326E-2</v>
      </c>
      <c r="I147" s="103">
        <f t="shared" si="40"/>
        <v>3.0655918300349271E-2</v>
      </c>
      <c r="J147" s="103">
        <f t="shared" si="40"/>
        <v>3.1643755556922747E-2</v>
      </c>
      <c r="K147" s="103">
        <f t="shared" si="40"/>
        <v>3.2504620002295093E-2</v>
      </c>
      <c r="L147" s="103">
        <f t="shared" si="41"/>
        <v>3.3168607155047179E-2</v>
      </c>
      <c r="M147" s="103">
        <f t="shared" si="40"/>
        <v>3.5639214168873258E-2</v>
      </c>
      <c r="N147" s="103">
        <f t="shared" si="40"/>
        <v>3.1010479075672098E-2</v>
      </c>
      <c r="O147" s="103">
        <f t="shared" si="40"/>
        <v>3.020915968573161E-2</v>
      </c>
      <c r="P147" s="103">
        <f t="shared" si="40"/>
        <v>3.7071676088087056E-2</v>
      </c>
      <c r="Q147" s="103">
        <f t="shared" si="40"/>
        <v>3.6868441468706888E-2</v>
      </c>
      <c r="R147" s="103">
        <f t="shared" ref="R147:V147" si="43">IF(R29=0,0,R29/R$17)</f>
        <v>3.8613893582817055E-2</v>
      </c>
      <c r="S147" s="103">
        <f t="shared" si="43"/>
        <v>3.9332061921659091E-2</v>
      </c>
      <c r="T147" s="103">
        <f t="shared" si="43"/>
        <v>4.0644647979240882E-2</v>
      </c>
      <c r="U147" s="103">
        <f t="shared" si="43"/>
        <v>3.6279522845166938E-2</v>
      </c>
      <c r="V147" s="103">
        <f t="shared" si="43"/>
        <v>3.1465671993003173E-2</v>
      </c>
      <c r="W147" s="103">
        <f t="shared" ref="W147:Y147" si="44">IF(W29=0,0,W29/W$17)</f>
        <v>3.6599882606434903E-2</v>
      </c>
      <c r="X147" s="103">
        <f t="shared" si="44"/>
        <v>4.0209806209065981E-2</v>
      </c>
      <c r="Y147" s="103">
        <f t="shared" si="44"/>
        <v>3.9365738601368959E-2</v>
      </c>
      <c r="DA147" s="191"/>
    </row>
    <row r="148" spans="1:105" ht="11.45" customHeight="1" x14ac:dyDescent="0.25">
      <c r="A148" s="157" t="s">
        <v>112</v>
      </c>
      <c r="B148" s="103">
        <f t="shared" ref="B148:K148" si="45">IF(B30=0,0,B30/B$17)</f>
        <v>0</v>
      </c>
      <c r="C148" s="103">
        <f t="shared" si="45"/>
        <v>0</v>
      </c>
      <c r="D148" s="103">
        <f t="shared" si="45"/>
        <v>0</v>
      </c>
      <c r="E148" s="103">
        <f t="shared" si="45"/>
        <v>0</v>
      </c>
      <c r="F148" s="103">
        <f t="shared" si="45"/>
        <v>0</v>
      </c>
      <c r="G148" s="103">
        <f t="shared" si="45"/>
        <v>0</v>
      </c>
      <c r="H148" s="103">
        <f t="shared" si="45"/>
        <v>0</v>
      </c>
      <c r="I148" s="103">
        <f t="shared" si="45"/>
        <v>0</v>
      </c>
      <c r="J148" s="103">
        <f t="shared" si="45"/>
        <v>0</v>
      </c>
      <c r="K148" s="103">
        <f t="shared" si="45"/>
        <v>0</v>
      </c>
      <c r="L148" s="103">
        <f t="shared" ref="L148:L150" si="46">IF(L30=0,0,L30/L$17)</f>
        <v>3.4561459154428716E-6</v>
      </c>
      <c r="M148" s="103">
        <f t="shared" ref="M148:V148" si="47">IF(M30=0,0,M30/M$17)</f>
        <v>3.8343418353361113E-6</v>
      </c>
      <c r="N148" s="103">
        <f t="shared" si="47"/>
        <v>2.8455056015901439E-6</v>
      </c>
      <c r="O148" s="103">
        <f t="shared" si="47"/>
        <v>2.8575898147345055E-6</v>
      </c>
      <c r="P148" s="103">
        <f t="shared" si="47"/>
        <v>5.7074103686961909E-6</v>
      </c>
      <c r="Q148" s="103">
        <f t="shared" si="47"/>
        <v>5.8721621153181043E-6</v>
      </c>
      <c r="R148" s="103">
        <f t="shared" si="47"/>
        <v>7.4492069135182458E-6</v>
      </c>
      <c r="S148" s="103">
        <f t="shared" si="47"/>
        <v>7.3028696121505418E-6</v>
      </c>
      <c r="T148" s="103">
        <f t="shared" si="47"/>
        <v>7.6004429824572965E-6</v>
      </c>
      <c r="U148" s="103">
        <f t="shared" si="47"/>
        <v>5.7104565436064292E-6</v>
      </c>
      <c r="V148" s="103">
        <f t="shared" si="47"/>
        <v>4.7273020978156554E-6</v>
      </c>
      <c r="W148" s="103">
        <f t="shared" ref="W148:Y148" si="48">IF(W30=0,0,W30/W$17)</f>
        <v>5.6298036931700643E-6</v>
      </c>
      <c r="X148" s="103">
        <f t="shared" si="48"/>
        <v>4.4275833426683155E-6</v>
      </c>
      <c r="Y148" s="103">
        <f t="shared" si="48"/>
        <v>4.4913301238978615E-6</v>
      </c>
      <c r="DA148" s="191"/>
    </row>
    <row r="149" spans="1:105" ht="11.45" customHeight="1" x14ac:dyDescent="0.25">
      <c r="A149" s="157" t="s">
        <v>113</v>
      </c>
      <c r="B149" s="103">
        <f t="shared" ref="B149:K149" si="49">IF(B31=0,0,B31/B$17)</f>
        <v>1.5206943812791173E-4</v>
      </c>
      <c r="C149" s="103">
        <f t="shared" si="49"/>
        <v>6.049337447677286E-4</v>
      </c>
      <c r="D149" s="103">
        <f t="shared" si="49"/>
        <v>9.0075955676749029E-4</v>
      </c>
      <c r="E149" s="103">
        <f t="shared" si="49"/>
        <v>1.1059056460937956E-3</v>
      </c>
      <c r="F149" s="103">
        <f t="shared" si="49"/>
        <v>1.1207100121209822E-3</v>
      </c>
      <c r="G149" s="103">
        <f t="shared" si="49"/>
        <v>1.3836290008205335E-3</v>
      </c>
      <c r="H149" s="103">
        <f t="shared" si="49"/>
        <v>1.306217433705136E-3</v>
      </c>
      <c r="I149" s="103">
        <f t="shared" si="49"/>
        <v>1.4686272570060106E-3</v>
      </c>
      <c r="J149" s="103">
        <f t="shared" si="49"/>
        <v>1.5267769282278347E-3</v>
      </c>
      <c r="K149" s="103">
        <f t="shared" si="49"/>
        <v>1.5547935820751084E-3</v>
      </c>
      <c r="L149" s="103">
        <f t="shared" si="46"/>
        <v>1.6531769824306853E-3</v>
      </c>
      <c r="M149" s="103">
        <f t="shared" ref="M149:V149" si="50">IF(M31=0,0,M31/M$17)</f>
        <v>1.7822652566020409E-3</v>
      </c>
      <c r="N149" s="103">
        <f t="shared" si="50"/>
        <v>1.8527556435587486E-3</v>
      </c>
      <c r="O149" s="103">
        <f t="shared" si="50"/>
        <v>1.9450186166846365E-3</v>
      </c>
      <c r="P149" s="103">
        <f t="shared" si="50"/>
        <v>1.8731299732217363E-3</v>
      </c>
      <c r="Q149" s="103">
        <f t="shared" si="50"/>
        <v>2.1741180886865902E-3</v>
      </c>
      <c r="R149" s="103">
        <f t="shared" si="50"/>
        <v>2.0711125223299379E-3</v>
      </c>
      <c r="S149" s="103">
        <f t="shared" si="50"/>
        <v>2.1498306259029338E-3</v>
      </c>
      <c r="T149" s="103">
        <f t="shared" si="50"/>
        <v>2.3410830893682783E-3</v>
      </c>
      <c r="U149" s="103">
        <f t="shared" si="50"/>
        <v>2.4719122250308405E-3</v>
      </c>
      <c r="V149" s="103">
        <f t="shared" si="50"/>
        <v>3.3613497606193609E-3</v>
      </c>
      <c r="W149" s="103">
        <f t="shared" ref="W149:Y149" si="51">IF(W31=0,0,W31/W$17)</f>
        <v>3.7113988842806022E-3</v>
      </c>
      <c r="X149" s="103">
        <f t="shared" si="51"/>
        <v>4.8277072336354674E-3</v>
      </c>
      <c r="Y149" s="103">
        <f t="shared" si="51"/>
        <v>4.7185947667227786E-3</v>
      </c>
      <c r="DA149" s="191"/>
    </row>
    <row r="150" spans="1:105" ht="11.45" customHeight="1" x14ac:dyDescent="0.25">
      <c r="A150" s="157" t="s">
        <v>115</v>
      </c>
      <c r="B150" s="103">
        <f t="shared" ref="B150:K150" si="52">IF(B32=0,0,B32/B$17)</f>
        <v>0</v>
      </c>
      <c r="C150" s="103">
        <f t="shared" si="52"/>
        <v>0</v>
      </c>
      <c r="D150" s="103">
        <f t="shared" si="52"/>
        <v>0</v>
      </c>
      <c r="E150" s="103">
        <f t="shared" si="52"/>
        <v>0</v>
      </c>
      <c r="F150" s="103">
        <f t="shared" si="52"/>
        <v>0</v>
      </c>
      <c r="G150" s="103">
        <f t="shared" si="52"/>
        <v>0</v>
      </c>
      <c r="H150" s="103">
        <f t="shared" si="52"/>
        <v>0</v>
      </c>
      <c r="I150" s="103">
        <f t="shared" si="52"/>
        <v>0</v>
      </c>
      <c r="J150" s="103">
        <f t="shared" si="52"/>
        <v>0</v>
      </c>
      <c r="K150" s="103">
        <f t="shared" si="52"/>
        <v>0</v>
      </c>
      <c r="L150" s="103">
        <f t="shared" si="46"/>
        <v>0</v>
      </c>
      <c r="M150" s="103">
        <f t="shared" ref="M150:V150" si="53">IF(M32=0,0,M32/M$17)</f>
        <v>0</v>
      </c>
      <c r="N150" s="103">
        <f t="shared" si="53"/>
        <v>0</v>
      </c>
      <c r="O150" s="103">
        <f t="shared" si="53"/>
        <v>0</v>
      </c>
      <c r="P150" s="103">
        <f t="shared" si="53"/>
        <v>0</v>
      </c>
      <c r="Q150" s="103">
        <f t="shared" si="53"/>
        <v>0</v>
      </c>
      <c r="R150" s="103">
        <f t="shared" si="53"/>
        <v>0</v>
      </c>
      <c r="S150" s="103">
        <f t="shared" si="53"/>
        <v>0</v>
      </c>
      <c r="T150" s="103">
        <f t="shared" si="53"/>
        <v>0</v>
      </c>
      <c r="U150" s="103">
        <f t="shared" si="53"/>
        <v>0</v>
      </c>
      <c r="V150" s="103">
        <f t="shared" si="53"/>
        <v>0</v>
      </c>
      <c r="W150" s="103">
        <f t="shared" ref="W150:Y150" si="54">IF(W32=0,0,W32/W$17)</f>
        <v>0</v>
      </c>
      <c r="X150" s="103">
        <f t="shared" si="54"/>
        <v>0</v>
      </c>
      <c r="Y150" s="103">
        <f t="shared" si="54"/>
        <v>0</v>
      </c>
      <c r="DA150" s="191"/>
    </row>
    <row r="151" spans="1:105" ht="11.45" customHeight="1" x14ac:dyDescent="0.25">
      <c r="A151" s="27" t="s">
        <v>34</v>
      </c>
      <c r="B151" s="46">
        <f t="shared" ref="B151:K151" si="55">IF(B33=0,0,B33/B$17)</f>
        <v>0.42723367489304259</v>
      </c>
      <c r="C151" s="46">
        <f t="shared" si="55"/>
        <v>0.43149414764702826</v>
      </c>
      <c r="D151" s="46">
        <f t="shared" si="55"/>
        <v>0.41394843705747536</v>
      </c>
      <c r="E151" s="46">
        <f t="shared" si="55"/>
        <v>0.40433780522722829</v>
      </c>
      <c r="F151" s="46">
        <f t="shared" si="55"/>
        <v>0.40235504535495265</v>
      </c>
      <c r="G151" s="46">
        <f t="shared" si="55"/>
        <v>0.40728076149699893</v>
      </c>
      <c r="H151" s="46">
        <f t="shared" si="55"/>
        <v>0.40303376039851119</v>
      </c>
      <c r="I151" s="46">
        <f t="shared" si="55"/>
        <v>0.39630717720497216</v>
      </c>
      <c r="J151" s="46">
        <f t="shared" si="55"/>
        <v>0.3880656631352819</v>
      </c>
      <c r="K151" s="46">
        <f t="shared" si="55"/>
        <v>0.37323187799676405</v>
      </c>
      <c r="L151" s="46">
        <f t="shared" ref="L151" si="56">IF(L33=0,0,L33/L$17)</f>
        <v>0.36656826917282548</v>
      </c>
      <c r="M151" s="46">
        <f t="shared" ref="M151:V151" si="57">IF(M33=0,0,M33/M$17)</f>
        <v>0.35783029534004651</v>
      </c>
      <c r="N151" s="46">
        <f t="shared" si="57"/>
        <v>0.33707108300882421</v>
      </c>
      <c r="O151" s="46">
        <f t="shared" si="57"/>
        <v>0.3262767414604128</v>
      </c>
      <c r="P151" s="46">
        <f t="shared" si="57"/>
        <v>0.32041146589008507</v>
      </c>
      <c r="Q151" s="46">
        <f t="shared" si="57"/>
        <v>0.32120233563267286</v>
      </c>
      <c r="R151" s="46">
        <f t="shared" si="57"/>
        <v>0.31926494777173775</v>
      </c>
      <c r="S151" s="46">
        <f t="shared" si="57"/>
        <v>0.31508607115153953</v>
      </c>
      <c r="T151" s="46">
        <f t="shared" si="57"/>
        <v>0.3127490860643502</v>
      </c>
      <c r="U151" s="46">
        <f t="shared" si="57"/>
        <v>0.30948514887618278</v>
      </c>
      <c r="V151" s="46">
        <f t="shared" si="57"/>
        <v>0.31054487139964942</v>
      </c>
      <c r="W151" s="46">
        <f t="shared" ref="W151:Y151" si="58">IF(W33=0,0,W33/W$17)</f>
        <v>0.31170343418930285</v>
      </c>
      <c r="X151" s="46">
        <f t="shared" si="58"/>
        <v>0.31916240243612387</v>
      </c>
      <c r="Y151" s="46">
        <f t="shared" si="58"/>
        <v>0.31678226571099877</v>
      </c>
      <c r="DA151" s="211"/>
    </row>
    <row r="152" spans="1:105" ht="11.45" customHeight="1" x14ac:dyDescent="0.25">
      <c r="A152" s="153" t="s">
        <v>153</v>
      </c>
      <c r="B152" s="154">
        <f t="shared" ref="B152:K152" si="59">IF(B34=0,0,B34/B$17)</f>
        <v>0.31898108444024637</v>
      </c>
      <c r="C152" s="154">
        <f t="shared" si="59"/>
        <v>0.30361270966920662</v>
      </c>
      <c r="D152" s="154">
        <f t="shared" si="59"/>
        <v>0.29422663342847799</v>
      </c>
      <c r="E152" s="154">
        <f t="shared" si="59"/>
        <v>0.27185842772797625</v>
      </c>
      <c r="F152" s="154">
        <f t="shared" si="59"/>
        <v>0.24641851868187592</v>
      </c>
      <c r="G152" s="154">
        <f t="shared" si="59"/>
        <v>0.23974678297835478</v>
      </c>
      <c r="H152" s="154">
        <f t="shared" si="59"/>
        <v>0.23405806755900624</v>
      </c>
      <c r="I152" s="154">
        <f t="shared" si="59"/>
        <v>0.22000129168621871</v>
      </c>
      <c r="J152" s="154">
        <f t="shared" si="59"/>
        <v>0.21614131114711299</v>
      </c>
      <c r="K152" s="154">
        <f t="shared" si="59"/>
        <v>0.21610692462363162</v>
      </c>
      <c r="L152" s="154">
        <f t="shared" ref="L152" si="60">IF(L34=0,0,L34/L$17)</f>
        <v>0.20715635982672009</v>
      </c>
      <c r="M152" s="154">
        <f t="shared" ref="M152:V152" si="61">IF(M34=0,0,M34/M$17)</f>
        <v>0.19413120828879157</v>
      </c>
      <c r="N152" s="154">
        <f t="shared" si="61"/>
        <v>0.17850565286084755</v>
      </c>
      <c r="O152" s="154">
        <f t="shared" si="61"/>
        <v>0.17280690887782815</v>
      </c>
      <c r="P152" s="154">
        <f t="shared" si="61"/>
        <v>0.17975914801732207</v>
      </c>
      <c r="Q152" s="154">
        <f t="shared" si="61"/>
        <v>0.17536769351345369</v>
      </c>
      <c r="R152" s="154">
        <f t="shared" si="61"/>
        <v>0.17769929009393695</v>
      </c>
      <c r="S152" s="154">
        <f t="shared" si="61"/>
        <v>0.17902474738567109</v>
      </c>
      <c r="T152" s="154">
        <f t="shared" si="61"/>
        <v>0.17982609022095866</v>
      </c>
      <c r="U152" s="154">
        <f t="shared" si="61"/>
        <v>0.17708332593315448</v>
      </c>
      <c r="V152" s="154">
        <f t="shared" si="61"/>
        <v>0.17646822427255299</v>
      </c>
      <c r="W152" s="154">
        <f t="shared" ref="W152:Y152" si="62">IF(W34=0,0,W34/W$17)</f>
        <v>0.17980287575872067</v>
      </c>
      <c r="X152" s="154">
        <f t="shared" si="62"/>
        <v>0.19257457745848566</v>
      </c>
      <c r="Y152" s="154">
        <f t="shared" si="62"/>
        <v>0.199405629769661</v>
      </c>
      <c r="DA152" s="212"/>
    </row>
    <row r="153" spans="1:105" ht="11.45" customHeight="1" x14ac:dyDescent="0.25">
      <c r="A153" s="157" t="s">
        <v>110</v>
      </c>
      <c r="B153" s="103">
        <f t="shared" ref="B153:K153" si="63">IF(B35=0,0,B35/B$17)</f>
        <v>3.9528610327003175E-3</v>
      </c>
      <c r="C153" s="103">
        <f t="shared" si="63"/>
        <v>3.4446682779525565E-3</v>
      </c>
      <c r="D153" s="103">
        <f t="shared" si="63"/>
        <v>3.2902836546306272E-3</v>
      </c>
      <c r="E153" s="103">
        <f t="shared" si="63"/>
        <v>3.3228804009388336E-3</v>
      </c>
      <c r="F153" s="103">
        <f t="shared" si="63"/>
        <v>2.8076784130160511E-3</v>
      </c>
      <c r="G153" s="103">
        <f t="shared" si="63"/>
        <v>2.6545512609874636E-3</v>
      </c>
      <c r="H153" s="103">
        <f t="shared" si="63"/>
        <v>2.5753101684057966E-3</v>
      </c>
      <c r="I153" s="103">
        <f t="shared" si="63"/>
        <v>2.3647676274325528E-3</v>
      </c>
      <c r="J153" s="103">
        <f t="shared" si="63"/>
        <v>2.278726352396788E-3</v>
      </c>
      <c r="K153" s="103">
        <f t="shared" si="63"/>
        <v>2.2822547893716267E-3</v>
      </c>
      <c r="L153" s="103">
        <f t="shared" ref="L153" si="64">IF(L35=0,0,L35/L$17)</f>
        <v>2.1840679852987168E-3</v>
      </c>
      <c r="M153" s="103">
        <f t="shared" ref="M153:V153" si="65">IF(M35=0,0,M35/M$17)</f>
        <v>1.8480131480702506E-3</v>
      </c>
      <c r="N153" s="103">
        <f t="shared" si="65"/>
        <v>1.7087473424185196E-3</v>
      </c>
      <c r="O153" s="103">
        <f t="shared" si="65"/>
        <v>1.5221904669741875E-3</v>
      </c>
      <c r="P153" s="103">
        <f t="shared" si="65"/>
        <v>1.4412147709009213E-3</v>
      </c>
      <c r="Q153" s="103">
        <f t="shared" si="65"/>
        <v>1.5166964203953326E-3</v>
      </c>
      <c r="R153" s="103">
        <f t="shared" si="65"/>
        <v>1.3364555987437176E-3</v>
      </c>
      <c r="S153" s="103">
        <f t="shared" si="65"/>
        <v>1.3583223526139241E-3</v>
      </c>
      <c r="T153" s="103">
        <f t="shared" si="65"/>
        <v>1.227042566961205E-3</v>
      </c>
      <c r="U153" s="103">
        <f t="shared" si="65"/>
        <v>1.4306378222088297E-3</v>
      </c>
      <c r="V153" s="103">
        <f t="shared" si="65"/>
        <v>1.0325956505039492E-3</v>
      </c>
      <c r="W153" s="103">
        <f t="shared" ref="W153:Y153" si="66">IF(W35=0,0,W35/W$17)</f>
        <v>1.0164541862599792E-3</v>
      </c>
      <c r="X153" s="103">
        <f t="shared" si="66"/>
        <v>1.070301502891376E-3</v>
      </c>
      <c r="Y153" s="103">
        <f t="shared" si="66"/>
        <v>9.8976223725118478E-4</v>
      </c>
      <c r="DA153" s="191"/>
    </row>
    <row r="154" spans="1:105" ht="11.45" customHeight="1" x14ac:dyDescent="0.25">
      <c r="A154" s="157" t="s">
        <v>111</v>
      </c>
      <c r="B154" s="103">
        <f t="shared" ref="B154:K154" si="67">IF(B36=0,0,B36/B$17)</f>
        <v>0.31479124743159637</v>
      </c>
      <c r="C154" s="103">
        <f t="shared" si="67"/>
        <v>0.29995627327699415</v>
      </c>
      <c r="D154" s="103">
        <f t="shared" si="67"/>
        <v>0.2907316322964672</v>
      </c>
      <c r="E154" s="103">
        <f t="shared" si="67"/>
        <v>0.26832974199311166</v>
      </c>
      <c r="F154" s="103">
        <f t="shared" si="67"/>
        <v>0.24343304933906926</v>
      </c>
      <c r="G154" s="103">
        <f t="shared" si="67"/>
        <v>0.23692078662997351</v>
      </c>
      <c r="H154" s="103">
        <f t="shared" si="67"/>
        <v>0.2313142358129435</v>
      </c>
      <c r="I154" s="103">
        <f t="shared" si="67"/>
        <v>0.21747818403124489</v>
      </c>
      <c r="J154" s="103">
        <f t="shared" si="67"/>
        <v>0.21370845266804855</v>
      </c>
      <c r="K154" s="103">
        <f t="shared" si="67"/>
        <v>0.21366901565019655</v>
      </c>
      <c r="L154" s="103">
        <f t="shared" ref="L154" si="68">IF(L36=0,0,L36/L$17)</f>
        <v>0.2048251813851639</v>
      </c>
      <c r="M154" s="103">
        <f t="shared" ref="M154:V154" si="69">IF(M36=0,0,M36/M$17)</f>
        <v>0.19214946538576785</v>
      </c>
      <c r="N154" s="103">
        <f t="shared" si="69"/>
        <v>0.17668197786690215</v>
      </c>
      <c r="O154" s="103">
        <f t="shared" si="69"/>
        <v>0.17117002074037843</v>
      </c>
      <c r="P154" s="103">
        <f t="shared" si="69"/>
        <v>0.17820404243167004</v>
      </c>
      <c r="Q154" s="103">
        <f t="shared" si="69"/>
        <v>0.17372999684107845</v>
      </c>
      <c r="R154" s="103">
        <f t="shared" si="69"/>
        <v>0.17625418671567214</v>
      </c>
      <c r="S154" s="103">
        <f t="shared" si="69"/>
        <v>0.17756182295453987</v>
      </c>
      <c r="T154" s="103">
        <f t="shared" si="69"/>
        <v>0.17849742572121463</v>
      </c>
      <c r="U154" s="103">
        <f t="shared" si="69"/>
        <v>0.1755439706190996</v>
      </c>
      <c r="V154" s="103">
        <f t="shared" si="69"/>
        <v>0.17532940774784256</v>
      </c>
      <c r="W154" s="103">
        <f t="shared" ref="W154:Y154" si="70">IF(W36=0,0,W36/W$17)</f>
        <v>0.17867956525713458</v>
      </c>
      <c r="X154" s="103">
        <f t="shared" si="70"/>
        <v>0.19139078450197164</v>
      </c>
      <c r="Y154" s="103">
        <f t="shared" si="70"/>
        <v>0.19830233800924107</v>
      </c>
      <c r="DA154" s="191"/>
    </row>
    <row r="155" spans="1:105" ht="11.45" customHeight="1" x14ac:dyDescent="0.25">
      <c r="A155" s="157" t="s">
        <v>112</v>
      </c>
      <c r="B155" s="103">
        <f t="shared" ref="B155:K155" si="71">IF(B37=0,0,B37/B$17)</f>
        <v>2.369759759496754E-4</v>
      </c>
      <c r="C155" s="103">
        <f t="shared" si="71"/>
        <v>2.1176811425985126E-4</v>
      </c>
      <c r="D155" s="103">
        <f t="shared" si="71"/>
        <v>2.0471747738013199E-4</v>
      </c>
      <c r="E155" s="103">
        <f t="shared" si="71"/>
        <v>2.0580533392575875E-4</v>
      </c>
      <c r="F155" s="103">
        <f t="shared" si="71"/>
        <v>1.7779092979062344E-4</v>
      </c>
      <c r="G155" s="103">
        <f t="shared" si="71"/>
        <v>1.7144508739382359E-4</v>
      </c>
      <c r="H155" s="103">
        <f t="shared" si="71"/>
        <v>1.6852157765696161E-4</v>
      </c>
      <c r="I155" s="103">
        <f t="shared" si="71"/>
        <v>1.5834002754123902E-4</v>
      </c>
      <c r="J155" s="103">
        <f t="shared" si="71"/>
        <v>1.5413212666767141E-4</v>
      </c>
      <c r="K155" s="103">
        <f t="shared" si="71"/>
        <v>1.556541840634181E-4</v>
      </c>
      <c r="L155" s="103">
        <f t="shared" ref="L155" si="72">IF(L37=0,0,L37/L$17)</f>
        <v>1.4711045625748496E-4</v>
      </c>
      <c r="M155" s="103">
        <f t="shared" ref="M155:V155" si="73">IF(M37=0,0,M37/M$17)</f>
        <v>1.3372975495348026E-4</v>
      </c>
      <c r="N155" s="103">
        <f t="shared" si="73"/>
        <v>1.1492765152687316E-4</v>
      </c>
      <c r="O155" s="103">
        <f t="shared" si="73"/>
        <v>1.1408088751007318E-4</v>
      </c>
      <c r="P155" s="103">
        <f t="shared" si="73"/>
        <v>1.122947237471196E-4</v>
      </c>
      <c r="Q155" s="103">
        <f t="shared" si="73"/>
        <v>1.1832701440122654E-4</v>
      </c>
      <c r="R155" s="103">
        <f t="shared" si="73"/>
        <v>1.0529424006157752E-4</v>
      </c>
      <c r="S155" s="103">
        <f t="shared" si="73"/>
        <v>1.0084793801910584E-4</v>
      </c>
      <c r="T155" s="103">
        <f t="shared" si="73"/>
        <v>9.5874845037451645E-5</v>
      </c>
      <c r="U155" s="103">
        <f t="shared" si="73"/>
        <v>9.8892707800476881E-5</v>
      </c>
      <c r="V155" s="103">
        <f t="shared" si="73"/>
        <v>9.4496314415476698E-5</v>
      </c>
      <c r="W155" s="103">
        <f t="shared" ref="W155:Y155" si="74">IF(W37=0,0,W37/W$17)</f>
        <v>8.9708796307973326E-5</v>
      </c>
      <c r="X155" s="103">
        <f t="shared" si="74"/>
        <v>9.4450537505168784E-5</v>
      </c>
      <c r="Y155" s="103">
        <f t="shared" si="74"/>
        <v>9.3591562799005986E-5</v>
      </c>
      <c r="DA155" s="191"/>
    </row>
    <row r="156" spans="1:105" ht="11.45" customHeight="1" x14ac:dyDescent="0.25">
      <c r="A156" s="157" t="s">
        <v>113</v>
      </c>
      <c r="B156" s="103">
        <f t="shared" ref="B156:K156" si="75">IF(B38=0,0,B38/B$17)</f>
        <v>0</v>
      </c>
      <c r="C156" s="103">
        <f t="shared" si="75"/>
        <v>0</v>
      </c>
      <c r="D156" s="103">
        <f t="shared" si="75"/>
        <v>0</v>
      </c>
      <c r="E156" s="103">
        <f t="shared" si="75"/>
        <v>0</v>
      </c>
      <c r="F156" s="103">
        <f t="shared" si="75"/>
        <v>0</v>
      </c>
      <c r="G156" s="103">
        <f t="shared" si="75"/>
        <v>0</v>
      </c>
      <c r="H156" s="103">
        <f t="shared" si="75"/>
        <v>0</v>
      </c>
      <c r="I156" s="103">
        <f t="shared" si="75"/>
        <v>0</v>
      </c>
      <c r="J156" s="103">
        <f t="shared" si="75"/>
        <v>0</v>
      </c>
      <c r="K156" s="103">
        <f t="shared" si="75"/>
        <v>0</v>
      </c>
      <c r="L156" s="103">
        <f t="shared" ref="L156" si="76">IF(L38=0,0,L38/L$17)</f>
        <v>0</v>
      </c>
      <c r="M156" s="103">
        <f t="shared" ref="M156:V156" si="77">IF(M38=0,0,M38/M$17)</f>
        <v>0</v>
      </c>
      <c r="N156" s="103">
        <f t="shared" si="77"/>
        <v>0</v>
      </c>
      <c r="O156" s="103">
        <f t="shared" si="77"/>
        <v>6.1678296547963717E-7</v>
      </c>
      <c r="P156" s="103">
        <f t="shared" si="77"/>
        <v>1.5960910039834147E-6</v>
      </c>
      <c r="Q156" s="103">
        <f t="shared" si="77"/>
        <v>2.6732375787054601E-6</v>
      </c>
      <c r="R156" s="103">
        <f t="shared" si="77"/>
        <v>3.3535394595277225E-6</v>
      </c>
      <c r="S156" s="103">
        <f t="shared" si="77"/>
        <v>3.7541404982110399E-6</v>
      </c>
      <c r="T156" s="103">
        <f t="shared" si="77"/>
        <v>5.7470877453754943E-6</v>
      </c>
      <c r="U156" s="103">
        <f t="shared" si="77"/>
        <v>9.8247840455771919E-6</v>
      </c>
      <c r="V156" s="103">
        <f t="shared" si="77"/>
        <v>1.1724559791010831E-5</v>
      </c>
      <c r="W156" s="103">
        <f t="shared" ref="W156:Y156" si="78">IF(W38=0,0,W38/W$17)</f>
        <v>1.7147519018144039E-5</v>
      </c>
      <c r="X156" s="103">
        <f t="shared" si="78"/>
        <v>1.9040916117470283E-5</v>
      </c>
      <c r="Y156" s="103">
        <f t="shared" si="78"/>
        <v>1.9937960369705072E-5</v>
      </c>
      <c r="DA156" s="191"/>
    </row>
    <row r="157" spans="1:105" ht="11.45" customHeight="1" x14ac:dyDescent="0.25">
      <c r="A157" s="157" t="s">
        <v>115</v>
      </c>
      <c r="B157" s="103">
        <f t="shared" ref="B157:K157" si="79">IF(B39=0,0,B39/B$17)</f>
        <v>0</v>
      </c>
      <c r="C157" s="103">
        <f t="shared" si="79"/>
        <v>0</v>
      </c>
      <c r="D157" s="103">
        <f t="shared" si="79"/>
        <v>0</v>
      </c>
      <c r="E157" s="103">
        <f t="shared" si="79"/>
        <v>0</v>
      </c>
      <c r="F157" s="103">
        <f t="shared" si="79"/>
        <v>0</v>
      </c>
      <c r="G157" s="103">
        <f t="shared" si="79"/>
        <v>0</v>
      </c>
      <c r="H157" s="103">
        <f t="shared" si="79"/>
        <v>0</v>
      </c>
      <c r="I157" s="103">
        <f t="shared" si="79"/>
        <v>0</v>
      </c>
      <c r="J157" s="103">
        <f t="shared" si="79"/>
        <v>0</v>
      </c>
      <c r="K157" s="103">
        <f t="shared" si="79"/>
        <v>0</v>
      </c>
      <c r="L157" s="103">
        <f t="shared" ref="L157" si="80">IF(L39=0,0,L39/L$17)</f>
        <v>0</v>
      </c>
      <c r="M157" s="103">
        <f t="shared" ref="M157:V157" si="81">IF(M39=0,0,M39/M$17)</f>
        <v>0</v>
      </c>
      <c r="N157" s="103">
        <f t="shared" si="81"/>
        <v>0</v>
      </c>
      <c r="O157" s="103">
        <f t="shared" si="81"/>
        <v>0</v>
      </c>
      <c r="P157" s="103">
        <f t="shared" si="81"/>
        <v>0</v>
      </c>
      <c r="Q157" s="103">
        <f t="shared" si="81"/>
        <v>0</v>
      </c>
      <c r="R157" s="103">
        <f t="shared" si="81"/>
        <v>0</v>
      </c>
      <c r="S157" s="103">
        <f t="shared" si="81"/>
        <v>0</v>
      </c>
      <c r="T157" s="103">
        <f t="shared" si="81"/>
        <v>0</v>
      </c>
      <c r="U157" s="103">
        <f t="shared" si="81"/>
        <v>0</v>
      </c>
      <c r="V157" s="103">
        <f t="shared" si="81"/>
        <v>0</v>
      </c>
      <c r="W157" s="103">
        <f t="shared" ref="W157:Y157" si="82">IF(W39=0,0,W39/W$17)</f>
        <v>0</v>
      </c>
      <c r="X157" s="103">
        <f t="shared" si="82"/>
        <v>0</v>
      </c>
      <c r="Y157" s="103">
        <f t="shared" si="82"/>
        <v>0</v>
      </c>
      <c r="DA157" s="191"/>
    </row>
    <row r="158" spans="1:105" ht="11.45" customHeight="1" x14ac:dyDescent="0.25">
      <c r="A158" s="155" t="s">
        <v>154</v>
      </c>
      <c r="B158" s="156">
        <f t="shared" ref="B158:K158" si="83">IF(B40=0,0,B40/B$17)</f>
        <v>0.10825259045279623</v>
      </c>
      <c r="C158" s="156">
        <f t="shared" si="83"/>
        <v>0.12788143797782167</v>
      </c>
      <c r="D158" s="156">
        <f t="shared" si="83"/>
        <v>0.1197218036289974</v>
      </c>
      <c r="E158" s="156">
        <f t="shared" si="83"/>
        <v>0.13247937749925207</v>
      </c>
      <c r="F158" s="156">
        <f t="shared" si="83"/>
        <v>0.15593652667307675</v>
      </c>
      <c r="G158" s="156">
        <f t="shared" si="83"/>
        <v>0.16753397851864416</v>
      </c>
      <c r="H158" s="156">
        <f t="shared" si="83"/>
        <v>0.16897569283950492</v>
      </c>
      <c r="I158" s="156">
        <f t="shared" si="83"/>
        <v>0.17630588551875342</v>
      </c>
      <c r="J158" s="156">
        <f t="shared" si="83"/>
        <v>0.17192435198816888</v>
      </c>
      <c r="K158" s="156">
        <f t="shared" si="83"/>
        <v>0.15712495337313243</v>
      </c>
      <c r="L158" s="156">
        <f t="shared" ref="L158" si="84">IF(L40=0,0,L40/L$17)</f>
        <v>0.15941190934610541</v>
      </c>
      <c r="M158" s="156">
        <f t="shared" ref="M158:V158" si="85">IF(M40=0,0,M40/M$17)</f>
        <v>0.16369908705125497</v>
      </c>
      <c r="N158" s="156">
        <f t="shared" si="85"/>
        <v>0.15856543014797667</v>
      </c>
      <c r="O158" s="156">
        <f t="shared" si="85"/>
        <v>0.15346983258258468</v>
      </c>
      <c r="P158" s="156">
        <f t="shared" si="85"/>
        <v>0.14065231787276297</v>
      </c>
      <c r="Q158" s="156">
        <f t="shared" si="85"/>
        <v>0.14583464211921923</v>
      </c>
      <c r="R158" s="156">
        <f t="shared" si="85"/>
        <v>0.14156565767780085</v>
      </c>
      <c r="S158" s="156">
        <f t="shared" si="85"/>
        <v>0.13606132376586841</v>
      </c>
      <c r="T158" s="156">
        <f t="shared" si="85"/>
        <v>0.13292299584339159</v>
      </c>
      <c r="U158" s="156">
        <f t="shared" si="85"/>
        <v>0.1324018229430283</v>
      </c>
      <c r="V158" s="156">
        <f t="shared" si="85"/>
        <v>0.13407664712709644</v>
      </c>
      <c r="W158" s="156">
        <f t="shared" ref="W158:Y158" si="86">IF(W40=0,0,W40/W$17)</f>
        <v>0.13190055843058215</v>
      </c>
      <c r="X158" s="156">
        <f t="shared" si="86"/>
        <v>0.12658782497763815</v>
      </c>
      <c r="Y158" s="156">
        <f t="shared" si="86"/>
        <v>0.11737663594133781</v>
      </c>
      <c r="DA158" s="213"/>
    </row>
    <row r="159" spans="1:105" ht="11.45" customHeight="1" x14ac:dyDescent="0.25">
      <c r="A159" s="157" t="s">
        <v>27</v>
      </c>
      <c r="B159" s="103">
        <f t="shared" ref="B159:K159" si="87">IF(B41=0,0,B41/B$17)</f>
        <v>8.5621460686190171E-2</v>
      </c>
      <c r="C159" s="103">
        <f t="shared" si="87"/>
        <v>0.10288340773301814</v>
      </c>
      <c r="D159" s="103">
        <f t="shared" si="87"/>
        <v>9.3759460923632187E-2</v>
      </c>
      <c r="E159" s="103">
        <f t="shared" si="87"/>
        <v>0.10282926741084653</v>
      </c>
      <c r="F159" s="103">
        <f t="shared" si="87"/>
        <v>0.12262257887930567</v>
      </c>
      <c r="G159" s="103">
        <f t="shared" si="87"/>
        <v>0.13200614740857894</v>
      </c>
      <c r="H159" s="103">
        <f t="shared" si="87"/>
        <v>0.13124404907145945</v>
      </c>
      <c r="I159" s="103">
        <f t="shared" si="87"/>
        <v>0.13506270084462504</v>
      </c>
      <c r="J159" s="103">
        <f t="shared" si="87"/>
        <v>0.1345185869723782</v>
      </c>
      <c r="K159" s="103">
        <f t="shared" si="87"/>
        <v>0.11900141541755332</v>
      </c>
      <c r="L159" s="103">
        <f t="shared" ref="L159" si="88">IF(L41=0,0,L41/L$17)</f>
        <v>0.12481456503659343</v>
      </c>
      <c r="M159" s="103">
        <f t="shared" ref="M159:V159" si="89">IF(M41=0,0,M41/M$17)</f>
        <v>0.12542618514381457</v>
      </c>
      <c r="N159" s="103">
        <f t="shared" si="89"/>
        <v>0.11998570362154445</v>
      </c>
      <c r="O159" s="103">
        <f t="shared" si="89"/>
        <v>0.10913405019779707</v>
      </c>
      <c r="P159" s="103">
        <f t="shared" si="89"/>
        <v>9.7083856694828566E-2</v>
      </c>
      <c r="Q159" s="103">
        <f t="shared" si="89"/>
        <v>0.10896005228200936</v>
      </c>
      <c r="R159" s="103">
        <f t="shared" si="89"/>
        <v>0.10176964729651085</v>
      </c>
      <c r="S159" s="103">
        <f t="shared" si="89"/>
        <v>9.8432972931641785E-2</v>
      </c>
      <c r="T159" s="103">
        <f t="shared" si="89"/>
        <v>9.463592972992016E-2</v>
      </c>
      <c r="U159" s="103">
        <f t="shared" si="89"/>
        <v>9.2956294809971168E-2</v>
      </c>
      <c r="V159" s="103">
        <f t="shared" si="89"/>
        <v>9.3857668625940679E-2</v>
      </c>
      <c r="W159" s="103">
        <f t="shared" ref="W159:Y159" si="90">IF(W41=0,0,W41/W$17)</f>
        <v>8.9912305549306765E-2</v>
      </c>
      <c r="X159" s="103">
        <f t="shared" si="90"/>
        <v>8.3082411690629215E-2</v>
      </c>
      <c r="Y159" s="103">
        <f t="shared" si="90"/>
        <v>7.6388021482970928E-2</v>
      </c>
      <c r="DA159" s="191"/>
    </row>
    <row r="160" spans="1:105" ht="11.45" customHeight="1" x14ac:dyDescent="0.25">
      <c r="A160" s="158" t="s">
        <v>116</v>
      </c>
      <c r="B160" s="105">
        <f t="shared" ref="B160:K160" si="91">IF(B42=0,0,B42/B$17)</f>
        <v>2.263112976660606E-2</v>
      </c>
      <c r="C160" s="105">
        <f t="shared" si="91"/>
        <v>2.4998030244803533E-2</v>
      </c>
      <c r="D160" s="105">
        <f t="shared" si="91"/>
        <v>2.596234270536521E-2</v>
      </c>
      <c r="E160" s="105">
        <f t="shared" si="91"/>
        <v>2.9650110088405537E-2</v>
      </c>
      <c r="F160" s="105">
        <f t="shared" si="91"/>
        <v>3.331394779377108E-2</v>
      </c>
      <c r="G160" s="105">
        <f t="shared" si="91"/>
        <v>3.5527831110065217E-2</v>
      </c>
      <c r="H160" s="105">
        <f t="shared" si="91"/>
        <v>3.7731643768045477E-2</v>
      </c>
      <c r="I160" s="105">
        <f t="shared" si="91"/>
        <v>4.124318467412838E-2</v>
      </c>
      <c r="J160" s="105">
        <f t="shared" si="91"/>
        <v>3.7405765015790682E-2</v>
      </c>
      <c r="K160" s="105">
        <f t="shared" si="91"/>
        <v>3.8123537955579115E-2</v>
      </c>
      <c r="L160" s="105">
        <f t="shared" ref="L160" si="92">IF(L42=0,0,L42/L$17)</f>
        <v>3.4597344309511995E-2</v>
      </c>
      <c r="M160" s="105">
        <f t="shared" ref="M160:V160" si="93">IF(M42=0,0,M42/M$17)</f>
        <v>3.8272901907440378E-2</v>
      </c>
      <c r="N160" s="105">
        <f t="shared" si="93"/>
        <v>3.8579726526432219E-2</v>
      </c>
      <c r="O160" s="105">
        <f t="shared" si="93"/>
        <v>4.4335782384787609E-2</v>
      </c>
      <c r="P160" s="105">
        <f t="shared" si="93"/>
        <v>4.3568461177934427E-2</v>
      </c>
      <c r="Q160" s="105">
        <f t="shared" si="93"/>
        <v>3.6874589837209849E-2</v>
      </c>
      <c r="R160" s="105">
        <f t="shared" si="93"/>
        <v>3.9796010381290006E-2</v>
      </c>
      <c r="S160" s="105">
        <f t="shared" si="93"/>
        <v>3.7628350834226602E-2</v>
      </c>
      <c r="T160" s="105">
        <f t="shared" si="93"/>
        <v>3.8287066113471421E-2</v>
      </c>
      <c r="U160" s="105">
        <f t="shared" si="93"/>
        <v>3.9445528133057128E-2</v>
      </c>
      <c r="V160" s="105">
        <f t="shared" si="93"/>
        <v>4.0218978501155779E-2</v>
      </c>
      <c r="W160" s="105">
        <f t="shared" ref="W160:Y160" si="94">IF(W42=0,0,W42/W$17)</f>
        <v>4.1988252881275404E-2</v>
      </c>
      <c r="X160" s="105">
        <f t="shared" si="94"/>
        <v>4.3505413287008951E-2</v>
      </c>
      <c r="Y160" s="105">
        <f t="shared" si="94"/>
        <v>4.0988614458366886E-2</v>
      </c>
      <c r="DA160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 B10:Y1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DA248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836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109</v>
      </c>
      <c r="B3" s="54">
        <f>TrRoad_act!B57</f>
        <v>5401441</v>
      </c>
      <c r="C3" s="54">
        <f>TrRoad_act!C57</f>
        <v>5698970</v>
      </c>
      <c r="D3" s="54">
        <f>TrRoad_act!D57</f>
        <v>5969248</v>
      </c>
      <c r="E3" s="54">
        <f>TrRoad_act!E57</f>
        <v>5945765</v>
      </c>
      <c r="F3" s="54">
        <f>TrRoad_act!F57</f>
        <v>6076484</v>
      </c>
      <c r="G3" s="54">
        <f>TrRoad_act!G57</f>
        <v>6188629</v>
      </c>
      <c r="H3" s="54">
        <f>TrRoad_act!H57</f>
        <v>6266706</v>
      </c>
      <c r="I3" s="54">
        <f>TrRoad_act!I57</f>
        <v>6353648</v>
      </c>
      <c r="J3" s="54">
        <f>TrRoad_act!J57</f>
        <v>6388122</v>
      </c>
      <c r="K3" s="54">
        <f>TrRoad_act!K57</f>
        <v>6439638</v>
      </c>
      <c r="L3" s="54">
        <f>TrRoad_act!L57</f>
        <v>6638362</v>
      </c>
      <c r="M3" s="54">
        <f>TrRoad_act!M57</f>
        <v>6636687</v>
      </c>
      <c r="N3" s="54">
        <f>TrRoad_act!N57</f>
        <v>6019150</v>
      </c>
      <c r="O3" s="54">
        <f>TrRoad_act!O57</f>
        <v>6081257</v>
      </c>
      <c r="P3" s="54">
        <f>TrRoad_act!P57</f>
        <v>6560825</v>
      </c>
      <c r="Q3" s="54">
        <f>TrRoad_act!Q57</f>
        <v>6566869</v>
      </c>
      <c r="R3" s="54">
        <f>TrRoad_act!R57</f>
        <v>6714015</v>
      </c>
      <c r="S3" s="54">
        <f>TrRoad_act!S57</f>
        <v>6992596</v>
      </c>
      <c r="T3" s="54">
        <f>TrRoad_act!T57</f>
        <v>7273078</v>
      </c>
      <c r="U3" s="54">
        <f>TrRoad_act!U57</f>
        <v>7676268</v>
      </c>
      <c r="V3" s="54">
        <f>TrRoad_act!V57</f>
        <v>7581813</v>
      </c>
      <c r="W3" s="54">
        <f>TrRoad_act!W57</f>
        <v>7645994</v>
      </c>
      <c r="X3" s="54">
        <f>TrRoad_act!X57</f>
        <v>7836961</v>
      </c>
      <c r="Y3" s="54">
        <f>TrRoad_act!Y57</f>
        <v>7942248</v>
      </c>
      <c r="DA3" s="172" t="s">
        <v>500</v>
      </c>
    </row>
    <row r="4" spans="1:105" ht="11.45" customHeight="1" x14ac:dyDescent="0.25">
      <c r="A4" s="27" t="s">
        <v>33</v>
      </c>
      <c r="B4" s="28">
        <f>TrRoad_act!B58</f>
        <v>3999848</v>
      </c>
      <c r="C4" s="28">
        <f>TrRoad_act!C58</f>
        <v>4161243</v>
      </c>
      <c r="D4" s="28">
        <f>TrRoad_act!D58</f>
        <v>4469344</v>
      </c>
      <c r="E4" s="28">
        <f>TrRoad_act!E58</f>
        <v>4559007</v>
      </c>
      <c r="F4" s="28">
        <f>TrRoad_act!F58</f>
        <v>4701874</v>
      </c>
      <c r="G4" s="28">
        <f>TrRoad_act!G58</f>
        <v>4803094</v>
      </c>
      <c r="H4" s="28">
        <f>TrRoad_act!H58</f>
        <v>4863720</v>
      </c>
      <c r="I4" s="28">
        <f>TrRoad_act!I58</f>
        <v>4930745</v>
      </c>
      <c r="J4" s="28">
        <f>TrRoad_act!J58</f>
        <v>4958400</v>
      </c>
      <c r="K4" s="28">
        <f>TrRoad_act!K58</f>
        <v>5005770</v>
      </c>
      <c r="L4" s="28">
        <f>TrRoad_act!L58</f>
        <v>5205755</v>
      </c>
      <c r="M4" s="28">
        <f>TrRoad_act!M58</f>
        <v>5224693</v>
      </c>
      <c r="N4" s="28">
        <f>TrRoad_act!N58</f>
        <v>4772502</v>
      </c>
      <c r="O4" s="28">
        <f>TrRoad_act!O58</f>
        <v>4848324</v>
      </c>
      <c r="P4" s="28">
        <f>TrRoad_act!P58</f>
        <v>5224490</v>
      </c>
      <c r="Q4" s="28">
        <f>TrRoad_act!Q58</f>
        <v>5265466</v>
      </c>
      <c r="R4" s="28">
        <f>TrRoad_act!R58</f>
        <v>5417368</v>
      </c>
      <c r="S4" s="28">
        <f>TrRoad_act!S58</f>
        <v>5667391</v>
      </c>
      <c r="T4" s="28">
        <f>TrRoad_act!T58</f>
        <v>5914834</v>
      </c>
      <c r="U4" s="28">
        <f>TrRoad_act!U58</f>
        <v>6173799</v>
      </c>
      <c r="V4" s="28">
        <f>TrRoad_act!V58</f>
        <v>6193238</v>
      </c>
      <c r="W4" s="28">
        <f>TrRoad_act!W58</f>
        <v>6260941</v>
      </c>
      <c r="X4" s="28">
        <f>TrRoad_act!X58</f>
        <v>6444279</v>
      </c>
      <c r="Y4" s="28">
        <f>TrRoad_act!Y58</f>
        <v>6574327</v>
      </c>
      <c r="DA4" s="173" t="s">
        <v>501</v>
      </c>
    </row>
    <row r="5" spans="1:105" ht="11.45" customHeight="1" x14ac:dyDescent="0.25">
      <c r="A5" s="136" t="s">
        <v>173</v>
      </c>
      <c r="B5" s="137">
        <f>TrRoad_act!B59</f>
        <v>537068</v>
      </c>
      <c r="C5" s="137">
        <f>TrRoad_act!C59</f>
        <v>551483</v>
      </c>
      <c r="D5" s="137">
        <f>TrRoad_act!D59</f>
        <v>562957</v>
      </c>
      <c r="E5" s="137">
        <f>TrRoad_act!E59</f>
        <v>571354</v>
      </c>
      <c r="F5" s="137">
        <f>TrRoad_act!F59</f>
        <v>580074</v>
      </c>
      <c r="G5" s="137">
        <f>TrRoad_act!G59</f>
        <v>588420</v>
      </c>
      <c r="H5" s="137">
        <f>TrRoad_act!H59</f>
        <v>558720</v>
      </c>
      <c r="I5" s="137">
        <f>TrRoad_act!I59</f>
        <v>536645</v>
      </c>
      <c r="J5" s="137">
        <f>TrRoad_act!J59</f>
        <v>535000</v>
      </c>
      <c r="K5" s="137">
        <f>TrRoad_act!K59</f>
        <v>533270</v>
      </c>
      <c r="L5" s="137">
        <f>TrRoad_act!L59</f>
        <v>498000</v>
      </c>
      <c r="M5" s="137">
        <f>TrRoad_act!M59</f>
        <v>497000</v>
      </c>
      <c r="N5" s="137">
        <f>TrRoad_act!N59</f>
        <v>500815</v>
      </c>
      <c r="O5" s="137">
        <f>TrRoad_act!O59</f>
        <v>508456</v>
      </c>
      <c r="P5" s="137">
        <f>TrRoad_act!P59</f>
        <v>509671</v>
      </c>
      <c r="Q5" s="137">
        <f>TrRoad_act!Q59</f>
        <v>527583</v>
      </c>
      <c r="R5" s="137">
        <f>TrRoad_act!R59</f>
        <v>552097</v>
      </c>
      <c r="S5" s="137">
        <f>TrRoad_act!S59</f>
        <v>592517</v>
      </c>
      <c r="T5" s="137">
        <f>TrRoad_act!T59</f>
        <v>616075</v>
      </c>
      <c r="U5" s="137">
        <f>TrRoad_act!U59</f>
        <v>660939</v>
      </c>
      <c r="V5" s="137">
        <f>TrRoad_act!V59</f>
        <v>612078</v>
      </c>
      <c r="W5" s="137">
        <f>TrRoad_act!W59</f>
        <v>612078</v>
      </c>
      <c r="X5" s="137">
        <f>TrRoad_act!X59</f>
        <v>649325</v>
      </c>
      <c r="Y5" s="137">
        <f>TrRoad_act!Y59</f>
        <v>710255</v>
      </c>
      <c r="DA5" s="174" t="s">
        <v>502</v>
      </c>
    </row>
    <row r="6" spans="1:105" ht="11.45" customHeight="1" x14ac:dyDescent="0.25">
      <c r="A6" s="109" t="s">
        <v>20</v>
      </c>
      <c r="B6" s="110">
        <f>TrRoad_act!B60</f>
        <v>3443000</v>
      </c>
      <c r="C6" s="110">
        <f>TrRoad_act!C60</f>
        <v>3589000</v>
      </c>
      <c r="D6" s="110">
        <f>TrRoad_act!D60</f>
        <v>3885000</v>
      </c>
      <c r="E6" s="110">
        <f>TrRoad_act!E60</f>
        <v>3966000</v>
      </c>
      <c r="F6" s="110">
        <f>TrRoad_act!F60</f>
        <v>4100000</v>
      </c>
      <c r="G6" s="110">
        <f>TrRoad_act!G60</f>
        <v>4200000</v>
      </c>
      <c r="H6" s="110">
        <f>TrRoad_act!H60</f>
        <v>4290000</v>
      </c>
      <c r="I6" s="110">
        <f>TrRoad_act!I60</f>
        <v>4379000</v>
      </c>
      <c r="J6" s="110">
        <f>TrRoad_act!J60</f>
        <v>4408000</v>
      </c>
      <c r="K6" s="110">
        <f>TrRoad_act!K60</f>
        <v>4457000</v>
      </c>
      <c r="L6" s="110">
        <f>TrRoad_act!L60</f>
        <v>4692000</v>
      </c>
      <c r="M6" s="110">
        <f>TrRoad_act!M60</f>
        <v>4712200</v>
      </c>
      <c r="N6" s="110">
        <f>TrRoad_act!N60</f>
        <v>4259000</v>
      </c>
      <c r="O6" s="110">
        <f>TrRoad_act!O60</f>
        <v>4327478</v>
      </c>
      <c r="P6" s="110">
        <f>TrRoad_act!P60</f>
        <v>4699645</v>
      </c>
      <c r="Q6" s="110">
        <f>TrRoad_act!Q60</f>
        <v>4722963</v>
      </c>
      <c r="R6" s="110">
        <f>TrRoad_act!R60</f>
        <v>4850229</v>
      </c>
      <c r="S6" s="110">
        <f>TrRoad_act!S60</f>
        <v>5059472</v>
      </c>
      <c r="T6" s="110">
        <f>TrRoad_act!T60</f>
        <v>5282970</v>
      </c>
      <c r="U6" s="110">
        <f>TrRoad_act!U60</f>
        <v>5495041</v>
      </c>
      <c r="V6" s="110">
        <f>TrRoad_act!V60</f>
        <v>5565963</v>
      </c>
      <c r="W6" s="110">
        <f>TrRoad_act!W60</f>
        <v>5633384</v>
      </c>
      <c r="X6" s="110">
        <f>TrRoad_act!X60</f>
        <v>5778584</v>
      </c>
      <c r="Y6" s="110">
        <f>TrRoad_act!Y60</f>
        <v>5847610</v>
      </c>
      <c r="DA6" s="176" t="s">
        <v>503</v>
      </c>
    </row>
    <row r="7" spans="1:105" ht="11.45" customHeight="1" x14ac:dyDescent="0.25">
      <c r="A7" s="111" t="s">
        <v>110</v>
      </c>
      <c r="B7" s="84">
        <f>TrRoad_act!B61</f>
        <v>2348800</v>
      </c>
      <c r="C7" s="84">
        <f>TrRoad_act!C61</f>
        <v>2464048</v>
      </c>
      <c r="D7" s="84">
        <f>TrRoad_act!D61</f>
        <v>2653389</v>
      </c>
      <c r="E7" s="84">
        <f>TrRoad_act!E61</f>
        <v>2652347</v>
      </c>
      <c r="F7" s="84">
        <f>TrRoad_act!F61</f>
        <v>2696207</v>
      </c>
      <c r="G7" s="84">
        <f>TrRoad_act!G61</f>
        <v>2673683</v>
      </c>
      <c r="H7" s="84">
        <f>TrRoad_act!H61</f>
        <v>2651564</v>
      </c>
      <c r="I7" s="84">
        <f>TrRoad_act!I61</f>
        <v>2613214</v>
      </c>
      <c r="J7" s="84">
        <f>TrRoad_act!J61</f>
        <v>2533430</v>
      </c>
      <c r="K7" s="84">
        <f>TrRoad_act!K61</f>
        <v>2479203</v>
      </c>
      <c r="L7" s="84">
        <f>TrRoad_act!L61</f>
        <v>2580033</v>
      </c>
      <c r="M7" s="84">
        <f>TrRoad_act!M61</f>
        <v>2509195</v>
      </c>
      <c r="N7" s="84">
        <f>TrRoad_act!N61</f>
        <v>2169936</v>
      </c>
      <c r="O7" s="84">
        <f>TrRoad_act!O61</f>
        <v>2165172</v>
      </c>
      <c r="P7" s="84">
        <f>TrRoad_act!P61</f>
        <v>2283953</v>
      </c>
      <c r="Q7" s="84">
        <f>TrRoad_act!Q61</f>
        <v>2197424</v>
      </c>
      <c r="R7" s="84">
        <f>TrRoad_act!R61</f>
        <v>2171534</v>
      </c>
      <c r="S7" s="84">
        <f>TrRoad_act!S61</f>
        <v>2187650</v>
      </c>
      <c r="T7" s="84">
        <f>TrRoad_act!T61</f>
        <v>2241105</v>
      </c>
      <c r="U7" s="84">
        <f>TrRoad_act!U61</f>
        <v>2337838</v>
      </c>
      <c r="V7" s="84">
        <f>TrRoad_act!V61</f>
        <v>2283494</v>
      </c>
      <c r="W7" s="84">
        <f>TrRoad_act!W61</f>
        <v>2277393</v>
      </c>
      <c r="X7" s="84">
        <f>TrRoad_act!X61</f>
        <v>2317328</v>
      </c>
      <c r="Y7" s="84">
        <f>TrRoad_act!Y61</f>
        <v>2320427</v>
      </c>
      <c r="DA7" s="171" t="s">
        <v>504</v>
      </c>
    </row>
    <row r="8" spans="1:105" ht="11.45" customHeight="1" x14ac:dyDescent="0.25">
      <c r="A8" s="111" t="s">
        <v>111</v>
      </c>
      <c r="B8" s="84">
        <f>TrRoad_act!B62</f>
        <v>1077200</v>
      </c>
      <c r="C8" s="84">
        <f>TrRoad_act!C62</f>
        <v>1108213</v>
      </c>
      <c r="D8" s="84">
        <f>TrRoad_act!D62</f>
        <v>1216066</v>
      </c>
      <c r="E8" s="84">
        <f>TrRoad_act!E62</f>
        <v>1296664</v>
      </c>
      <c r="F8" s="84">
        <f>TrRoad_act!F62</f>
        <v>1386493</v>
      </c>
      <c r="G8" s="84">
        <f>TrRoad_act!G62</f>
        <v>1506310</v>
      </c>
      <c r="H8" s="84">
        <f>TrRoad_act!H62</f>
        <v>1620992</v>
      </c>
      <c r="I8" s="84">
        <f>TrRoad_act!I62</f>
        <v>1748571</v>
      </c>
      <c r="J8" s="84">
        <f>TrRoad_act!J62</f>
        <v>1853402</v>
      </c>
      <c r="K8" s="84">
        <f>TrRoad_act!K62</f>
        <v>1945817</v>
      </c>
      <c r="L8" s="84">
        <f>TrRoad_act!L62</f>
        <v>2079246</v>
      </c>
      <c r="M8" s="84">
        <f>TrRoad_act!M62</f>
        <v>2171703</v>
      </c>
      <c r="N8" s="84">
        <f>TrRoad_act!N62</f>
        <v>2051647</v>
      </c>
      <c r="O8" s="84">
        <f>TrRoad_act!O62</f>
        <v>2121295</v>
      </c>
      <c r="P8" s="84">
        <f>TrRoad_act!P62</f>
        <v>2368018</v>
      </c>
      <c r="Q8" s="84">
        <f>TrRoad_act!Q62</f>
        <v>2475744</v>
      </c>
      <c r="R8" s="84">
        <f>TrRoad_act!R62</f>
        <v>2625189</v>
      </c>
      <c r="S8" s="84">
        <f>TrRoad_act!S62</f>
        <v>2807718</v>
      </c>
      <c r="T8" s="84">
        <f>TrRoad_act!T62</f>
        <v>2959124</v>
      </c>
      <c r="U8" s="84">
        <f>TrRoad_act!U62</f>
        <v>3053110</v>
      </c>
      <c r="V8" s="84">
        <f>TrRoad_act!V62</f>
        <v>3162028</v>
      </c>
      <c r="W8" s="84">
        <f>TrRoad_act!W62</f>
        <v>3200683</v>
      </c>
      <c r="X8" s="84">
        <f>TrRoad_act!X62</f>
        <v>3260085</v>
      </c>
      <c r="Y8" s="84">
        <f>TrRoad_act!Y62</f>
        <v>3251632</v>
      </c>
      <c r="DA8" s="171" t="s">
        <v>505</v>
      </c>
    </row>
    <row r="9" spans="1:105" ht="11.45" customHeight="1" x14ac:dyDescent="0.25">
      <c r="A9" s="111" t="s">
        <v>112</v>
      </c>
      <c r="B9" s="84">
        <f>TrRoad_act!B63</f>
        <v>17000</v>
      </c>
      <c r="C9" s="84">
        <f>TrRoad_act!C63</f>
        <v>16739</v>
      </c>
      <c r="D9" s="84">
        <f>TrRoad_act!D63</f>
        <v>15545</v>
      </c>
      <c r="E9" s="84">
        <f>TrRoad_act!E63</f>
        <v>16989</v>
      </c>
      <c r="F9" s="84">
        <f>TrRoad_act!F63</f>
        <v>17300</v>
      </c>
      <c r="G9" s="84">
        <f>TrRoad_act!G63</f>
        <v>20007</v>
      </c>
      <c r="H9" s="84">
        <f>TrRoad_act!H63</f>
        <v>17444</v>
      </c>
      <c r="I9" s="84">
        <f>TrRoad_act!I63</f>
        <v>17215</v>
      </c>
      <c r="J9" s="84">
        <f>TrRoad_act!J63</f>
        <v>21140</v>
      </c>
      <c r="K9" s="84">
        <f>TrRoad_act!K63</f>
        <v>31951</v>
      </c>
      <c r="L9" s="84">
        <f>TrRoad_act!L63</f>
        <v>32000</v>
      </c>
      <c r="M9" s="84">
        <f>TrRoad_act!M63</f>
        <v>31000</v>
      </c>
      <c r="N9" s="84">
        <f>TrRoad_act!N63</f>
        <v>37000</v>
      </c>
      <c r="O9" s="84">
        <f>TrRoad_act!O63</f>
        <v>40443</v>
      </c>
      <c r="P9" s="84">
        <f>TrRoad_act!P63</f>
        <v>46955</v>
      </c>
      <c r="Q9" s="84">
        <f>TrRoad_act!Q63</f>
        <v>48062</v>
      </c>
      <c r="R9" s="84">
        <f>TrRoad_act!R63</f>
        <v>49301</v>
      </c>
      <c r="S9" s="84">
        <f>TrRoad_act!S63</f>
        <v>52315</v>
      </c>
      <c r="T9" s="84">
        <f>TrRoad_act!T63</f>
        <v>56213</v>
      </c>
      <c r="U9" s="84">
        <f>TrRoad_act!U63</f>
        <v>57432</v>
      </c>
      <c r="V9" s="84">
        <f>TrRoad_act!V63</f>
        <v>58717</v>
      </c>
      <c r="W9" s="84">
        <f>TrRoad_act!W63</f>
        <v>61573</v>
      </c>
      <c r="X9" s="84">
        <f>TrRoad_act!X63</f>
        <v>66957</v>
      </c>
      <c r="Y9" s="84">
        <f>TrRoad_act!Y63</f>
        <v>75505</v>
      </c>
      <c r="DA9" s="171" t="s">
        <v>506</v>
      </c>
    </row>
    <row r="10" spans="1:105" ht="11.45" customHeight="1" x14ac:dyDescent="0.25">
      <c r="A10" s="111" t="s">
        <v>113</v>
      </c>
      <c r="B10" s="84">
        <f>TrRoad_act!B64</f>
        <v>0</v>
      </c>
      <c r="C10" s="84">
        <f>TrRoad_act!C64</f>
        <v>0</v>
      </c>
      <c r="D10" s="84">
        <f>TrRoad_act!D64</f>
        <v>0</v>
      </c>
      <c r="E10" s="84">
        <f>TrRoad_act!E64</f>
        <v>0</v>
      </c>
      <c r="F10" s="84">
        <f>TrRoad_act!F64</f>
        <v>0</v>
      </c>
      <c r="G10" s="84">
        <f>TrRoad_act!G64</f>
        <v>0</v>
      </c>
      <c r="H10" s="84">
        <f>TrRoad_act!H64</f>
        <v>0</v>
      </c>
      <c r="I10" s="84">
        <f>TrRoad_act!I64</f>
        <v>0</v>
      </c>
      <c r="J10" s="84">
        <f>TrRoad_act!J64</f>
        <v>0</v>
      </c>
      <c r="K10" s="84">
        <f>TrRoad_act!K64</f>
        <v>0</v>
      </c>
      <c r="L10" s="84">
        <f>TrRoad_act!L64</f>
        <v>2</v>
      </c>
      <c r="M10" s="84">
        <f>TrRoad_act!M64</f>
        <v>2</v>
      </c>
      <c r="N10" s="84">
        <f>TrRoad_act!N64</f>
        <v>7</v>
      </c>
      <c r="O10" s="84">
        <f>TrRoad_act!O64</f>
        <v>23</v>
      </c>
      <c r="P10" s="84">
        <f>TrRoad_act!P64</f>
        <v>26</v>
      </c>
      <c r="Q10" s="84">
        <f>TrRoad_act!Q64</f>
        <v>33</v>
      </c>
      <c r="R10" s="84">
        <f>TrRoad_act!R64</f>
        <v>39</v>
      </c>
      <c r="S10" s="84">
        <f>TrRoad_act!S64</f>
        <v>47</v>
      </c>
      <c r="T10" s="84">
        <f>TrRoad_act!T64</f>
        <v>55</v>
      </c>
      <c r="U10" s="84">
        <f>TrRoad_act!U64</f>
        <v>102</v>
      </c>
      <c r="V10" s="84">
        <f>TrRoad_act!V64</f>
        <v>132</v>
      </c>
      <c r="W10" s="84">
        <f>TrRoad_act!W64</f>
        <v>156</v>
      </c>
      <c r="X10" s="84">
        <f>TrRoad_act!X64</f>
        <v>165</v>
      </c>
      <c r="Y10" s="84">
        <f>TrRoad_act!Y64</f>
        <v>166</v>
      </c>
      <c r="DA10" s="171" t="s">
        <v>507</v>
      </c>
    </row>
    <row r="11" spans="1:105" ht="11.45" customHeight="1" x14ac:dyDescent="0.25">
      <c r="A11" s="111" t="s">
        <v>114</v>
      </c>
      <c r="B11" s="84">
        <f>TrRoad_act!B65</f>
        <v>0</v>
      </c>
      <c r="C11" s="84">
        <f>TrRoad_act!C65</f>
        <v>0</v>
      </c>
      <c r="D11" s="84">
        <f>TrRoad_act!D65</f>
        <v>0</v>
      </c>
      <c r="E11" s="84">
        <f>TrRoad_act!E65</f>
        <v>0</v>
      </c>
      <c r="F11" s="84">
        <f>TrRoad_act!F65</f>
        <v>0</v>
      </c>
      <c r="G11" s="84">
        <f>TrRoad_act!G65</f>
        <v>0</v>
      </c>
      <c r="H11" s="84">
        <f>TrRoad_act!H65</f>
        <v>0</v>
      </c>
      <c r="I11" s="84">
        <f>TrRoad_act!I65</f>
        <v>0</v>
      </c>
      <c r="J11" s="84">
        <f>TrRoad_act!J65</f>
        <v>0</v>
      </c>
      <c r="K11" s="84">
        <f>TrRoad_act!K65</f>
        <v>0</v>
      </c>
      <c r="L11" s="84">
        <f>TrRoad_act!L65</f>
        <v>0</v>
      </c>
      <c r="M11" s="84">
        <f>TrRoad_act!M65</f>
        <v>18</v>
      </c>
      <c r="N11" s="84">
        <f>TrRoad_act!N65</f>
        <v>63</v>
      </c>
      <c r="O11" s="84">
        <f>TrRoad_act!O65</f>
        <v>108</v>
      </c>
      <c r="P11" s="84">
        <f>TrRoad_act!P65</f>
        <v>209</v>
      </c>
      <c r="Q11" s="84">
        <f>TrRoad_act!Q65</f>
        <v>730</v>
      </c>
      <c r="R11" s="84">
        <f>TrRoad_act!R65</f>
        <v>1809</v>
      </c>
      <c r="S11" s="84">
        <f>TrRoad_act!S65</f>
        <v>4337</v>
      </c>
      <c r="T11" s="84">
        <f>TrRoad_act!T65</f>
        <v>9699</v>
      </c>
      <c r="U11" s="84">
        <f>TrRoad_act!U65</f>
        <v>17526</v>
      </c>
      <c r="V11" s="84">
        <f>TrRoad_act!V65</f>
        <v>27710</v>
      </c>
      <c r="W11" s="84">
        <f>TrRoad_act!W65</f>
        <v>43441</v>
      </c>
      <c r="X11" s="84">
        <f>TrRoad_act!X65</f>
        <v>65729</v>
      </c>
      <c r="Y11" s="84">
        <f>TrRoad_act!Y65</f>
        <v>93456</v>
      </c>
      <c r="DA11" s="171" t="s">
        <v>508</v>
      </c>
    </row>
    <row r="12" spans="1:105" ht="11.45" customHeight="1" x14ac:dyDescent="0.25">
      <c r="A12" s="111" t="s">
        <v>115</v>
      </c>
      <c r="B12" s="84">
        <f>TrRoad_act!B66</f>
        <v>0</v>
      </c>
      <c r="C12" s="84">
        <f>TrRoad_act!C66</f>
        <v>0</v>
      </c>
      <c r="D12" s="84">
        <f>TrRoad_act!D66</f>
        <v>0</v>
      </c>
      <c r="E12" s="84">
        <f>TrRoad_act!E66</f>
        <v>0</v>
      </c>
      <c r="F12" s="84">
        <f>TrRoad_act!F66</f>
        <v>0</v>
      </c>
      <c r="G12" s="84">
        <f>TrRoad_act!G66</f>
        <v>0</v>
      </c>
      <c r="H12" s="84">
        <f>TrRoad_act!H66</f>
        <v>0</v>
      </c>
      <c r="I12" s="84">
        <f>TrRoad_act!I66</f>
        <v>0</v>
      </c>
      <c r="J12" s="84">
        <f>TrRoad_act!J66</f>
        <v>28</v>
      </c>
      <c r="K12" s="84">
        <f>TrRoad_act!K66</f>
        <v>29</v>
      </c>
      <c r="L12" s="84">
        <f>TrRoad_act!L66</f>
        <v>719</v>
      </c>
      <c r="M12" s="84">
        <f>TrRoad_act!M66</f>
        <v>282</v>
      </c>
      <c r="N12" s="84">
        <f>TrRoad_act!N66</f>
        <v>347</v>
      </c>
      <c r="O12" s="84">
        <f>TrRoad_act!O66</f>
        <v>437</v>
      </c>
      <c r="P12" s="84">
        <f>TrRoad_act!P66</f>
        <v>484</v>
      </c>
      <c r="Q12" s="84">
        <f>TrRoad_act!Q66</f>
        <v>970</v>
      </c>
      <c r="R12" s="84">
        <f>TrRoad_act!R66</f>
        <v>2357</v>
      </c>
      <c r="S12" s="84">
        <f>TrRoad_act!S66</f>
        <v>7405</v>
      </c>
      <c r="T12" s="84">
        <f>TrRoad_act!T66</f>
        <v>16774</v>
      </c>
      <c r="U12" s="84">
        <f>TrRoad_act!U66</f>
        <v>29033</v>
      </c>
      <c r="V12" s="84">
        <f>TrRoad_act!V66</f>
        <v>33882</v>
      </c>
      <c r="W12" s="84">
        <f>TrRoad_act!W66</f>
        <v>50138</v>
      </c>
      <c r="X12" s="84">
        <f>TrRoad_act!X66</f>
        <v>68320</v>
      </c>
      <c r="Y12" s="84">
        <f>TrRoad_act!Y66</f>
        <v>106424</v>
      </c>
      <c r="DA12" s="171" t="s">
        <v>509</v>
      </c>
    </row>
    <row r="13" spans="1:105" ht="11.45" customHeight="1" x14ac:dyDescent="0.25">
      <c r="A13" s="109" t="s">
        <v>21</v>
      </c>
      <c r="B13" s="110">
        <f>TrRoad_act!B67</f>
        <v>19780</v>
      </c>
      <c r="C13" s="110">
        <f>TrRoad_act!C67</f>
        <v>20760</v>
      </c>
      <c r="D13" s="110">
        <f>TrRoad_act!D67</f>
        <v>21387</v>
      </c>
      <c r="E13" s="110">
        <f>TrRoad_act!E67</f>
        <v>21653</v>
      </c>
      <c r="F13" s="110">
        <f>TrRoad_act!F67</f>
        <v>21800</v>
      </c>
      <c r="G13" s="110">
        <f>TrRoad_act!G67</f>
        <v>14674</v>
      </c>
      <c r="H13" s="110">
        <f>TrRoad_act!H67</f>
        <v>15000</v>
      </c>
      <c r="I13" s="110">
        <f>TrRoad_act!I67</f>
        <v>15100</v>
      </c>
      <c r="J13" s="110">
        <f>TrRoad_act!J67</f>
        <v>15400</v>
      </c>
      <c r="K13" s="110">
        <f>TrRoad_act!K67</f>
        <v>15500</v>
      </c>
      <c r="L13" s="110">
        <f>TrRoad_act!L67</f>
        <v>15755</v>
      </c>
      <c r="M13" s="110">
        <f>TrRoad_act!M67</f>
        <v>15493</v>
      </c>
      <c r="N13" s="110">
        <f>TrRoad_act!N67</f>
        <v>12687</v>
      </c>
      <c r="O13" s="110">
        <f>TrRoad_act!O67</f>
        <v>12390</v>
      </c>
      <c r="P13" s="110">
        <f>TrRoad_act!P67</f>
        <v>15174</v>
      </c>
      <c r="Q13" s="110">
        <f>TrRoad_act!Q67</f>
        <v>14920</v>
      </c>
      <c r="R13" s="110">
        <f>TrRoad_act!R67</f>
        <v>15042</v>
      </c>
      <c r="S13" s="110">
        <f>TrRoad_act!S67</f>
        <v>15402</v>
      </c>
      <c r="T13" s="110">
        <f>TrRoad_act!T67</f>
        <v>15789</v>
      </c>
      <c r="U13" s="110">
        <f>TrRoad_act!U67</f>
        <v>17819</v>
      </c>
      <c r="V13" s="110">
        <f>TrRoad_act!V67</f>
        <v>15197</v>
      </c>
      <c r="W13" s="110">
        <f>TrRoad_act!W67</f>
        <v>15479</v>
      </c>
      <c r="X13" s="110">
        <f>TrRoad_act!X67</f>
        <v>16370</v>
      </c>
      <c r="Y13" s="110">
        <f>TrRoad_act!Y67</f>
        <v>16462</v>
      </c>
      <c r="DA13" s="176" t="s">
        <v>510</v>
      </c>
    </row>
    <row r="14" spans="1:105" ht="11.45" customHeight="1" x14ac:dyDescent="0.25">
      <c r="A14" s="111" t="s">
        <v>110</v>
      </c>
      <c r="B14" s="102">
        <f>TrRoad_act!B68</f>
        <v>0</v>
      </c>
      <c r="C14" s="102">
        <f>TrRoad_act!C68</f>
        <v>0</v>
      </c>
      <c r="D14" s="102">
        <f>TrRoad_act!D68</f>
        <v>0</v>
      </c>
      <c r="E14" s="102">
        <f>TrRoad_act!E68</f>
        <v>0</v>
      </c>
      <c r="F14" s="102">
        <f>TrRoad_act!F68</f>
        <v>0</v>
      </c>
      <c r="G14" s="102">
        <f>TrRoad_act!G68</f>
        <v>0</v>
      </c>
      <c r="H14" s="102">
        <f>TrRoad_act!H68</f>
        <v>0</v>
      </c>
      <c r="I14" s="102">
        <f>TrRoad_act!I68</f>
        <v>0</v>
      </c>
      <c r="J14" s="102">
        <f>TrRoad_act!J68</f>
        <v>0</v>
      </c>
      <c r="K14" s="102">
        <f>TrRoad_act!K68</f>
        <v>0</v>
      </c>
      <c r="L14" s="102">
        <f>TrRoad_act!L68</f>
        <v>6</v>
      </c>
      <c r="M14" s="102">
        <f>TrRoad_act!M68</f>
        <v>6</v>
      </c>
      <c r="N14" s="102">
        <f>TrRoad_act!N68</f>
        <v>6</v>
      </c>
      <c r="O14" s="102">
        <f>TrRoad_act!O68</f>
        <v>7</v>
      </c>
      <c r="P14" s="102">
        <f>TrRoad_act!P68</f>
        <v>7</v>
      </c>
      <c r="Q14" s="102">
        <f>TrRoad_act!Q68</f>
        <v>8</v>
      </c>
      <c r="R14" s="102">
        <f>TrRoad_act!R68</f>
        <v>9</v>
      </c>
      <c r="S14" s="102">
        <f>TrRoad_act!S68</f>
        <v>8</v>
      </c>
      <c r="T14" s="102">
        <f>TrRoad_act!T68</f>
        <v>8</v>
      </c>
      <c r="U14" s="102">
        <f>TrRoad_act!U68</f>
        <v>9</v>
      </c>
      <c r="V14" s="102">
        <f>TrRoad_act!V68</f>
        <v>8</v>
      </c>
      <c r="W14" s="102">
        <f>TrRoad_act!W68</f>
        <v>8</v>
      </c>
      <c r="X14" s="102">
        <f>TrRoad_act!X68</f>
        <v>8</v>
      </c>
      <c r="Y14" s="102">
        <f>TrRoad_act!Y68</f>
        <v>8</v>
      </c>
      <c r="DA14" s="175" t="s">
        <v>511</v>
      </c>
    </row>
    <row r="15" spans="1:105" ht="11.45" customHeight="1" x14ac:dyDescent="0.25">
      <c r="A15" s="111" t="s">
        <v>111</v>
      </c>
      <c r="B15" s="102">
        <f>TrRoad_act!B69</f>
        <v>19739</v>
      </c>
      <c r="C15" s="102">
        <f>TrRoad_act!C69</f>
        <v>20567</v>
      </c>
      <c r="D15" s="102">
        <f>TrRoad_act!D69</f>
        <v>21080</v>
      </c>
      <c r="E15" s="102">
        <f>TrRoad_act!E69</f>
        <v>21236</v>
      </c>
      <c r="F15" s="102">
        <f>TrRoad_act!F69</f>
        <v>21348</v>
      </c>
      <c r="G15" s="102">
        <f>TrRoad_act!G69</f>
        <v>14105</v>
      </c>
      <c r="H15" s="102">
        <f>TrRoad_act!H69</f>
        <v>14448</v>
      </c>
      <c r="I15" s="102">
        <f>TrRoad_act!I69</f>
        <v>14495</v>
      </c>
      <c r="J15" s="102">
        <f>TrRoad_act!J69</f>
        <v>14756</v>
      </c>
      <c r="K15" s="102">
        <f>TrRoad_act!K69</f>
        <v>14834</v>
      </c>
      <c r="L15" s="102">
        <f>TrRoad_act!L69</f>
        <v>15064</v>
      </c>
      <c r="M15" s="102">
        <f>TrRoad_act!M69</f>
        <v>14822</v>
      </c>
      <c r="N15" s="102">
        <f>TrRoad_act!N69</f>
        <v>12030</v>
      </c>
      <c r="O15" s="102">
        <f>TrRoad_act!O69</f>
        <v>11759</v>
      </c>
      <c r="P15" s="102">
        <f>TrRoad_act!P69</f>
        <v>14569</v>
      </c>
      <c r="Q15" s="102">
        <f>TrRoad_act!Q69</f>
        <v>14344</v>
      </c>
      <c r="R15" s="102">
        <f>TrRoad_act!R69</f>
        <v>14495</v>
      </c>
      <c r="S15" s="102">
        <f>TrRoad_act!S69</f>
        <v>14874</v>
      </c>
      <c r="T15" s="102">
        <f>TrRoad_act!T69</f>
        <v>14976</v>
      </c>
      <c r="U15" s="102">
        <f>TrRoad_act!U69</f>
        <v>17229</v>
      </c>
      <c r="V15" s="102">
        <f>TrRoad_act!V69</f>
        <v>14498</v>
      </c>
      <c r="W15" s="102">
        <f>TrRoad_act!W69</f>
        <v>14559</v>
      </c>
      <c r="X15" s="102">
        <f>TrRoad_act!X69</f>
        <v>15405</v>
      </c>
      <c r="Y15" s="102">
        <f>TrRoad_act!Y69</f>
        <v>15047</v>
      </c>
      <c r="DA15" s="175" t="s">
        <v>512</v>
      </c>
    </row>
    <row r="16" spans="1:105" ht="11.45" customHeight="1" x14ac:dyDescent="0.25">
      <c r="A16" s="111" t="s">
        <v>112</v>
      </c>
      <c r="B16" s="102">
        <f>TrRoad_act!B70</f>
        <v>0</v>
      </c>
      <c r="C16" s="102">
        <f>TrRoad_act!C70</f>
        <v>0</v>
      </c>
      <c r="D16" s="102">
        <f>TrRoad_act!D70</f>
        <v>0</v>
      </c>
      <c r="E16" s="102">
        <f>TrRoad_act!E70</f>
        <v>0</v>
      </c>
      <c r="F16" s="102">
        <f>TrRoad_act!F70</f>
        <v>0</v>
      </c>
      <c r="G16" s="102">
        <f>TrRoad_act!G70</f>
        <v>0</v>
      </c>
      <c r="H16" s="102">
        <f>TrRoad_act!H70</f>
        <v>0</v>
      </c>
      <c r="I16" s="102">
        <f>TrRoad_act!I70</f>
        <v>0</v>
      </c>
      <c r="J16" s="102">
        <f>TrRoad_act!J70</f>
        <v>0</v>
      </c>
      <c r="K16" s="102">
        <f>TrRoad_act!K70</f>
        <v>0</v>
      </c>
      <c r="L16" s="102">
        <f>TrRoad_act!L70</f>
        <v>3</v>
      </c>
      <c r="M16" s="102">
        <f>TrRoad_act!M70</f>
        <v>3</v>
      </c>
      <c r="N16" s="102">
        <f>TrRoad_act!N70</f>
        <v>2</v>
      </c>
      <c r="O16" s="102">
        <f>TrRoad_act!O70</f>
        <v>2</v>
      </c>
      <c r="P16" s="102">
        <f>TrRoad_act!P70</f>
        <v>4</v>
      </c>
      <c r="Q16" s="102">
        <f>TrRoad_act!Q70</f>
        <v>4</v>
      </c>
      <c r="R16" s="102">
        <f>TrRoad_act!R70</f>
        <v>5</v>
      </c>
      <c r="S16" s="102">
        <f>TrRoad_act!S70</f>
        <v>5</v>
      </c>
      <c r="T16" s="102">
        <f>TrRoad_act!T70</f>
        <v>5</v>
      </c>
      <c r="U16" s="102">
        <f>TrRoad_act!U70</f>
        <v>5</v>
      </c>
      <c r="V16" s="102">
        <f>TrRoad_act!V70</f>
        <v>4</v>
      </c>
      <c r="W16" s="102">
        <f>TrRoad_act!W70</f>
        <v>4</v>
      </c>
      <c r="X16" s="102">
        <f>TrRoad_act!X70</f>
        <v>3</v>
      </c>
      <c r="Y16" s="102">
        <f>TrRoad_act!Y70</f>
        <v>3</v>
      </c>
      <c r="DA16" s="175" t="s">
        <v>513</v>
      </c>
    </row>
    <row r="17" spans="1:105" ht="11.45" customHeight="1" x14ac:dyDescent="0.25">
      <c r="A17" s="111" t="s">
        <v>113</v>
      </c>
      <c r="B17" s="102">
        <f>TrRoad_act!B71</f>
        <v>41</v>
      </c>
      <c r="C17" s="102">
        <f>TrRoad_act!C71</f>
        <v>193</v>
      </c>
      <c r="D17" s="102">
        <f>TrRoad_act!D71</f>
        <v>307</v>
      </c>
      <c r="E17" s="102">
        <f>TrRoad_act!E71</f>
        <v>417</v>
      </c>
      <c r="F17" s="102">
        <f>TrRoad_act!F71</f>
        <v>452</v>
      </c>
      <c r="G17" s="102">
        <f>TrRoad_act!G71</f>
        <v>569</v>
      </c>
      <c r="H17" s="102">
        <f>TrRoad_act!H71</f>
        <v>552</v>
      </c>
      <c r="I17" s="102">
        <f>TrRoad_act!I71</f>
        <v>605</v>
      </c>
      <c r="J17" s="102">
        <f>TrRoad_act!J71</f>
        <v>644</v>
      </c>
      <c r="K17" s="102">
        <f>TrRoad_act!K71</f>
        <v>666</v>
      </c>
      <c r="L17" s="102">
        <f>TrRoad_act!L71</f>
        <v>669</v>
      </c>
      <c r="M17" s="102">
        <f>TrRoad_act!M71</f>
        <v>650</v>
      </c>
      <c r="N17" s="102">
        <f>TrRoad_act!N71</f>
        <v>626</v>
      </c>
      <c r="O17" s="102">
        <f>TrRoad_act!O71</f>
        <v>599</v>
      </c>
      <c r="P17" s="102">
        <f>TrRoad_act!P71</f>
        <v>571</v>
      </c>
      <c r="Q17" s="102">
        <f>TrRoad_act!Q71</f>
        <v>541</v>
      </c>
      <c r="R17" s="102">
        <f>TrRoad_act!R71</f>
        <v>510</v>
      </c>
      <c r="S17" s="102">
        <f>TrRoad_act!S71</f>
        <v>478</v>
      </c>
      <c r="T17" s="102">
        <f>TrRoad_act!T71</f>
        <v>704</v>
      </c>
      <c r="U17" s="102">
        <f>TrRoad_act!U71</f>
        <v>465</v>
      </c>
      <c r="V17" s="102">
        <f>TrRoad_act!V71</f>
        <v>566</v>
      </c>
      <c r="W17" s="102">
        <f>TrRoad_act!W71</f>
        <v>781</v>
      </c>
      <c r="X17" s="102">
        <f>TrRoad_act!X71</f>
        <v>770</v>
      </c>
      <c r="Y17" s="102">
        <f>TrRoad_act!Y71</f>
        <v>841</v>
      </c>
      <c r="DA17" s="175" t="s">
        <v>514</v>
      </c>
    </row>
    <row r="18" spans="1:105" ht="11.45" customHeight="1" x14ac:dyDescent="0.25">
      <c r="A18" s="111" t="s">
        <v>115</v>
      </c>
      <c r="B18" s="102">
        <f>TrRoad_act!B72</f>
        <v>0</v>
      </c>
      <c r="C18" s="102">
        <f>TrRoad_act!C72</f>
        <v>0</v>
      </c>
      <c r="D18" s="102">
        <f>TrRoad_act!D72</f>
        <v>0</v>
      </c>
      <c r="E18" s="102">
        <f>TrRoad_act!E72</f>
        <v>0</v>
      </c>
      <c r="F18" s="102">
        <f>TrRoad_act!F72</f>
        <v>0</v>
      </c>
      <c r="G18" s="102">
        <f>TrRoad_act!G72</f>
        <v>0</v>
      </c>
      <c r="H18" s="102">
        <f>TrRoad_act!H72</f>
        <v>0</v>
      </c>
      <c r="I18" s="102">
        <f>TrRoad_act!I72</f>
        <v>0</v>
      </c>
      <c r="J18" s="102">
        <f>TrRoad_act!J72</f>
        <v>0</v>
      </c>
      <c r="K18" s="102">
        <f>TrRoad_act!K72</f>
        <v>0</v>
      </c>
      <c r="L18" s="102">
        <f>TrRoad_act!L72</f>
        <v>13</v>
      </c>
      <c r="M18" s="102">
        <f>TrRoad_act!M72</f>
        <v>12</v>
      </c>
      <c r="N18" s="102">
        <f>TrRoad_act!N72</f>
        <v>23</v>
      </c>
      <c r="O18" s="102">
        <f>TrRoad_act!O72</f>
        <v>23</v>
      </c>
      <c r="P18" s="102">
        <f>TrRoad_act!P72</f>
        <v>23</v>
      </c>
      <c r="Q18" s="102">
        <f>TrRoad_act!Q72</f>
        <v>23</v>
      </c>
      <c r="R18" s="102">
        <f>TrRoad_act!R72</f>
        <v>23</v>
      </c>
      <c r="S18" s="102">
        <f>TrRoad_act!S72</f>
        <v>37</v>
      </c>
      <c r="T18" s="102">
        <f>TrRoad_act!T72</f>
        <v>96</v>
      </c>
      <c r="U18" s="102">
        <f>TrRoad_act!U72</f>
        <v>111</v>
      </c>
      <c r="V18" s="102">
        <f>TrRoad_act!V72</f>
        <v>121</v>
      </c>
      <c r="W18" s="102">
        <f>TrRoad_act!W72</f>
        <v>127</v>
      </c>
      <c r="X18" s="102">
        <f>TrRoad_act!X72</f>
        <v>184</v>
      </c>
      <c r="Y18" s="102">
        <f>TrRoad_act!Y72</f>
        <v>563</v>
      </c>
      <c r="DA18" s="175" t="s">
        <v>515</v>
      </c>
    </row>
    <row r="19" spans="1:105" ht="11.45" customHeight="1" x14ac:dyDescent="0.25">
      <c r="A19" s="27" t="s">
        <v>34</v>
      </c>
      <c r="B19" s="28">
        <f>TrRoad_act!B73</f>
        <v>1401593</v>
      </c>
      <c r="C19" s="28">
        <f>TrRoad_act!C73</f>
        <v>1537727</v>
      </c>
      <c r="D19" s="28">
        <f>TrRoad_act!D73</f>
        <v>1499904</v>
      </c>
      <c r="E19" s="28">
        <f>TrRoad_act!E73</f>
        <v>1386758</v>
      </c>
      <c r="F19" s="28">
        <f>TrRoad_act!F73</f>
        <v>1374610</v>
      </c>
      <c r="G19" s="28">
        <f>TrRoad_act!G73</f>
        <v>1385535</v>
      </c>
      <c r="H19" s="28">
        <f>TrRoad_act!H73</f>
        <v>1402986</v>
      </c>
      <c r="I19" s="28">
        <f>TrRoad_act!I73</f>
        <v>1422903</v>
      </c>
      <c r="J19" s="28">
        <f>TrRoad_act!J73</f>
        <v>1429722</v>
      </c>
      <c r="K19" s="28">
        <f>TrRoad_act!K73</f>
        <v>1433868</v>
      </c>
      <c r="L19" s="28">
        <f>TrRoad_act!L73</f>
        <v>1432607</v>
      </c>
      <c r="M19" s="28">
        <f>TrRoad_act!M73</f>
        <v>1411994</v>
      </c>
      <c r="N19" s="28">
        <f>TrRoad_act!N73</f>
        <v>1246648</v>
      </c>
      <c r="O19" s="28">
        <f>TrRoad_act!O73</f>
        <v>1232933</v>
      </c>
      <c r="P19" s="28">
        <f>TrRoad_act!P73</f>
        <v>1336335</v>
      </c>
      <c r="Q19" s="28">
        <f>TrRoad_act!Q73</f>
        <v>1301403</v>
      </c>
      <c r="R19" s="28">
        <f>TrRoad_act!R73</f>
        <v>1296647</v>
      </c>
      <c r="S19" s="28">
        <f>TrRoad_act!S73</f>
        <v>1325205</v>
      </c>
      <c r="T19" s="28">
        <f>TrRoad_act!T73</f>
        <v>1358244</v>
      </c>
      <c r="U19" s="28">
        <f>TrRoad_act!U73</f>
        <v>1502469</v>
      </c>
      <c r="V19" s="28">
        <f>TrRoad_act!V73</f>
        <v>1388575</v>
      </c>
      <c r="W19" s="28">
        <f>TrRoad_act!W73</f>
        <v>1385053</v>
      </c>
      <c r="X19" s="28">
        <f>TrRoad_act!X73</f>
        <v>1392682</v>
      </c>
      <c r="Y19" s="28">
        <f>TrRoad_act!Y73</f>
        <v>1367921</v>
      </c>
      <c r="DA19" s="173" t="s">
        <v>516</v>
      </c>
    </row>
    <row r="20" spans="1:105" ht="11.45" customHeight="1" x14ac:dyDescent="0.25">
      <c r="A20" s="136" t="s">
        <v>153</v>
      </c>
      <c r="B20" s="137">
        <f>TrRoad_act!B74</f>
        <v>1301857</v>
      </c>
      <c r="C20" s="137">
        <f>TrRoad_act!C74</f>
        <v>1435008</v>
      </c>
      <c r="D20" s="137">
        <f>TrRoad_act!D74</f>
        <v>1398347</v>
      </c>
      <c r="E20" s="137">
        <f>TrRoad_act!E74</f>
        <v>1288947</v>
      </c>
      <c r="F20" s="137">
        <f>TrRoad_act!F74</f>
        <v>1282243</v>
      </c>
      <c r="G20" s="137">
        <f>TrRoad_act!G74</f>
        <v>1294098</v>
      </c>
      <c r="H20" s="137">
        <f>TrRoad_act!H74</f>
        <v>1311947</v>
      </c>
      <c r="I20" s="137">
        <f>TrRoad_act!I74</f>
        <v>1331376</v>
      </c>
      <c r="J20" s="137">
        <f>TrRoad_act!J74</f>
        <v>1334373</v>
      </c>
      <c r="K20" s="137">
        <f>TrRoad_act!K74</f>
        <v>1337373</v>
      </c>
      <c r="L20" s="137">
        <f>TrRoad_act!L74</f>
        <v>1337373</v>
      </c>
      <c r="M20" s="137">
        <f>TrRoad_act!M74</f>
        <v>1321711</v>
      </c>
      <c r="N20" s="137">
        <f>TrRoad_act!N74</f>
        <v>1172906</v>
      </c>
      <c r="O20" s="137">
        <f>TrRoad_act!O74</f>
        <v>1164962</v>
      </c>
      <c r="P20" s="137">
        <f>TrRoad_act!P74</f>
        <v>1259725</v>
      </c>
      <c r="Q20" s="137">
        <f>TrRoad_act!Q74</f>
        <v>1224823</v>
      </c>
      <c r="R20" s="137">
        <f>TrRoad_act!R74</f>
        <v>1221913</v>
      </c>
      <c r="S20" s="137">
        <f>TrRoad_act!S74</f>
        <v>1240914</v>
      </c>
      <c r="T20" s="137">
        <f>TrRoad_act!T74</f>
        <v>1267647</v>
      </c>
      <c r="U20" s="137">
        <f>TrRoad_act!U74</f>
        <v>1396685</v>
      </c>
      <c r="V20" s="137">
        <f>TrRoad_act!V74</f>
        <v>1290390</v>
      </c>
      <c r="W20" s="137">
        <f>TrRoad_act!W74</f>
        <v>1289760</v>
      </c>
      <c r="X20" s="137">
        <f>TrRoad_act!X74</f>
        <v>1295480</v>
      </c>
      <c r="Y20" s="137">
        <f>TrRoad_act!Y74</f>
        <v>1268331</v>
      </c>
      <c r="DA20" s="174" t="s">
        <v>517</v>
      </c>
    </row>
    <row r="21" spans="1:105" ht="11.45" customHeight="1" x14ac:dyDescent="0.25">
      <c r="A21" s="111" t="s">
        <v>110</v>
      </c>
      <c r="B21" s="84">
        <f>TrRoad_act!B75</f>
        <v>22987</v>
      </c>
      <c r="C21" s="84">
        <f>TrRoad_act!C75</f>
        <v>22668</v>
      </c>
      <c r="D21" s="84">
        <f>TrRoad_act!D75</f>
        <v>21402</v>
      </c>
      <c r="E21" s="84">
        <f>TrRoad_act!E75</f>
        <v>22001</v>
      </c>
      <c r="F21" s="84">
        <f>TrRoad_act!F75</f>
        <v>20340</v>
      </c>
      <c r="G21" s="84">
        <f>TrRoad_act!G75</f>
        <v>19986</v>
      </c>
      <c r="H21" s="84">
        <f>TrRoad_act!H75</f>
        <v>19726</v>
      </c>
      <c r="I21" s="84">
        <f>TrRoad_act!I75</f>
        <v>19489</v>
      </c>
      <c r="J21" s="84">
        <f>TrRoad_act!J75</f>
        <v>19016</v>
      </c>
      <c r="K21" s="84">
        <f>TrRoad_act!K75</f>
        <v>18555</v>
      </c>
      <c r="L21" s="84">
        <f>TrRoad_act!L75</f>
        <v>18056</v>
      </c>
      <c r="M21" s="84">
        <f>TrRoad_act!M75</f>
        <v>16120</v>
      </c>
      <c r="N21" s="84">
        <f>TrRoad_act!N75</f>
        <v>14099</v>
      </c>
      <c r="O21" s="84">
        <f>TrRoad_act!O75</f>
        <v>12902</v>
      </c>
      <c r="P21" s="84">
        <f>TrRoad_act!P75</f>
        <v>12056</v>
      </c>
      <c r="Q21" s="84">
        <f>TrRoad_act!Q75</f>
        <v>12685</v>
      </c>
      <c r="R21" s="84">
        <f>TrRoad_act!R75</f>
        <v>11862</v>
      </c>
      <c r="S21" s="84">
        <f>TrRoad_act!S75</f>
        <v>12404</v>
      </c>
      <c r="T21" s="84">
        <f>TrRoad_act!T75</f>
        <v>11795</v>
      </c>
      <c r="U21" s="84">
        <f>TrRoad_act!U75</f>
        <v>16064</v>
      </c>
      <c r="V21" s="84">
        <f>TrRoad_act!V75</f>
        <v>11294</v>
      </c>
      <c r="W21" s="84">
        <f>TrRoad_act!W75</f>
        <v>10919</v>
      </c>
      <c r="X21" s="84">
        <f>TrRoad_act!X75</f>
        <v>10708</v>
      </c>
      <c r="Y21" s="84">
        <f>TrRoad_act!Y75</f>
        <v>9323</v>
      </c>
      <c r="DA21" s="171" t="s">
        <v>518</v>
      </c>
    </row>
    <row r="22" spans="1:105" ht="11.45" customHeight="1" x14ac:dyDescent="0.25">
      <c r="A22" s="111" t="s">
        <v>111</v>
      </c>
      <c r="B22" s="84">
        <f>TrRoad_act!B76</f>
        <v>1278014</v>
      </c>
      <c r="C22" s="84">
        <f>TrRoad_act!C76</f>
        <v>1411487</v>
      </c>
      <c r="D22" s="84">
        <f>TrRoad_act!D76</f>
        <v>1376115</v>
      </c>
      <c r="E22" s="84">
        <f>TrRoad_act!E76</f>
        <v>1266085</v>
      </c>
      <c r="F22" s="84">
        <f>TrRoad_act!F76</f>
        <v>1261095</v>
      </c>
      <c r="G22" s="84">
        <f>TrRoad_act!G76</f>
        <v>1273305</v>
      </c>
      <c r="H22" s="84">
        <f>TrRoad_act!H76</f>
        <v>1291412</v>
      </c>
      <c r="I22" s="84">
        <f>TrRoad_act!I76</f>
        <v>1311075</v>
      </c>
      <c r="J22" s="84">
        <f>TrRoad_act!J76</f>
        <v>1314552</v>
      </c>
      <c r="K22" s="84">
        <f>TrRoad_act!K76</f>
        <v>1318019</v>
      </c>
      <c r="L22" s="84">
        <f>TrRoad_act!L76</f>
        <v>1318553</v>
      </c>
      <c r="M22" s="84">
        <f>TrRoad_act!M76</f>
        <v>1304857</v>
      </c>
      <c r="N22" s="84">
        <f>TrRoad_act!N76</f>
        <v>1158181</v>
      </c>
      <c r="O22" s="84">
        <f>TrRoad_act!O76</f>
        <v>1151379</v>
      </c>
      <c r="P22" s="84">
        <f>TrRoad_act!P76</f>
        <v>1246936</v>
      </c>
      <c r="Q22" s="84">
        <f>TrRoad_act!Q76</f>
        <v>1211301</v>
      </c>
      <c r="R22" s="84">
        <f>TrRoad_act!R76</f>
        <v>1209221</v>
      </c>
      <c r="S22" s="84">
        <f>TrRoad_act!S76</f>
        <v>1227239</v>
      </c>
      <c r="T22" s="84">
        <f>TrRoad_act!T76</f>
        <v>1254007</v>
      </c>
      <c r="U22" s="84">
        <f>TrRoad_act!U76</f>
        <v>1378217</v>
      </c>
      <c r="V22" s="84">
        <f>TrRoad_act!V76</f>
        <v>1276385</v>
      </c>
      <c r="W22" s="84">
        <f>TrRoad_act!W76</f>
        <v>1275770</v>
      </c>
      <c r="X22" s="84">
        <f>TrRoad_act!X76</f>
        <v>1280697</v>
      </c>
      <c r="Y22" s="84">
        <f>TrRoad_act!Y76</f>
        <v>1252498</v>
      </c>
      <c r="DA22" s="171" t="s">
        <v>519</v>
      </c>
    </row>
    <row r="23" spans="1:105" ht="11.45" customHeight="1" x14ac:dyDescent="0.25">
      <c r="A23" s="111" t="s">
        <v>112</v>
      </c>
      <c r="B23" s="84">
        <f>TrRoad_act!B77</f>
        <v>856</v>
      </c>
      <c r="C23" s="84">
        <f>TrRoad_act!C77</f>
        <v>853</v>
      </c>
      <c r="D23" s="84">
        <f>TrRoad_act!D77</f>
        <v>830</v>
      </c>
      <c r="E23" s="84">
        <f>TrRoad_act!E77</f>
        <v>861</v>
      </c>
      <c r="F23" s="84">
        <f>TrRoad_act!F77</f>
        <v>808</v>
      </c>
      <c r="G23" s="84">
        <f>TrRoad_act!G77</f>
        <v>807</v>
      </c>
      <c r="H23" s="84">
        <f>TrRoad_act!H77</f>
        <v>809</v>
      </c>
      <c r="I23" s="84">
        <f>TrRoad_act!I77</f>
        <v>812</v>
      </c>
      <c r="J23" s="84">
        <f>TrRoad_act!J77</f>
        <v>805</v>
      </c>
      <c r="K23" s="84">
        <f>TrRoad_act!K77</f>
        <v>799</v>
      </c>
      <c r="L23" s="84">
        <f>TrRoad_act!L77</f>
        <v>764</v>
      </c>
      <c r="M23" s="84">
        <f>TrRoad_act!M77</f>
        <v>729</v>
      </c>
      <c r="N23" s="84">
        <f>TrRoad_act!N77</f>
        <v>610</v>
      </c>
      <c r="O23" s="84">
        <f>TrRoad_act!O77</f>
        <v>616</v>
      </c>
      <c r="P23" s="84">
        <f>TrRoad_act!P77</f>
        <v>632</v>
      </c>
      <c r="Q23" s="84">
        <f>TrRoad_act!Q77</f>
        <v>650</v>
      </c>
      <c r="R23" s="84">
        <f>TrRoad_act!R77</f>
        <v>609</v>
      </c>
      <c r="S23" s="84">
        <f>TrRoad_act!S77</f>
        <v>611</v>
      </c>
      <c r="T23" s="84">
        <f>TrRoad_act!T77</f>
        <v>620</v>
      </c>
      <c r="U23" s="84">
        <f>TrRoad_act!U77</f>
        <v>768</v>
      </c>
      <c r="V23" s="84">
        <f>TrRoad_act!V77</f>
        <v>692</v>
      </c>
      <c r="W23" s="84">
        <f>TrRoad_act!W77</f>
        <v>657</v>
      </c>
      <c r="X23" s="84">
        <f>TrRoad_act!X77</f>
        <v>655</v>
      </c>
      <c r="Y23" s="84">
        <f>TrRoad_act!Y77</f>
        <v>639</v>
      </c>
      <c r="DA23" s="171" t="s">
        <v>520</v>
      </c>
    </row>
    <row r="24" spans="1:105" ht="11.45" customHeight="1" x14ac:dyDescent="0.25">
      <c r="A24" s="111" t="s">
        <v>113</v>
      </c>
      <c r="B24" s="84">
        <f>TrRoad_act!B78</f>
        <v>0</v>
      </c>
      <c r="C24" s="84">
        <f>TrRoad_act!C78</f>
        <v>0</v>
      </c>
      <c r="D24" s="84">
        <f>TrRoad_act!D78</f>
        <v>0</v>
      </c>
      <c r="E24" s="84">
        <f>TrRoad_act!E78</f>
        <v>0</v>
      </c>
      <c r="F24" s="84">
        <f>TrRoad_act!F78</f>
        <v>0</v>
      </c>
      <c r="G24" s="84">
        <f>TrRoad_act!G78</f>
        <v>0</v>
      </c>
      <c r="H24" s="84">
        <f>TrRoad_act!H78</f>
        <v>0</v>
      </c>
      <c r="I24" s="84">
        <f>TrRoad_act!I78</f>
        <v>0</v>
      </c>
      <c r="J24" s="84">
        <f>TrRoad_act!J78</f>
        <v>0</v>
      </c>
      <c r="K24" s="84">
        <f>TrRoad_act!K78</f>
        <v>0</v>
      </c>
      <c r="L24" s="84">
        <f>TrRoad_act!L78</f>
        <v>0</v>
      </c>
      <c r="M24" s="84">
        <f>TrRoad_act!M78</f>
        <v>0</v>
      </c>
      <c r="N24" s="84">
        <f>TrRoad_act!N78</f>
        <v>0</v>
      </c>
      <c r="O24" s="84">
        <f>TrRoad_act!O78</f>
        <v>5</v>
      </c>
      <c r="P24" s="84">
        <f>TrRoad_act!P78</f>
        <v>13</v>
      </c>
      <c r="Q24" s="84">
        <f>TrRoad_act!Q78</f>
        <v>19</v>
      </c>
      <c r="R24" s="84">
        <f>TrRoad_act!R78</f>
        <v>26</v>
      </c>
      <c r="S24" s="84">
        <f>TrRoad_act!S78</f>
        <v>30</v>
      </c>
      <c r="T24" s="84">
        <f>TrRoad_act!T78</f>
        <v>46</v>
      </c>
      <c r="U24" s="84">
        <f>TrRoad_act!U78</f>
        <v>79</v>
      </c>
      <c r="V24" s="84">
        <f>TrRoad_act!V78</f>
        <v>88</v>
      </c>
      <c r="W24" s="84">
        <f>TrRoad_act!W78</f>
        <v>126</v>
      </c>
      <c r="X24" s="84">
        <f>TrRoad_act!X78</f>
        <v>133</v>
      </c>
      <c r="Y24" s="84">
        <f>TrRoad_act!Y78</f>
        <v>137</v>
      </c>
      <c r="DA24" s="171" t="s">
        <v>521</v>
      </c>
    </row>
    <row r="25" spans="1:105" ht="11.45" customHeight="1" x14ac:dyDescent="0.25">
      <c r="A25" s="111" t="s">
        <v>115</v>
      </c>
      <c r="B25" s="84">
        <f>TrRoad_act!B79</f>
        <v>0</v>
      </c>
      <c r="C25" s="84">
        <f>TrRoad_act!C79</f>
        <v>0</v>
      </c>
      <c r="D25" s="84">
        <f>TrRoad_act!D79</f>
        <v>0</v>
      </c>
      <c r="E25" s="84">
        <f>TrRoad_act!E79</f>
        <v>0</v>
      </c>
      <c r="F25" s="84">
        <f>TrRoad_act!F79</f>
        <v>0</v>
      </c>
      <c r="G25" s="84">
        <f>TrRoad_act!G79</f>
        <v>0</v>
      </c>
      <c r="H25" s="84">
        <f>TrRoad_act!H79</f>
        <v>0</v>
      </c>
      <c r="I25" s="84">
        <f>TrRoad_act!I79</f>
        <v>0</v>
      </c>
      <c r="J25" s="84">
        <f>TrRoad_act!J79</f>
        <v>0</v>
      </c>
      <c r="K25" s="84">
        <f>TrRoad_act!K79</f>
        <v>0</v>
      </c>
      <c r="L25" s="84">
        <f>TrRoad_act!L79</f>
        <v>0</v>
      </c>
      <c r="M25" s="84">
        <f>TrRoad_act!M79</f>
        <v>5</v>
      </c>
      <c r="N25" s="84">
        <f>TrRoad_act!N79</f>
        <v>16</v>
      </c>
      <c r="O25" s="84">
        <f>TrRoad_act!O79</f>
        <v>60</v>
      </c>
      <c r="P25" s="84">
        <f>TrRoad_act!P79</f>
        <v>88</v>
      </c>
      <c r="Q25" s="84">
        <f>TrRoad_act!Q79</f>
        <v>168</v>
      </c>
      <c r="R25" s="84">
        <f>TrRoad_act!R79</f>
        <v>195</v>
      </c>
      <c r="S25" s="84">
        <f>TrRoad_act!S79</f>
        <v>630</v>
      </c>
      <c r="T25" s="84">
        <f>TrRoad_act!T79</f>
        <v>1179</v>
      </c>
      <c r="U25" s="84">
        <f>TrRoad_act!U79</f>
        <v>1557</v>
      </c>
      <c r="V25" s="84">
        <f>TrRoad_act!V79</f>
        <v>1931</v>
      </c>
      <c r="W25" s="84">
        <f>TrRoad_act!W79</f>
        <v>2288</v>
      </c>
      <c r="X25" s="84">
        <f>TrRoad_act!X79</f>
        <v>3287</v>
      </c>
      <c r="Y25" s="84">
        <f>TrRoad_act!Y79</f>
        <v>5734</v>
      </c>
      <c r="DA25" s="171" t="s">
        <v>522</v>
      </c>
    </row>
    <row r="26" spans="1:105" ht="11.45" customHeight="1" x14ac:dyDescent="0.25">
      <c r="A26" s="109" t="s">
        <v>154</v>
      </c>
      <c r="B26" s="110">
        <f>TrRoad_act!B80</f>
        <v>99736</v>
      </c>
      <c r="C26" s="110">
        <f>TrRoad_act!C80</f>
        <v>102719</v>
      </c>
      <c r="D26" s="110">
        <f>TrRoad_act!D80</f>
        <v>101557</v>
      </c>
      <c r="E26" s="110">
        <f>TrRoad_act!E80</f>
        <v>97811</v>
      </c>
      <c r="F26" s="110">
        <f>TrRoad_act!F80</f>
        <v>92367</v>
      </c>
      <c r="G26" s="110">
        <f>TrRoad_act!G80</f>
        <v>91437</v>
      </c>
      <c r="H26" s="110">
        <f>TrRoad_act!H80</f>
        <v>91039</v>
      </c>
      <c r="I26" s="110">
        <f>TrRoad_act!I80</f>
        <v>91527</v>
      </c>
      <c r="J26" s="110">
        <f>TrRoad_act!J80</f>
        <v>95349</v>
      </c>
      <c r="K26" s="110">
        <f>TrRoad_act!K80</f>
        <v>96495</v>
      </c>
      <c r="L26" s="110">
        <f>TrRoad_act!L80</f>
        <v>95234</v>
      </c>
      <c r="M26" s="110">
        <f>TrRoad_act!M80</f>
        <v>90283</v>
      </c>
      <c r="N26" s="110">
        <f>TrRoad_act!N80</f>
        <v>73742</v>
      </c>
      <c r="O26" s="110">
        <f>TrRoad_act!O80</f>
        <v>67971</v>
      </c>
      <c r="P26" s="110">
        <f>TrRoad_act!P80</f>
        <v>76610</v>
      </c>
      <c r="Q26" s="110">
        <f>TrRoad_act!Q80</f>
        <v>76580</v>
      </c>
      <c r="R26" s="110">
        <f>TrRoad_act!R80</f>
        <v>74734</v>
      </c>
      <c r="S26" s="110">
        <f>TrRoad_act!S80</f>
        <v>84291</v>
      </c>
      <c r="T26" s="110">
        <f>TrRoad_act!T80</f>
        <v>90597</v>
      </c>
      <c r="U26" s="110">
        <f>TrRoad_act!U80</f>
        <v>105784</v>
      </c>
      <c r="V26" s="110">
        <f>TrRoad_act!V80</f>
        <v>98185</v>
      </c>
      <c r="W26" s="110">
        <f>TrRoad_act!W80</f>
        <v>95293</v>
      </c>
      <c r="X26" s="110">
        <f>TrRoad_act!X80</f>
        <v>97202</v>
      </c>
      <c r="Y26" s="110">
        <f>TrRoad_act!Y80</f>
        <v>99590</v>
      </c>
      <c r="DA26" s="176" t="s">
        <v>837</v>
      </c>
    </row>
    <row r="27" spans="1:105" ht="11.45" customHeight="1" x14ac:dyDescent="0.25">
      <c r="A27" s="128" t="s">
        <v>27</v>
      </c>
      <c r="B27" s="102">
        <f>TrRoad_act!B81</f>
        <v>95914</v>
      </c>
      <c r="C27" s="102">
        <f>TrRoad_act!C81</f>
        <v>98621</v>
      </c>
      <c r="D27" s="102">
        <f>TrRoad_act!D81</f>
        <v>97246</v>
      </c>
      <c r="E27" s="102">
        <f>TrRoad_act!E81</f>
        <v>93405</v>
      </c>
      <c r="F27" s="102">
        <f>TrRoad_act!F81</f>
        <v>87157</v>
      </c>
      <c r="G27" s="102">
        <f>TrRoad_act!G81</f>
        <v>86045</v>
      </c>
      <c r="H27" s="102">
        <f>TrRoad_act!H81</f>
        <v>85282</v>
      </c>
      <c r="I27" s="102">
        <f>TrRoad_act!I81</f>
        <v>85227</v>
      </c>
      <c r="J27" s="102">
        <f>TrRoad_act!J81</f>
        <v>89801</v>
      </c>
      <c r="K27" s="102">
        <f>TrRoad_act!K81</f>
        <v>90928</v>
      </c>
      <c r="L27" s="102">
        <f>TrRoad_act!L81</f>
        <v>90199</v>
      </c>
      <c r="M27" s="102">
        <f>TrRoad_act!M81</f>
        <v>84969</v>
      </c>
      <c r="N27" s="102">
        <f>TrRoad_act!N81</f>
        <v>69333</v>
      </c>
      <c r="O27" s="102">
        <f>TrRoad_act!O81</f>
        <v>62978</v>
      </c>
      <c r="P27" s="102">
        <f>TrRoad_act!P81</f>
        <v>71467</v>
      </c>
      <c r="Q27" s="102">
        <f>TrRoad_act!Q81</f>
        <v>71933</v>
      </c>
      <c r="R27" s="102">
        <f>TrRoad_act!R81</f>
        <v>69668</v>
      </c>
      <c r="S27" s="102">
        <f>TrRoad_act!S81</f>
        <v>79345</v>
      </c>
      <c r="T27" s="102">
        <f>TrRoad_act!T81</f>
        <v>85501</v>
      </c>
      <c r="U27" s="102">
        <f>TrRoad_act!U81</f>
        <v>100598</v>
      </c>
      <c r="V27" s="102">
        <f>TrRoad_act!V81</f>
        <v>93766</v>
      </c>
      <c r="W27" s="102">
        <f>TrRoad_act!W81</f>
        <v>90077</v>
      </c>
      <c r="X27" s="102">
        <f>TrRoad_act!X81</f>
        <v>91645</v>
      </c>
      <c r="Y27" s="102">
        <f>TrRoad_act!Y81</f>
        <v>94366</v>
      </c>
      <c r="DA27" s="175" t="s">
        <v>524</v>
      </c>
    </row>
    <row r="28" spans="1:105" ht="11.45" customHeight="1" x14ac:dyDescent="0.25">
      <c r="A28" s="138" t="s">
        <v>116</v>
      </c>
      <c r="B28" s="86">
        <f>TrRoad_act!B82</f>
        <v>3822</v>
      </c>
      <c r="C28" s="86">
        <f>TrRoad_act!C82</f>
        <v>4098</v>
      </c>
      <c r="D28" s="86">
        <f>TrRoad_act!D82</f>
        <v>4311</v>
      </c>
      <c r="E28" s="86">
        <f>TrRoad_act!E82</f>
        <v>4406</v>
      </c>
      <c r="F28" s="86">
        <f>TrRoad_act!F82</f>
        <v>5210</v>
      </c>
      <c r="G28" s="86">
        <f>TrRoad_act!G82</f>
        <v>5392</v>
      </c>
      <c r="H28" s="86">
        <f>TrRoad_act!H82</f>
        <v>5757</v>
      </c>
      <c r="I28" s="86">
        <f>TrRoad_act!I82</f>
        <v>6300</v>
      </c>
      <c r="J28" s="86">
        <f>TrRoad_act!J82</f>
        <v>5548</v>
      </c>
      <c r="K28" s="86">
        <f>TrRoad_act!K82</f>
        <v>5567</v>
      </c>
      <c r="L28" s="86">
        <f>TrRoad_act!L82</f>
        <v>5035</v>
      </c>
      <c r="M28" s="86">
        <f>TrRoad_act!M82</f>
        <v>5314</v>
      </c>
      <c r="N28" s="86">
        <f>TrRoad_act!N82</f>
        <v>4409</v>
      </c>
      <c r="O28" s="86">
        <f>TrRoad_act!O82</f>
        <v>4993</v>
      </c>
      <c r="P28" s="86">
        <f>TrRoad_act!P82</f>
        <v>5143</v>
      </c>
      <c r="Q28" s="86">
        <f>TrRoad_act!Q82</f>
        <v>4647</v>
      </c>
      <c r="R28" s="86">
        <f>TrRoad_act!R82</f>
        <v>5066</v>
      </c>
      <c r="S28" s="86">
        <f>TrRoad_act!S82</f>
        <v>4946</v>
      </c>
      <c r="T28" s="86">
        <f>TrRoad_act!T82</f>
        <v>5096</v>
      </c>
      <c r="U28" s="86">
        <f>TrRoad_act!U82</f>
        <v>5186</v>
      </c>
      <c r="V28" s="86">
        <f>TrRoad_act!V82</f>
        <v>4419</v>
      </c>
      <c r="W28" s="86">
        <f>TrRoad_act!W82</f>
        <v>5216</v>
      </c>
      <c r="X28" s="86">
        <f>TrRoad_act!X82</f>
        <v>5557</v>
      </c>
      <c r="Y28" s="86">
        <f>TrRoad_act!Y82</f>
        <v>5224</v>
      </c>
      <c r="DA28" s="178" t="s">
        <v>525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DA29" s="171"/>
    </row>
    <row r="30" spans="1:105" ht="11.45" customHeight="1" x14ac:dyDescent="0.25">
      <c r="A30" s="53" t="s">
        <v>117</v>
      </c>
      <c r="B30" s="54">
        <f>TrRoad_act!B111</f>
        <v>420483</v>
      </c>
      <c r="C30" s="54">
        <f>TrRoad_act!C111</f>
        <v>627802</v>
      </c>
      <c r="D30" s="54">
        <f>TrRoad_act!D111</f>
        <v>600744</v>
      </c>
      <c r="E30" s="54">
        <f>TrRoad_act!E111</f>
        <v>319468</v>
      </c>
      <c r="F30" s="54">
        <f>TrRoad_act!F111</f>
        <v>388780</v>
      </c>
      <c r="G30" s="54">
        <f>TrRoad_act!G111</f>
        <v>455242</v>
      </c>
      <c r="H30" s="54">
        <f>TrRoad_act!H111</f>
        <v>439276</v>
      </c>
      <c r="I30" s="54">
        <f>TrRoad_act!I111</f>
        <v>457174</v>
      </c>
      <c r="J30" s="54">
        <f>TrRoad_act!J111</f>
        <v>458110</v>
      </c>
      <c r="K30" s="54">
        <f>TrRoad_act!K111</f>
        <v>386530</v>
      </c>
      <c r="L30" s="54">
        <f>TrRoad_act!L111</f>
        <v>667245</v>
      </c>
      <c r="M30" s="54">
        <f>TrRoad_act!M111</f>
        <v>362165</v>
      </c>
      <c r="N30" s="54">
        <f>TrRoad_act!N111</f>
        <v>188210</v>
      </c>
      <c r="O30" s="54">
        <f>TrRoad_act!O111</f>
        <v>230527</v>
      </c>
      <c r="P30" s="54">
        <f>TrRoad_act!P111</f>
        <v>642703</v>
      </c>
      <c r="Q30" s="54">
        <f>TrRoad_act!Q111</f>
        <v>381012</v>
      </c>
      <c r="R30" s="54">
        <f>TrRoad_act!R111</f>
        <v>453168</v>
      </c>
      <c r="S30" s="54">
        <f>TrRoad_act!S111</f>
        <v>596027</v>
      </c>
      <c r="T30" s="54">
        <f>TrRoad_act!T111</f>
        <v>534212</v>
      </c>
      <c r="U30" s="54">
        <f>TrRoad_act!U111</f>
        <v>577069</v>
      </c>
      <c r="V30" s="54">
        <f>TrRoad_act!V111</f>
        <v>250729</v>
      </c>
      <c r="W30" s="54">
        <f>TrRoad_act!W111</f>
        <v>266919</v>
      </c>
      <c r="X30" s="54">
        <f>TrRoad_act!X111</f>
        <v>357909</v>
      </c>
      <c r="Y30" s="54">
        <f>TrRoad_act!Y111</f>
        <v>400078</v>
      </c>
      <c r="DA30" s="172" t="s">
        <v>526</v>
      </c>
    </row>
    <row r="31" spans="1:105" ht="11.45" customHeight="1" x14ac:dyDescent="0.25">
      <c r="A31" s="27" t="s">
        <v>33</v>
      </c>
      <c r="B31" s="28">
        <f>TrRoad_act!B112</f>
        <v>420101</v>
      </c>
      <c r="C31" s="28">
        <f>TrRoad_act!C112</f>
        <v>424528</v>
      </c>
      <c r="D31" s="28">
        <f>TrRoad_act!D112</f>
        <v>561314</v>
      </c>
      <c r="E31" s="28">
        <f>TrRoad_act!E112</f>
        <v>316070</v>
      </c>
      <c r="F31" s="28">
        <f>TrRoad_act!F112</f>
        <v>328624</v>
      </c>
      <c r="G31" s="28">
        <f>TrRoad_act!G112</f>
        <v>341443</v>
      </c>
      <c r="H31" s="28">
        <f>TrRoad_act!H112</f>
        <v>313355</v>
      </c>
      <c r="I31" s="28">
        <f>TrRoad_act!I112</f>
        <v>325035</v>
      </c>
      <c r="J31" s="28">
        <f>TrRoad_act!J112</f>
        <v>340252</v>
      </c>
      <c r="K31" s="28">
        <f>TrRoad_act!K112</f>
        <v>266404</v>
      </c>
      <c r="L31" s="28">
        <f>TrRoad_act!L112</f>
        <v>550246</v>
      </c>
      <c r="M31" s="28">
        <f>TrRoad_act!M112</f>
        <v>264904</v>
      </c>
      <c r="N31" s="28">
        <f>TrRoad_act!N112</f>
        <v>174438</v>
      </c>
      <c r="O31" s="28">
        <f>TrRoad_act!O112</f>
        <v>186392</v>
      </c>
      <c r="P31" s="28">
        <f>TrRoad_act!P112</f>
        <v>436194</v>
      </c>
      <c r="Q31" s="28">
        <f>TrRoad_act!Q112</f>
        <v>311880</v>
      </c>
      <c r="R31" s="28">
        <f>TrRoad_act!R112</f>
        <v>354056</v>
      </c>
      <c r="S31" s="28">
        <f>TrRoad_act!S112</f>
        <v>472154</v>
      </c>
      <c r="T31" s="28">
        <f>TrRoad_act!T112</f>
        <v>405277</v>
      </c>
      <c r="U31" s="28">
        <f>TrRoad_act!U112</f>
        <v>339798</v>
      </c>
      <c r="V31" s="28">
        <f>TrRoad_act!V112</f>
        <v>224791</v>
      </c>
      <c r="W31" s="28">
        <f>TrRoad_act!W112</f>
        <v>232121</v>
      </c>
      <c r="X31" s="28">
        <f>TrRoad_act!X112</f>
        <v>247134</v>
      </c>
      <c r="Y31" s="28">
        <f>TrRoad_act!Y112</f>
        <v>323925</v>
      </c>
      <c r="DA31" s="173" t="s">
        <v>527</v>
      </c>
    </row>
    <row r="32" spans="1:105" ht="11.45" customHeight="1" x14ac:dyDescent="0.25">
      <c r="A32" s="136" t="s">
        <v>173</v>
      </c>
      <c r="B32" s="137">
        <f>TrRoad_act!B113</f>
        <v>31889</v>
      </c>
      <c r="C32" s="137">
        <f>TrRoad_act!C113</f>
        <v>40448</v>
      </c>
      <c r="D32" s="137">
        <f>TrRoad_act!D113</f>
        <v>35545</v>
      </c>
      <c r="E32" s="137">
        <f>TrRoad_act!E113</f>
        <v>30316</v>
      </c>
      <c r="F32" s="137">
        <f>TrRoad_act!F113</f>
        <v>31122</v>
      </c>
      <c r="G32" s="137">
        <f>TrRoad_act!G113</f>
        <v>30685</v>
      </c>
      <c r="H32" s="137">
        <f>TrRoad_act!H113</f>
        <v>20583</v>
      </c>
      <c r="I32" s="137">
        <f>TrRoad_act!I113</f>
        <v>21584</v>
      </c>
      <c r="J32" s="137">
        <f>TrRoad_act!J113</f>
        <v>19372</v>
      </c>
      <c r="K32" s="137">
        <f>TrRoad_act!K113</f>
        <v>24255</v>
      </c>
      <c r="L32" s="137">
        <f>TrRoad_act!L113</f>
        <v>34013</v>
      </c>
      <c r="M32" s="137">
        <f>TrRoad_act!M113</f>
        <v>34087</v>
      </c>
      <c r="N32" s="137">
        <f>TrRoad_act!N113</f>
        <v>30924</v>
      </c>
      <c r="O32" s="137">
        <f>TrRoad_act!O113</f>
        <v>27275</v>
      </c>
      <c r="P32" s="137">
        <f>TrRoad_act!P113</f>
        <v>27763</v>
      </c>
      <c r="Q32" s="137">
        <f>TrRoad_act!Q113</f>
        <v>43447</v>
      </c>
      <c r="R32" s="137">
        <f>TrRoad_act!R113</f>
        <v>42156</v>
      </c>
      <c r="S32" s="137">
        <f>TrRoad_act!S113</f>
        <v>48701</v>
      </c>
      <c r="T32" s="137">
        <f>TrRoad_act!T113</f>
        <v>42180</v>
      </c>
      <c r="U32" s="137">
        <f>TrRoad_act!U113</f>
        <v>54105</v>
      </c>
      <c r="V32" s="137">
        <f>TrRoad_act!V113</f>
        <v>40315</v>
      </c>
      <c r="W32" s="137">
        <f>TrRoad_act!W113</f>
        <v>46531</v>
      </c>
      <c r="X32" s="137">
        <f>TrRoad_act!X113</f>
        <v>48160</v>
      </c>
      <c r="Y32" s="137">
        <f>TrRoad_act!Y113</f>
        <v>72401</v>
      </c>
      <c r="DA32" s="174" t="s">
        <v>528</v>
      </c>
    </row>
    <row r="33" spans="1:105" ht="11.45" customHeight="1" x14ac:dyDescent="0.25">
      <c r="A33" s="109" t="s">
        <v>20</v>
      </c>
      <c r="B33" s="110">
        <f>TrRoad_act!B114</f>
        <v>386754</v>
      </c>
      <c r="C33" s="110">
        <f>TrRoad_act!C114</f>
        <v>382815</v>
      </c>
      <c r="D33" s="110">
        <f>TrRoad_act!D114</f>
        <v>524753</v>
      </c>
      <c r="E33" s="110">
        <f>TrRoad_act!E114</f>
        <v>284688</v>
      </c>
      <c r="F33" s="110">
        <f>TrRoad_act!F114</f>
        <v>296468</v>
      </c>
      <c r="G33" s="110">
        <f>TrRoad_act!G114</f>
        <v>309732</v>
      </c>
      <c r="H33" s="110">
        <f>TrRoad_act!H114</f>
        <v>292053</v>
      </c>
      <c r="I33" s="110">
        <f>TrRoad_act!I114</f>
        <v>302724</v>
      </c>
      <c r="J33" s="110">
        <f>TrRoad_act!J114</f>
        <v>320084</v>
      </c>
      <c r="K33" s="110">
        <f>TrRoad_act!K114</f>
        <v>241520</v>
      </c>
      <c r="L33" s="110">
        <f>TrRoad_act!L114</f>
        <v>515196</v>
      </c>
      <c r="M33" s="110">
        <f>TrRoad_act!M114</f>
        <v>230106</v>
      </c>
      <c r="N33" s="110">
        <f>TrRoad_act!N114</f>
        <v>142935</v>
      </c>
      <c r="O33" s="110">
        <f>TrRoad_act!O114</f>
        <v>158882</v>
      </c>
      <c r="P33" s="110">
        <f>TrRoad_act!P114</f>
        <v>405619</v>
      </c>
      <c r="Q33" s="110">
        <f>TrRoad_act!Q114</f>
        <v>267743</v>
      </c>
      <c r="R33" s="110">
        <f>TrRoad_act!R114</f>
        <v>310995</v>
      </c>
      <c r="S33" s="110">
        <f>TrRoad_act!S114</f>
        <v>422994</v>
      </c>
      <c r="T33" s="110">
        <f>TrRoad_act!T114</f>
        <v>362454</v>
      </c>
      <c r="U33" s="110">
        <f>TrRoad_act!U114</f>
        <v>283198</v>
      </c>
      <c r="V33" s="110">
        <f>TrRoad_act!V114</f>
        <v>184012</v>
      </c>
      <c r="W33" s="110">
        <f>TrRoad_act!W114</f>
        <v>184921</v>
      </c>
      <c r="X33" s="110">
        <f>TrRoad_act!X114</f>
        <v>197465</v>
      </c>
      <c r="Y33" s="110">
        <f>TrRoad_act!Y114</f>
        <v>250528</v>
      </c>
      <c r="DA33" s="176" t="s">
        <v>529</v>
      </c>
    </row>
    <row r="34" spans="1:105" ht="11.45" customHeight="1" x14ac:dyDescent="0.25">
      <c r="A34" s="111" t="s">
        <v>110</v>
      </c>
      <c r="B34" s="84">
        <f>TrRoad_act!B115</f>
        <v>276160</v>
      </c>
      <c r="C34" s="84">
        <f>TrRoad_act!C115</f>
        <v>273942</v>
      </c>
      <c r="D34" s="84">
        <f>TrRoad_act!D115</f>
        <v>343189</v>
      </c>
      <c r="E34" s="84">
        <f>TrRoad_act!E115</f>
        <v>155391</v>
      </c>
      <c r="F34" s="84">
        <f>TrRoad_act!F115</f>
        <v>128356</v>
      </c>
      <c r="G34" s="84">
        <f>TrRoad_act!G115</f>
        <v>110996</v>
      </c>
      <c r="H34" s="84">
        <f>TrRoad_act!H115</f>
        <v>101605</v>
      </c>
      <c r="I34" s="84">
        <f>TrRoad_act!I115</f>
        <v>92936</v>
      </c>
      <c r="J34" s="84">
        <f>TrRoad_act!J115</f>
        <v>97226</v>
      </c>
      <c r="K34" s="84">
        <f>TrRoad_act!K115</f>
        <v>69880</v>
      </c>
      <c r="L34" s="84">
        <f>TrRoad_act!L115</f>
        <v>283769</v>
      </c>
      <c r="M34" s="84">
        <f>TrRoad_act!M115</f>
        <v>69073</v>
      </c>
      <c r="N34" s="84">
        <f>TrRoad_act!N115</f>
        <v>35801</v>
      </c>
      <c r="O34" s="84">
        <f>TrRoad_act!O115</f>
        <v>39699</v>
      </c>
      <c r="P34" s="84">
        <f>TrRoad_act!P115</f>
        <v>130412</v>
      </c>
      <c r="Q34" s="84">
        <f>TrRoad_act!Q115</f>
        <v>79791</v>
      </c>
      <c r="R34" s="84">
        <f>TrRoad_act!R115</f>
        <v>101300</v>
      </c>
      <c r="S34" s="84">
        <f>TrRoad_act!S115</f>
        <v>147054</v>
      </c>
      <c r="T34" s="84">
        <f>TrRoad_act!T115</f>
        <v>134201</v>
      </c>
      <c r="U34" s="84">
        <f>TrRoad_act!U115</f>
        <v>127650</v>
      </c>
      <c r="V34" s="84">
        <f>TrRoad_act!V115</f>
        <v>33417</v>
      </c>
      <c r="W34" s="84">
        <f>TrRoad_act!W115</f>
        <v>52600</v>
      </c>
      <c r="X34" s="84">
        <f>TrRoad_act!X115</f>
        <v>64167</v>
      </c>
      <c r="Y34" s="84">
        <f>TrRoad_act!Y115</f>
        <v>99674</v>
      </c>
      <c r="DA34" s="171" t="s">
        <v>530</v>
      </c>
    </row>
    <row r="35" spans="1:105" ht="11.45" customHeight="1" x14ac:dyDescent="0.25">
      <c r="A35" s="111" t="s">
        <v>111</v>
      </c>
      <c r="B35" s="84">
        <f>TrRoad_act!B116</f>
        <v>93594</v>
      </c>
      <c r="C35" s="84">
        <f>TrRoad_act!C116</f>
        <v>108873</v>
      </c>
      <c r="D35" s="84">
        <f>TrRoad_act!D116</f>
        <v>181564</v>
      </c>
      <c r="E35" s="84">
        <f>TrRoad_act!E116</f>
        <v>127853</v>
      </c>
      <c r="F35" s="84">
        <f>TrRoad_act!F116</f>
        <v>167801</v>
      </c>
      <c r="G35" s="84">
        <f>TrRoad_act!G116</f>
        <v>196029</v>
      </c>
      <c r="H35" s="84">
        <f>TrRoad_act!H116</f>
        <v>190448</v>
      </c>
      <c r="I35" s="84">
        <f>TrRoad_act!I116</f>
        <v>209788</v>
      </c>
      <c r="J35" s="84">
        <f>TrRoad_act!J116</f>
        <v>218905</v>
      </c>
      <c r="K35" s="84">
        <f>TrRoad_act!K116</f>
        <v>160828</v>
      </c>
      <c r="L35" s="84">
        <f>TrRoad_act!L116</f>
        <v>229782</v>
      </c>
      <c r="M35" s="84">
        <f>TrRoad_act!M116</f>
        <v>160039</v>
      </c>
      <c r="N35" s="84">
        <f>TrRoad_act!N116</f>
        <v>101018</v>
      </c>
      <c r="O35" s="84">
        <f>TrRoad_act!O116</f>
        <v>115512</v>
      </c>
      <c r="P35" s="84">
        <f>TrRoad_act!P116</f>
        <v>267522</v>
      </c>
      <c r="Q35" s="84">
        <f>TrRoad_act!Q116</f>
        <v>184199</v>
      </c>
      <c r="R35" s="84">
        <f>TrRoad_act!R116</f>
        <v>204400</v>
      </c>
      <c r="S35" s="84">
        <f>TrRoad_act!S116</f>
        <v>263598</v>
      </c>
      <c r="T35" s="84">
        <f>TrRoad_act!T116</f>
        <v>207690</v>
      </c>
      <c r="U35" s="84">
        <f>TrRoad_act!U116</f>
        <v>132106</v>
      </c>
      <c r="V35" s="84">
        <f>TrRoad_act!V116</f>
        <v>127296</v>
      </c>
      <c r="W35" s="84">
        <f>TrRoad_act!W116</f>
        <v>94949</v>
      </c>
      <c r="X35" s="84">
        <f>TrRoad_act!X116</f>
        <v>84582</v>
      </c>
      <c r="Y35" s="84">
        <f>TrRoad_act!Y116</f>
        <v>73386</v>
      </c>
      <c r="DA35" s="171" t="s">
        <v>531</v>
      </c>
    </row>
    <row r="36" spans="1:105" ht="11.45" customHeight="1" x14ac:dyDescent="0.25">
      <c r="A36" s="111" t="s">
        <v>112</v>
      </c>
      <c r="B36" s="84">
        <f>TrRoad_act!B117</f>
        <v>17000</v>
      </c>
      <c r="C36" s="84">
        <f>TrRoad_act!C117</f>
        <v>0</v>
      </c>
      <c r="D36" s="84">
        <f>TrRoad_act!D117</f>
        <v>0</v>
      </c>
      <c r="E36" s="84">
        <f>TrRoad_act!E117</f>
        <v>1444</v>
      </c>
      <c r="F36" s="84">
        <f>TrRoad_act!F117</f>
        <v>311</v>
      </c>
      <c r="G36" s="84">
        <f>TrRoad_act!G117</f>
        <v>2707</v>
      </c>
      <c r="H36" s="84">
        <f>TrRoad_act!H117</f>
        <v>0</v>
      </c>
      <c r="I36" s="84">
        <f>TrRoad_act!I117</f>
        <v>0</v>
      </c>
      <c r="J36" s="84">
        <f>TrRoad_act!J117</f>
        <v>3925</v>
      </c>
      <c r="K36" s="84">
        <f>TrRoad_act!K117</f>
        <v>10811</v>
      </c>
      <c r="L36" s="84">
        <f>TrRoad_act!L117</f>
        <v>924</v>
      </c>
      <c r="M36" s="84">
        <f>TrRoad_act!M117</f>
        <v>773</v>
      </c>
      <c r="N36" s="84">
        <f>TrRoad_act!N117</f>
        <v>6000</v>
      </c>
      <c r="O36" s="84">
        <f>TrRoad_act!O117</f>
        <v>3443</v>
      </c>
      <c r="P36" s="84">
        <f>TrRoad_act!P117</f>
        <v>7382</v>
      </c>
      <c r="Q36" s="84">
        <f>TrRoad_act!Q117</f>
        <v>2523</v>
      </c>
      <c r="R36" s="84">
        <f>TrRoad_act!R117</f>
        <v>2814</v>
      </c>
      <c r="S36" s="84">
        <f>TrRoad_act!S117</f>
        <v>4747</v>
      </c>
      <c r="T36" s="84">
        <f>TrRoad_act!T117</f>
        <v>5790</v>
      </c>
      <c r="U36" s="84">
        <f>TrRoad_act!U117</f>
        <v>3272</v>
      </c>
      <c r="V36" s="84">
        <f>TrRoad_act!V117</f>
        <v>3502</v>
      </c>
      <c r="W36" s="84">
        <f>TrRoad_act!W117</f>
        <v>5230</v>
      </c>
      <c r="X36" s="84">
        <f>TrRoad_act!X117</f>
        <v>7913</v>
      </c>
      <c r="Y36" s="84">
        <f>TrRoad_act!Y117</f>
        <v>11321</v>
      </c>
      <c r="DA36" s="171" t="s">
        <v>532</v>
      </c>
    </row>
    <row r="37" spans="1:105" ht="11.45" customHeight="1" x14ac:dyDescent="0.25">
      <c r="A37" s="111" t="s">
        <v>113</v>
      </c>
      <c r="B37" s="84">
        <f>TrRoad_act!B118</f>
        <v>0</v>
      </c>
      <c r="C37" s="84">
        <f>TrRoad_act!C118</f>
        <v>0</v>
      </c>
      <c r="D37" s="84">
        <f>TrRoad_act!D118</f>
        <v>0</v>
      </c>
      <c r="E37" s="84">
        <f>TrRoad_act!E118</f>
        <v>0</v>
      </c>
      <c r="F37" s="84">
        <f>TrRoad_act!F118</f>
        <v>0</v>
      </c>
      <c r="G37" s="84">
        <f>TrRoad_act!G118</f>
        <v>0</v>
      </c>
      <c r="H37" s="84">
        <f>TrRoad_act!H118</f>
        <v>0</v>
      </c>
      <c r="I37" s="84">
        <f>TrRoad_act!I118</f>
        <v>0</v>
      </c>
      <c r="J37" s="84">
        <f>TrRoad_act!J118</f>
        <v>0</v>
      </c>
      <c r="K37" s="84">
        <f>TrRoad_act!K118</f>
        <v>0</v>
      </c>
      <c r="L37" s="84">
        <f>TrRoad_act!L118</f>
        <v>2</v>
      </c>
      <c r="M37" s="84">
        <f>TrRoad_act!M118</f>
        <v>0</v>
      </c>
      <c r="N37" s="84">
        <f>TrRoad_act!N118</f>
        <v>5</v>
      </c>
      <c r="O37" s="84">
        <f>TrRoad_act!O118</f>
        <v>16</v>
      </c>
      <c r="P37" s="84">
        <f>TrRoad_act!P118</f>
        <v>4</v>
      </c>
      <c r="Q37" s="84">
        <f>TrRoad_act!Q118</f>
        <v>7</v>
      </c>
      <c r="R37" s="84">
        <f>TrRoad_act!R118</f>
        <v>8</v>
      </c>
      <c r="S37" s="84">
        <f>TrRoad_act!S118</f>
        <v>8</v>
      </c>
      <c r="T37" s="84">
        <f>TrRoad_act!T118</f>
        <v>23</v>
      </c>
      <c r="U37" s="84">
        <f>TrRoad_act!U118</f>
        <v>47</v>
      </c>
      <c r="V37" s="84">
        <f>TrRoad_act!V118</f>
        <v>31</v>
      </c>
      <c r="W37" s="84">
        <f>TrRoad_act!W118</f>
        <v>31</v>
      </c>
      <c r="X37" s="84">
        <f>TrRoad_act!X118</f>
        <v>10</v>
      </c>
      <c r="Y37" s="84">
        <f>TrRoad_act!Y118</f>
        <v>4</v>
      </c>
      <c r="DA37" s="171" t="s">
        <v>533</v>
      </c>
    </row>
    <row r="38" spans="1:105" ht="11.45" customHeight="1" x14ac:dyDescent="0.25">
      <c r="A38" s="111" t="s">
        <v>114</v>
      </c>
      <c r="B38" s="84">
        <f>TrRoad_act!B119</f>
        <v>0</v>
      </c>
      <c r="C38" s="84">
        <f>TrRoad_act!C119</f>
        <v>0</v>
      </c>
      <c r="D38" s="84">
        <f>TrRoad_act!D119</f>
        <v>0</v>
      </c>
      <c r="E38" s="84">
        <f>TrRoad_act!E119</f>
        <v>0</v>
      </c>
      <c r="F38" s="84">
        <f>TrRoad_act!F119</f>
        <v>0</v>
      </c>
      <c r="G38" s="84">
        <f>TrRoad_act!G119</f>
        <v>0</v>
      </c>
      <c r="H38" s="84">
        <f>TrRoad_act!H119</f>
        <v>0</v>
      </c>
      <c r="I38" s="84">
        <f>TrRoad_act!I119</f>
        <v>0</v>
      </c>
      <c r="J38" s="84">
        <f>TrRoad_act!J119</f>
        <v>0</v>
      </c>
      <c r="K38" s="84">
        <f>TrRoad_act!K119</f>
        <v>0</v>
      </c>
      <c r="L38" s="84">
        <f>TrRoad_act!L119</f>
        <v>0</v>
      </c>
      <c r="M38" s="84">
        <f>TrRoad_act!M119</f>
        <v>18</v>
      </c>
      <c r="N38" s="84">
        <f>TrRoad_act!N119</f>
        <v>45</v>
      </c>
      <c r="O38" s="84">
        <f>TrRoad_act!O119</f>
        <v>45</v>
      </c>
      <c r="P38" s="84">
        <f>TrRoad_act!P119</f>
        <v>101</v>
      </c>
      <c r="Q38" s="84">
        <f>TrRoad_act!Q119</f>
        <v>531</v>
      </c>
      <c r="R38" s="84">
        <f>TrRoad_act!R119</f>
        <v>1080</v>
      </c>
      <c r="S38" s="84">
        <f>TrRoad_act!S119</f>
        <v>2530</v>
      </c>
      <c r="T38" s="84">
        <f>TrRoad_act!T119</f>
        <v>5367</v>
      </c>
      <c r="U38" s="84">
        <f>TrRoad_act!U119</f>
        <v>7838</v>
      </c>
      <c r="V38" s="84">
        <f>TrRoad_act!V119</f>
        <v>11858</v>
      </c>
      <c r="W38" s="84">
        <f>TrRoad_act!W119</f>
        <v>15776</v>
      </c>
      <c r="X38" s="84">
        <f>TrRoad_act!X119</f>
        <v>22367</v>
      </c>
      <c r="Y38" s="84">
        <f>TrRoad_act!Y119</f>
        <v>27858</v>
      </c>
      <c r="DA38" s="171" t="s">
        <v>534</v>
      </c>
    </row>
    <row r="39" spans="1:105" ht="11.45" customHeight="1" x14ac:dyDescent="0.25">
      <c r="A39" s="111" t="s">
        <v>115</v>
      </c>
      <c r="B39" s="84">
        <f>TrRoad_act!B120</f>
        <v>0</v>
      </c>
      <c r="C39" s="84">
        <f>TrRoad_act!C120</f>
        <v>0</v>
      </c>
      <c r="D39" s="84">
        <f>TrRoad_act!D120</f>
        <v>0</v>
      </c>
      <c r="E39" s="84">
        <f>TrRoad_act!E120</f>
        <v>0</v>
      </c>
      <c r="F39" s="84">
        <f>TrRoad_act!F120</f>
        <v>0</v>
      </c>
      <c r="G39" s="84">
        <f>TrRoad_act!G120</f>
        <v>0</v>
      </c>
      <c r="H39" s="84">
        <f>TrRoad_act!H120</f>
        <v>0</v>
      </c>
      <c r="I39" s="84">
        <f>TrRoad_act!I120</f>
        <v>0</v>
      </c>
      <c r="J39" s="84">
        <f>TrRoad_act!J120</f>
        <v>28</v>
      </c>
      <c r="K39" s="84">
        <f>TrRoad_act!K120</f>
        <v>1</v>
      </c>
      <c r="L39" s="84">
        <f>TrRoad_act!L120</f>
        <v>719</v>
      </c>
      <c r="M39" s="84">
        <f>TrRoad_act!M120</f>
        <v>203</v>
      </c>
      <c r="N39" s="84">
        <f>TrRoad_act!N120</f>
        <v>66</v>
      </c>
      <c r="O39" s="84">
        <f>TrRoad_act!O120</f>
        <v>167</v>
      </c>
      <c r="P39" s="84">
        <f>TrRoad_act!P120</f>
        <v>198</v>
      </c>
      <c r="Q39" s="84">
        <f>TrRoad_act!Q120</f>
        <v>692</v>
      </c>
      <c r="R39" s="84">
        <f>TrRoad_act!R120</f>
        <v>1393</v>
      </c>
      <c r="S39" s="84">
        <f>TrRoad_act!S120</f>
        <v>5057</v>
      </c>
      <c r="T39" s="84">
        <f>TrRoad_act!T120</f>
        <v>9383</v>
      </c>
      <c r="U39" s="84">
        <f>TrRoad_act!U120</f>
        <v>12285</v>
      </c>
      <c r="V39" s="84">
        <f>TrRoad_act!V120</f>
        <v>7908</v>
      </c>
      <c r="W39" s="84">
        <f>TrRoad_act!W120</f>
        <v>16335</v>
      </c>
      <c r="X39" s="84">
        <f>TrRoad_act!X120</f>
        <v>18426</v>
      </c>
      <c r="Y39" s="84">
        <f>TrRoad_act!Y120</f>
        <v>38285</v>
      </c>
      <c r="DA39" s="171" t="s">
        <v>535</v>
      </c>
    </row>
    <row r="40" spans="1:105" ht="11.45" customHeight="1" x14ac:dyDescent="0.25">
      <c r="A40" s="109" t="s">
        <v>21</v>
      </c>
      <c r="B40" s="110">
        <f>TrRoad_act!B121</f>
        <v>1458</v>
      </c>
      <c r="C40" s="110">
        <f>TrRoad_act!C121</f>
        <v>1265</v>
      </c>
      <c r="D40" s="110">
        <f>TrRoad_act!D121</f>
        <v>1016</v>
      </c>
      <c r="E40" s="110">
        <f>TrRoad_act!E121</f>
        <v>1066</v>
      </c>
      <c r="F40" s="110">
        <f>TrRoad_act!F121</f>
        <v>1034</v>
      </c>
      <c r="G40" s="110">
        <f>TrRoad_act!G121</f>
        <v>1026</v>
      </c>
      <c r="H40" s="110">
        <f>TrRoad_act!H121</f>
        <v>719</v>
      </c>
      <c r="I40" s="110">
        <f>TrRoad_act!I121</f>
        <v>727</v>
      </c>
      <c r="J40" s="110">
        <f>TrRoad_act!J121</f>
        <v>796</v>
      </c>
      <c r="K40" s="110">
        <f>TrRoad_act!K121</f>
        <v>629</v>
      </c>
      <c r="L40" s="110">
        <f>TrRoad_act!L121</f>
        <v>1037</v>
      </c>
      <c r="M40" s="110">
        <f>TrRoad_act!M121</f>
        <v>711</v>
      </c>
      <c r="N40" s="110">
        <f>TrRoad_act!N121</f>
        <v>579</v>
      </c>
      <c r="O40" s="110">
        <f>TrRoad_act!O121</f>
        <v>235</v>
      </c>
      <c r="P40" s="110">
        <f>TrRoad_act!P121</f>
        <v>2812</v>
      </c>
      <c r="Q40" s="110">
        <f>TrRoad_act!Q121</f>
        <v>690</v>
      </c>
      <c r="R40" s="110">
        <f>TrRoad_act!R121</f>
        <v>905</v>
      </c>
      <c r="S40" s="110">
        <f>TrRoad_act!S121</f>
        <v>459</v>
      </c>
      <c r="T40" s="110">
        <f>TrRoad_act!T121</f>
        <v>643</v>
      </c>
      <c r="U40" s="110">
        <f>TrRoad_act!U121</f>
        <v>2495</v>
      </c>
      <c r="V40" s="110">
        <f>TrRoad_act!V121</f>
        <v>464</v>
      </c>
      <c r="W40" s="110">
        <f>TrRoad_act!W121</f>
        <v>669</v>
      </c>
      <c r="X40" s="110">
        <f>TrRoad_act!X121</f>
        <v>1509</v>
      </c>
      <c r="Y40" s="110">
        <f>TrRoad_act!Y121</f>
        <v>996</v>
      </c>
      <c r="DA40" s="176" t="s">
        <v>536</v>
      </c>
    </row>
    <row r="41" spans="1:105" ht="11.45" customHeight="1" x14ac:dyDescent="0.25">
      <c r="A41" s="111" t="s">
        <v>110</v>
      </c>
      <c r="B41" s="102">
        <f>TrRoad_act!B122</f>
        <v>0</v>
      </c>
      <c r="C41" s="102">
        <f>TrRoad_act!C122</f>
        <v>0</v>
      </c>
      <c r="D41" s="102">
        <f>TrRoad_act!D122</f>
        <v>0</v>
      </c>
      <c r="E41" s="102">
        <f>TrRoad_act!E122</f>
        <v>0</v>
      </c>
      <c r="F41" s="102">
        <f>TrRoad_act!F122</f>
        <v>0</v>
      </c>
      <c r="G41" s="102">
        <f>TrRoad_act!G122</f>
        <v>0</v>
      </c>
      <c r="H41" s="102">
        <f>TrRoad_act!H122</f>
        <v>0</v>
      </c>
      <c r="I41" s="102">
        <f>TrRoad_act!I122</f>
        <v>0</v>
      </c>
      <c r="J41" s="102">
        <f>TrRoad_act!J122</f>
        <v>0</v>
      </c>
      <c r="K41" s="102">
        <f>TrRoad_act!K122</f>
        <v>0</v>
      </c>
      <c r="L41" s="102">
        <f>TrRoad_act!L122</f>
        <v>6</v>
      </c>
      <c r="M41" s="102">
        <f>TrRoad_act!M122</f>
        <v>0</v>
      </c>
      <c r="N41" s="102">
        <f>TrRoad_act!N122</f>
        <v>0</v>
      </c>
      <c r="O41" s="102">
        <f>TrRoad_act!O122</f>
        <v>1</v>
      </c>
      <c r="P41" s="102">
        <f>TrRoad_act!P122</f>
        <v>0</v>
      </c>
      <c r="Q41" s="102">
        <f>TrRoad_act!Q122</f>
        <v>1</v>
      </c>
      <c r="R41" s="102">
        <f>TrRoad_act!R122</f>
        <v>1</v>
      </c>
      <c r="S41" s="102">
        <f>TrRoad_act!S122</f>
        <v>0</v>
      </c>
      <c r="T41" s="102">
        <f>TrRoad_act!T122</f>
        <v>0</v>
      </c>
      <c r="U41" s="102">
        <f>TrRoad_act!U122</f>
        <v>1</v>
      </c>
      <c r="V41" s="102">
        <f>TrRoad_act!V122</f>
        <v>0</v>
      </c>
      <c r="W41" s="102">
        <f>TrRoad_act!W122</f>
        <v>0</v>
      </c>
      <c r="X41" s="102">
        <f>TrRoad_act!X122</f>
        <v>0</v>
      </c>
      <c r="Y41" s="102">
        <f>TrRoad_act!Y122</f>
        <v>0</v>
      </c>
      <c r="DA41" s="175" t="s">
        <v>537</v>
      </c>
    </row>
    <row r="42" spans="1:105" ht="11.45" customHeight="1" x14ac:dyDescent="0.25">
      <c r="A42" s="111" t="s">
        <v>111</v>
      </c>
      <c r="B42" s="102">
        <f>TrRoad_act!B123</f>
        <v>1458</v>
      </c>
      <c r="C42" s="102">
        <f>TrRoad_act!C123</f>
        <v>1113</v>
      </c>
      <c r="D42" s="102">
        <f>TrRoad_act!D123</f>
        <v>902</v>
      </c>
      <c r="E42" s="102">
        <f>TrRoad_act!E123</f>
        <v>956</v>
      </c>
      <c r="F42" s="102">
        <f>TrRoad_act!F123</f>
        <v>999</v>
      </c>
      <c r="G42" s="102">
        <f>TrRoad_act!G123</f>
        <v>909</v>
      </c>
      <c r="H42" s="102">
        <f>TrRoad_act!H123</f>
        <v>719</v>
      </c>
      <c r="I42" s="102">
        <f>TrRoad_act!I123</f>
        <v>674</v>
      </c>
      <c r="J42" s="102">
        <f>TrRoad_act!J123</f>
        <v>757</v>
      </c>
      <c r="K42" s="102">
        <f>TrRoad_act!K123</f>
        <v>607</v>
      </c>
      <c r="L42" s="102">
        <f>TrRoad_act!L123</f>
        <v>1012</v>
      </c>
      <c r="M42" s="102">
        <f>TrRoad_act!M123</f>
        <v>711</v>
      </c>
      <c r="N42" s="102">
        <f>TrRoad_act!N123</f>
        <v>568</v>
      </c>
      <c r="O42" s="102">
        <f>TrRoad_act!O123</f>
        <v>234</v>
      </c>
      <c r="P42" s="102">
        <f>TrRoad_act!P123</f>
        <v>2810</v>
      </c>
      <c r="Q42" s="102">
        <f>TrRoad_act!Q123</f>
        <v>689</v>
      </c>
      <c r="R42" s="102">
        <f>TrRoad_act!R123</f>
        <v>903</v>
      </c>
      <c r="S42" s="102">
        <f>TrRoad_act!S123</f>
        <v>445</v>
      </c>
      <c r="T42" s="102">
        <f>TrRoad_act!T123</f>
        <v>326</v>
      </c>
      <c r="U42" s="102">
        <f>TrRoad_act!U123</f>
        <v>2253</v>
      </c>
      <c r="V42" s="102">
        <f>TrRoad_act!V123</f>
        <v>329</v>
      </c>
      <c r="W42" s="102">
        <f>TrRoad_act!W123</f>
        <v>407</v>
      </c>
      <c r="X42" s="102">
        <f>TrRoad_act!X123</f>
        <v>1397</v>
      </c>
      <c r="Y42" s="102">
        <f>TrRoad_act!Y123</f>
        <v>529</v>
      </c>
      <c r="DA42" s="175" t="s">
        <v>538</v>
      </c>
    </row>
    <row r="43" spans="1:105" ht="11.45" customHeight="1" x14ac:dyDescent="0.25">
      <c r="A43" s="111" t="s">
        <v>112</v>
      </c>
      <c r="B43" s="102">
        <f>TrRoad_act!B124</f>
        <v>0</v>
      </c>
      <c r="C43" s="102">
        <f>TrRoad_act!C124</f>
        <v>0</v>
      </c>
      <c r="D43" s="102">
        <f>TrRoad_act!D124</f>
        <v>0</v>
      </c>
      <c r="E43" s="102">
        <f>TrRoad_act!E124</f>
        <v>0</v>
      </c>
      <c r="F43" s="102">
        <f>TrRoad_act!F124</f>
        <v>0</v>
      </c>
      <c r="G43" s="102">
        <f>TrRoad_act!G124</f>
        <v>0</v>
      </c>
      <c r="H43" s="102">
        <f>TrRoad_act!H124</f>
        <v>0</v>
      </c>
      <c r="I43" s="102">
        <f>TrRoad_act!I124</f>
        <v>0</v>
      </c>
      <c r="J43" s="102">
        <f>TrRoad_act!J124</f>
        <v>0</v>
      </c>
      <c r="K43" s="102">
        <f>TrRoad_act!K124</f>
        <v>0</v>
      </c>
      <c r="L43" s="102">
        <f>TrRoad_act!L124</f>
        <v>3</v>
      </c>
      <c r="M43" s="102">
        <f>TrRoad_act!M124</f>
        <v>0</v>
      </c>
      <c r="N43" s="102">
        <f>TrRoad_act!N124</f>
        <v>0</v>
      </c>
      <c r="O43" s="102">
        <f>TrRoad_act!O124</f>
        <v>0</v>
      </c>
      <c r="P43" s="102">
        <f>TrRoad_act!P124</f>
        <v>2</v>
      </c>
      <c r="Q43" s="102">
        <f>TrRoad_act!Q124</f>
        <v>0</v>
      </c>
      <c r="R43" s="102">
        <f>TrRoad_act!R124</f>
        <v>1</v>
      </c>
      <c r="S43" s="102">
        <f>TrRoad_act!S124</f>
        <v>0</v>
      </c>
      <c r="T43" s="102">
        <f>TrRoad_act!T124</f>
        <v>0</v>
      </c>
      <c r="U43" s="102">
        <f>TrRoad_act!U124</f>
        <v>0</v>
      </c>
      <c r="V43" s="102">
        <f>TrRoad_act!V124</f>
        <v>0</v>
      </c>
      <c r="W43" s="102">
        <f>TrRoad_act!W124</f>
        <v>0</v>
      </c>
      <c r="X43" s="102">
        <f>TrRoad_act!X124</f>
        <v>0</v>
      </c>
      <c r="Y43" s="102">
        <f>TrRoad_act!Y124</f>
        <v>0</v>
      </c>
      <c r="DA43" s="175" t="s">
        <v>539</v>
      </c>
    </row>
    <row r="44" spans="1:105" ht="11.45" customHeight="1" x14ac:dyDescent="0.25">
      <c r="A44" s="111" t="s">
        <v>113</v>
      </c>
      <c r="B44" s="102">
        <f>TrRoad_act!B125</f>
        <v>0</v>
      </c>
      <c r="C44" s="102">
        <f>TrRoad_act!C125</f>
        <v>152</v>
      </c>
      <c r="D44" s="102">
        <f>TrRoad_act!D125</f>
        <v>114</v>
      </c>
      <c r="E44" s="102">
        <f>TrRoad_act!E125</f>
        <v>110</v>
      </c>
      <c r="F44" s="102">
        <f>TrRoad_act!F125</f>
        <v>35</v>
      </c>
      <c r="G44" s="102">
        <f>TrRoad_act!G125</f>
        <v>117</v>
      </c>
      <c r="H44" s="102">
        <f>TrRoad_act!H125</f>
        <v>0</v>
      </c>
      <c r="I44" s="102">
        <f>TrRoad_act!I125</f>
        <v>53</v>
      </c>
      <c r="J44" s="102">
        <f>TrRoad_act!J125</f>
        <v>39</v>
      </c>
      <c r="K44" s="102">
        <f>TrRoad_act!K125</f>
        <v>22</v>
      </c>
      <c r="L44" s="102">
        <f>TrRoad_act!L125</f>
        <v>3</v>
      </c>
      <c r="M44" s="102">
        <f>TrRoad_act!M125</f>
        <v>0</v>
      </c>
      <c r="N44" s="102">
        <f>TrRoad_act!N125</f>
        <v>0</v>
      </c>
      <c r="O44" s="102">
        <f>TrRoad_act!O125</f>
        <v>0</v>
      </c>
      <c r="P44" s="102">
        <f>TrRoad_act!P125</f>
        <v>0</v>
      </c>
      <c r="Q44" s="102">
        <f>TrRoad_act!Q125</f>
        <v>0</v>
      </c>
      <c r="R44" s="102">
        <f>TrRoad_act!R125</f>
        <v>0</v>
      </c>
      <c r="S44" s="102">
        <f>TrRoad_act!S125</f>
        <v>0</v>
      </c>
      <c r="T44" s="102">
        <f>TrRoad_act!T125</f>
        <v>258</v>
      </c>
      <c r="U44" s="102">
        <f>TrRoad_act!U125</f>
        <v>207</v>
      </c>
      <c r="V44" s="102">
        <f>TrRoad_act!V125</f>
        <v>110</v>
      </c>
      <c r="W44" s="102">
        <f>TrRoad_act!W125</f>
        <v>224</v>
      </c>
      <c r="X44" s="102">
        <f>TrRoad_act!X125</f>
        <v>48</v>
      </c>
      <c r="Y44" s="102">
        <f>TrRoad_act!Y125</f>
        <v>81</v>
      </c>
      <c r="DA44" s="175" t="s">
        <v>540</v>
      </c>
    </row>
    <row r="45" spans="1:105" ht="11.45" customHeight="1" x14ac:dyDescent="0.25">
      <c r="A45" s="111" t="s">
        <v>115</v>
      </c>
      <c r="B45" s="102">
        <f>TrRoad_act!B126</f>
        <v>0</v>
      </c>
      <c r="C45" s="102">
        <f>TrRoad_act!C126</f>
        <v>0</v>
      </c>
      <c r="D45" s="102">
        <f>TrRoad_act!D126</f>
        <v>0</v>
      </c>
      <c r="E45" s="102">
        <f>TrRoad_act!E126</f>
        <v>0</v>
      </c>
      <c r="F45" s="102">
        <f>TrRoad_act!F126</f>
        <v>0</v>
      </c>
      <c r="G45" s="102">
        <f>TrRoad_act!G126</f>
        <v>0</v>
      </c>
      <c r="H45" s="102">
        <f>TrRoad_act!H126</f>
        <v>0</v>
      </c>
      <c r="I45" s="102">
        <f>TrRoad_act!I126</f>
        <v>0</v>
      </c>
      <c r="J45" s="102">
        <f>TrRoad_act!J126</f>
        <v>0</v>
      </c>
      <c r="K45" s="102">
        <f>TrRoad_act!K126</f>
        <v>0</v>
      </c>
      <c r="L45" s="102">
        <f>TrRoad_act!L126</f>
        <v>13</v>
      </c>
      <c r="M45" s="102">
        <f>TrRoad_act!M126</f>
        <v>0</v>
      </c>
      <c r="N45" s="102">
        <f>TrRoad_act!N126</f>
        <v>11</v>
      </c>
      <c r="O45" s="102">
        <f>TrRoad_act!O126</f>
        <v>0</v>
      </c>
      <c r="P45" s="102">
        <f>TrRoad_act!P126</f>
        <v>0</v>
      </c>
      <c r="Q45" s="102">
        <f>TrRoad_act!Q126</f>
        <v>0</v>
      </c>
      <c r="R45" s="102">
        <f>TrRoad_act!R126</f>
        <v>0</v>
      </c>
      <c r="S45" s="102">
        <f>TrRoad_act!S126</f>
        <v>14</v>
      </c>
      <c r="T45" s="102">
        <f>TrRoad_act!T126</f>
        <v>59</v>
      </c>
      <c r="U45" s="102">
        <f>TrRoad_act!U126</f>
        <v>34</v>
      </c>
      <c r="V45" s="102">
        <f>TrRoad_act!V126</f>
        <v>25</v>
      </c>
      <c r="W45" s="102">
        <f>TrRoad_act!W126</f>
        <v>38</v>
      </c>
      <c r="X45" s="102">
        <f>TrRoad_act!X126</f>
        <v>64</v>
      </c>
      <c r="Y45" s="102">
        <f>TrRoad_act!Y126</f>
        <v>386</v>
      </c>
      <c r="DA45" s="175" t="s">
        <v>541</v>
      </c>
    </row>
    <row r="46" spans="1:105" ht="11.45" customHeight="1" x14ac:dyDescent="0.25">
      <c r="A46" s="27" t="s">
        <v>34</v>
      </c>
      <c r="B46" s="28">
        <f>TrRoad_act!B127</f>
        <v>382</v>
      </c>
      <c r="C46" s="28">
        <f>TrRoad_act!C127</f>
        <v>203274</v>
      </c>
      <c r="D46" s="28">
        <f>TrRoad_act!D127</f>
        <v>39430</v>
      </c>
      <c r="E46" s="28">
        <f>TrRoad_act!E127</f>
        <v>3398</v>
      </c>
      <c r="F46" s="28">
        <f>TrRoad_act!F127</f>
        <v>60156</v>
      </c>
      <c r="G46" s="28">
        <f>TrRoad_act!G127</f>
        <v>113799</v>
      </c>
      <c r="H46" s="28">
        <f>TrRoad_act!H127</f>
        <v>125921</v>
      </c>
      <c r="I46" s="28">
        <f>TrRoad_act!I127</f>
        <v>132139</v>
      </c>
      <c r="J46" s="28">
        <f>TrRoad_act!J127</f>
        <v>117858</v>
      </c>
      <c r="K46" s="28">
        <f>TrRoad_act!K127</f>
        <v>120126</v>
      </c>
      <c r="L46" s="28">
        <f>TrRoad_act!L127</f>
        <v>116999</v>
      </c>
      <c r="M46" s="28">
        <f>TrRoad_act!M127</f>
        <v>97261</v>
      </c>
      <c r="N46" s="28">
        <f>TrRoad_act!N127</f>
        <v>13772</v>
      </c>
      <c r="O46" s="28">
        <f>TrRoad_act!O127</f>
        <v>44135</v>
      </c>
      <c r="P46" s="28">
        <f>TrRoad_act!P127</f>
        <v>206509</v>
      </c>
      <c r="Q46" s="28">
        <f>TrRoad_act!Q127</f>
        <v>69132</v>
      </c>
      <c r="R46" s="28">
        <f>TrRoad_act!R127</f>
        <v>99112</v>
      </c>
      <c r="S46" s="28">
        <f>TrRoad_act!S127</f>
        <v>123873</v>
      </c>
      <c r="T46" s="28">
        <f>TrRoad_act!T127</f>
        <v>128935</v>
      </c>
      <c r="U46" s="28">
        <f>TrRoad_act!U127</f>
        <v>237271</v>
      </c>
      <c r="V46" s="28">
        <f>TrRoad_act!V127</f>
        <v>25938</v>
      </c>
      <c r="W46" s="28">
        <f>TrRoad_act!W127</f>
        <v>34798</v>
      </c>
      <c r="X46" s="28">
        <f>TrRoad_act!X127</f>
        <v>110775</v>
      </c>
      <c r="Y46" s="28">
        <f>TrRoad_act!Y127</f>
        <v>76153</v>
      </c>
      <c r="DA46" s="173" t="s">
        <v>542</v>
      </c>
    </row>
    <row r="47" spans="1:105" ht="11.45" customHeight="1" x14ac:dyDescent="0.25">
      <c r="A47" s="136" t="s">
        <v>153</v>
      </c>
      <c r="B47" s="137">
        <f>TrRoad_act!B128</f>
        <v>0</v>
      </c>
      <c r="C47" s="137">
        <f>TrRoad_act!C128</f>
        <v>196092</v>
      </c>
      <c r="D47" s="137">
        <f>TrRoad_act!D128</f>
        <v>35629</v>
      </c>
      <c r="E47" s="137">
        <f>TrRoad_act!E128</f>
        <v>2092</v>
      </c>
      <c r="F47" s="137">
        <f>TrRoad_act!F128</f>
        <v>52576</v>
      </c>
      <c r="G47" s="137">
        <f>TrRoad_act!G128</f>
        <v>107592</v>
      </c>
      <c r="H47" s="137">
        <f>TrRoad_act!H128</f>
        <v>119012</v>
      </c>
      <c r="I47" s="137">
        <f>TrRoad_act!I128</f>
        <v>124659</v>
      </c>
      <c r="J47" s="137">
        <f>TrRoad_act!J128</f>
        <v>111033</v>
      </c>
      <c r="K47" s="137">
        <f>TrRoad_act!K128</f>
        <v>112563</v>
      </c>
      <c r="L47" s="137">
        <f>TrRoad_act!L128</f>
        <v>109854</v>
      </c>
      <c r="M47" s="137">
        <f>TrRoad_act!M128</f>
        <v>93629</v>
      </c>
      <c r="N47" s="137">
        <f>TrRoad_act!N128</f>
        <v>12922</v>
      </c>
      <c r="O47" s="137">
        <f>TrRoad_act!O128</f>
        <v>42502</v>
      </c>
      <c r="P47" s="137">
        <f>TrRoad_act!P128</f>
        <v>195905</v>
      </c>
      <c r="Q47" s="137">
        <f>TrRoad_act!Q128</f>
        <v>63146</v>
      </c>
      <c r="R47" s="137">
        <f>TrRoad_act!R128</f>
        <v>92263</v>
      </c>
      <c r="S47" s="137">
        <f>TrRoad_act!S128</f>
        <v>111573</v>
      </c>
      <c r="T47" s="137">
        <f>TrRoad_act!T128</f>
        <v>117375</v>
      </c>
      <c r="U47" s="137">
        <f>TrRoad_act!U128</f>
        <v>218526</v>
      </c>
      <c r="V47" s="137">
        <f>TrRoad_act!V128</f>
        <v>24932</v>
      </c>
      <c r="W47" s="137">
        <f>TrRoad_act!W128</f>
        <v>32542</v>
      </c>
      <c r="X47" s="137">
        <f>TrRoad_act!X128</f>
        <v>102240</v>
      </c>
      <c r="Y47" s="137">
        <f>TrRoad_act!Y128</f>
        <v>69703</v>
      </c>
      <c r="DA47" s="174" t="s">
        <v>543</v>
      </c>
    </row>
    <row r="48" spans="1:105" ht="11.45" customHeight="1" x14ac:dyDescent="0.25">
      <c r="A48" s="111" t="s">
        <v>110</v>
      </c>
      <c r="B48" s="84">
        <f>TrRoad_act!B129</f>
        <v>0</v>
      </c>
      <c r="C48" s="84">
        <f>TrRoad_act!C129</f>
        <v>792</v>
      </c>
      <c r="D48" s="84">
        <f>TrRoad_act!D129</f>
        <v>3</v>
      </c>
      <c r="E48" s="84">
        <f>TrRoad_act!E129</f>
        <v>2009</v>
      </c>
      <c r="F48" s="84">
        <f>TrRoad_act!F129</f>
        <v>0</v>
      </c>
      <c r="G48" s="84">
        <f>TrRoad_act!G129</f>
        <v>1157</v>
      </c>
      <c r="H48" s="84">
        <f>TrRoad_act!H129</f>
        <v>1453</v>
      </c>
      <c r="I48" s="84">
        <f>TrRoad_act!I129</f>
        <v>1527</v>
      </c>
      <c r="J48" s="84">
        <f>TrRoad_act!J129</f>
        <v>1315</v>
      </c>
      <c r="K48" s="84">
        <f>TrRoad_act!K129</f>
        <v>1326</v>
      </c>
      <c r="L48" s="84">
        <f>TrRoad_act!L129</f>
        <v>1261</v>
      </c>
      <c r="M48" s="84">
        <f>TrRoad_act!M129</f>
        <v>0</v>
      </c>
      <c r="N48" s="84">
        <f>TrRoad_act!N129</f>
        <v>2</v>
      </c>
      <c r="O48" s="84">
        <f>TrRoad_act!O129</f>
        <v>0</v>
      </c>
      <c r="P48" s="84">
        <f>TrRoad_act!P129</f>
        <v>370</v>
      </c>
      <c r="Q48" s="84">
        <f>TrRoad_act!Q129</f>
        <v>1978</v>
      </c>
      <c r="R48" s="84">
        <f>TrRoad_act!R129</f>
        <v>424</v>
      </c>
      <c r="S48" s="84">
        <f>TrRoad_act!S129</f>
        <v>1696</v>
      </c>
      <c r="T48" s="84">
        <f>TrRoad_act!T129</f>
        <v>467</v>
      </c>
      <c r="U48" s="84">
        <f>TrRoad_act!U129</f>
        <v>5280</v>
      </c>
      <c r="V48" s="84">
        <f>TrRoad_act!V129</f>
        <v>81</v>
      </c>
      <c r="W48" s="84">
        <f>TrRoad_act!W129</f>
        <v>83</v>
      </c>
      <c r="X48" s="84">
        <f>TrRoad_act!X129</f>
        <v>63</v>
      </c>
      <c r="Y48" s="84">
        <f>TrRoad_act!Y129</f>
        <v>134</v>
      </c>
      <c r="DA48" s="171" t="s">
        <v>544</v>
      </c>
    </row>
    <row r="49" spans="1:105" ht="11.45" customHeight="1" x14ac:dyDescent="0.25">
      <c r="A49" s="111" t="s">
        <v>111</v>
      </c>
      <c r="B49" s="84">
        <f>TrRoad_act!B130</f>
        <v>0</v>
      </c>
      <c r="C49" s="84">
        <f>TrRoad_act!C130</f>
        <v>195262</v>
      </c>
      <c r="D49" s="84">
        <f>TrRoad_act!D130</f>
        <v>35601</v>
      </c>
      <c r="E49" s="84">
        <f>TrRoad_act!E130</f>
        <v>0</v>
      </c>
      <c r="F49" s="84">
        <f>TrRoad_act!F130</f>
        <v>52571</v>
      </c>
      <c r="G49" s="84">
        <f>TrRoad_act!G130</f>
        <v>106375</v>
      </c>
      <c r="H49" s="84">
        <f>TrRoad_act!H130</f>
        <v>117492</v>
      </c>
      <c r="I49" s="84">
        <f>TrRoad_act!I130</f>
        <v>123061</v>
      </c>
      <c r="J49" s="84">
        <f>TrRoad_act!J130</f>
        <v>109657</v>
      </c>
      <c r="K49" s="84">
        <f>TrRoad_act!K130</f>
        <v>111174</v>
      </c>
      <c r="L49" s="84">
        <f>TrRoad_act!L130</f>
        <v>108559</v>
      </c>
      <c r="M49" s="84">
        <f>TrRoad_act!M130</f>
        <v>93591</v>
      </c>
      <c r="N49" s="84">
        <f>TrRoad_act!N130</f>
        <v>12900</v>
      </c>
      <c r="O49" s="84">
        <f>TrRoad_act!O130</f>
        <v>42440</v>
      </c>
      <c r="P49" s="84">
        <f>TrRoad_act!P130</f>
        <v>195423</v>
      </c>
      <c r="Q49" s="84">
        <f>TrRoad_act!Q130</f>
        <v>61006</v>
      </c>
      <c r="R49" s="84">
        <f>TrRoad_act!R130</f>
        <v>91756</v>
      </c>
      <c r="S49" s="84">
        <f>TrRoad_act!S130</f>
        <v>109383</v>
      </c>
      <c r="T49" s="84">
        <f>TrRoad_act!T130</f>
        <v>116282</v>
      </c>
      <c r="U49" s="84">
        <f>TrRoad_act!U130</f>
        <v>212636</v>
      </c>
      <c r="V49" s="84">
        <f>TrRoad_act!V130</f>
        <v>24463</v>
      </c>
      <c r="W49" s="84">
        <f>TrRoad_act!W130</f>
        <v>32050</v>
      </c>
      <c r="X49" s="84">
        <f>TrRoad_act!X130</f>
        <v>101099</v>
      </c>
      <c r="Y49" s="84">
        <f>TrRoad_act!Y130</f>
        <v>67063</v>
      </c>
      <c r="DA49" s="171" t="s">
        <v>545</v>
      </c>
    </row>
    <row r="50" spans="1:105" ht="11.45" customHeight="1" x14ac:dyDescent="0.25">
      <c r="A50" s="111" t="s">
        <v>112</v>
      </c>
      <c r="B50" s="84">
        <f>TrRoad_act!B131</f>
        <v>0</v>
      </c>
      <c r="C50" s="84">
        <f>TrRoad_act!C131</f>
        <v>38</v>
      </c>
      <c r="D50" s="84">
        <f>TrRoad_act!D131</f>
        <v>25</v>
      </c>
      <c r="E50" s="84">
        <f>TrRoad_act!E131</f>
        <v>83</v>
      </c>
      <c r="F50" s="84">
        <f>TrRoad_act!F131</f>
        <v>5</v>
      </c>
      <c r="G50" s="84">
        <f>TrRoad_act!G131</f>
        <v>60</v>
      </c>
      <c r="H50" s="84">
        <f>TrRoad_act!H131</f>
        <v>67</v>
      </c>
      <c r="I50" s="84">
        <f>TrRoad_act!I131</f>
        <v>71</v>
      </c>
      <c r="J50" s="84">
        <f>TrRoad_act!J131</f>
        <v>61</v>
      </c>
      <c r="K50" s="84">
        <f>TrRoad_act!K131</f>
        <v>63</v>
      </c>
      <c r="L50" s="84">
        <f>TrRoad_act!L131</f>
        <v>34</v>
      </c>
      <c r="M50" s="84">
        <f>TrRoad_act!M131</f>
        <v>33</v>
      </c>
      <c r="N50" s="84">
        <f>TrRoad_act!N131</f>
        <v>4</v>
      </c>
      <c r="O50" s="84">
        <f>TrRoad_act!O131</f>
        <v>13</v>
      </c>
      <c r="P50" s="84">
        <f>TrRoad_act!P131</f>
        <v>76</v>
      </c>
      <c r="Q50" s="84">
        <f>TrRoad_act!Q131</f>
        <v>75</v>
      </c>
      <c r="R50" s="84">
        <f>TrRoad_act!R131</f>
        <v>14</v>
      </c>
      <c r="S50" s="84">
        <f>TrRoad_act!S131</f>
        <v>54</v>
      </c>
      <c r="T50" s="84">
        <f>TrRoad_act!T131</f>
        <v>58</v>
      </c>
      <c r="U50" s="84">
        <f>TrRoad_act!U131</f>
        <v>196</v>
      </c>
      <c r="V50" s="84">
        <f>TrRoad_act!V131</f>
        <v>0</v>
      </c>
      <c r="W50" s="84">
        <f>TrRoad_act!W131</f>
        <v>5</v>
      </c>
      <c r="X50" s="84">
        <f>TrRoad_act!X131</f>
        <v>47</v>
      </c>
      <c r="Y50" s="84">
        <f>TrRoad_act!Y131</f>
        <v>33</v>
      </c>
      <c r="DA50" s="171" t="s">
        <v>546</v>
      </c>
    </row>
    <row r="51" spans="1:105" ht="11.45" customHeight="1" x14ac:dyDescent="0.25">
      <c r="A51" s="111" t="s">
        <v>113</v>
      </c>
      <c r="B51" s="84">
        <f>TrRoad_act!B132</f>
        <v>0</v>
      </c>
      <c r="C51" s="84">
        <f>TrRoad_act!C132</f>
        <v>0</v>
      </c>
      <c r="D51" s="84">
        <f>TrRoad_act!D132</f>
        <v>0</v>
      </c>
      <c r="E51" s="84">
        <f>TrRoad_act!E132</f>
        <v>0</v>
      </c>
      <c r="F51" s="84">
        <f>TrRoad_act!F132</f>
        <v>0</v>
      </c>
      <c r="G51" s="84">
        <f>TrRoad_act!G132</f>
        <v>0</v>
      </c>
      <c r="H51" s="84">
        <f>TrRoad_act!H132</f>
        <v>0</v>
      </c>
      <c r="I51" s="84">
        <f>TrRoad_act!I132</f>
        <v>0</v>
      </c>
      <c r="J51" s="84">
        <f>TrRoad_act!J132</f>
        <v>0</v>
      </c>
      <c r="K51" s="84">
        <f>TrRoad_act!K132</f>
        <v>0</v>
      </c>
      <c r="L51" s="84">
        <f>TrRoad_act!L132</f>
        <v>0</v>
      </c>
      <c r="M51" s="84">
        <f>TrRoad_act!M132</f>
        <v>0</v>
      </c>
      <c r="N51" s="84">
        <f>TrRoad_act!N132</f>
        <v>0</v>
      </c>
      <c r="O51" s="84">
        <f>TrRoad_act!O132</f>
        <v>5</v>
      </c>
      <c r="P51" s="84">
        <f>TrRoad_act!P132</f>
        <v>8</v>
      </c>
      <c r="Q51" s="84">
        <f>TrRoad_act!Q132</f>
        <v>7</v>
      </c>
      <c r="R51" s="84">
        <f>TrRoad_act!R132</f>
        <v>14</v>
      </c>
      <c r="S51" s="84">
        <f>TrRoad_act!S132</f>
        <v>4</v>
      </c>
      <c r="T51" s="84">
        <f>TrRoad_act!T132</f>
        <v>17</v>
      </c>
      <c r="U51" s="84">
        <f>TrRoad_act!U132</f>
        <v>33</v>
      </c>
      <c r="V51" s="84">
        <f>TrRoad_act!V132</f>
        <v>9</v>
      </c>
      <c r="W51" s="84">
        <f>TrRoad_act!W132</f>
        <v>39</v>
      </c>
      <c r="X51" s="84">
        <f>TrRoad_act!X132</f>
        <v>8</v>
      </c>
      <c r="Y51" s="84">
        <f>TrRoad_act!Y132</f>
        <v>10</v>
      </c>
      <c r="DA51" s="171" t="s">
        <v>547</v>
      </c>
    </row>
    <row r="52" spans="1:105" ht="11.45" customHeight="1" x14ac:dyDescent="0.25">
      <c r="A52" s="111" t="s">
        <v>115</v>
      </c>
      <c r="B52" s="84">
        <f>TrRoad_act!B133</f>
        <v>0</v>
      </c>
      <c r="C52" s="84">
        <f>TrRoad_act!C133</f>
        <v>0</v>
      </c>
      <c r="D52" s="84">
        <f>TrRoad_act!D133</f>
        <v>0</v>
      </c>
      <c r="E52" s="84">
        <f>TrRoad_act!E133</f>
        <v>0</v>
      </c>
      <c r="F52" s="84">
        <f>TrRoad_act!F133</f>
        <v>0</v>
      </c>
      <c r="G52" s="84">
        <f>TrRoad_act!G133</f>
        <v>0</v>
      </c>
      <c r="H52" s="84">
        <f>TrRoad_act!H133</f>
        <v>0</v>
      </c>
      <c r="I52" s="84">
        <f>TrRoad_act!I133</f>
        <v>0</v>
      </c>
      <c r="J52" s="84">
        <f>TrRoad_act!J133</f>
        <v>0</v>
      </c>
      <c r="K52" s="84">
        <f>TrRoad_act!K133</f>
        <v>0</v>
      </c>
      <c r="L52" s="84">
        <f>TrRoad_act!L133</f>
        <v>0</v>
      </c>
      <c r="M52" s="84">
        <f>TrRoad_act!M133</f>
        <v>5</v>
      </c>
      <c r="N52" s="84">
        <f>TrRoad_act!N133</f>
        <v>16</v>
      </c>
      <c r="O52" s="84">
        <f>TrRoad_act!O133</f>
        <v>44</v>
      </c>
      <c r="P52" s="84">
        <f>TrRoad_act!P133</f>
        <v>28</v>
      </c>
      <c r="Q52" s="84">
        <f>TrRoad_act!Q133</f>
        <v>80</v>
      </c>
      <c r="R52" s="84">
        <f>TrRoad_act!R133</f>
        <v>55</v>
      </c>
      <c r="S52" s="84">
        <f>TrRoad_act!S133</f>
        <v>436</v>
      </c>
      <c r="T52" s="84">
        <f>TrRoad_act!T133</f>
        <v>551</v>
      </c>
      <c r="U52" s="84">
        <f>TrRoad_act!U133</f>
        <v>381</v>
      </c>
      <c r="V52" s="84">
        <f>TrRoad_act!V133</f>
        <v>379</v>
      </c>
      <c r="W52" s="84">
        <f>TrRoad_act!W133</f>
        <v>365</v>
      </c>
      <c r="X52" s="84">
        <f>TrRoad_act!X133</f>
        <v>1023</v>
      </c>
      <c r="Y52" s="84">
        <f>TrRoad_act!Y133</f>
        <v>2463</v>
      </c>
      <c r="DA52" s="171" t="s">
        <v>548</v>
      </c>
    </row>
    <row r="53" spans="1:105" ht="11.45" customHeight="1" x14ac:dyDescent="0.25">
      <c r="A53" s="109" t="s">
        <v>154</v>
      </c>
      <c r="B53" s="110">
        <f>TrRoad_act!B134</f>
        <v>382</v>
      </c>
      <c r="C53" s="110">
        <f>TrRoad_act!C134</f>
        <v>7182</v>
      </c>
      <c r="D53" s="110">
        <f>TrRoad_act!D134</f>
        <v>3801</v>
      </c>
      <c r="E53" s="110">
        <f>TrRoad_act!E134</f>
        <v>1306</v>
      </c>
      <c r="F53" s="110">
        <f>TrRoad_act!F134</f>
        <v>7580</v>
      </c>
      <c r="G53" s="110">
        <f>TrRoad_act!G134</f>
        <v>6207</v>
      </c>
      <c r="H53" s="110">
        <f>TrRoad_act!H134</f>
        <v>6909</v>
      </c>
      <c r="I53" s="110">
        <f>TrRoad_act!I134</f>
        <v>7480</v>
      </c>
      <c r="J53" s="110">
        <f>TrRoad_act!J134</f>
        <v>6825</v>
      </c>
      <c r="K53" s="110">
        <f>TrRoad_act!K134</f>
        <v>7563</v>
      </c>
      <c r="L53" s="110">
        <f>TrRoad_act!L134</f>
        <v>7145</v>
      </c>
      <c r="M53" s="110">
        <f>TrRoad_act!M134</f>
        <v>3632</v>
      </c>
      <c r="N53" s="110">
        <f>TrRoad_act!N134</f>
        <v>850</v>
      </c>
      <c r="O53" s="110">
        <f>TrRoad_act!O134</f>
        <v>1633</v>
      </c>
      <c r="P53" s="110">
        <f>TrRoad_act!P134</f>
        <v>10604</v>
      </c>
      <c r="Q53" s="110">
        <f>TrRoad_act!Q134</f>
        <v>5986</v>
      </c>
      <c r="R53" s="110">
        <f>TrRoad_act!R134</f>
        <v>6849</v>
      </c>
      <c r="S53" s="110">
        <f>TrRoad_act!S134</f>
        <v>12300</v>
      </c>
      <c r="T53" s="110">
        <f>TrRoad_act!T134</f>
        <v>11560</v>
      </c>
      <c r="U53" s="110">
        <f>TrRoad_act!U134</f>
        <v>18745</v>
      </c>
      <c r="V53" s="110">
        <f>TrRoad_act!V134</f>
        <v>1006</v>
      </c>
      <c r="W53" s="110">
        <f>TrRoad_act!W134</f>
        <v>2256</v>
      </c>
      <c r="X53" s="110">
        <f>TrRoad_act!X134</f>
        <v>8535</v>
      </c>
      <c r="Y53" s="110">
        <f>TrRoad_act!Y134</f>
        <v>6450</v>
      </c>
      <c r="DA53" s="176" t="s">
        <v>549</v>
      </c>
    </row>
    <row r="54" spans="1:105" ht="11.45" customHeight="1" x14ac:dyDescent="0.25">
      <c r="A54" s="128" t="s">
        <v>27</v>
      </c>
      <c r="B54" s="102">
        <f>TrRoad_act!B135</f>
        <v>0</v>
      </c>
      <c r="C54" s="102">
        <f>TrRoad_act!C135</f>
        <v>6739</v>
      </c>
      <c r="D54" s="102">
        <f>TrRoad_act!D135</f>
        <v>3385</v>
      </c>
      <c r="E54" s="102">
        <f>TrRoad_act!E135</f>
        <v>972</v>
      </c>
      <c r="F54" s="102">
        <f>TrRoad_act!F135</f>
        <v>6501</v>
      </c>
      <c r="G54" s="102">
        <f>TrRoad_act!G135</f>
        <v>5711</v>
      </c>
      <c r="H54" s="102">
        <f>TrRoad_act!H135</f>
        <v>6191</v>
      </c>
      <c r="I54" s="102">
        <f>TrRoad_act!I135</f>
        <v>6548</v>
      </c>
      <c r="J54" s="102">
        <f>TrRoad_act!J135</f>
        <v>6825</v>
      </c>
      <c r="K54" s="102">
        <f>TrRoad_act!K135</f>
        <v>7130</v>
      </c>
      <c r="L54" s="102">
        <f>TrRoad_act!L135</f>
        <v>7145</v>
      </c>
      <c r="M54" s="102">
        <f>TrRoad_act!M135</f>
        <v>2924</v>
      </c>
      <c r="N54" s="102">
        <f>TrRoad_act!N135</f>
        <v>850</v>
      </c>
      <c r="O54" s="102">
        <f>TrRoad_act!O135</f>
        <v>693</v>
      </c>
      <c r="P54" s="102">
        <f>TrRoad_act!P135</f>
        <v>10087</v>
      </c>
      <c r="Q54" s="102">
        <f>TrRoad_act!Q135</f>
        <v>5986</v>
      </c>
      <c r="R54" s="102">
        <f>TrRoad_act!R135</f>
        <v>6048</v>
      </c>
      <c r="S54" s="102">
        <f>TrRoad_act!S135</f>
        <v>12023</v>
      </c>
      <c r="T54" s="102">
        <f>TrRoad_act!T135</f>
        <v>10999</v>
      </c>
      <c r="U54" s="102">
        <f>TrRoad_act!U135</f>
        <v>18234</v>
      </c>
      <c r="V54" s="102">
        <f>TrRoad_act!V135</f>
        <v>1006</v>
      </c>
      <c r="W54" s="102">
        <f>TrRoad_act!W135</f>
        <v>1082</v>
      </c>
      <c r="X54" s="102">
        <f>TrRoad_act!X135</f>
        <v>7807</v>
      </c>
      <c r="Y54" s="102">
        <f>TrRoad_act!Y135</f>
        <v>6386</v>
      </c>
      <c r="DA54" s="175" t="s">
        <v>550</v>
      </c>
    </row>
    <row r="55" spans="1:105" ht="11.45" customHeight="1" x14ac:dyDescent="0.25">
      <c r="A55" s="138" t="s">
        <v>116</v>
      </c>
      <c r="B55" s="86">
        <f>TrRoad_act!B136</f>
        <v>382</v>
      </c>
      <c r="C55" s="86">
        <f>TrRoad_act!C136</f>
        <v>443</v>
      </c>
      <c r="D55" s="86">
        <f>TrRoad_act!D136</f>
        <v>416</v>
      </c>
      <c r="E55" s="86">
        <f>TrRoad_act!E136</f>
        <v>334</v>
      </c>
      <c r="F55" s="86">
        <f>TrRoad_act!F136</f>
        <v>1079</v>
      </c>
      <c r="G55" s="86">
        <f>TrRoad_act!G136</f>
        <v>496</v>
      </c>
      <c r="H55" s="86">
        <f>TrRoad_act!H136</f>
        <v>718</v>
      </c>
      <c r="I55" s="86">
        <f>TrRoad_act!I136</f>
        <v>932</v>
      </c>
      <c r="J55" s="86">
        <f>TrRoad_act!J136</f>
        <v>0</v>
      </c>
      <c r="K55" s="86">
        <f>TrRoad_act!K136</f>
        <v>433</v>
      </c>
      <c r="L55" s="86">
        <f>TrRoad_act!L136</f>
        <v>0</v>
      </c>
      <c r="M55" s="86">
        <f>TrRoad_act!M136</f>
        <v>708</v>
      </c>
      <c r="N55" s="86">
        <f>TrRoad_act!N136</f>
        <v>0</v>
      </c>
      <c r="O55" s="86">
        <f>TrRoad_act!O136</f>
        <v>940</v>
      </c>
      <c r="P55" s="86">
        <f>TrRoad_act!P136</f>
        <v>517</v>
      </c>
      <c r="Q55" s="86">
        <f>TrRoad_act!Q136</f>
        <v>0</v>
      </c>
      <c r="R55" s="86">
        <f>TrRoad_act!R136</f>
        <v>801</v>
      </c>
      <c r="S55" s="86">
        <f>TrRoad_act!S136</f>
        <v>277</v>
      </c>
      <c r="T55" s="86">
        <f>TrRoad_act!T136</f>
        <v>561</v>
      </c>
      <c r="U55" s="86">
        <f>TrRoad_act!U136</f>
        <v>511</v>
      </c>
      <c r="V55" s="86">
        <f>TrRoad_act!V136</f>
        <v>0</v>
      </c>
      <c r="W55" s="86">
        <f>TrRoad_act!W136</f>
        <v>1174</v>
      </c>
      <c r="X55" s="86">
        <f>TrRoad_act!X136</f>
        <v>728</v>
      </c>
      <c r="Y55" s="86">
        <f>TrRoad_act!Y136</f>
        <v>64</v>
      </c>
      <c r="DA55" s="178" t="s">
        <v>551</v>
      </c>
    </row>
    <row r="56" spans="1:105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DA56" s="171"/>
    </row>
    <row r="57" spans="1:105" ht="11.45" customHeight="1" x14ac:dyDescent="0.25">
      <c r="A57" s="148"/>
      <c r="B57" s="231">
        <v>2020</v>
      </c>
      <c r="C57" s="231"/>
      <c r="D57" s="231"/>
      <c r="E57" s="231"/>
      <c r="F57" s="231"/>
      <c r="G57" s="231"/>
      <c r="H57" s="231"/>
      <c r="I57" s="231"/>
      <c r="J57" s="231"/>
      <c r="K57" s="231"/>
      <c r="L57" s="231"/>
      <c r="M57" s="231"/>
      <c r="N57" s="231"/>
      <c r="O57" s="231"/>
      <c r="P57" s="231"/>
      <c r="Q57" s="231"/>
      <c r="R57" s="231"/>
      <c r="S57" s="231"/>
      <c r="T57" s="231"/>
      <c r="U57" s="231"/>
      <c r="V57" s="231"/>
      <c r="W57" s="168"/>
      <c r="X57" s="168"/>
      <c r="Y57" s="168"/>
      <c r="DA57" s="209"/>
    </row>
    <row r="58" spans="1:105" ht="11.45" customHeight="1" x14ac:dyDescent="0.25">
      <c r="A58" s="149" t="s">
        <v>118</v>
      </c>
      <c r="B58" s="147" t="s">
        <v>119</v>
      </c>
      <c r="C58" s="147">
        <v>2001</v>
      </c>
      <c r="D58" s="147">
        <v>2002</v>
      </c>
      <c r="E58" s="147">
        <v>2003</v>
      </c>
      <c r="F58" s="147">
        <v>2004</v>
      </c>
      <c r="G58" s="147">
        <v>2005</v>
      </c>
      <c r="H58" s="147">
        <v>2006</v>
      </c>
      <c r="I58" s="147">
        <v>2007</v>
      </c>
      <c r="J58" s="147">
        <v>2008</v>
      </c>
      <c r="K58" s="147">
        <v>2009</v>
      </c>
      <c r="L58" s="147">
        <v>2010</v>
      </c>
      <c r="M58" s="147">
        <v>2011</v>
      </c>
      <c r="N58" s="147">
        <v>2012</v>
      </c>
      <c r="O58" s="147">
        <v>2013</v>
      </c>
      <c r="P58" s="147">
        <v>2014</v>
      </c>
      <c r="Q58" s="147">
        <v>2015</v>
      </c>
      <c r="R58" s="147">
        <v>2016</v>
      </c>
      <c r="S58" s="147">
        <v>2017</v>
      </c>
      <c r="T58" s="147">
        <v>2018</v>
      </c>
      <c r="U58" s="147">
        <v>2019</v>
      </c>
      <c r="V58" s="147">
        <v>2020</v>
      </c>
      <c r="W58" s="147">
        <v>2021</v>
      </c>
      <c r="X58" s="147">
        <v>2021</v>
      </c>
      <c r="Y58" s="147">
        <v>2021</v>
      </c>
      <c r="DA58" s="210"/>
    </row>
    <row r="59" spans="1:105" ht="11.45" customHeight="1" x14ac:dyDescent="0.25">
      <c r="A59" s="53" t="s">
        <v>151</v>
      </c>
      <c r="B59" s="54">
        <f t="shared" ref="B59:K59" si="0">B60+B75</f>
        <v>298556</v>
      </c>
      <c r="C59" s="54">
        <f t="shared" si="0"/>
        <v>199304</v>
      </c>
      <c r="D59" s="54">
        <f t="shared" si="0"/>
        <v>291567</v>
      </c>
      <c r="E59" s="54">
        <f t="shared" si="0"/>
        <v>176432</v>
      </c>
      <c r="F59" s="54">
        <f t="shared" si="0"/>
        <v>198843</v>
      </c>
      <c r="G59" s="54">
        <f t="shared" si="0"/>
        <v>223962</v>
      </c>
      <c r="H59" s="54">
        <f t="shared" si="0"/>
        <v>240276</v>
      </c>
      <c r="I59" s="54">
        <f t="shared" si="0"/>
        <v>273520</v>
      </c>
      <c r="J59" s="54">
        <f t="shared" si="0"/>
        <v>302973</v>
      </c>
      <c r="K59" s="54">
        <f t="shared" si="0"/>
        <v>264710</v>
      </c>
      <c r="L59" s="54">
        <f t="shared" ref="L59" si="1">L60+L75</f>
        <v>515566</v>
      </c>
      <c r="M59" s="54">
        <f t="shared" ref="M59:V59" si="2">M60+M75</f>
        <v>286005</v>
      </c>
      <c r="N59" s="54">
        <f t="shared" si="2"/>
        <v>162594</v>
      </c>
      <c r="O59" s="54">
        <f t="shared" si="2"/>
        <v>202242</v>
      </c>
      <c r="P59" s="54">
        <f t="shared" si="2"/>
        <v>575980</v>
      </c>
      <c r="Q59" s="54">
        <f t="shared" si="2"/>
        <v>354245</v>
      </c>
      <c r="R59" s="54">
        <f t="shared" si="2"/>
        <v>429856</v>
      </c>
      <c r="S59" s="54">
        <f t="shared" si="2"/>
        <v>577307</v>
      </c>
      <c r="T59" s="54">
        <f t="shared" si="2"/>
        <v>523858</v>
      </c>
      <c r="U59" s="54">
        <f t="shared" si="2"/>
        <v>570679</v>
      </c>
      <c r="V59" s="54">
        <f t="shared" si="2"/>
        <v>249558</v>
      </c>
      <c r="W59" s="54">
        <f t="shared" ref="W59:Y59" si="3">W60+W75</f>
        <v>266373</v>
      </c>
      <c r="X59" s="54">
        <f t="shared" si="3"/>
        <v>357764</v>
      </c>
      <c r="Y59" s="54">
        <f t="shared" si="3"/>
        <v>400078</v>
      </c>
      <c r="DA59" s="172" t="s">
        <v>838</v>
      </c>
    </row>
    <row r="60" spans="1:105" ht="11.45" customHeight="1" x14ac:dyDescent="0.25">
      <c r="A60" s="27" t="s">
        <v>33</v>
      </c>
      <c r="B60" s="28">
        <f t="shared" ref="B60:K60" si="4">B61+B62+B69</f>
        <v>298556</v>
      </c>
      <c r="C60" s="28">
        <f t="shared" si="4"/>
        <v>199304</v>
      </c>
      <c r="D60" s="28">
        <f t="shared" si="4"/>
        <v>291567</v>
      </c>
      <c r="E60" s="28">
        <f t="shared" si="4"/>
        <v>176432</v>
      </c>
      <c r="F60" s="28">
        <f t="shared" si="4"/>
        <v>198843</v>
      </c>
      <c r="G60" s="28">
        <f t="shared" si="4"/>
        <v>221159</v>
      </c>
      <c r="H60" s="28">
        <f t="shared" si="4"/>
        <v>217143</v>
      </c>
      <c r="I60" s="28">
        <f t="shared" si="4"/>
        <v>237829</v>
      </c>
      <c r="J60" s="28">
        <f t="shared" si="4"/>
        <v>261063</v>
      </c>
      <c r="K60" s="28">
        <f t="shared" si="4"/>
        <v>211642</v>
      </c>
      <c r="L60" s="28">
        <f t="shared" ref="L60" si="5">L61+L62+L69</f>
        <v>453945</v>
      </c>
      <c r="M60" s="28">
        <f t="shared" ref="M60:V60" si="6">M61+M62+M69</f>
        <v>226419</v>
      </c>
      <c r="N60" s="28">
        <f t="shared" si="6"/>
        <v>153050</v>
      </c>
      <c r="O60" s="28">
        <f t="shared" si="6"/>
        <v>168674</v>
      </c>
      <c r="P60" s="28">
        <f t="shared" si="6"/>
        <v>405720</v>
      </c>
      <c r="Q60" s="28">
        <f t="shared" si="6"/>
        <v>293893</v>
      </c>
      <c r="R60" s="28">
        <f t="shared" si="6"/>
        <v>338776</v>
      </c>
      <c r="S60" s="28">
        <f t="shared" si="6"/>
        <v>459482</v>
      </c>
      <c r="T60" s="28">
        <f t="shared" si="6"/>
        <v>398314</v>
      </c>
      <c r="U60" s="28">
        <f t="shared" si="6"/>
        <v>336194</v>
      </c>
      <c r="V60" s="28">
        <f t="shared" si="6"/>
        <v>223702</v>
      </c>
      <c r="W60" s="28">
        <f t="shared" ref="W60:Y60" si="7">W61+W62+W69</f>
        <v>231665</v>
      </c>
      <c r="X60" s="28">
        <f t="shared" si="7"/>
        <v>247030</v>
      </c>
      <c r="Y60" s="28">
        <f t="shared" si="7"/>
        <v>323925</v>
      </c>
      <c r="DA60" s="173" t="s">
        <v>839</v>
      </c>
    </row>
    <row r="61" spans="1:105" ht="11.45" customHeight="1" x14ac:dyDescent="0.25">
      <c r="A61" s="136" t="s">
        <v>173</v>
      </c>
      <c r="B61" s="137">
        <v>39551</v>
      </c>
      <c r="C61" s="137">
        <v>12624</v>
      </c>
      <c r="D61" s="137">
        <v>12669</v>
      </c>
      <c r="E61" s="137">
        <v>12207</v>
      </c>
      <c r="F61" s="137">
        <v>14014</v>
      </c>
      <c r="G61" s="137">
        <v>15305</v>
      </c>
      <c r="H61" s="137">
        <v>11270</v>
      </c>
      <c r="I61" s="137">
        <v>12863</v>
      </c>
      <c r="J61" s="137">
        <v>12464</v>
      </c>
      <c r="K61" s="137">
        <v>16721</v>
      </c>
      <c r="L61" s="137">
        <v>24945</v>
      </c>
      <c r="M61" s="137">
        <v>26415</v>
      </c>
      <c r="N61" s="137">
        <v>25160</v>
      </c>
      <c r="O61" s="137">
        <v>23158</v>
      </c>
      <c r="P61" s="137">
        <v>24460</v>
      </c>
      <c r="Q61" s="137">
        <v>39506</v>
      </c>
      <c r="R61" s="137">
        <v>39361</v>
      </c>
      <c r="S61" s="137">
        <v>46470</v>
      </c>
      <c r="T61" s="137">
        <v>40946</v>
      </c>
      <c r="U61" s="137">
        <v>53206</v>
      </c>
      <c r="V61" s="137">
        <v>40000</v>
      </c>
      <c r="W61" s="137">
        <v>46405</v>
      </c>
      <c r="X61" s="137">
        <v>48134</v>
      </c>
      <c r="Y61" s="137">
        <v>72401</v>
      </c>
      <c r="DA61" s="174" t="s">
        <v>840</v>
      </c>
    </row>
    <row r="62" spans="1:105" ht="11.45" customHeight="1" x14ac:dyDescent="0.25">
      <c r="A62" s="109" t="s">
        <v>20</v>
      </c>
      <c r="B62" s="110">
        <f t="shared" ref="B62:K62" si="8">SUM(B63:B68)</f>
        <v>259005</v>
      </c>
      <c r="C62" s="110">
        <f t="shared" si="8"/>
        <v>186356</v>
      </c>
      <c r="D62" s="110">
        <f t="shared" si="8"/>
        <v>278593</v>
      </c>
      <c r="E62" s="110">
        <f t="shared" si="8"/>
        <v>163854</v>
      </c>
      <c r="F62" s="110">
        <f t="shared" si="8"/>
        <v>184392</v>
      </c>
      <c r="G62" s="110">
        <f t="shared" si="8"/>
        <v>205410</v>
      </c>
      <c r="H62" s="110">
        <f t="shared" si="8"/>
        <v>205485</v>
      </c>
      <c r="I62" s="110">
        <f t="shared" si="8"/>
        <v>224568</v>
      </c>
      <c r="J62" s="110">
        <f t="shared" si="8"/>
        <v>248115</v>
      </c>
      <c r="K62" s="110">
        <f t="shared" si="8"/>
        <v>194504</v>
      </c>
      <c r="L62" s="110">
        <f t="shared" ref="L62" si="9">SUM(L63:L68)</f>
        <v>428256</v>
      </c>
      <c r="M62" s="110">
        <f t="shared" ref="M62:V62" si="10">SUM(M63:M68)</f>
        <v>199455</v>
      </c>
      <c r="N62" s="110">
        <f t="shared" si="10"/>
        <v>127429</v>
      </c>
      <c r="O62" s="110">
        <f t="shared" si="10"/>
        <v>145317</v>
      </c>
      <c r="P62" s="110">
        <f t="shared" si="10"/>
        <v>378790</v>
      </c>
      <c r="Q62" s="110">
        <f t="shared" si="10"/>
        <v>253762</v>
      </c>
      <c r="R62" s="110">
        <f t="shared" si="10"/>
        <v>298573</v>
      </c>
      <c r="S62" s="110">
        <f t="shared" si="10"/>
        <v>412589</v>
      </c>
      <c r="T62" s="110">
        <f t="shared" si="10"/>
        <v>356862</v>
      </c>
      <c r="U62" s="110">
        <f t="shared" si="10"/>
        <v>280544</v>
      </c>
      <c r="V62" s="110">
        <f t="shared" si="10"/>
        <v>183242</v>
      </c>
      <c r="W62" s="110">
        <f t="shared" ref="W62:Y62" si="11">SUM(W63:W68)</f>
        <v>184593</v>
      </c>
      <c r="X62" s="110">
        <f t="shared" si="11"/>
        <v>197388</v>
      </c>
      <c r="Y62" s="110">
        <f t="shared" si="11"/>
        <v>250528</v>
      </c>
      <c r="DA62" s="176" t="s">
        <v>841</v>
      </c>
    </row>
    <row r="63" spans="1:105" ht="11.45" customHeight="1" x14ac:dyDescent="0.25">
      <c r="A63" s="111" t="s">
        <v>110</v>
      </c>
      <c r="B63" s="84">
        <v>214073</v>
      </c>
      <c r="C63" s="84">
        <v>129957</v>
      </c>
      <c r="D63" s="84">
        <v>177060</v>
      </c>
      <c r="E63" s="84">
        <v>86624</v>
      </c>
      <c r="F63" s="84">
        <v>76838</v>
      </c>
      <c r="G63" s="84">
        <v>70936</v>
      </c>
      <c r="H63" s="84">
        <v>68937</v>
      </c>
      <c r="I63" s="84">
        <v>66588</v>
      </c>
      <c r="J63" s="84">
        <v>73193</v>
      </c>
      <c r="K63" s="84">
        <v>55009</v>
      </c>
      <c r="L63" s="84">
        <v>232515</v>
      </c>
      <c r="M63" s="84">
        <v>58656</v>
      </c>
      <c r="N63" s="84">
        <v>31377</v>
      </c>
      <c r="O63" s="84">
        <v>35770</v>
      </c>
      <c r="P63" s="84">
        <v>120347</v>
      </c>
      <c r="Q63" s="84">
        <v>75146</v>
      </c>
      <c r="R63" s="84">
        <v>97034</v>
      </c>
      <c r="S63" s="84">
        <v>142809</v>
      </c>
      <c r="T63" s="84">
        <v>131730</v>
      </c>
      <c r="U63" s="84">
        <v>126292</v>
      </c>
      <c r="V63" s="84">
        <v>33239</v>
      </c>
      <c r="W63" s="84">
        <v>52488</v>
      </c>
      <c r="X63" s="84">
        <v>64135</v>
      </c>
      <c r="Y63" s="84">
        <v>99674</v>
      </c>
      <c r="DA63" s="171" t="s">
        <v>842</v>
      </c>
    </row>
    <row r="64" spans="1:105" ht="11.45" customHeight="1" x14ac:dyDescent="0.25">
      <c r="A64" s="111" t="s">
        <v>111</v>
      </c>
      <c r="B64" s="84">
        <v>44631</v>
      </c>
      <c r="C64" s="84">
        <v>56399</v>
      </c>
      <c r="D64" s="84">
        <v>101533</v>
      </c>
      <c r="E64" s="84">
        <v>76718</v>
      </c>
      <c r="F64" s="84">
        <v>107422</v>
      </c>
      <c r="G64" s="84">
        <v>133155</v>
      </c>
      <c r="H64" s="84">
        <v>136548</v>
      </c>
      <c r="I64" s="84">
        <v>157980</v>
      </c>
      <c r="J64" s="84">
        <v>172318</v>
      </c>
      <c r="K64" s="84">
        <v>131744</v>
      </c>
      <c r="L64" s="84">
        <v>195033</v>
      </c>
      <c r="M64" s="84">
        <v>140172</v>
      </c>
      <c r="N64" s="84">
        <v>90945</v>
      </c>
      <c r="O64" s="84">
        <v>106496</v>
      </c>
      <c r="P64" s="84">
        <v>251682</v>
      </c>
      <c r="Q64" s="84">
        <v>176238</v>
      </c>
      <c r="R64" s="84">
        <v>198250</v>
      </c>
      <c r="S64" s="84">
        <v>258384</v>
      </c>
      <c r="T64" s="84">
        <v>205160</v>
      </c>
      <c r="U64" s="84">
        <v>131195</v>
      </c>
      <c r="V64" s="84">
        <v>126863</v>
      </c>
      <c r="W64" s="84">
        <v>94824</v>
      </c>
      <c r="X64" s="84">
        <v>84556</v>
      </c>
      <c r="Y64" s="84">
        <v>73386</v>
      </c>
      <c r="DA64" s="171" t="s">
        <v>843</v>
      </c>
    </row>
    <row r="65" spans="1:105" ht="11.45" customHeight="1" x14ac:dyDescent="0.25">
      <c r="A65" s="111" t="s">
        <v>112</v>
      </c>
      <c r="B65" s="84">
        <v>301</v>
      </c>
      <c r="C65" s="84">
        <v>0</v>
      </c>
      <c r="D65" s="84">
        <v>0</v>
      </c>
      <c r="E65" s="84">
        <v>512</v>
      </c>
      <c r="F65" s="84">
        <v>132</v>
      </c>
      <c r="G65" s="84">
        <v>1319</v>
      </c>
      <c r="H65" s="84">
        <v>0</v>
      </c>
      <c r="I65" s="84">
        <v>0</v>
      </c>
      <c r="J65" s="84">
        <v>2604</v>
      </c>
      <c r="K65" s="84">
        <v>7751</v>
      </c>
      <c r="L65" s="84">
        <v>708</v>
      </c>
      <c r="M65" s="84">
        <v>627</v>
      </c>
      <c r="N65" s="84">
        <v>5107</v>
      </c>
      <c r="O65" s="84">
        <v>3051</v>
      </c>
      <c r="P65" s="84">
        <v>6760</v>
      </c>
      <c r="Q65" s="84">
        <v>2373</v>
      </c>
      <c r="R65" s="84">
        <v>2702</v>
      </c>
      <c r="S65" s="84">
        <v>4631</v>
      </c>
      <c r="T65" s="84">
        <v>5713</v>
      </c>
      <c r="U65" s="84">
        <v>3253</v>
      </c>
      <c r="V65" s="84">
        <v>3497</v>
      </c>
      <c r="W65" s="84">
        <v>5230</v>
      </c>
      <c r="X65" s="84">
        <v>7913</v>
      </c>
      <c r="Y65" s="84">
        <v>11321</v>
      </c>
      <c r="DA65" s="171" t="s">
        <v>844</v>
      </c>
    </row>
    <row r="66" spans="1:105" ht="11.45" customHeight="1" x14ac:dyDescent="0.25">
      <c r="A66" s="111" t="s">
        <v>113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0</v>
      </c>
      <c r="M66" s="84">
        <v>0</v>
      </c>
      <c r="N66" s="84">
        <v>0</v>
      </c>
      <c r="O66" s="84">
        <v>0</v>
      </c>
      <c r="P66" s="84">
        <v>1</v>
      </c>
      <c r="Q66" s="84">
        <v>5</v>
      </c>
      <c r="R66" s="84">
        <v>8</v>
      </c>
      <c r="S66" s="84">
        <v>8</v>
      </c>
      <c r="T66" s="84">
        <v>22</v>
      </c>
      <c r="U66" s="84">
        <v>46</v>
      </c>
      <c r="V66" s="84">
        <v>31</v>
      </c>
      <c r="W66" s="84">
        <v>31</v>
      </c>
      <c r="X66" s="84">
        <v>10</v>
      </c>
      <c r="Y66" s="84">
        <v>4</v>
      </c>
      <c r="DA66" s="171" t="s">
        <v>845</v>
      </c>
    </row>
    <row r="67" spans="1:105" ht="11.45" customHeight="1" x14ac:dyDescent="0.25">
      <c r="A67" s="111" t="s">
        <v>114</v>
      </c>
      <c r="B67" s="84">
        <v>0</v>
      </c>
      <c r="C67" s="84">
        <v>0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4">
        <v>0</v>
      </c>
      <c r="J67" s="84">
        <v>0</v>
      </c>
      <c r="K67" s="84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0</v>
      </c>
      <c r="R67" s="84">
        <v>579</v>
      </c>
      <c r="S67" s="84">
        <v>2224</v>
      </c>
      <c r="T67" s="84">
        <v>5181</v>
      </c>
      <c r="U67" s="84">
        <v>7726</v>
      </c>
      <c r="V67" s="84">
        <v>11785</v>
      </c>
      <c r="W67" s="84">
        <v>15744</v>
      </c>
      <c r="X67" s="84">
        <v>22359</v>
      </c>
      <c r="Y67" s="84">
        <v>27858</v>
      </c>
      <c r="DA67" s="171" t="s">
        <v>846</v>
      </c>
    </row>
    <row r="68" spans="1:105" ht="11.45" customHeight="1" x14ac:dyDescent="0.25">
      <c r="A68" s="111" t="s">
        <v>115</v>
      </c>
      <c r="B68" s="84">
        <v>0</v>
      </c>
      <c r="C68" s="84">
        <v>0</v>
      </c>
      <c r="D68" s="84">
        <v>0</v>
      </c>
      <c r="E68" s="84">
        <v>0</v>
      </c>
      <c r="F68" s="84">
        <v>0</v>
      </c>
      <c r="G68" s="84">
        <v>0</v>
      </c>
      <c r="H68" s="84">
        <v>0</v>
      </c>
      <c r="I68" s="84">
        <v>0</v>
      </c>
      <c r="J68" s="84">
        <v>0</v>
      </c>
      <c r="K68" s="84">
        <v>0</v>
      </c>
      <c r="L68" s="84">
        <v>0</v>
      </c>
      <c r="M68" s="84">
        <v>0</v>
      </c>
      <c r="N68" s="84">
        <v>0</v>
      </c>
      <c r="O68" s="84">
        <v>0</v>
      </c>
      <c r="P68" s="84">
        <v>0</v>
      </c>
      <c r="Q68" s="84">
        <v>0</v>
      </c>
      <c r="R68" s="84">
        <v>0</v>
      </c>
      <c r="S68" s="84">
        <v>4533</v>
      </c>
      <c r="T68" s="84">
        <v>9056</v>
      </c>
      <c r="U68" s="84">
        <v>12032</v>
      </c>
      <c r="V68" s="84">
        <v>7827</v>
      </c>
      <c r="W68" s="84">
        <v>16276</v>
      </c>
      <c r="X68" s="84">
        <v>18415</v>
      </c>
      <c r="Y68" s="84">
        <v>38285</v>
      </c>
      <c r="DA68" s="171" t="s">
        <v>847</v>
      </c>
    </row>
    <row r="69" spans="1:105" ht="11.45" customHeight="1" x14ac:dyDescent="0.25">
      <c r="A69" s="109" t="s">
        <v>21</v>
      </c>
      <c r="B69" s="110">
        <f t="shared" ref="B69:K69" si="12">SUM(B70:B74)</f>
        <v>0</v>
      </c>
      <c r="C69" s="110">
        <f t="shared" si="12"/>
        <v>324</v>
      </c>
      <c r="D69" s="110">
        <f t="shared" si="12"/>
        <v>305</v>
      </c>
      <c r="E69" s="110">
        <f t="shared" si="12"/>
        <v>371</v>
      </c>
      <c r="F69" s="110">
        <f t="shared" si="12"/>
        <v>437</v>
      </c>
      <c r="G69" s="110">
        <f t="shared" si="12"/>
        <v>444</v>
      </c>
      <c r="H69" s="110">
        <f t="shared" si="12"/>
        <v>388</v>
      </c>
      <c r="I69" s="110">
        <f t="shared" si="12"/>
        <v>398</v>
      </c>
      <c r="J69" s="110">
        <f t="shared" si="12"/>
        <v>484</v>
      </c>
      <c r="K69" s="110">
        <f t="shared" si="12"/>
        <v>417</v>
      </c>
      <c r="L69" s="110">
        <f t="shared" ref="L69" si="13">SUM(L70:L74)</f>
        <v>744</v>
      </c>
      <c r="M69" s="110">
        <f t="shared" ref="M69:V69" si="14">SUM(M70:M74)</f>
        <v>549</v>
      </c>
      <c r="N69" s="110">
        <f t="shared" si="14"/>
        <v>461</v>
      </c>
      <c r="O69" s="110">
        <f t="shared" si="14"/>
        <v>199</v>
      </c>
      <c r="P69" s="110">
        <f t="shared" si="14"/>
        <v>2470</v>
      </c>
      <c r="Q69" s="110">
        <f t="shared" si="14"/>
        <v>625</v>
      </c>
      <c r="R69" s="110">
        <f t="shared" si="14"/>
        <v>842</v>
      </c>
      <c r="S69" s="110">
        <f t="shared" si="14"/>
        <v>423</v>
      </c>
      <c r="T69" s="110">
        <f t="shared" si="14"/>
        <v>506</v>
      </c>
      <c r="U69" s="110">
        <f t="shared" si="14"/>
        <v>2444</v>
      </c>
      <c r="V69" s="110">
        <f t="shared" si="14"/>
        <v>460</v>
      </c>
      <c r="W69" s="110">
        <f t="shared" ref="W69:Y69" si="15">SUM(W70:W74)</f>
        <v>667</v>
      </c>
      <c r="X69" s="110">
        <f t="shared" si="15"/>
        <v>1508</v>
      </c>
      <c r="Y69" s="110">
        <f t="shared" si="15"/>
        <v>996</v>
      </c>
      <c r="DA69" s="176" t="s">
        <v>848</v>
      </c>
    </row>
    <row r="70" spans="1:105" ht="11.45" customHeight="1" x14ac:dyDescent="0.25">
      <c r="A70" s="111" t="s">
        <v>110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4</v>
      </c>
      <c r="M70" s="102">
        <v>0</v>
      </c>
      <c r="N70" s="102">
        <v>0</v>
      </c>
      <c r="O70" s="102">
        <v>1</v>
      </c>
      <c r="P70" s="102">
        <v>0</v>
      </c>
      <c r="Q70" s="102">
        <v>1</v>
      </c>
      <c r="R70" s="102">
        <v>1</v>
      </c>
      <c r="S70" s="102">
        <v>0</v>
      </c>
      <c r="T70" s="102">
        <v>0</v>
      </c>
      <c r="U70" s="102">
        <v>1</v>
      </c>
      <c r="V70" s="102">
        <v>0</v>
      </c>
      <c r="W70" s="102">
        <v>0</v>
      </c>
      <c r="X70" s="102">
        <v>0</v>
      </c>
      <c r="Y70" s="102">
        <v>0</v>
      </c>
      <c r="DA70" s="175" t="s">
        <v>849</v>
      </c>
    </row>
    <row r="71" spans="1:105" ht="11.45" customHeight="1" x14ac:dyDescent="0.25">
      <c r="A71" s="111" t="s">
        <v>111</v>
      </c>
      <c r="B71" s="102">
        <v>0</v>
      </c>
      <c r="C71" s="102">
        <v>324</v>
      </c>
      <c r="D71" s="102">
        <v>305</v>
      </c>
      <c r="E71" s="102">
        <v>371</v>
      </c>
      <c r="F71" s="102">
        <v>437</v>
      </c>
      <c r="G71" s="102">
        <v>444</v>
      </c>
      <c r="H71" s="102">
        <v>388</v>
      </c>
      <c r="I71" s="102">
        <v>398</v>
      </c>
      <c r="J71" s="102">
        <v>484</v>
      </c>
      <c r="K71" s="102">
        <v>417</v>
      </c>
      <c r="L71" s="102">
        <v>740</v>
      </c>
      <c r="M71" s="102">
        <v>549</v>
      </c>
      <c r="N71" s="102">
        <v>461</v>
      </c>
      <c r="O71" s="102">
        <v>198</v>
      </c>
      <c r="P71" s="102">
        <v>2468</v>
      </c>
      <c r="Q71" s="102">
        <v>624</v>
      </c>
      <c r="R71" s="102">
        <v>840</v>
      </c>
      <c r="S71" s="102">
        <v>423</v>
      </c>
      <c r="T71" s="102">
        <v>315</v>
      </c>
      <c r="U71" s="102">
        <v>2206</v>
      </c>
      <c r="V71" s="102">
        <v>325</v>
      </c>
      <c r="W71" s="102">
        <v>405</v>
      </c>
      <c r="X71" s="102">
        <v>1396</v>
      </c>
      <c r="Y71" s="102">
        <v>529</v>
      </c>
      <c r="DA71" s="175" t="s">
        <v>850</v>
      </c>
    </row>
    <row r="72" spans="1:105" ht="11.45" customHeight="1" x14ac:dyDescent="0.25">
      <c r="A72" s="111" t="s">
        <v>112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0</v>
      </c>
      <c r="N72" s="102">
        <v>0</v>
      </c>
      <c r="O72" s="102">
        <v>0</v>
      </c>
      <c r="P72" s="102">
        <v>2</v>
      </c>
      <c r="Q72" s="102">
        <v>0</v>
      </c>
      <c r="R72" s="102">
        <v>1</v>
      </c>
      <c r="S72" s="102">
        <v>0</v>
      </c>
      <c r="T72" s="102">
        <v>0</v>
      </c>
      <c r="U72" s="102">
        <v>0</v>
      </c>
      <c r="V72" s="102">
        <v>0</v>
      </c>
      <c r="W72" s="102">
        <v>0</v>
      </c>
      <c r="X72" s="102">
        <v>0</v>
      </c>
      <c r="Y72" s="102">
        <v>0</v>
      </c>
      <c r="DA72" s="175" t="s">
        <v>851</v>
      </c>
    </row>
    <row r="73" spans="1:105" ht="11.45" customHeight="1" x14ac:dyDescent="0.25">
      <c r="A73" s="111" t="s">
        <v>113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171</v>
      </c>
      <c r="U73" s="102">
        <v>207</v>
      </c>
      <c r="V73" s="102">
        <v>110</v>
      </c>
      <c r="W73" s="102">
        <v>224</v>
      </c>
      <c r="X73" s="102">
        <v>48</v>
      </c>
      <c r="Y73" s="102">
        <v>81</v>
      </c>
      <c r="DA73" s="175" t="s">
        <v>852</v>
      </c>
    </row>
    <row r="74" spans="1:105" ht="11.45" customHeight="1" x14ac:dyDescent="0.25">
      <c r="A74" s="111" t="s">
        <v>115</v>
      </c>
      <c r="B74" s="102">
        <v>0</v>
      </c>
      <c r="C74" s="102">
        <v>0</v>
      </c>
      <c r="D74" s="102">
        <v>0</v>
      </c>
      <c r="E74" s="102">
        <v>0</v>
      </c>
      <c r="F74" s="102">
        <v>0</v>
      </c>
      <c r="G74" s="102">
        <v>0</v>
      </c>
      <c r="H74" s="102">
        <v>0</v>
      </c>
      <c r="I74" s="102">
        <v>0</v>
      </c>
      <c r="J74" s="102">
        <v>0</v>
      </c>
      <c r="K74" s="102">
        <v>0</v>
      </c>
      <c r="L74" s="102">
        <v>0</v>
      </c>
      <c r="M74" s="102">
        <v>0</v>
      </c>
      <c r="N74" s="102">
        <v>0</v>
      </c>
      <c r="O74" s="102">
        <v>0</v>
      </c>
      <c r="P74" s="102">
        <v>0</v>
      </c>
      <c r="Q74" s="102">
        <v>0</v>
      </c>
      <c r="R74" s="102">
        <v>0</v>
      </c>
      <c r="S74" s="102">
        <v>0</v>
      </c>
      <c r="T74" s="102">
        <v>20</v>
      </c>
      <c r="U74" s="102">
        <v>30</v>
      </c>
      <c r="V74" s="102">
        <v>25</v>
      </c>
      <c r="W74" s="102">
        <v>38</v>
      </c>
      <c r="X74" s="102">
        <v>64</v>
      </c>
      <c r="Y74" s="102">
        <v>386</v>
      </c>
      <c r="DA74" s="175" t="s">
        <v>853</v>
      </c>
    </row>
    <row r="75" spans="1:105" ht="11.45" customHeight="1" x14ac:dyDescent="0.25">
      <c r="A75" s="27" t="s">
        <v>34</v>
      </c>
      <c r="B75" s="28">
        <f t="shared" ref="B75:K75" si="16">B76+B82</f>
        <v>0</v>
      </c>
      <c r="C75" s="28">
        <f t="shared" si="16"/>
        <v>0</v>
      </c>
      <c r="D75" s="28">
        <f t="shared" si="16"/>
        <v>0</v>
      </c>
      <c r="E75" s="28">
        <f t="shared" si="16"/>
        <v>0</v>
      </c>
      <c r="F75" s="28">
        <f t="shared" si="16"/>
        <v>0</v>
      </c>
      <c r="G75" s="28">
        <f t="shared" si="16"/>
        <v>2803</v>
      </c>
      <c r="H75" s="28">
        <f t="shared" si="16"/>
        <v>23133</v>
      </c>
      <c r="I75" s="28">
        <f t="shared" si="16"/>
        <v>35691</v>
      </c>
      <c r="J75" s="28">
        <f t="shared" si="16"/>
        <v>41910</v>
      </c>
      <c r="K75" s="28">
        <f t="shared" si="16"/>
        <v>53068</v>
      </c>
      <c r="L75" s="28">
        <f t="shared" ref="L75" si="17">L76+L82</f>
        <v>61621</v>
      </c>
      <c r="M75" s="28">
        <f t="shared" ref="M75:V75" si="18">M76+M82</f>
        <v>59586</v>
      </c>
      <c r="N75" s="28">
        <f t="shared" si="18"/>
        <v>9544</v>
      </c>
      <c r="O75" s="28">
        <f t="shared" si="18"/>
        <v>33568</v>
      </c>
      <c r="P75" s="28">
        <f t="shared" si="18"/>
        <v>170260</v>
      </c>
      <c r="Q75" s="28">
        <f t="shared" si="18"/>
        <v>60352</v>
      </c>
      <c r="R75" s="28">
        <f t="shared" si="18"/>
        <v>91080</v>
      </c>
      <c r="S75" s="28">
        <f t="shared" si="18"/>
        <v>117825</v>
      </c>
      <c r="T75" s="28">
        <f t="shared" si="18"/>
        <v>125544</v>
      </c>
      <c r="U75" s="28">
        <f t="shared" si="18"/>
        <v>234485</v>
      </c>
      <c r="V75" s="28">
        <f t="shared" si="18"/>
        <v>25856</v>
      </c>
      <c r="W75" s="28">
        <f t="shared" ref="W75:Y75" si="19">W76+W82</f>
        <v>34708</v>
      </c>
      <c r="X75" s="28">
        <f t="shared" si="19"/>
        <v>110734</v>
      </c>
      <c r="Y75" s="28">
        <f t="shared" si="19"/>
        <v>76153</v>
      </c>
      <c r="DA75" s="173" t="s">
        <v>854</v>
      </c>
    </row>
    <row r="76" spans="1:105" ht="11.45" customHeight="1" x14ac:dyDescent="0.25">
      <c r="A76" s="136" t="s">
        <v>153</v>
      </c>
      <c r="B76" s="137">
        <f t="shared" ref="B76:K76" si="20">SUM(B77:B81)</f>
        <v>0</v>
      </c>
      <c r="C76" s="137">
        <f t="shared" si="20"/>
        <v>0</v>
      </c>
      <c r="D76" s="137">
        <f t="shared" si="20"/>
        <v>0</v>
      </c>
      <c r="E76" s="137">
        <f t="shared" si="20"/>
        <v>0</v>
      </c>
      <c r="F76" s="137">
        <f t="shared" si="20"/>
        <v>0</v>
      </c>
      <c r="G76" s="137">
        <f t="shared" si="20"/>
        <v>2803</v>
      </c>
      <c r="H76" s="137">
        <f t="shared" si="20"/>
        <v>21929</v>
      </c>
      <c r="I76" s="137">
        <f t="shared" si="20"/>
        <v>32884</v>
      </c>
      <c r="J76" s="137">
        <f t="shared" si="20"/>
        <v>38445</v>
      </c>
      <c r="K76" s="137">
        <f t="shared" si="20"/>
        <v>48660</v>
      </c>
      <c r="L76" s="137">
        <f t="shared" ref="L76" si="21">SUM(L77:L81)</f>
        <v>57020</v>
      </c>
      <c r="M76" s="137">
        <f t="shared" ref="M76:V76" si="22">SUM(M77:M81)</f>
        <v>57130</v>
      </c>
      <c r="N76" s="137">
        <f t="shared" si="22"/>
        <v>8906</v>
      </c>
      <c r="O76" s="137">
        <f t="shared" si="22"/>
        <v>32399</v>
      </c>
      <c r="P76" s="137">
        <f t="shared" si="22"/>
        <v>161437</v>
      </c>
      <c r="Q76" s="137">
        <f t="shared" si="22"/>
        <v>55102</v>
      </c>
      <c r="R76" s="137">
        <f t="shared" si="22"/>
        <v>84995</v>
      </c>
      <c r="S76" s="137">
        <f t="shared" si="22"/>
        <v>106370</v>
      </c>
      <c r="T76" s="137">
        <f t="shared" si="22"/>
        <v>114579</v>
      </c>
      <c r="U76" s="137">
        <f t="shared" si="22"/>
        <v>216324</v>
      </c>
      <c r="V76" s="137">
        <f t="shared" si="22"/>
        <v>24865</v>
      </c>
      <c r="W76" s="137">
        <f t="shared" ref="W76:Y76" si="23">SUM(W77:W81)</f>
        <v>32541</v>
      </c>
      <c r="X76" s="137">
        <f t="shared" si="23"/>
        <v>102239</v>
      </c>
      <c r="Y76" s="137">
        <f t="shared" si="23"/>
        <v>69703</v>
      </c>
      <c r="DA76" s="174" t="s">
        <v>855</v>
      </c>
    </row>
    <row r="77" spans="1:105" ht="11.45" customHeight="1" x14ac:dyDescent="0.25">
      <c r="A77" s="111" t="s">
        <v>110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0</v>
      </c>
      <c r="P77" s="84">
        <v>0</v>
      </c>
      <c r="Q77" s="84">
        <v>1353</v>
      </c>
      <c r="R77" s="84">
        <v>383</v>
      </c>
      <c r="S77" s="84">
        <v>1592</v>
      </c>
      <c r="T77" s="84">
        <v>451</v>
      </c>
      <c r="U77" s="84">
        <v>5183</v>
      </c>
      <c r="V77" s="84">
        <v>81</v>
      </c>
      <c r="W77" s="84">
        <v>83</v>
      </c>
      <c r="X77" s="84">
        <v>63</v>
      </c>
      <c r="Y77" s="84">
        <v>134</v>
      </c>
      <c r="DA77" s="171" t="s">
        <v>856</v>
      </c>
    </row>
    <row r="78" spans="1:105" ht="11.45" customHeight="1" x14ac:dyDescent="0.25">
      <c r="A78" s="111" t="s">
        <v>111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2803</v>
      </c>
      <c r="H78" s="84">
        <v>21929</v>
      </c>
      <c r="I78" s="84">
        <v>32863</v>
      </c>
      <c r="J78" s="84">
        <v>38422</v>
      </c>
      <c r="K78" s="84">
        <v>48632</v>
      </c>
      <c r="L78" s="84">
        <v>57002</v>
      </c>
      <c r="M78" s="84">
        <v>57111</v>
      </c>
      <c r="N78" s="84">
        <v>8901</v>
      </c>
      <c r="O78" s="84">
        <v>32358</v>
      </c>
      <c r="P78" s="84">
        <v>161352</v>
      </c>
      <c r="Q78" s="84">
        <v>53608</v>
      </c>
      <c r="R78" s="84">
        <v>84536</v>
      </c>
      <c r="S78" s="84">
        <v>104308</v>
      </c>
      <c r="T78" s="84">
        <v>113521</v>
      </c>
      <c r="U78" s="84">
        <v>210543</v>
      </c>
      <c r="V78" s="84">
        <v>24398</v>
      </c>
      <c r="W78" s="84">
        <v>32050</v>
      </c>
      <c r="X78" s="84">
        <v>101098</v>
      </c>
      <c r="Y78" s="84">
        <v>67063</v>
      </c>
      <c r="DA78" s="171" t="s">
        <v>857</v>
      </c>
    </row>
    <row r="79" spans="1:105" ht="11.45" customHeight="1" x14ac:dyDescent="0.25">
      <c r="A79" s="111" t="s">
        <v>112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21</v>
      </c>
      <c r="J79" s="84">
        <v>23</v>
      </c>
      <c r="K79" s="84">
        <v>28</v>
      </c>
      <c r="L79" s="84">
        <v>18</v>
      </c>
      <c r="M79" s="84">
        <v>19</v>
      </c>
      <c r="N79" s="84">
        <v>3</v>
      </c>
      <c r="O79" s="84">
        <v>10</v>
      </c>
      <c r="P79" s="84">
        <v>60</v>
      </c>
      <c r="Q79" s="84">
        <v>63</v>
      </c>
      <c r="R79" s="84">
        <v>13</v>
      </c>
      <c r="S79" s="84">
        <v>50</v>
      </c>
      <c r="T79" s="84">
        <v>55</v>
      </c>
      <c r="U79" s="84">
        <v>191</v>
      </c>
      <c r="V79" s="84">
        <v>0</v>
      </c>
      <c r="W79" s="84">
        <v>5</v>
      </c>
      <c r="X79" s="84">
        <v>47</v>
      </c>
      <c r="Y79" s="84">
        <v>33</v>
      </c>
      <c r="DA79" s="171" t="s">
        <v>858</v>
      </c>
    </row>
    <row r="80" spans="1:105" ht="11.45" customHeight="1" x14ac:dyDescent="0.25">
      <c r="A80" s="111" t="s">
        <v>113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1</v>
      </c>
      <c r="Q80" s="84">
        <v>6</v>
      </c>
      <c r="R80" s="84">
        <v>12</v>
      </c>
      <c r="S80" s="84">
        <v>4</v>
      </c>
      <c r="T80" s="84">
        <v>16</v>
      </c>
      <c r="U80" s="84">
        <v>32</v>
      </c>
      <c r="V80" s="84">
        <v>9</v>
      </c>
      <c r="W80" s="84">
        <v>39</v>
      </c>
      <c r="X80" s="84">
        <v>8</v>
      </c>
      <c r="Y80" s="84">
        <v>10</v>
      </c>
      <c r="DA80" s="171" t="s">
        <v>859</v>
      </c>
    </row>
    <row r="81" spans="1:105" ht="11.45" customHeight="1" x14ac:dyDescent="0.25">
      <c r="A81" s="111" t="s">
        <v>115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2</v>
      </c>
      <c r="O81" s="84">
        <v>31</v>
      </c>
      <c r="P81" s="84">
        <v>24</v>
      </c>
      <c r="Q81" s="84">
        <v>72</v>
      </c>
      <c r="R81" s="84">
        <v>51</v>
      </c>
      <c r="S81" s="84">
        <v>416</v>
      </c>
      <c r="T81" s="84">
        <v>536</v>
      </c>
      <c r="U81" s="84">
        <v>375</v>
      </c>
      <c r="V81" s="84">
        <v>377</v>
      </c>
      <c r="W81" s="84">
        <v>364</v>
      </c>
      <c r="X81" s="84">
        <v>1023</v>
      </c>
      <c r="Y81" s="84">
        <v>2463</v>
      </c>
      <c r="DA81" s="171" t="s">
        <v>860</v>
      </c>
    </row>
    <row r="82" spans="1:105" ht="11.45" customHeight="1" x14ac:dyDescent="0.25">
      <c r="A82" s="109" t="s">
        <v>154</v>
      </c>
      <c r="B82" s="110">
        <f t="shared" ref="B82:K82" si="24">SUM(B83:B84)</f>
        <v>0</v>
      </c>
      <c r="C82" s="110">
        <f t="shared" si="24"/>
        <v>0</v>
      </c>
      <c r="D82" s="110">
        <f t="shared" si="24"/>
        <v>0</v>
      </c>
      <c r="E82" s="110">
        <f t="shared" si="24"/>
        <v>0</v>
      </c>
      <c r="F82" s="110">
        <f t="shared" si="24"/>
        <v>0</v>
      </c>
      <c r="G82" s="110">
        <f t="shared" si="24"/>
        <v>0</v>
      </c>
      <c r="H82" s="110">
        <f t="shared" si="24"/>
        <v>1204</v>
      </c>
      <c r="I82" s="110">
        <f t="shared" si="24"/>
        <v>2807</v>
      </c>
      <c r="J82" s="110">
        <f t="shared" si="24"/>
        <v>3465</v>
      </c>
      <c r="K82" s="110">
        <f t="shared" si="24"/>
        <v>4408</v>
      </c>
      <c r="L82" s="110">
        <f t="shared" ref="L82" si="25">SUM(L83:L84)</f>
        <v>4601</v>
      </c>
      <c r="M82" s="110">
        <f t="shared" ref="M82:V82" si="26">SUM(M83:M84)</f>
        <v>2456</v>
      </c>
      <c r="N82" s="110">
        <f t="shared" si="26"/>
        <v>638</v>
      </c>
      <c r="O82" s="110">
        <f t="shared" si="26"/>
        <v>1169</v>
      </c>
      <c r="P82" s="110">
        <f t="shared" si="26"/>
        <v>8823</v>
      </c>
      <c r="Q82" s="110">
        <f t="shared" si="26"/>
        <v>5250</v>
      </c>
      <c r="R82" s="110">
        <f t="shared" si="26"/>
        <v>6085</v>
      </c>
      <c r="S82" s="110">
        <f t="shared" si="26"/>
        <v>11455</v>
      </c>
      <c r="T82" s="110">
        <f t="shared" si="26"/>
        <v>10965</v>
      </c>
      <c r="U82" s="110">
        <f t="shared" si="26"/>
        <v>18161</v>
      </c>
      <c r="V82" s="110">
        <f t="shared" si="26"/>
        <v>991</v>
      </c>
      <c r="W82" s="110">
        <f t="shared" ref="W82:Y82" si="27">SUM(W83:W84)</f>
        <v>2167</v>
      </c>
      <c r="X82" s="110">
        <f t="shared" si="27"/>
        <v>8495</v>
      </c>
      <c r="Y82" s="110">
        <f t="shared" si="27"/>
        <v>6450</v>
      </c>
      <c r="DA82" s="176" t="s">
        <v>861</v>
      </c>
    </row>
    <row r="83" spans="1:105" ht="11.45" customHeight="1" x14ac:dyDescent="0.25">
      <c r="A83" s="128" t="s">
        <v>27</v>
      </c>
      <c r="B83" s="102">
        <v>0</v>
      </c>
      <c r="C83" s="102">
        <v>0</v>
      </c>
      <c r="D83" s="102">
        <v>0</v>
      </c>
      <c r="E83" s="102">
        <v>0</v>
      </c>
      <c r="F83" s="102">
        <v>0</v>
      </c>
      <c r="G83" s="102">
        <v>0</v>
      </c>
      <c r="H83" s="102">
        <v>1204</v>
      </c>
      <c r="I83" s="102">
        <v>2718</v>
      </c>
      <c r="J83" s="102">
        <v>3465</v>
      </c>
      <c r="K83" s="102">
        <v>4174</v>
      </c>
      <c r="L83" s="102">
        <v>4601</v>
      </c>
      <c r="M83" s="102">
        <v>2045</v>
      </c>
      <c r="N83" s="102">
        <v>638</v>
      </c>
      <c r="O83" s="102">
        <v>553</v>
      </c>
      <c r="P83" s="102">
        <v>8473</v>
      </c>
      <c r="Q83" s="102">
        <v>5250</v>
      </c>
      <c r="R83" s="102">
        <v>5496</v>
      </c>
      <c r="S83" s="102">
        <v>11244</v>
      </c>
      <c r="T83" s="102">
        <v>10520</v>
      </c>
      <c r="U83" s="102">
        <v>17739</v>
      </c>
      <c r="V83" s="102">
        <v>991</v>
      </c>
      <c r="W83" s="102">
        <v>1075</v>
      </c>
      <c r="X83" s="102">
        <v>7794</v>
      </c>
      <c r="Y83" s="102">
        <v>6386</v>
      </c>
      <c r="DA83" s="175" t="s">
        <v>862</v>
      </c>
    </row>
    <row r="84" spans="1:105" ht="11.45" customHeight="1" x14ac:dyDescent="0.25">
      <c r="A84" s="138" t="s">
        <v>116</v>
      </c>
      <c r="B84" s="86">
        <v>0</v>
      </c>
      <c r="C84" s="86">
        <v>0</v>
      </c>
      <c r="D84" s="86">
        <v>0</v>
      </c>
      <c r="E84" s="86">
        <v>0</v>
      </c>
      <c r="F84" s="86">
        <v>0</v>
      </c>
      <c r="G84" s="86">
        <v>0</v>
      </c>
      <c r="H84" s="86">
        <v>0</v>
      </c>
      <c r="I84" s="86">
        <v>89</v>
      </c>
      <c r="J84" s="86">
        <v>0</v>
      </c>
      <c r="K84" s="86">
        <v>234</v>
      </c>
      <c r="L84" s="86">
        <v>0</v>
      </c>
      <c r="M84" s="86">
        <v>411</v>
      </c>
      <c r="N84" s="86">
        <v>0</v>
      </c>
      <c r="O84" s="86">
        <v>616</v>
      </c>
      <c r="P84" s="86">
        <v>350</v>
      </c>
      <c r="Q84" s="86">
        <v>0</v>
      </c>
      <c r="R84" s="86">
        <v>589</v>
      </c>
      <c r="S84" s="86">
        <v>211</v>
      </c>
      <c r="T84" s="86">
        <v>445</v>
      </c>
      <c r="U84" s="86">
        <v>422</v>
      </c>
      <c r="V84" s="86">
        <v>0</v>
      </c>
      <c r="W84" s="86">
        <v>1092</v>
      </c>
      <c r="X84" s="86">
        <v>701</v>
      </c>
      <c r="Y84" s="86">
        <v>64</v>
      </c>
      <c r="DA84" s="178" t="s">
        <v>863</v>
      </c>
    </row>
    <row r="85" spans="1:105" x14ac:dyDescent="0.2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DA85" s="171"/>
    </row>
    <row r="86" spans="1:105" ht="11.45" customHeight="1" x14ac:dyDescent="0.25">
      <c r="A86" s="68" t="s">
        <v>36</v>
      </c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DA86" s="179"/>
    </row>
    <row r="87" spans="1:105" x14ac:dyDescent="0.25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DA87" s="171"/>
    </row>
    <row r="88" spans="1:105" ht="11.45" customHeight="1" x14ac:dyDescent="0.25">
      <c r="A88" s="53" t="s">
        <v>120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DA88" s="172"/>
    </row>
    <row r="89" spans="1:105" ht="11.45" customHeight="1" x14ac:dyDescent="0.25">
      <c r="A89" s="27" t="s">
        <v>33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DA89" s="173"/>
    </row>
    <row r="90" spans="1:105" ht="11.45" customHeight="1" x14ac:dyDescent="0.25">
      <c r="A90" s="136" t="s">
        <v>173</v>
      </c>
      <c r="B90" s="141">
        <v>3.7717805237918833</v>
      </c>
      <c r="C90" s="141">
        <v>3.7329592767489528</v>
      </c>
      <c r="D90" s="141">
        <v>3.6974065950585224</v>
      </c>
      <c r="E90" s="141">
        <v>3.6680683856561331</v>
      </c>
      <c r="F90" s="141">
        <v>3.6364533657420925</v>
      </c>
      <c r="G90" s="141">
        <v>3.603831940610108</v>
      </c>
      <c r="H90" s="141">
        <v>3.56731441290927</v>
      </c>
      <c r="I90" s="141">
        <v>3.5264743032882353</v>
      </c>
      <c r="J90" s="141">
        <v>3.500617814278526</v>
      </c>
      <c r="K90" s="141">
        <v>3.458754010265674</v>
      </c>
      <c r="L90" s="141">
        <v>3.3617830323351017</v>
      </c>
      <c r="M90" s="141">
        <v>3.2807558742815868</v>
      </c>
      <c r="N90" s="141">
        <v>3.2066704656616767</v>
      </c>
      <c r="O90" s="141">
        <v>3.1651581802354585</v>
      </c>
      <c r="P90" s="141">
        <v>3.1054146604822548</v>
      </c>
      <c r="Q90" s="141">
        <v>3.0193286396419237</v>
      </c>
      <c r="R90" s="141">
        <v>2.9481267871799894</v>
      </c>
      <c r="S90" s="141">
        <v>2.8855495880403756</v>
      </c>
      <c r="T90" s="141">
        <v>2.8267943003928631</v>
      </c>
      <c r="U90" s="141">
        <v>2.772419210057941</v>
      </c>
      <c r="V90" s="141">
        <v>2.6561471485444681</v>
      </c>
      <c r="W90" s="141">
        <v>2.5890215583380076</v>
      </c>
      <c r="X90" s="141">
        <v>2.5589715510483724</v>
      </c>
      <c r="Y90" s="141">
        <v>2.522308732666632</v>
      </c>
      <c r="DA90" s="174" t="s">
        <v>864</v>
      </c>
    </row>
    <row r="91" spans="1:105" ht="11.45" customHeight="1" x14ac:dyDescent="0.25">
      <c r="A91" s="109" t="s">
        <v>20</v>
      </c>
      <c r="B91" s="130">
        <v>7.6323516080441758</v>
      </c>
      <c r="C91" s="130">
        <v>7.4633303343783197</v>
      </c>
      <c r="D91" s="130">
        <v>7.3537522858225755</v>
      </c>
      <c r="E91" s="130">
        <v>7.2835298537493127</v>
      </c>
      <c r="F91" s="130">
        <v>7.2111692595441026</v>
      </c>
      <c r="G91" s="130">
        <v>7.1286924875576965</v>
      </c>
      <c r="H91" s="130">
        <v>7.0590316890086946</v>
      </c>
      <c r="I91" s="130">
        <v>6.9793531793506984</v>
      </c>
      <c r="J91" s="130">
        <v>6.8734880557589291</v>
      </c>
      <c r="K91" s="130">
        <v>6.7909035635094002</v>
      </c>
      <c r="L91" s="130">
        <v>6.6493335654138388</v>
      </c>
      <c r="M91" s="130">
        <v>6.5584591222762638</v>
      </c>
      <c r="N91" s="130">
        <v>6.3941654749416061</v>
      </c>
      <c r="O91" s="130">
        <v>6.3469847470258332</v>
      </c>
      <c r="P91" s="130">
        <v>6.2552726452936307</v>
      </c>
      <c r="Q91" s="130">
        <v>6.1312426783079061</v>
      </c>
      <c r="R91" s="130">
        <v>6.0266458761629673</v>
      </c>
      <c r="S91" s="130">
        <v>5.8825727356407578</v>
      </c>
      <c r="T91" s="130">
        <v>5.7832598546351566</v>
      </c>
      <c r="U91" s="130">
        <v>5.7090736147507144</v>
      </c>
      <c r="V91" s="130">
        <v>5.6496189440213351</v>
      </c>
      <c r="W91" s="130">
        <v>5.5830343795478967</v>
      </c>
      <c r="X91" s="130">
        <v>5.5212698187387677</v>
      </c>
      <c r="Y91" s="130">
        <v>5.4248216547421499</v>
      </c>
      <c r="DA91" s="176" t="s">
        <v>865</v>
      </c>
    </row>
    <row r="92" spans="1:105" ht="11.45" customHeight="1" x14ac:dyDescent="0.25">
      <c r="A92" s="111" t="s">
        <v>110</v>
      </c>
      <c r="B92" s="96">
        <v>7.7099694431668659</v>
      </c>
      <c r="C92" s="96">
        <v>7.4886846614102192</v>
      </c>
      <c r="D92" s="96">
        <v>7.3690387074999171</v>
      </c>
      <c r="E92" s="96">
        <v>7.3107778500820189</v>
      </c>
      <c r="F92" s="96">
        <v>7.2640281381460081</v>
      </c>
      <c r="G92" s="96">
        <v>7.2132011755331478</v>
      </c>
      <c r="H92" s="96">
        <v>7.1639453289352595</v>
      </c>
      <c r="I92" s="96">
        <v>7.1100236273921578</v>
      </c>
      <c r="J92" s="96">
        <v>7.042024592319077</v>
      </c>
      <c r="K92" s="96">
        <v>6.9853105266939037</v>
      </c>
      <c r="L92" s="96">
        <v>6.8301514708167801</v>
      </c>
      <c r="M92" s="96">
        <v>6.7542278347740083</v>
      </c>
      <c r="N92" s="96">
        <v>6.6268014148440404</v>
      </c>
      <c r="O92" s="96">
        <v>6.5903098795166306</v>
      </c>
      <c r="P92" s="96">
        <v>6.4972876799807198</v>
      </c>
      <c r="Q92" s="96">
        <v>6.3650296324359603</v>
      </c>
      <c r="R92" s="96">
        <v>6.2501809109213502</v>
      </c>
      <c r="S92" s="96">
        <v>6.0730159306141553</v>
      </c>
      <c r="T92" s="96">
        <v>5.9489376734286852</v>
      </c>
      <c r="U92" s="96">
        <v>5.8498322433068575</v>
      </c>
      <c r="V92" s="96">
        <v>5.8033767207419995</v>
      </c>
      <c r="W92" s="96">
        <v>5.7428599943654737</v>
      </c>
      <c r="X92" s="96">
        <v>5.6803417899981463</v>
      </c>
      <c r="Y92" s="96">
        <v>5.5730715313900996</v>
      </c>
      <c r="DA92" s="171" t="s">
        <v>866</v>
      </c>
    </row>
    <row r="93" spans="1:105" ht="11.45" customHeight="1" x14ac:dyDescent="0.25">
      <c r="A93" s="111" t="s">
        <v>111</v>
      </c>
      <c r="B93" s="96">
        <v>7.4801441866273004</v>
      </c>
      <c r="C93" s="96">
        <v>7.2946094663330765</v>
      </c>
      <c r="D93" s="96">
        <v>7.1459047148031951</v>
      </c>
      <c r="E93" s="96">
        <v>7.0426621028417058</v>
      </c>
      <c r="F93" s="96">
        <v>6.9119475500973433</v>
      </c>
      <c r="G93" s="96">
        <v>6.7888995998818489</v>
      </c>
      <c r="H93" s="96">
        <v>6.6943902728846671</v>
      </c>
      <c r="I93" s="96">
        <v>6.6018876693086881</v>
      </c>
      <c r="J93" s="96">
        <v>6.4726424068618176</v>
      </c>
      <c r="K93" s="96">
        <v>6.3789572932529719</v>
      </c>
      <c r="L93" s="96">
        <v>6.2449121092020015</v>
      </c>
      <c r="M93" s="96">
        <v>6.1568611022808755</v>
      </c>
      <c r="N93" s="96">
        <v>6.0261168783559445</v>
      </c>
      <c r="O93" s="96">
        <v>5.9603483937038559</v>
      </c>
      <c r="P93" s="96">
        <v>5.8528241314492515</v>
      </c>
      <c r="Q93" s="96">
        <v>5.7422615223555669</v>
      </c>
      <c r="R93" s="96">
        <v>5.6308874197053855</v>
      </c>
      <c r="S93" s="96">
        <v>5.5098059068820753</v>
      </c>
      <c r="T93" s="96">
        <v>5.4251621407950248</v>
      </c>
      <c r="U93" s="96">
        <v>5.3665562167387826</v>
      </c>
      <c r="V93" s="96">
        <v>5.3114242375714653</v>
      </c>
      <c r="W93" s="96">
        <v>5.2641316257725519</v>
      </c>
      <c r="X93" s="96">
        <v>5.2277358360010799</v>
      </c>
      <c r="Y93" s="96">
        <v>5.1914813638458197</v>
      </c>
      <c r="DA93" s="171" t="s">
        <v>867</v>
      </c>
    </row>
    <row r="94" spans="1:105" ht="11.45" customHeight="1" x14ac:dyDescent="0.25">
      <c r="A94" s="111" t="s">
        <v>112</v>
      </c>
      <c r="B94" s="96">
        <v>6.5528847382842521</v>
      </c>
      <c r="C94" s="96">
        <v>5.3341013091901228</v>
      </c>
      <c r="D94" s="96">
        <v>5.3341013091901228</v>
      </c>
      <c r="E94" s="96">
        <v>5.3652849497630051</v>
      </c>
      <c r="F94" s="96">
        <v>5.3728662162330405</v>
      </c>
      <c r="G94" s="96">
        <v>5.4468605664815621</v>
      </c>
      <c r="H94" s="96">
        <v>5.4623048826933189</v>
      </c>
      <c r="I94" s="96">
        <v>5.4638787210635229</v>
      </c>
      <c r="J94" s="96">
        <v>5.6235626408719801</v>
      </c>
      <c r="K94" s="96">
        <v>5.7818389321589079</v>
      </c>
      <c r="L94" s="96">
        <v>5.7936860423241114</v>
      </c>
      <c r="M94" s="96">
        <v>5.7988219738440998</v>
      </c>
      <c r="N94" s="96">
        <v>5.8634838858274998</v>
      </c>
      <c r="O94" s="96">
        <v>5.8577925669113862</v>
      </c>
      <c r="P94" s="96">
        <v>5.817887489454697</v>
      </c>
      <c r="Q94" s="96">
        <v>5.8207902157970004</v>
      </c>
      <c r="R94" s="96">
        <v>5.7787281177092877</v>
      </c>
      <c r="S94" s="96">
        <v>5.7134973060681737</v>
      </c>
      <c r="T94" s="96">
        <v>5.6710087581265505</v>
      </c>
      <c r="U94" s="96">
        <v>5.6620734530119741</v>
      </c>
      <c r="V94" s="96">
        <v>5.611450565988652</v>
      </c>
      <c r="W94" s="96">
        <v>5.4826377083641464</v>
      </c>
      <c r="X94" s="96">
        <v>5.3598928136996609</v>
      </c>
      <c r="Y94" s="96">
        <v>5.1770491612979619</v>
      </c>
      <c r="DA94" s="171" t="s">
        <v>868</v>
      </c>
    </row>
    <row r="95" spans="1:105" ht="11.45" customHeight="1" x14ac:dyDescent="0.25">
      <c r="A95" s="111" t="s">
        <v>113</v>
      </c>
      <c r="B95" s="96">
        <v>0</v>
      </c>
      <c r="C95" s="96">
        <v>0</v>
      </c>
      <c r="D95" s="96">
        <v>0</v>
      </c>
      <c r="E95" s="96">
        <v>0</v>
      </c>
      <c r="F95" s="96">
        <v>0</v>
      </c>
      <c r="G95" s="96">
        <v>0</v>
      </c>
      <c r="H95" s="96">
        <v>0</v>
      </c>
      <c r="I95" s="96">
        <v>0</v>
      </c>
      <c r="J95" s="96">
        <v>0</v>
      </c>
      <c r="K95" s="96">
        <v>0</v>
      </c>
      <c r="L95" s="96">
        <v>7.5353917970296527</v>
      </c>
      <c r="M95" s="96">
        <v>7.5353917970296527</v>
      </c>
      <c r="N95" s="96">
        <v>6.1441185190158079</v>
      </c>
      <c r="O95" s="96">
        <v>5.7198116383441784</v>
      </c>
      <c r="P95" s="96">
        <v>5.4968333695737552</v>
      </c>
      <c r="Q95" s="96">
        <v>5.1903401918387804</v>
      </c>
      <c r="R95" s="96">
        <v>4.9794870258473347</v>
      </c>
      <c r="S95" s="96">
        <v>4.8674283365026714</v>
      </c>
      <c r="T95" s="96">
        <v>4.9300464887107704</v>
      </c>
      <c r="U95" s="96">
        <v>4.8266256341534559</v>
      </c>
      <c r="V95" s="96">
        <v>4.7766380148633329</v>
      </c>
      <c r="W95" s="96">
        <v>4.7099404640599429</v>
      </c>
      <c r="X95" s="96">
        <v>4.6898468073148312</v>
      </c>
      <c r="Y95" s="96">
        <v>4.6796292761052705</v>
      </c>
      <c r="DA95" s="171" t="s">
        <v>869</v>
      </c>
    </row>
    <row r="96" spans="1:105" ht="11.45" customHeight="1" x14ac:dyDescent="0.25">
      <c r="A96" s="111" t="s">
        <v>114</v>
      </c>
      <c r="B96" s="96">
        <v>0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0</v>
      </c>
      <c r="M96" s="96">
        <v>3.3270157843743968</v>
      </c>
      <c r="N96" s="96">
        <v>2.8907646817724517</v>
      </c>
      <c r="O96" s="96">
        <v>2.9625753550331591</v>
      </c>
      <c r="P96" s="96">
        <v>3.0442142955682048</v>
      </c>
      <c r="Q96" s="96">
        <v>3.1216866793461198</v>
      </c>
      <c r="R96" s="96">
        <v>3.1269858524410634</v>
      </c>
      <c r="S96" s="96">
        <v>3.1362160747809593</v>
      </c>
      <c r="T96" s="96">
        <v>3.2082666732410168</v>
      </c>
      <c r="U96" s="96">
        <v>3.1562835936410942</v>
      </c>
      <c r="V96" s="96">
        <v>3.1014289613914863</v>
      </c>
      <c r="W96" s="96">
        <v>2.9631164833250216</v>
      </c>
      <c r="X96" s="96">
        <v>2.8439953404460083</v>
      </c>
      <c r="Y96" s="96">
        <v>2.712172918034967</v>
      </c>
      <c r="DA96" s="171" t="s">
        <v>870</v>
      </c>
    </row>
    <row r="97" spans="1:105" ht="11.45" customHeight="1" x14ac:dyDescent="0.25">
      <c r="A97" s="111" t="s">
        <v>115</v>
      </c>
      <c r="B97" s="96">
        <v>0</v>
      </c>
      <c r="C97" s="96">
        <v>0</v>
      </c>
      <c r="D97" s="96">
        <v>0</v>
      </c>
      <c r="E97" s="96">
        <v>0</v>
      </c>
      <c r="F97" s="96">
        <v>0</v>
      </c>
      <c r="G97" s="96">
        <v>0</v>
      </c>
      <c r="H97" s="96">
        <v>0</v>
      </c>
      <c r="I97" s="96">
        <v>0</v>
      </c>
      <c r="J97" s="96">
        <v>1.2236579000796759</v>
      </c>
      <c r="K97" s="96">
        <v>1.2235590562797445</v>
      </c>
      <c r="L97" s="96">
        <v>1.2037833190025795</v>
      </c>
      <c r="M97" s="96">
        <v>1.2037833190025795</v>
      </c>
      <c r="N97" s="96">
        <v>1.2037833190025793</v>
      </c>
      <c r="O97" s="96">
        <v>1.2150470270132734</v>
      </c>
      <c r="P97" s="96">
        <v>1.22004995882644</v>
      </c>
      <c r="Q97" s="96">
        <v>1.2133205409144361</v>
      </c>
      <c r="R97" s="96">
        <v>1.2288571608321948</v>
      </c>
      <c r="S97" s="96">
        <v>1.2295812903637808</v>
      </c>
      <c r="T97" s="96">
        <v>1.3779240322166908</v>
      </c>
      <c r="U97" s="96">
        <v>1.4608945464752747</v>
      </c>
      <c r="V97" s="96">
        <v>1.4990511658784902</v>
      </c>
      <c r="W97" s="96">
        <v>1.4894669760896135</v>
      </c>
      <c r="X97" s="96">
        <v>1.4814129114138233</v>
      </c>
      <c r="Y97" s="96">
        <v>1.4567090239639291</v>
      </c>
      <c r="DA97" s="171" t="s">
        <v>871</v>
      </c>
    </row>
    <row r="98" spans="1:105" ht="11.45" customHeight="1" x14ac:dyDescent="0.25">
      <c r="A98" s="109" t="s">
        <v>21</v>
      </c>
      <c r="B98" s="130">
        <v>56.965099050082408</v>
      </c>
      <c r="C98" s="130">
        <v>55.667124215784355</v>
      </c>
      <c r="D98" s="130">
        <v>55.202307491811368</v>
      </c>
      <c r="E98" s="130">
        <v>54.708391930624316</v>
      </c>
      <c r="F98" s="130">
        <v>54.247142180818145</v>
      </c>
      <c r="G98" s="130">
        <v>52.155598637171529</v>
      </c>
      <c r="H98" s="130">
        <v>51.858209217542488</v>
      </c>
      <c r="I98" s="130">
        <v>51.363171048882471</v>
      </c>
      <c r="J98" s="130">
        <v>51.001937145283996</v>
      </c>
      <c r="K98" s="130">
        <v>50.682588380405463</v>
      </c>
      <c r="L98" s="130">
        <v>49.988174891630727</v>
      </c>
      <c r="M98" s="130">
        <v>49.596312844896964</v>
      </c>
      <c r="N98" s="130">
        <v>47.552326610971875</v>
      </c>
      <c r="O98" s="130">
        <v>47.205742757458466</v>
      </c>
      <c r="P98" s="130">
        <v>46.533551156509567</v>
      </c>
      <c r="Q98" s="130">
        <v>46.369724768869425</v>
      </c>
      <c r="R98" s="130">
        <v>45.801392064220863</v>
      </c>
      <c r="S98" s="130">
        <v>45.671400655770157</v>
      </c>
      <c r="T98" s="130">
        <v>45.302746914052378</v>
      </c>
      <c r="U98" s="130">
        <v>44.554691445199211</v>
      </c>
      <c r="V98" s="130">
        <v>43.20157632979636</v>
      </c>
      <c r="W98" s="130">
        <v>42.856993172480564</v>
      </c>
      <c r="X98" s="130">
        <v>42.000257814449441</v>
      </c>
      <c r="Y98" s="130">
        <v>40.967935103128646</v>
      </c>
      <c r="DA98" s="176" t="s">
        <v>872</v>
      </c>
    </row>
    <row r="99" spans="1:105" ht="11.45" customHeight="1" x14ac:dyDescent="0.25">
      <c r="A99" s="111" t="s">
        <v>110</v>
      </c>
      <c r="B99" s="97">
        <v>0</v>
      </c>
      <c r="C99" s="97">
        <v>0</v>
      </c>
      <c r="D99" s="97">
        <v>0</v>
      </c>
      <c r="E99" s="97">
        <v>0</v>
      </c>
      <c r="F99" s="97">
        <v>0</v>
      </c>
      <c r="G99" s="97">
        <v>0</v>
      </c>
      <c r="H99" s="97">
        <v>0</v>
      </c>
      <c r="I99" s="97">
        <v>0</v>
      </c>
      <c r="J99" s="97">
        <v>0</v>
      </c>
      <c r="K99" s="97">
        <v>0</v>
      </c>
      <c r="L99" s="97">
        <v>11.249150053874482</v>
      </c>
      <c r="M99" s="97">
        <v>11.249150053874482</v>
      </c>
      <c r="N99" s="97">
        <v>11.249150053874482</v>
      </c>
      <c r="O99" s="97">
        <v>11.077730381104715</v>
      </c>
      <c r="P99" s="97">
        <v>11.077730381104715</v>
      </c>
      <c r="Q99" s="97">
        <v>10.869991123074735</v>
      </c>
      <c r="R99" s="97">
        <v>10.680750744107463</v>
      </c>
      <c r="S99" s="97">
        <v>10.614391629676556</v>
      </c>
      <c r="T99" s="97">
        <v>10.614391629676556</v>
      </c>
      <c r="U99" s="97">
        <v>10.367541595517467</v>
      </c>
      <c r="V99" s="97">
        <v>10.269124865834733</v>
      </c>
      <c r="W99" s="97">
        <v>10.269124865834733</v>
      </c>
      <c r="X99" s="97">
        <v>10.269124865834732</v>
      </c>
      <c r="Y99" s="97">
        <v>10.26912486583473</v>
      </c>
      <c r="DA99" s="175" t="s">
        <v>873</v>
      </c>
    </row>
    <row r="100" spans="1:105" ht="11.45" customHeight="1" x14ac:dyDescent="0.25">
      <c r="A100" s="111" t="s">
        <v>111</v>
      </c>
      <c r="B100" s="97">
        <v>56.993065667656822</v>
      </c>
      <c r="C100" s="97">
        <v>55.299436241641402</v>
      </c>
      <c r="D100" s="97">
        <v>54.765020785054247</v>
      </c>
      <c r="E100" s="97">
        <v>54.196963992957684</v>
      </c>
      <c r="F100" s="97">
        <v>53.613191369272315</v>
      </c>
      <c r="G100" s="97">
        <v>51.773192792365322</v>
      </c>
      <c r="H100" s="97">
        <v>51.381748566200493</v>
      </c>
      <c r="I100" s="97">
        <v>50.923800439292805</v>
      </c>
      <c r="J100" s="97">
        <v>50.52291418148917</v>
      </c>
      <c r="K100" s="97">
        <v>50.157895280035426</v>
      </c>
      <c r="L100" s="97">
        <v>49.498119351546116</v>
      </c>
      <c r="M100" s="97">
        <v>49.038115912358769</v>
      </c>
      <c r="N100" s="97">
        <v>47.541692508595183</v>
      </c>
      <c r="O100" s="97">
        <v>47.216246840083365</v>
      </c>
      <c r="P100" s="97">
        <v>46.29571312998327</v>
      </c>
      <c r="Q100" s="97">
        <v>46.073257512824199</v>
      </c>
      <c r="R100" s="97">
        <v>45.537830773155989</v>
      </c>
      <c r="S100" s="97">
        <v>45.38027011899581</v>
      </c>
      <c r="T100" s="97">
        <v>45.22400848036591</v>
      </c>
      <c r="U100" s="97">
        <v>44.171458706788137</v>
      </c>
      <c r="V100" s="97">
        <v>43.220859608637532</v>
      </c>
      <c r="W100" s="97">
        <v>42.926184539843298</v>
      </c>
      <c r="X100" s="97">
        <v>41.864349937273744</v>
      </c>
      <c r="Y100" s="97">
        <v>41.296530660532959</v>
      </c>
      <c r="DA100" s="175" t="s">
        <v>874</v>
      </c>
    </row>
    <row r="101" spans="1:105" ht="11.45" customHeight="1" x14ac:dyDescent="0.25">
      <c r="A101" s="111" t="s">
        <v>112</v>
      </c>
      <c r="B101" s="97">
        <v>0</v>
      </c>
      <c r="C101" s="97">
        <v>0</v>
      </c>
      <c r="D101" s="97">
        <v>0</v>
      </c>
      <c r="E101" s="97">
        <v>0</v>
      </c>
      <c r="F101" s="97">
        <v>0</v>
      </c>
      <c r="G101" s="97">
        <v>0</v>
      </c>
      <c r="H101" s="97">
        <v>0</v>
      </c>
      <c r="I101" s="97">
        <v>0</v>
      </c>
      <c r="J101" s="97">
        <v>0</v>
      </c>
      <c r="K101" s="97">
        <v>0</v>
      </c>
      <c r="L101" s="97">
        <v>37.683377743311361</v>
      </c>
      <c r="M101" s="97">
        <v>37.683377743311368</v>
      </c>
      <c r="N101" s="97">
        <v>37.683377743311368</v>
      </c>
      <c r="O101" s="97">
        <v>37.683377743311368</v>
      </c>
      <c r="P101" s="97">
        <v>36.920016416737639</v>
      </c>
      <c r="Q101" s="97">
        <v>36.920016416737639</v>
      </c>
      <c r="R101" s="97">
        <v>36.650353865647567</v>
      </c>
      <c r="S101" s="97">
        <v>36.65035386564756</v>
      </c>
      <c r="T101" s="97">
        <v>36.650353865647567</v>
      </c>
      <c r="U101" s="97">
        <v>36.65035386564756</v>
      </c>
      <c r="V101" s="97">
        <v>36.424008975119406</v>
      </c>
      <c r="W101" s="97">
        <v>36.424008975119399</v>
      </c>
      <c r="X101" s="97">
        <v>36.070644513522147</v>
      </c>
      <c r="Y101" s="97">
        <v>36.07064451352214</v>
      </c>
      <c r="DA101" s="175" t="s">
        <v>875</v>
      </c>
    </row>
    <row r="102" spans="1:105" ht="11.45" customHeight="1" x14ac:dyDescent="0.25">
      <c r="A102" s="111" t="s">
        <v>113</v>
      </c>
      <c r="B102" s="97">
        <v>43.50087796956371</v>
      </c>
      <c r="C102" s="97">
        <v>40.129519289022632</v>
      </c>
      <c r="D102" s="97">
        <v>39.831146302469897</v>
      </c>
      <c r="E102" s="97">
        <v>39.702528300078917</v>
      </c>
      <c r="F102" s="97">
        <v>39.661605035125909</v>
      </c>
      <c r="G102" s="97">
        <v>39.526063643587698</v>
      </c>
      <c r="H102" s="97">
        <v>39.463902420069871</v>
      </c>
      <c r="I102" s="97">
        <v>39.391278388198884</v>
      </c>
      <c r="J102" s="97">
        <v>39.333465293109668</v>
      </c>
      <c r="K102" s="97">
        <v>39.322361746920016</v>
      </c>
      <c r="L102" s="97">
        <v>39.31298887720434</v>
      </c>
      <c r="M102" s="97">
        <v>39.302722719712982</v>
      </c>
      <c r="N102" s="97">
        <v>39.251743936185832</v>
      </c>
      <c r="O102" s="97">
        <v>39.225618235679676</v>
      </c>
      <c r="P102" s="97">
        <v>39.189827838529482</v>
      </c>
      <c r="Q102" s="97">
        <v>39.174451512617608</v>
      </c>
      <c r="R102" s="97">
        <v>39.162638714086263</v>
      </c>
      <c r="S102" s="97">
        <v>39.149820975240239</v>
      </c>
      <c r="T102" s="97">
        <v>37.376327555924178</v>
      </c>
      <c r="U102" s="97">
        <v>35.482695988397502</v>
      </c>
      <c r="V102" s="97">
        <v>35.449022906197278</v>
      </c>
      <c r="W102" s="97">
        <v>35.380024461238371</v>
      </c>
      <c r="X102" s="97">
        <v>35.352223304598674</v>
      </c>
      <c r="Y102" s="97">
        <v>35.316915909567633</v>
      </c>
      <c r="DA102" s="175" t="s">
        <v>876</v>
      </c>
    </row>
    <row r="103" spans="1:105" ht="11.45" customHeight="1" x14ac:dyDescent="0.25">
      <c r="A103" s="111" t="s">
        <v>115</v>
      </c>
      <c r="B103" s="97">
        <v>0</v>
      </c>
      <c r="C103" s="97">
        <v>0</v>
      </c>
      <c r="D103" s="97">
        <v>0</v>
      </c>
      <c r="E103" s="97">
        <v>0</v>
      </c>
      <c r="F103" s="97">
        <v>0</v>
      </c>
      <c r="G103" s="97">
        <v>0</v>
      </c>
      <c r="H103" s="97">
        <v>0</v>
      </c>
      <c r="I103" s="97">
        <v>0</v>
      </c>
      <c r="J103" s="97">
        <v>0</v>
      </c>
      <c r="K103" s="97">
        <v>0</v>
      </c>
      <c r="L103" s="97">
        <v>21.222815781708345</v>
      </c>
      <c r="M103" s="97">
        <v>21.222815781708345</v>
      </c>
      <c r="N103" s="97">
        <v>20.47877651887794</v>
      </c>
      <c r="O103" s="97">
        <v>20.478776518877936</v>
      </c>
      <c r="P103" s="97">
        <v>20.478776518877936</v>
      </c>
      <c r="Q103" s="97">
        <v>20.478776518877932</v>
      </c>
      <c r="R103" s="97">
        <v>20.478776518877936</v>
      </c>
      <c r="S103" s="97">
        <v>19.995016050892858</v>
      </c>
      <c r="T103" s="97">
        <v>19.490748839791827</v>
      </c>
      <c r="U103" s="97">
        <v>19.211185557954323</v>
      </c>
      <c r="V103" s="97">
        <v>19.130061430872907</v>
      </c>
      <c r="W103" s="97">
        <v>19.007193845172338</v>
      </c>
      <c r="X103" s="97">
        <v>18.880852502212825</v>
      </c>
      <c r="Y103" s="97">
        <v>18.6435694309979</v>
      </c>
      <c r="DA103" s="175" t="s">
        <v>877</v>
      </c>
    </row>
    <row r="104" spans="1:105" ht="11.45" customHeight="1" x14ac:dyDescent="0.25">
      <c r="A104" s="27" t="s">
        <v>34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DA104" s="173"/>
    </row>
    <row r="105" spans="1:105" ht="11.45" customHeight="1" x14ac:dyDescent="0.25">
      <c r="A105" s="136" t="s">
        <v>153</v>
      </c>
      <c r="B105" s="141">
        <v>10.545036892480955</v>
      </c>
      <c r="C105" s="141">
        <v>10.121889613118004</v>
      </c>
      <c r="D105" s="141">
        <v>10.032522917525856</v>
      </c>
      <c r="E105" s="141">
        <v>9.9887455889621126</v>
      </c>
      <c r="F105" s="141">
        <v>9.8610207004016193</v>
      </c>
      <c r="G105" s="141">
        <v>9.6190981619819205</v>
      </c>
      <c r="H105" s="141">
        <v>9.368929496106345</v>
      </c>
      <c r="I105" s="141">
        <v>9.1103412780591189</v>
      </c>
      <c r="J105" s="141">
        <v>8.8556905683728218</v>
      </c>
      <c r="K105" s="141">
        <v>8.5966092927246187</v>
      </c>
      <c r="L105" s="141">
        <v>8.3629720894652184</v>
      </c>
      <c r="M105" s="141">
        <v>8.1681084429515014</v>
      </c>
      <c r="N105" s="141">
        <v>7.8654319415534992</v>
      </c>
      <c r="O105" s="141">
        <v>7.8197249550739976</v>
      </c>
      <c r="P105" s="141">
        <v>7.4404513289600693</v>
      </c>
      <c r="Q105" s="141">
        <v>7.1898747601010546</v>
      </c>
      <c r="R105" s="141">
        <v>7.0817621383648381</v>
      </c>
      <c r="S105" s="141">
        <v>6.8331738073185102</v>
      </c>
      <c r="T105" s="141">
        <v>6.6063657002330265</v>
      </c>
      <c r="U105" s="141">
        <v>6.4102890940826835</v>
      </c>
      <c r="V105" s="141">
        <v>6.303029077536455</v>
      </c>
      <c r="W105" s="141">
        <v>6.2800382227860707</v>
      </c>
      <c r="X105" s="141">
        <v>6.1334136672128547</v>
      </c>
      <c r="Y105" s="141">
        <v>6.0112240426244297</v>
      </c>
      <c r="DA105" s="174" t="s">
        <v>878</v>
      </c>
    </row>
    <row r="106" spans="1:105" ht="11.45" customHeight="1" x14ac:dyDescent="0.25">
      <c r="A106" s="111" t="s">
        <v>110</v>
      </c>
      <c r="B106" s="96">
        <v>11.092887629491765</v>
      </c>
      <c r="C106" s="96">
        <v>10.92534458871571</v>
      </c>
      <c r="D106" s="96">
        <v>10.916243668466105</v>
      </c>
      <c r="E106" s="96">
        <v>10.50899519956562</v>
      </c>
      <c r="F106" s="96">
        <v>10.470976540159587</v>
      </c>
      <c r="G106" s="96">
        <v>10.234817124473048</v>
      </c>
      <c r="H106" s="96">
        <v>9.9691766605267436</v>
      </c>
      <c r="I106" s="96">
        <v>9.6930204604109598</v>
      </c>
      <c r="J106" s="96">
        <v>9.4545677632090577</v>
      </c>
      <c r="K106" s="96">
        <v>9.2280341134546457</v>
      </c>
      <c r="L106" s="96">
        <v>8.9980741701716074</v>
      </c>
      <c r="M106" s="96">
        <v>8.8381527859977211</v>
      </c>
      <c r="N106" s="96">
        <v>8.6391587521754918</v>
      </c>
      <c r="O106" s="96">
        <v>8.5042601368530431</v>
      </c>
      <c r="P106" s="96">
        <v>8.4570217263872518</v>
      </c>
      <c r="Q106" s="96">
        <v>7.9742322366817611</v>
      </c>
      <c r="R106" s="96">
        <v>7.7559011388701489</v>
      </c>
      <c r="S106" s="96">
        <v>7.4787628160136252</v>
      </c>
      <c r="T106" s="96">
        <v>7.321278971551294</v>
      </c>
      <c r="U106" s="96">
        <v>6.9098188756083783</v>
      </c>
      <c r="V106" s="96">
        <v>6.5744516459943352</v>
      </c>
      <c r="W106" s="96">
        <v>6.5220660221432656</v>
      </c>
      <c r="X106" s="96">
        <v>6.5207765829269793</v>
      </c>
      <c r="Y106" s="96">
        <v>6.4616553079523662</v>
      </c>
      <c r="DA106" s="171" t="s">
        <v>879</v>
      </c>
    </row>
    <row r="107" spans="1:105" ht="11.45" customHeight="1" x14ac:dyDescent="0.25">
      <c r="A107" s="111" t="s">
        <v>111</v>
      </c>
      <c r="B107" s="96">
        <v>10.530458981654251</v>
      </c>
      <c r="C107" s="96">
        <v>9.9731852682397548</v>
      </c>
      <c r="D107" s="96">
        <v>9.8628020716341869</v>
      </c>
      <c r="E107" s="96">
        <v>9.8186113047693375</v>
      </c>
      <c r="F107" s="96">
        <v>9.6574469966207328</v>
      </c>
      <c r="G107" s="96">
        <v>9.3614549208513118</v>
      </c>
      <c r="H107" s="96">
        <v>9.0743684731247178</v>
      </c>
      <c r="I107" s="96">
        <v>8.7940241895538946</v>
      </c>
      <c r="J107" s="96">
        <v>8.5287965233534671</v>
      </c>
      <c r="K107" s="96">
        <v>8.2696433461696071</v>
      </c>
      <c r="L107" s="96">
        <v>8.0520633885373627</v>
      </c>
      <c r="M107" s="96">
        <v>7.885270576578181</v>
      </c>
      <c r="N107" s="96">
        <v>7.6550514878992377</v>
      </c>
      <c r="O107" s="96">
        <v>7.5983611091206127</v>
      </c>
      <c r="P107" s="96">
        <v>7.2499885420159371</v>
      </c>
      <c r="Q107" s="96">
        <v>7.0508297512341835</v>
      </c>
      <c r="R107" s="96">
        <v>6.923593222765164</v>
      </c>
      <c r="S107" s="96">
        <v>6.6964857249472791</v>
      </c>
      <c r="T107" s="96">
        <v>6.4933918403153177</v>
      </c>
      <c r="U107" s="96">
        <v>6.2788641504094134</v>
      </c>
      <c r="V107" s="96">
        <v>6.194307479631787</v>
      </c>
      <c r="W107" s="96">
        <v>6.1706998363692911</v>
      </c>
      <c r="X107" s="96">
        <v>6.0306930492500399</v>
      </c>
      <c r="Y107" s="96">
        <v>5.9280400358778973</v>
      </c>
      <c r="DA107" s="171" t="s">
        <v>880</v>
      </c>
    </row>
    <row r="108" spans="1:105" ht="11.45" customHeight="1" x14ac:dyDescent="0.25">
      <c r="A108" s="111" t="s">
        <v>112</v>
      </c>
      <c r="B108" s="96">
        <v>17.597991606980141</v>
      </c>
      <c r="C108" s="96">
        <v>17.316982718016828</v>
      </c>
      <c r="D108" s="96">
        <v>17.110076231270167</v>
      </c>
      <c r="E108" s="96">
        <v>16.462129939960928</v>
      </c>
      <c r="F108" s="96">
        <v>16.362969034966241</v>
      </c>
      <c r="G108" s="96">
        <v>15.815560605633827</v>
      </c>
      <c r="H108" s="96">
        <v>15.213458000428995</v>
      </c>
      <c r="I108" s="96">
        <v>14.599187332193361</v>
      </c>
      <c r="J108" s="96">
        <v>14.049571441644353</v>
      </c>
      <c r="K108" s="96">
        <v>13.512947201151313</v>
      </c>
      <c r="L108" s="96">
        <v>13.152303967894353</v>
      </c>
      <c r="M108" s="96">
        <v>12.817918244197559</v>
      </c>
      <c r="N108" s="96">
        <v>12.209178834659888</v>
      </c>
      <c r="O108" s="96">
        <v>12.147702946785811</v>
      </c>
      <c r="P108" s="96">
        <v>11.494730348855498</v>
      </c>
      <c r="Q108" s="96">
        <v>11.156648773283219</v>
      </c>
      <c r="R108" s="96">
        <v>10.830823552364198</v>
      </c>
      <c r="S108" s="96">
        <v>10.421620357813367</v>
      </c>
      <c r="T108" s="96">
        <v>9.9067948860258248</v>
      </c>
      <c r="U108" s="96">
        <v>8.9598305257177504</v>
      </c>
      <c r="V108" s="96">
        <v>8.756167081696308</v>
      </c>
      <c r="W108" s="96">
        <v>8.6329212790990173</v>
      </c>
      <c r="X108" s="96">
        <v>8.4785251858036386</v>
      </c>
      <c r="Y108" s="96">
        <v>8.2364653810269672</v>
      </c>
      <c r="DA108" s="171" t="s">
        <v>881</v>
      </c>
    </row>
    <row r="109" spans="1:105" ht="11.45" customHeight="1" x14ac:dyDescent="0.25">
      <c r="A109" s="111" t="s">
        <v>113</v>
      </c>
      <c r="B109" s="96">
        <v>0</v>
      </c>
      <c r="C109" s="96">
        <v>0</v>
      </c>
      <c r="D109" s="96">
        <v>0</v>
      </c>
      <c r="E109" s="96">
        <v>0</v>
      </c>
      <c r="F109" s="96">
        <v>0</v>
      </c>
      <c r="G109" s="96">
        <v>0</v>
      </c>
      <c r="H109" s="96">
        <v>0</v>
      </c>
      <c r="I109" s="96">
        <v>0</v>
      </c>
      <c r="J109" s="96">
        <v>0</v>
      </c>
      <c r="K109" s="96">
        <v>0</v>
      </c>
      <c r="L109" s="96">
        <v>0</v>
      </c>
      <c r="M109" s="96">
        <v>0</v>
      </c>
      <c r="N109" s="96">
        <v>0</v>
      </c>
      <c r="O109" s="96">
        <v>7.0728435825250262</v>
      </c>
      <c r="P109" s="96">
        <v>6.9341968421590323</v>
      </c>
      <c r="Q109" s="96">
        <v>7.505889326491304</v>
      </c>
      <c r="R109" s="96">
        <v>6.9426448518518766</v>
      </c>
      <c r="S109" s="96">
        <v>6.8438209100199145</v>
      </c>
      <c r="T109" s="96">
        <v>6.9250278379056889</v>
      </c>
      <c r="U109" s="96">
        <v>7.6433397339684808</v>
      </c>
      <c r="V109" s="96">
        <v>7.6213335334413435</v>
      </c>
      <c r="W109" s="96">
        <v>7.6405492360304992</v>
      </c>
      <c r="X109" s="96">
        <v>7.5046556266113642</v>
      </c>
      <c r="Y109" s="96">
        <v>7.3369716309324193</v>
      </c>
      <c r="DA109" s="171" t="s">
        <v>882</v>
      </c>
    </row>
    <row r="110" spans="1:105" ht="11.45" customHeight="1" x14ac:dyDescent="0.25">
      <c r="A110" s="111" t="s">
        <v>115</v>
      </c>
      <c r="B110" s="96">
        <v>0</v>
      </c>
      <c r="C110" s="96">
        <v>0</v>
      </c>
      <c r="D110" s="96">
        <v>0</v>
      </c>
      <c r="E110" s="96">
        <v>0</v>
      </c>
      <c r="F110" s="96">
        <v>0</v>
      </c>
      <c r="G110" s="96">
        <v>0</v>
      </c>
      <c r="H110" s="96">
        <v>0</v>
      </c>
      <c r="I110" s="96">
        <v>0</v>
      </c>
      <c r="J110" s="96">
        <v>0</v>
      </c>
      <c r="K110" s="96">
        <v>0</v>
      </c>
      <c r="L110" s="96">
        <v>0</v>
      </c>
      <c r="M110" s="96">
        <v>1.3566283477464833</v>
      </c>
      <c r="N110" s="96">
        <v>1.3327601031814273</v>
      </c>
      <c r="O110" s="96">
        <v>1.3647028755192112</v>
      </c>
      <c r="P110" s="96">
        <v>1.3722400394624372</v>
      </c>
      <c r="Q110" s="96">
        <v>1.3780671783457579</v>
      </c>
      <c r="R110" s="96">
        <v>1.3850445455803559</v>
      </c>
      <c r="S110" s="96">
        <v>1.3881738744469618</v>
      </c>
      <c r="T110" s="96">
        <v>1.4423682882540714</v>
      </c>
      <c r="U110" s="96">
        <v>1.5004272926714619</v>
      </c>
      <c r="V110" s="96">
        <v>1.5727272583734053</v>
      </c>
      <c r="W110" s="96">
        <v>1.6462831770718824</v>
      </c>
      <c r="X110" s="96">
        <v>1.7688777301793117</v>
      </c>
      <c r="Y110" s="96">
        <v>1.7837136166355041</v>
      </c>
      <c r="DA110" s="171" t="s">
        <v>883</v>
      </c>
    </row>
    <row r="111" spans="1:105" ht="11.45" customHeight="1" x14ac:dyDescent="0.25">
      <c r="A111" s="109" t="s">
        <v>154</v>
      </c>
      <c r="B111" s="130">
        <v>30.360548256945741</v>
      </c>
      <c r="C111" s="130">
        <v>30.259328788814674</v>
      </c>
      <c r="D111" s="130">
        <v>30.205978715544127</v>
      </c>
      <c r="E111" s="130">
        <v>30.186058399627353</v>
      </c>
      <c r="F111" s="130">
        <v>30.055635791196515</v>
      </c>
      <c r="G111" s="130">
        <v>29.898767662195656</v>
      </c>
      <c r="H111" s="130">
        <v>29.707582222001619</v>
      </c>
      <c r="I111" s="130">
        <v>29.483851483371048</v>
      </c>
      <c r="J111" s="130">
        <v>29.230074423795852</v>
      </c>
      <c r="K111" s="130">
        <v>28.950811468060369</v>
      </c>
      <c r="L111" s="130">
        <v>28.602385384662568</v>
      </c>
      <c r="M111" s="130">
        <v>28.37046601341336</v>
      </c>
      <c r="N111" s="130">
        <v>27.878987966339185</v>
      </c>
      <c r="O111" s="130">
        <v>27.609551774346084</v>
      </c>
      <c r="P111" s="130">
        <v>27.056849487029488</v>
      </c>
      <c r="Q111" s="130">
        <v>26.497563956085457</v>
      </c>
      <c r="R111" s="130">
        <v>25.88801076373317</v>
      </c>
      <c r="S111" s="130">
        <v>25.253587495886073</v>
      </c>
      <c r="T111" s="130">
        <v>24.673422247821968</v>
      </c>
      <c r="U111" s="130">
        <v>23.918128630538483</v>
      </c>
      <c r="V111" s="130">
        <v>23.555100362834821</v>
      </c>
      <c r="W111" s="130">
        <v>23.326140282442498</v>
      </c>
      <c r="X111" s="130">
        <v>22.849730639052684</v>
      </c>
      <c r="Y111" s="130">
        <v>22.664303432072291</v>
      </c>
      <c r="DA111" s="176" t="s">
        <v>884</v>
      </c>
    </row>
    <row r="112" spans="1:105" ht="11.45" customHeight="1" x14ac:dyDescent="0.25">
      <c r="A112" s="128" t="s">
        <v>27</v>
      </c>
      <c r="B112" s="97">
        <v>30.106248227593593</v>
      </c>
      <c r="C112" s="97">
        <v>30.005260074133112</v>
      </c>
      <c r="D112" s="97">
        <v>29.946755634011474</v>
      </c>
      <c r="E112" s="97">
        <v>29.92141077406038</v>
      </c>
      <c r="F112" s="97">
        <v>29.751882476685964</v>
      </c>
      <c r="G112" s="97">
        <v>29.589288573367192</v>
      </c>
      <c r="H112" s="97">
        <v>29.388407646845057</v>
      </c>
      <c r="I112" s="97">
        <v>29.152600618901932</v>
      </c>
      <c r="J112" s="97">
        <v>28.950147019064353</v>
      </c>
      <c r="K112" s="97">
        <v>28.677005793090007</v>
      </c>
      <c r="L112" s="97">
        <v>28.343841824333964</v>
      </c>
      <c r="M112" s="97">
        <v>28.102972492819148</v>
      </c>
      <c r="N112" s="97">
        <v>27.604051174770067</v>
      </c>
      <c r="O112" s="97">
        <v>27.299437734200481</v>
      </c>
      <c r="P112" s="97">
        <v>26.762802021005847</v>
      </c>
      <c r="Q112" s="97">
        <v>26.204730478952694</v>
      </c>
      <c r="R112" s="97">
        <v>25.565795802431499</v>
      </c>
      <c r="S112" s="97">
        <v>24.957563310400346</v>
      </c>
      <c r="T112" s="97">
        <v>24.389378249636433</v>
      </c>
      <c r="U112" s="97">
        <v>23.662054004033699</v>
      </c>
      <c r="V112" s="97">
        <v>23.317863748901225</v>
      </c>
      <c r="W112" s="97">
        <v>23.080493310155859</v>
      </c>
      <c r="X112" s="97">
        <v>22.597265398992775</v>
      </c>
      <c r="Y112" s="97">
        <v>22.435379855487096</v>
      </c>
      <c r="DA112" s="175" t="s">
        <v>885</v>
      </c>
    </row>
    <row r="113" spans="1:105" ht="11.45" customHeight="1" x14ac:dyDescent="0.25">
      <c r="A113" s="138" t="s">
        <v>116</v>
      </c>
      <c r="B113" s="98">
        <v>36.742268041163946</v>
      </c>
      <c r="C113" s="98">
        <v>36.373655462950957</v>
      </c>
      <c r="D113" s="98">
        <v>36.053440507871805</v>
      </c>
      <c r="E113" s="98">
        <v>35.796455918030183</v>
      </c>
      <c r="F113" s="98">
        <v>35.137061440485603</v>
      </c>
      <c r="G113" s="98">
        <v>34.837404197478456</v>
      </c>
      <c r="H113" s="98">
        <v>34.435712518771155</v>
      </c>
      <c r="I113" s="98">
        <v>33.965044725610589</v>
      </c>
      <c r="J113" s="98">
        <v>33.761033485132039</v>
      </c>
      <c r="K113" s="98">
        <v>33.422987220477253</v>
      </c>
      <c r="L113" s="98">
        <v>33.234037936416229</v>
      </c>
      <c r="M113" s="98">
        <v>32.647593779948821</v>
      </c>
      <c r="N113" s="98">
        <v>32.202460991937244</v>
      </c>
      <c r="O113" s="98">
        <v>31.521100346404921</v>
      </c>
      <c r="P113" s="98">
        <v>31.142925756582613</v>
      </c>
      <c r="Q113" s="98">
        <v>31.030464862173471</v>
      </c>
      <c r="R113" s="98">
        <v>30.319134317614935</v>
      </c>
      <c r="S113" s="98">
        <v>30.002483370808193</v>
      </c>
      <c r="T113" s="98">
        <v>29.439129839827753</v>
      </c>
      <c r="U113" s="98">
        <v>28.885462852892623</v>
      </c>
      <c r="V113" s="98">
        <v>28.588983219159264</v>
      </c>
      <c r="W113" s="98">
        <v>27.56830713878141</v>
      </c>
      <c r="X113" s="98">
        <v>27.013339947184825</v>
      </c>
      <c r="Y113" s="98">
        <v>26.799564195479313</v>
      </c>
      <c r="DA113" s="178" t="s">
        <v>886</v>
      </c>
    </row>
    <row r="114" spans="1:105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DA114" s="171"/>
    </row>
    <row r="115" spans="1:105" ht="11.45" customHeight="1" x14ac:dyDescent="0.25">
      <c r="A115" s="53" t="s">
        <v>121</v>
      </c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DA115" s="172"/>
    </row>
    <row r="116" spans="1:105" ht="11.45" customHeight="1" x14ac:dyDescent="0.25">
      <c r="A116" s="27" t="s">
        <v>33</v>
      </c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DA116" s="173"/>
    </row>
    <row r="117" spans="1:105" ht="11.45" customHeight="1" x14ac:dyDescent="0.25">
      <c r="A117" s="136" t="s">
        <v>173</v>
      </c>
      <c r="B117" s="150">
        <f>IF(TrRoad_act!B59=0,0,TrRoad_ene!B62/TrRoad_tech!B90)</f>
        <v>1.1275000000068984</v>
      </c>
      <c r="C117" s="150">
        <f>IF(TrRoad_act!C59=0,0,TrRoad_ene!C62/TrRoad_tech!C90)</f>
        <v>1.0727499066142256</v>
      </c>
      <c r="D117" s="150">
        <f>IF(TrRoad_act!D59=0,0,TrRoad_ene!D62/TrRoad_tech!D90)</f>
        <v>1.0732458869739407</v>
      </c>
      <c r="E117" s="150">
        <f>IF(TrRoad_act!E59=0,0,TrRoad_ene!E62/TrRoad_tech!E90)</f>
        <v>1.0739639509358303</v>
      </c>
      <c r="F117" s="150">
        <f>IF(TrRoad_act!F59=0,0,TrRoad_ene!F62/TrRoad_tech!F90)</f>
        <v>1.075042305302107</v>
      </c>
      <c r="G117" s="150">
        <f>IF(TrRoad_act!G59=0,0,TrRoad_ene!G62/TrRoad_tech!G90)</f>
        <v>1.0764852400522018</v>
      </c>
      <c r="H117" s="150">
        <f>IF(TrRoad_act!H59=0,0,TrRoad_ene!H62/TrRoad_tech!H90)</f>
        <v>1.0780435580734578</v>
      </c>
      <c r="I117" s="150">
        <f>IF(TrRoad_act!I59=0,0,TrRoad_ene!I62/TrRoad_tech!I90)</f>
        <v>1.0802123734130207</v>
      </c>
      <c r="J117" s="150">
        <f>IF(TrRoad_act!J59=0,0,TrRoad_ene!J62/TrRoad_tech!J90)</f>
        <v>1.0822801843489351</v>
      </c>
      <c r="K117" s="150">
        <f>IF(TrRoad_act!K59=0,0,TrRoad_ene!K62/TrRoad_tech!K90)</f>
        <v>1.0853612115286011</v>
      </c>
      <c r="L117" s="150">
        <f>IF(TrRoad_act!L59=0,0,TrRoad_ene!L62/TrRoad_tech!L90)</f>
        <v>1.0919854718743958</v>
      </c>
      <c r="M117" s="150">
        <f>IF(TrRoad_act!M59=0,0,TrRoad_ene!M62/TrRoad_tech!M90)</f>
        <v>1.0987143797531307</v>
      </c>
      <c r="N117" s="150">
        <f>IF(TrRoad_act!N59=0,0,TrRoad_ene!N62/TrRoad_tech!N90)</f>
        <v>1.1054841039061076</v>
      </c>
      <c r="O117" s="150">
        <f>IF(TrRoad_act!O59=0,0,TrRoad_ene!O62/TrRoad_tech!O90)</f>
        <v>1.1108046155836591</v>
      </c>
      <c r="P117" s="150">
        <f>IF(TrRoad_act!P59=0,0,TrRoad_ene!P62/TrRoad_tech!P90)</f>
        <v>1.1178783726435604</v>
      </c>
      <c r="Q117" s="150">
        <f>IF(TrRoad_act!Q59=0,0,TrRoad_ene!Q62/TrRoad_tech!Q90)</f>
        <v>1.1292187465791146</v>
      </c>
      <c r="R117" s="150">
        <f>IF(TrRoad_act!R59=0,0,TrRoad_ene!R62/TrRoad_tech!R90)</f>
        <v>1.1406035079670431</v>
      </c>
      <c r="S117" s="150">
        <f>IF(TrRoad_act!S59=0,0,TrRoad_ene!S62/TrRoad_tech!S90)</f>
        <v>1.2098711940639986</v>
      </c>
      <c r="T117" s="150">
        <f>IF(TrRoad_act!T59=0,0,TrRoad_ene!T62/TrRoad_tech!T90)</f>
        <v>1.2219234783245552</v>
      </c>
      <c r="U117" s="150">
        <f>IF(TrRoad_act!U59=0,0,TrRoad_ene!U62/TrRoad_tech!U90)</f>
        <v>1.2358928100626652</v>
      </c>
      <c r="V117" s="150">
        <f>IF(TrRoad_act!V59=0,0,TrRoad_ene!V62/TrRoad_tech!V90)</f>
        <v>1.2623315545584948</v>
      </c>
      <c r="W117" s="150">
        <f>IF(TrRoad_act!W59=0,0,TrRoad_ene!W62/TrRoad_tech!W90)</f>
        <v>1.2832823402263782</v>
      </c>
      <c r="X117" s="150">
        <f>IF(TrRoad_act!X59=0,0,TrRoad_ene!X62/TrRoad_tech!X90)</f>
        <v>1.2963487053881193</v>
      </c>
      <c r="Y117" s="150">
        <f>IF(TrRoad_act!Y59=0,0,TrRoad_ene!Y62/TrRoad_tech!Y90)</f>
        <v>1.3131728597972101</v>
      </c>
      <c r="DA117" s="174"/>
    </row>
    <row r="118" spans="1:105" ht="11.45" customHeight="1" x14ac:dyDescent="0.25">
      <c r="A118" s="109" t="s">
        <v>20</v>
      </c>
      <c r="B118" s="151">
        <f>IF(TrRoad_act!B60=0,0,TrRoad_ene!B63/TrRoad_tech!B91)</f>
        <v>0.78363146617006685</v>
      </c>
      <c r="C118" s="151">
        <f>IF(TrRoad_act!C60=0,0,TrRoad_ene!C63/TrRoad_tech!C91)</f>
        <v>0.79766248697527731</v>
      </c>
      <c r="D118" s="151">
        <f>IF(TrRoad_act!D60=0,0,TrRoad_ene!D63/TrRoad_tech!D91)</f>
        <v>0.79519011641547854</v>
      </c>
      <c r="E118" s="151">
        <f>IF(TrRoad_act!E60=0,0,TrRoad_ene!E63/TrRoad_tech!E91)</f>
        <v>0.83692446070008353</v>
      </c>
      <c r="F118" s="151">
        <f>IF(TrRoad_act!F60=0,0,TrRoad_ene!F63/TrRoad_tech!F91)</f>
        <v>0.84630963164139472</v>
      </c>
      <c r="G118" s="151">
        <f>IF(TrRoad_act!G60=0,0,TrRoad_ene!G63/TrRoad_tech!G91)</f>
        <v>0.82064863432623769</v>
      </c>
      <c r="H118" s="151">
        <f>IF(TrRoad_act!H60=0,0,TrRoad_ene!H63/TrRoad_tech!H91)</f>
        <v>0.82312542449869319</v>
      </c>
      <c r="I118" s="151">
        <f>IF(TrRoad_act!I60=0,0,TrRoad_ene!I63/TrRoad_tech!I91)</f>
        <v>0.83321056299042451</v>
      </c>
      <c r="J118" s="151">
        <f>IF(TrRoad_act!J60=0,0,TrRoad_ene!J63/TrRoad_tech!J91)</f>
        <v>0.84461773261562834</v>
      </c>
      <c r="K118" s="151">
        <f>IF(TrRoad_act!K60=0,0,TrRoad_ene!K63/TrRoad_tech!K91)</f>
        <v>0.84612114551864892</v>
      </c>
      <c r="L118" s="151">
        <f>IF(TrRoad_act!L60=0,0,TrRoad_ene!L63/TrRoad_tech!L91)</f>
        <v>0.85412340861924074</v>
      </c>
      <c r="M118" s="151">
        <f>IF(TrRoad_act!M60=0,0,TrRoad_ene!M63/TrRoad_tech!M91)</f>
        <v>0.83346580978238238</v>
      </c>
      <c r="N118" s="151">
        <f>IF(TrRoad_act!N60=0,0,TrRoad_ene!N63/TrRoad_tech!N91)</f>
        <v>0.88343814131574105</v>
      </c>
      <c r="O118" s="151">
        <f>IF(TrRoad_act!O60=0,0,TrRoad_ene!O63/TrRoad_tech!O91)</f>
        <v>0.88462478831025959</v>
      </c>
      <c r="P118" s="151">
        <f>IF(TrRoad_act!P60=0,0,TrRoad_ene!P63/TrRoad_tech!P91)</f>
        <v>0.87422965359329052</v>
      </c>
      <c r="Q118" s="151">
        <f>IF(TrRoad_act!Q60=0,0,TrRoad_ene!Q63/TrRoad_tech!Q91)</f>
        <v>0.90802963143593662</v>
      </c>
      <c r="R118" s="151">
        <f>IF(TrRoad_act!R60=0,0,TrRoad_ene!R63/TrRoad_tech!R91)</f>
        <v>0.91363311757929078</v>
      </c>
      <c r="S118" s="151">
        <f>IF(TrRoad_act!S60=0,0,TrRoad_ene!S63/TrRoad_tech!S91)</f>
        <v>0.92008541401576827</v>
      </c>
      <c r="T118" s="151">
        <f>IF(TrRoad_act!T60=0,0,TrRoad_ene!T63/TrRoad_tech!T91)</f>
        <v>0.93483207658440415</v>
      </c>
      <c r="U118" s="151">
        <f>IF(TrRoad_act!U60=0,0,TrRoad_ene!U63/TrRoad_tech!U91)</f>
        <v>0.96222098178445992</v>
      </c>
      <c r="V118" s="151">
        <f>IF(TrRoad_act!V60=0,0,TrRoad_ene!V63/TrRoad_tech!V91)</f>
        <v>0.94327273330154338</v>
      </c>
      <c r="W118" s="151">
        <f>IF(TrRoad_act!W60=0,0,TrRoad_ene!W63/TrRoad_tech!W91)</f>
        <v>0.97851621093931029</v>
      </c>
      <c r="X118" s="151">
        <f>IF(TrRoad_act!X60=0,0,TrRoad_ene!X63/TrRoad_tech!X91)</f>
        <v>0.99163837109008734</v>
      </c>
      <c r="Y118" s="151">
        <f>IF(TrRoad_act!Y60=0,0,TrRoad_ene!Y63/TrRoad_tech!Y91)</f>
        <v>1.0076077346894545</v>
      </c>
      <c r="DA118" s="176"/>
    </row>
    <row r="119" spans="1:105" ht="11.45" customHeight="1" x14ac:dyDescent="0.25">
      <c r="A119" s="111" t="s">
        <v>110</v>
      </c>
      <c r="B119" s="91">
        <f>IF(TrRoad_act!B61=0,0,TrRoad_ene!B64/TrRoad_tech!B92)</f>
        <v>0.89354313844413946</v>
      </c>
      <c r="C119" s="91">
        <f>IF(TrRoad_act!C61=0,0,TrRoad_ene!C64/TrRoad_tech!C92)</f>
        <v>0.90185301064491441</v>
      </c>
      <c r="D119" s="91">
        <f>IF(TrRoad_act!D61=0,0,TrRoad_ene!D64/TrRoad_tech!D92)</f>
        <v>0.9062725752230657</v>
      </c>
      <c r="E119" s="91">
        <f>IF(TrRoad_act!E61=0,0,TrRoad_ene!E64/TrRoad_tech!E92)</f>
        <v>0.90958547102629328</v>
      </c>
      <c r="F119" s="91">
        <f>IF(TrRoad_act!F61=0,0,TrRoad_ene!F64/TrRoad_tech!F92)</f>
        <v>0.91325912090215045</v>
      </c>
      <c r="G119" s="91">
        <f>IF(TrRoad_act!G61=0,0,TrRoad_ene!G64/TrRoad_tech!G92)</f>
        <v>0.91591554043439338</v>
      </c>
      <c r="H119" s="91">
        <f>IF(TrRoad_act!H61=0,0,TrRoad_ene!H64/TrRoad_tech!H92)</f>
        <v>0.91912134397005685</v>
      </c>
      <c r="I119" s="91">
        <f>IF(TrRoad_act!I61=0,0,TrRoad_ene!I64/TrRoad_tech!I92)</f>
        <v>0.92240566242702038</v>
      </c>
      <c r="J119" s="91">
        <f>IF(TrRoad_act!J61=0,0,TrRoad_ene!J64/TrRoad_tech!J92)</f>
        <v>0.92627701200903334</v>
      </c>
      <c r="K119" s="91">
        <f>IF(TrRoad_act!K61=0,0,TrRoad_ene!K64/TrRoad_tech!K92)</f>
        <v>0.93189269828224686</v>
      </c>
      <c r="L119" s="91">
        <f>IF(TrRoad_act!L61=0,0,TrRoad_ene!L64/TrRoad_tech!L92)</f>
        <v>0.93801037563166889</v>
      </c>
      <c r="M119" s="91">
        <f>IF(TrRoad_act!M61=0,0,TrRoad_ene!M64/TrRoad_tech!M92)</f>
        <v>0.94237420974318453</v>
      </c>
      <c r="N119" s="91">
        <f>IF(TrRoad_act!N61=0,0,TrRoad_ene!N64/TrRoad_tech!N92)</f>
        <v>0.94353124091837859</v>
      </c>
      <c r="O119" s="91">
        <f>IF(TrRoad_act!O61=0,0,TrRoad_ene!O64/TrRoad_tech!O92)</f>
        <v>0.94701496618182701</v>
      </c>
      <c r="P119" s="91">
        <f>IF(TrRoad_act!P61=0,0,TrRoad_ene!P64/TrRoad_tech!P92)</f>
        <v>0.95586804433413464</v>
      </c>
      <c r="Q119" s="91">
        <f>IF(TrRoad_act!Q61=0,0,TrRoad_ene!Q64/TrRoad_tech!Q92)</f>
        <v>0.96543172447590941</v>
      </c>
      <c r="R119" s="91">
        <f>IF(TrRoad_act!R61=0,0,TrRoad_ene!R64/TrRoad_tech!R92)</f>
        <v>0.98740077183657649</v>
      </c>
      <c r="S119" s="91">
        <f>IF(TrRoad_act!S61=0,0,TrRoad_ene!S64/TrRoad_tech!S92)</f>
        <v>1.0022100502474416</v>
      </c>
      <c r="T119" s="91">
        <f>IF(TrRoad_act!T61=0,0,TrRoad_ene!T64/TrRoad_tech!T92)</f>
        <v>1.0283619636203263</v>
      </c>
      <c r="U119" s="91">
        <f>IF(TrRoad_act!U61=0,0,TrRoad_ene!U64/TrRoad_tech!U92)</f>
        <v>1.0463792730928874</v>
      </c>
      <c r="V119" s="91">
        <f>IF(TrRoad_act!V61=0,0,TrRoad_ene!V64/TrRoad_tech!V92)</f>
        <v>1.0449525928241767</v>
      </c>
      <c r="W119" s="91">
        <f>IF(TrRoad_act!W61=0,0,TrRoad_ene!W64/TrRoad_tech!W92)</f>
        <v>1.0522444946558436</v>
      </c>
      <c r="X119" s="91">
        <f>IF(TrRoad_act!X61=0,0,TrRoad_ene!X64/TrRoad_tech!X92)</f>
        <v>1.1017053059674573</v>
      </c>
      <c r="Y119" s="91">
        <f>IF(TrRoad_act!Y61=0,0,TrRoad_ene!Y64/TrRoad_tech!Y92)</f>
        <v>1.1393192065433355</v>
      </c>
      <c r="DA119" s="171"/>
    </row>
    <row r="120" spans="1:105" ht="11.45" customHeight="1" x14ac:dyDescent="0.25">
      <c r="A120" s="111" t="s">
        <v>111</v>
      </c>
      <c r="B120" s="91">
        <f>IF(TrRoad_act!B62=0,0,TrRoad_ene!B65/TrRoad_tech!B93)</f>
        <v>0.57391117009429937</v>
      </c>
      <c r="C120" s="91">
        <f>IF(TrRoad_act!C62=0,0,TrRoad_ene!C65/TrRoad_tech!C93)</f>
        <v>0.63859661903021869</v>
      </c>
      <c r="D120" s="91">
        <f>IF(TrRoad_act!D62=0,0,TrRoad_ene!D65/TrRoad_tech!D93)</f>
        <v>0.64699360143663665</v>
      </c>
      <c r="E120" s="91">
        <f>IF(TrRoad_act!E62=0,0,TrRoad_ene!E65/TrRoad_tech!E93)</f>
        <v>0.76679519912906435</v>
      </c>
      <c r="F120" s="91">
        <f>IF(TrRoad_act!F62=0,0,TrRoad_ene!F65/TrRoad_tech!F93)</f>
        <v>0.80040330642919932</v>
      </c>
      <c r="G120" s="91">
        <f>IF(TrRoad_act!G62=0,0,TrRoad_ene!G65/TrRoad_tech!G93)</f>
        <v>0.75920123470054723</v>
      </c>
      <c r="H120" s="91">
        <f>IF(TrRoad_act!H62=0,0,TrRoad_ene!H65/TrRoad_tech!H93)</f>
        <v>0.77714049643508998</v>
      </c>
      <c r="I120" s="91">
        <f>IF(TrRoad_act!I62=0,0,TrRoad_ene!I65/TrRoad_tech!I93)</f>
        <v>0.80110824835704186</v>
      </c>
      <c r="J120" s="91">
        <f>IF(TrRoad_act!J62=0,0,TrRoad_ene!J65/TrRoad_tech!J93)</f>
        <v>0.82843359000041272</v>
      </c>
      <c r="K120" s="91">
        <f>IF(TrRoad_act!K62=0,0,TrRoad_ene!K65/TrRoad_tech!K93)</f>
        <v>0.83250056175450771</v>
      </c>
      <c r="L120" s="91">
        <f>IF(TrRoad_act!L62=0,0,TrRoad_ene!L65/TrRoad_tech!L93)</f>
        <v>0.84873619189451877</v>
      </c>
      <c r="M120" s="91">
        <f>IF(TrRoad_act!M62=0,0,TrRoad_ene!M65/TrRoad_tech!M93)</f>
        <v>0.81976944096078941</v>
      </c>
      <c r="N120" s="91">
        <f>IF(TrRoad_act!N62=0,0,TrRoad_ene!N65/TrRoad_tech!N93)</f>
        <v>0.89074495993999248</v>
      </c>
      <c r="O120" s="91">
        <f>IF(TrRoad_act!O62=0,0,TrRoad_ene!O65/TrRoad_tech!O93)</f>
        <v>0.89478789972754291</v>
      </c>
      <c r="P120" s="91">
        <f>IF(TrRoad_act!P62=0,0,TrRoad_ene!P65/TrRoad_tech!P93)</f>
        <v>0.88112809634993161</v>
      </c>
      <c r="Q120" s="91">
        <f>IF(TrRoad_act!Q62=0,0,TrRoad_ene!Q65/TrRoad_tech!Q93)</f>
        <v>0.92747639979628216</v>
      </c>
      <c r="R120" s="91">
        <f>IF(TrRoad_act!R62=0,0,TrRoad_ene!R65/TrRoad_tech!R93)</f>
        <v>0.93207832201462992</v>
      </c>
      <c r="S120" s="91">
        <f>IF(TrRoad_act!S62=0,0,TrRoad_ene!S65/TrRoad_tech!S93)</f>
        <v>0.93939627779028978</v>
      </c>
      <c r="T120" s="91">
        <f>IF(TrRoad_act!T62=0,0,TrRoad_ene!T65/TrRoad_tech!T93)</f>
        <v>0.95476884554950059</v>
      </c>
      <c r="U120" s="91">
        <f>IF(TrRoad_act!U62=0,0,TrRoad_ene!U65/TrRoad_tech!U93)</f>
        <v>0.98918533758898353</v>
      </c>
      <c r="V120" s="91">
        <f>IF(TrRoad_act!V62=0,0,TrRoad_ene!V65/TrRoad_tech!V93)</f>
        <v>0.96670433511363874</v>
      </c>
      <c r="W120" s="91">
        <f>IF(TrRoad_act!W62=0,0,TrRoad_ene!W65/TrRoad_tech!W93)</f>
        <v>1.0147468857060418</v>
      </c>
      <c r="X120" s="91">
        <f>IF(TrRoad_act!X62=0,0,TrRoad_ene!X65/TrRoad_tech!X93)</f>
        <v>1.0136276748365609</v>
      </c>
      <c r="Y120" s="91">
        <f>IF(TrRoad_act!Y62=0,0,TrRoad_ene!Y65/TrRoad_tech!Y93)</f>
        <v>1.0178407677259345</v>
      </c>
      <c r="DA120" s="171"/>
    </row>
    <row r="121" spans="1:105" ht="11.45" customHeight="1" x14ac:dyDescent="0.25">
      <c r="A121" s="111" t="s">
        <v>112</v>
      </c>
      <c r="B121" s="91">
        <f>IF(TrRoad_act!B63=0,0,TrRoad_ene!B66/TrRoad_tech!B94)</f>
        <v>1.1071506657001544</v>
      </c>
      <c r="C121" s="91">
        <f>IF(TrRoad_act!C63=0,0,TrRoad_ene!C66/TrRoad_tech!C94)</f>
        <v>1.4582826442901835</v>
      </c>
      <c r="D121" s="91">
        <f>IF(TrRoad_act!D63=0,0,TrRoad_ene!D66/TrRoad_tech!D94)</f>
        <v>1.4967010175207516</v>
      </c>
      <c r="E121" s="91">
        <f>IF(TrRoad_act!E63=0,0,TrRoad_ene!E66/TrRoad_tech!E94)</f>
        <v>1.298988482966752</v>
      </c>
      <c r="F121" s="91">
        <f>IF(TrRoad_act!F63=0,0,TrRoad_ene!F66/TrRoad_tech!F94)</f>
        <v>1.2698421802738764</v>
      </c>
      <c r="G121" s="91">
        <f>IF(TrRoad_act!G63=0,0,TrRoad_ene!G66/TrRoad_tech!G94)</f>
        <v>1.3190695338489982</v>
      </c>
      <c r="H121" s="91">
        <f>IF(TrRoad_act!H63=0,0,TrRoad_ene!H66/TrRoad_tech!H94)</f>
        <v>1.4689326654287278</v>
      </c>
      <c r="I121" s="91">
        <f>IF(TrRoad_act!I63=0,0,TrRoad_ene!I66/TrRoad_tech!I94)</f>
        <v>1.5986205406719101</v>
      </c>
      <c r="J121" s="91">
        <f>IF(TrRoad_act!J63=0,0,TrRoad_ene!J66/TrRoad_tech!J94)</f>
        <v>1.3090880438445542</v>
      </c>
      <c r="K121" s="91">
        <f>IF(TrRoad_act!K63=0,0,TrRoad_ene!K66/TrRoad_tech!K94)</f>
        <v>1.070127007185685</v>
      </c>
      <c r="L121" s="91">
        <f>IF(TrRoad_act!L63=0,0,TrRoad_ene!L66/TrRoad_tech!L94)</f>
        <v>1.0597916474666598</v>
      </c>
      <c r="M121" s="91">
        <f>IF(TrRoad_act!M63=0,0,TrRoad_ene!M66/TrRoad_tech!M94)</f>
        <v>1.0369626430721592</v>
      </c>
      <c r="N121" s="91">
        <f>IF(TrRoad_act!N63=0,0,TrRoad_ene!N66/TrRoad_tech!N94)</f>
        <v>1.030366454487345</v>
      </c>
      <c r="O121" s="91">
        <f>IF(TrRoad_act!O63=0,0,TrRoad_ene!O66/TrRoad_tech!O94)</f>
        <v>1.0492994557723934</v>
      </c>
      <c r="P121" s="91">
        <f>IF(TrRoad_act!P63=0,0,TrRoad_ene!P66/TrRoad_tech!P94)</f>
        <v>0.99132144534928501</v>
      </c>
      <c r="Q121" s="91">
        <f>IF(TrRoad_act!Q63=0,0,TrRoad_ene!Q66/TrRoad_tech!Q94)</f>
        <v>1.0241213036631036</v>
      </c>
      <c r="R121" s="91">
        <f>IF(TrRoad_act!R63=0,0,TrRoad_ene!R66/TrRoad_tech!R94)</f>
        <v>1.0317960951826575</v>
      </c>
      <c r="S121" s="91">
        <f>IF(TrRoad_act!S63=0,0,TrRoad_ene!S66/TrRoad_tech!S94)</f>
        <v>0.9900037483242542</v>
      </c>
      <c r="T121" s="91">
        <f>IF(TrRoad_act!T63=0,0,TrRoad_ene!T66/TrRoad_tech!T94)</f>
        <v>0.9354228027472804</v>
      </c>
      <c r="U121" s="91">
        <f>IF(TrRoad_act!U63=0,0,TrRoad_ene!U66/TrRoad_tech!U94)</f>
        <v>0.94231117676107756</v>
      </c>
      <c r="V121" s="91">
        <f>IF(TrRoad_act!V63=0,0,TrRoad_ene!V66/TrRoad_tech!V94)</f>
        <v>0.84640285605293453</v>
      </c>
      <c r="W121" s="91">
        <f>IF(TrRoad_act!W63=0,0,TrRoad_ene!W66/TrRoad_tech!W94)</f>
        <v>0.83342065588046399</v>
      </c>
      <c r="X121" s="91">
        <f>IF(TrRoad_act!X63=0,0,TrRoad_ene!X66/TrRoad_tech!X94)</f>
        <v>0.85863883178066425</v>
      </c>
      <c r="Y121" s="91">
        <f>IF(TrRoad_act!Y63=0,0,TrRoad_ene!Y66/TrRoad_tech!Y94)</f>
        <v>0.94195455689404362</v>
      </c>
      <c r="DA121" s="171"/>
    </row>
    <row r="122" spans="1:105" ht="11.45" customHeight="1" x14ac:dyDescent="0.25">
      <c r="A122" s="111" t="s">
        <v>113</v>
      </c>
      <c r="B122" s="91">
        <f>IF(TrRoad_act!B64=0,0,TrRoad_ene!B67/TrRoad_tech!B95)</f>
        <v>0</v>
      </c>
      <c r="C122" s="91">
        <f>IF(TrRoad_act!C64=0,0,TrRoad_ene!C67/TrRoad_tech!C95)</f>
        <v>0</v>
      </c>
      <c r="D122" s="91">
        <f>IF(TrRoad_act!D64=0,0,TrRoad_ene!D67/TrRoad_tech!D95)</f>
        <v>0</v>
      </c>
      <c r="E122" s="91">
        <f>IF(TrRoad_act!E64=0,0,TrRoad_ene!E67/TrRoad_tech!E95)</f>
        <v>0</v>
      </c>
      <c r="F122" s="91">
        <f>IF(TrRoad_act!F64=0,0,TrRoad_ene!F67/TrRoad_tech!F95)</f>
        <v>0</v>
      </c>
      <c r="G122" s="91">
        <f>IF(TrRoad_act!G64=0,0,TrRoad_ene!G67/TrRoad_tech!G95)</f>
        <v>0</v>
      </c>
      <c r="H122" s="91">
        <f>IF(TrRoad_act!H64=0,0,TrRoad_ene!H67/TrRoad_tech!H95)</f>
        <v>0</v>
      </c>
      <c r="I122" s="91">
        <f>IF(TrRoad_act!I64=0,0,TrRoad_ene!I67/TrRoad_tech!I95)</f>
        <v>0</v>
      </c>
      <c r="J122" s="91">
        <f>IF(TrRoad_act!J64=0,0,TrRoad_ene!J67/TrRoad_tech!J95)</f>
        <v>0</v>
      </c>
      <c r="K122" s="91">
        <f>IF(TrRoad_act!K64=0,0,TrRoad_ene!K67/TrRoad_tech!K95)</f>
        <v>0</v>
      </c>
      <c r="L122" s="91">
        <f>IF(TrRoad_act!L64=0,0,TrRoad_ene!L67/TrRoad_tech!L95)</f>
        <v>1.0555555555604401</v>
      </c>
      <c r="M122" s="91">
        <f>IF(TrRoad_act!M64=0,0,TrRoad_ene!M67/TrRoad_tech!M95)</f>
        <v>1.0555555555604401</v>
      </c>
      <c r="N122" s="91">
        <f>IF(TrRoad_act!N64=0,0,TrRoad_ene!N67/TrRoad_tech!N95)</f>
        <v>1.0622326280710899</v>
      </c>
      <c r="O122" s="91">
        <f>IF(TrRoad_act!O64=0,0,TrRoad_ene!O67/TrRoad_tech!O95)</f>
        <v>1.0683228078340112</v>
      </c>
      <c r="P122" s="91">
        <f>IF(TrRoad_act!P64=0,0,TrRoad_ene!P67/TrRoad_tech!P95)</f>
        <v>1.0701298174647764</v>
      </c>
      <c r="Q122" s="91">
        <f>IF(TrRoad_act!Q64=0,0,TrRoad_ene!Q67/TrRoad_tech!Q95)</f>
        <v>1.0725045400685647</v>
      </c>
      <c r="R122" s="91">
        <f>IF(TrRoad_act!R64=0,0,TrRoad_ene!R67/TrRoad_tech!R95)</f>
        <v>1.0757812940475422</v>
      </c>
      <c r="S122" s="91">
        <f>IF(TrRoad_act!S64=0,0,TrRoad_ene!S67/TrRoad_tech!S95)</f>
        <v>1.0784812570795566</v>
      </c>
      <c r="T122" s="91">
        <f>IF(TrRoad_act!T64=0,0,TrRoad_ene!T67/TrRoad_tech!T95)</f>
        <v>1.0886120048416976</v>
      </c>
      <c r="U122" s="91">
        <f>IF(TrRoad_act!U64=0,0,TrRoad_ene!U67/TrRoad_tech!U95)</f>
        <v>1.0923109917513301</v>
      </c>
      <c r="V122" s="91">
        <f>IF(TrRoad_act!V64=0,0,TrRoad_ene!V67/TrRoad_tech!V95)</f>
        <v>1.0938267273325688</v>
      </c>
      <c r="W122" s="91">
        <f>IF(TrRoad_act!W64=0,0,TrRoad_ene!W67/TrRoad_tech!W95)</f>
        <v>1.0957225597290452</v>
      </c>
      <c r="X122" s="91">
        <f>IF(TrRoad_act!X64=0,0,TrRoad_ene!X67/TrRoad_tech!X95)</f>
        <v>1.0961262212835656</v>
      </c>
      <c r="Y122" s="91">
        <f>IF(TrRoad_act!Y64=0,0,TrRoad_ene!Y67/TrRoad_tech!Y95)</f>
        <v>1.0963447143379728</v>
      </c>
      <c r="DA122" s="171"/>
    </row>
    <row r="123" spans="1:105" ht="11.45" customHeight="1" x14ac:dyDescent="0.25">
      <c r="A123" s="111" t="s">
        <v>114</v>
      </c>
      <c r="B123" s="91">
        <f>IF(TrRoad_act!B65=0,0,TrRoad_ene!B68/TrRoad_tech!B96)</f>
        <v>0</v>
      </c>
      <c r="C123" s="91">
        <f>IF(TrRoad_act!C65=0,0,TrRoad_ene!C68/TrRoad_tech!C96)</f>
        <v>0</v>
      </c>
      <c r="D123" s="91">
        <f>IF(TrRoad_act!D65=0,0,TrRoad_ene!D68/TrRoad_tech!D96)</f>
        <v>0</v>
      </c>
      <c r="E123" s="91">
        <f>IF(TrRoad_act!E65=0,0,TrRoad_ene!E68/TrRoad_tech!E96)</f>
        <v>0</v>
      </c>
      <c r="F123" s="91">
        <f>IF(TrRoad_act!F65=0,0,TrRoad_ene!F68/TrRoad_tech!F96)</f>
        <v>0</v>
      </c>
      <c r="G123" s="91">
        <f>IF(TrRoad_act!G65=0,0,TrRoad_ene!G68/TrRoad_tech!G96)</f>
        <v>0</v>
      </c>
      <c r="H123" s="91">
        <f>IF(TrRoad_act!H65=0,0,TrRoad_ene!H68/TrRoad_tech!H96)</f>
        <v>0</v>
      </c>
      <c r="I123" s="91">
        <f>IF(TrRoad_act!I65=0,0,TrRoad_ene!I68/TrRoad_tech!I96)</f>
        <v>0</v>
      </c>
      <c r="J123" s="91">
        <f>IF(TrRoad_act!J65=0,0,TrRoad_ene!J68/TrRoad_tech!J96)</f>
        <v>0</v>
      </c>
      <c r="K123" s="91">
        <f>IF(TrRoad_act!K65=0,0,TrRoad_ene!K68/TrRoad_tech!K96)</f>
        <v>0</v>
      </c>
      <c r="L123" s="91">
        <f>IF(TrRoad_act!L65=0,0,TrRoad_ene!L68/TrRoad_tech!L96)</f>
        <v>0</v>
      </c>
      <c r="M123" s="91">
        <f>IF(TrRoad_act!M65=0,0,TrRoad_ene!M68/TrRoad_tech!M96)</f>
        <v>0.99189704526062739</v>
      </c>
      <c r="N123" s="91">
        <f>IF(TrRoad_act!N65=0,0,TrRoad_ene!N68/TrRoad_tech!N96)</f>
        <v>1.000662071497288</v>
      </c>
      <c r="O123" s="91">
        <f>IF(TrRoad_act!O65=0,0,TrRoad_ene!O68/TrRoad_tech!O96)</f>
        <v>1.0059349270207383</v>
      </c>
      <c r="P123" s="91">
        <f>IF(TrRoad_act!P65=0,0,TrRoad_ene!P68/TrRoad_tech!P96)</f>
        <v>1.0173546645618845</v>
      </c>
      <c r="Q123" s="91">
        <f>IF(TrRoad_act!Q65=0,0,TrRoad_ene!Q68/TrRoad_tech!Q96)</f>
        <v>1.0318051064315505</v>
      </c>
      <c r="R123" s="91">
        <f>IF(TrRoad_act!R65=0,0,TrRoad_ene!R68/TrRoad_tech!R96)</f>
        <v>1.0500760208698114</v>
      </c>
      <c r="S123" s="91">
        <f>IF(TrRoad_act!S65=0,0,TrRoad_ene!S68/TrRoad_tech!S96)</f>
        <v>1.0614502324130217</v>
      </c>
      <c r="T123" s="91">
        <f>IF(TrRoad_act!T65=0,0,TrRoad_ene!T68/TrRoad_tech!T96)</f>
        <v>1.0799382571655145</v>
      </c>
      <c r="U123" s="91">
        <f>IF(TrRoad_act!U65=0,0,TrRoad_ene!U68/TrRoad_tech!U96)</f>
        <v>1.091787664464906</v>
      </c>
      <c r="V123" s="91">
        <f>IF(TrRoad_act!V65=0,0,TrRoad_ene!V68/TrRoad_tech!V96)</f>
        <v>1.0924432078565292</v>
      </c>
      <c r="W123" s="91">
        <f>IF(TrRoad_act!W65=0,0,TrRoad_ene!W68/TrRoad_tech!W96)</f>
        <v>1.0967199439813906</v>
      </c>
      <c r="X123" s="91">
        <f>IF(TrRoad_act!X65=0,0,TrRoad_ene!X68/TrRoad_tech!X96)</f>
        <v>1.122140169869406</v>
      </c>
      <c r="Y123" s="91">
        <f>IF(TrRoad_act!Y65=0,0,TrRoad_ene!Y68/TrRoad_tech!Y96)</f>
        <v>1.1381251029668336</v>
      </c>
      <c r="DA123" s="171"/>
    </row>
    <row r="124" spans="1:105" ht="11.45" customHeight="1" x14ac:dyDescent="0.25">
      <c r="A124" s="111" t="s">
        <v>115</v>
      </c>
      <c r="B124" s="91">
        <f>IF(TrRoad_act!B66=0,0,TrRoad_ene!B69/TrRoad_tech!B97)</f>
        <v>0</v>
      </c>
      <c r="C124" s="91">
        <f>IF(TrRoad_act!C66=0,0,TrRoad_ene!C69/TrRoad_tech!C97)</f>
        <v>0</v>
      </c>
      <c r="D124" s="91">
        <f>IF(TrRoad_act!D66=0,0,TrRoad_ene!D69/TrRoad_tech!D97)</f>
        <v>0</v>
      </c>
      <c r="E124" s="91">
        <f>IF(TrRoad_act!E66=0,0,TrRoad_ene!E69/TrRoad_tech!E97)</f>
        <v>0</v>
      </c>
      <c r="F124" s="91">
        <f>IF(TrRoad_act!F66=0,0,TrRoad_ene!F69/TrRoad_tech!F97)</f>
        <v>0</v>
      </c>
      <c r="G124" s="91">
        <f>IF(TrRoad_act!G66=0,0,TrRoad_ene!G69/TrRoad_tech!G97)</f>
        <v>0</v>
      </c>
      <c r="H124" s="91">
        <f>IF(TrRoad_act!H66=0,0,TrRoad_ene!H69/TrRoad_tech!H97)</f>
        <v>0</v>
      </c>
      <c r="I124" s="91">
        <f>IF(TrRoad_act!I66=0,0,TrRoad_ene!I69/TrRoad_tech!I97)</f>
        <v>0</v>
      </c>
      <c r="J124" s="91">
        <f>IF(TrRoad_act!J66=0,0,TrRoad_ene!J69/TrRoad_tech!J97)</f>
        <v>1.0470370370414097</v>
      </c>
      <c r="K124" s="91">
        <f>IF(TrRoad_act!K66=0,0,TrRoad_ene!K69/TrRoad_tech!K97)</f>
        <v>1.0471822804195168</v>
      </c>
      <c r="L124" s="91">
        <f>IF(TrRoad_act!L66=0,0,TrRoad_ene!L69/TrRoad_tech!L97)</f>
        <v>1.0555555555604399</v>
      </c>
      <c r="M124" s="91">
        <f>IF(TrRoad_act!M66=0,0,TrRoad_ene!M69/TrRoad_tech!M97)</f>
        <v>1.0590569625536477</v>
      </c>
      <c r="N124" s="91">
        <f>IF(TrRoad_act!N66=0,0,TrRoad_ene!N69/TrRoad_tech!N97)</f>
        <v>1.0603503248254138</v>
      </c>
      <c r="O124" s="91">
        <f>IF(TrRoad_act!O66=0,0,TrRoad_ene!O69/TrRoad_tech!O97)</f>
        <v>1.0654187787090661</v>
      </c>
      <c r="P124" s="91">
        <f>IF(TrRoad_act!P66=0,0,TrRoad_ene!P69/TrRoad_tech!P97)</f>
        <v>1.0718145092746632</v>
      </c>
      <c r="Q124" s="91">
        <f>IF(TrRoad_act!Q66=0,0,TrRoad_ene!Q69/TrRoad_tech!Q97)</f>
        <v>1.0811023344592079</v>
      </c>
      <c r="R124" s="91">
        <f>IF(TrRoad_act!R66=0,0,TrRoad_ene!R69/TrRoad_tech!R97)</f>
        <v>1.0855505094241102</v>
      </c>
      <c r="S124" s="91">
        <f>IF(TrRoad_act!S66=0,0,TrRoad_ene!S69/TrRoad_tech!S97)</f>
        <v>1.0899351182672627</v>
      </c>
      <c r="T124" s="91">
        <f>IF(TrRoad_act!T66=0,0,TrRoad_ene!T69/TrRoad_tech!T97)</f>
        <v>1.0927401536797428</v>
      </c>
      <c r="U124" s="91">
        <f>IF(TrRoad_act!U66=0,0,TrRoad_ene!U69/TrRoad_tech!U97)</f>
        <v>1.0944754726176757</v>
      </c>
      <c r="V124" s="91">
        <f>IF(TrRoad_act!V66=0,0,TrRoad_ene!V69/TrRoad_tech!V97)</f>
        <v>1.0958153929337646</v>
      </c>
      <c r="W124" s="91">
        <f>IF(TrRoad_act!W66=0,0,TrRoad_ene!W69/TrRoad_tech!W97)</f>
        <v>1.0969018020844317</v>
      </c>
      <c r="X124" s="91">
        <f>IF(TrRoad_act!X66=0,0,TrRoad_ene!X69/TrRoad_tech!X97)</f>
        <v>1.0977398936454654</v>
      </c>
      <c r="Y124" s="91">
        <f>IF(TrRoad_act!Y66=0,0,TrRoad_ene!Y69/TrRoad_tech!Y97)</f>
        <v>1.0987598277978714</v>
      </c>
      <c r="DA124" s="171"/>
    </row>
    <row r="125" spans="1:105" ht="11.45" customHeight="1" x14ac:dyDescent="0.25">
      <c r="A125" s="109" t="s">
        <v>21</v>
      </c>
      <c r="B125" s="151">
        <f>IF(TrRoad_act!B67=0,0,TrRoad_ene!B70/TrRoad_tech!B98)</f>
        <v>1.1006378378642006</v>
      </c>
      <c r="C125" s="151">
        <f>IF(TrRoad_act!C67=0,0,TrRoad_ene!C70/TrRoad_tech!C98)</f>
        <v>1.0920711850339966</v>
      </c>
      <c r="D125" s="151">
        <f>IF(TrRoad_act!D67=0,0,TrRoad_ene!D70/TrRoad_tech!D98)</f>
        <v>1.0909103973379219</v>
      </c>
      <c r="E125" s="151">
        <f>IF(TrRoad_act!E67=0,0,TrRoad_ene!E70/TrRoad_tech!E98)</f>
        <v>1.0887808169607929</v>
      </c>
      <c r="F125" s="151">
        <f>IF(TrRoad_act!F67=0,0,TrRoad_ene!F70/TrRoad_tech!F98)</f>
        <v>1.0878471860735821</v>
      </c>
      <c r="G125" s="151">
        <f>IF(TrRoad_act!G67=0,0,TrRoad_ene!G70/TrRoad_tech!G98)</f>
        <v>1.0961544980376434</v>
      </c>
      <c r="H125" s="151">
        <f>IF(TrRoad_act!H67=0,0,TrRoad_ene!H70/TrRoad_tech!H98)</f>
        <v>1.097189387075167</v>
      </c>
      <c r="I125" s="151">
        <f>IF(TrRoad_act!I67=0,0,TrRoad_ene!I70/TrRoad_tech!I98)</f>
        <v>1.101281247797824</v>
      </c>
      <c r="J125" s="151">
        <f>IF(TrRoad_act!J67=0,0,TrRoad_ene!J70/TrRoad_tech!J98)</f>
        <v>1.103060162137091</v>
      </c>
      <c r="K125" s="151">
        <f>IF(TrRoad_act!K67=0,0,TrRoad_ene!K70/TrRoad_tech!K98)</f>
        <v>1.1027726674498284</v>
      </c>
      <c r="L125" s="151">
        <f>IF(TrRoad_act!L67=0,0,TrRoad_ene!L70/TrRoad_tech!L98)</f>
        <v>1.1101633962187896</v>
      </c>
      <c r="M125" s="151">
        <f>IF(TrRoad_act!M67=0,0,TrRoad_ene!M70/TrRoad_tech!M98)</f>
        <v>1.1146994438236826</v>
      </c>
      <c r="N125" s="151">
        <f>IF(TrRoad_act!N67=0,0,TrRoad_ene!N70/TrRoad_tech!N98)</f>
        <v>1.1357580714943254</v>
      </c>
      <c r="O125" s="151">
        <f>IF(TrRoad_act!O67=0,0,TrRoad_ene!O70/TrRoad_tech!O98)</f>
        <v>1.150507775915377</v>
      </c>
      <c r="P125" s="151">
        <f>IF(TrRoad_act!P67=0,0,TrRoad_ene!P70/TrRoad_tech!P98)</f>
        <v>1.1770265009760412</v>
      </c>
      <c r="Q125" s="151">
        <f>IF(TrRoad_act!Q67=0,0,TrRoad_ene!Q70/TrRoad_tech!Q98)</f>
        <v>1.1969749072590552</v>
      </c>
      <c r="R125" s="151">
        <f>IF(TrRoad_act!R67=0,0,TrRoad_ene!R70/TrRoad_tech!R98)</f>
        <v>1.2096740897164804</v>
      </c>
      <c r="S125" s="151">
        <f>IF(TrRoad_act!S67=0,0,TrRoad_ene!S70/TrRoad_tech!S98)</f>
        <v>1.2199710743438239</v>
      </c>
      <c r="T125" s="151">
        <f>IF(TrRoad_act!T67=0,0,TrRoad_ene!T70/TrRoad_tech!T98)</f>
        <v>1.2030225776771513</v>
      </c>
      <c r="U125" s="151">
        <f>IF(TrRoad_act!U67=0,0,TrRoad_ene!U70/TrRoad_tech!U98)</f>
        <v>1.2662929259535323</v>
      </c>
      <c r="V125" s="151">
        <f>IF(TrRoad_act!V67=0,0,TrRoad_ene!V70/TrRoad_tech!V98)</f>
        <v>1.3303516549522296</v>
      </c>
      <c r="W125" s="151">
        <f>IF(TrRoad_act!W67=0,0,TrRoad_ene!W70/TrRoad_tech!W98)</f>
        <v>1.2993604793399869</v>
      </c>
      <c r="X125" s="151">
        <f>IF(TrRoad_act!X67=0,0,TrRoad_ene!X70/TrRoad_tech!X98)</f>
        <v>1.3374628620637088</v>
      </c>
      <c r="Y125" s="151">
        <f>IF(TrRoad_act!Y67=0,0,TrRoad_ene!Y70/TrRoad_tech!Y98)</f>
        <v>1.3258187749768302</v>
      </c>
      <c r="DA125" s="176"/>
    </row>
    <row r="126" spans="1:105" ht="11.45" customHeight="1" x14ac:dyDescent="0.25">
      <c r="A126" s="111" t="s">
        <v>110</v>
      </c>
      <c r="B126" s="93">
        <f>IF(TrRoad_act!B68=0,0,TrRoad_ene!B71/TrRoad_tech!B99)</f>
        <v>0</v>
      </c>
      <c r="C126" s="93">
        <f>IF(TrRoad_act!C68=0,0,TrRoad_ene!C71/TrRoad_tech!C99)</f>
        <v>0</v>
      </c>
      <c r="D126" s="93">
        <f>IF(TrRoad_act!D68=0,0,TrRoad_ene!D71/TrRoad_tech!D99)</f>
        <v>0</v>
      </c>
      <c r="E126" s="93">
        <f>IF(TrRoad_act!E68=0,0,TrRoad_ene!E71/TrRoad_tech!E99)</f>
        <v>0</v>
      </c>
      <c r="F126" s="93">
        <f>IF(TrRoad_act!F68=0,0,TrRoad_ene!F71/TrRoad_tech!F99)</f>
        <v>0</v>
      </c>
      <c r="G126" s="93">
        <f>IF(TrRoad_act!G68=0,0,TrRoad_ene!G71/TrRoad_tech!G99)</f>
        <v>0</v>
      </c>
      <c r="H126" s="93">
        <f>IF(TrRoad_act!H68=0,0,TrRoad_ene!H71/TrRoad_tech!H99)</f>
        <v>0</v>
      </c>
      <c r="I126" s="93">
        <f>IF(TrRoad_act!I68=0,0,TrRoad_ene!I71/TrRoad_tech!I99)</f>
        <v>0</v>
      </c>
      <c r="J126" s="93">
        <f>IF(TrRoad_act!J68=0,0,TrRoad_ene!J71/TrRoad_tech!J99)</f>
        <v>0</v>
      </c>
      <c r="K126" s="93">
        <f>IF(TrRoad_act!K68=0,0,TrRoad_ene!K71/TrRoad_tech!K99)</f>
        <v>0</v>
      </c>
      <c r="L126" s="93">
        <f>IF(TrRoad_act!L68=0,0,TrRoad_ene!L71/TrRoad_tech!L99)</f>
        <v>1.2000000000070936</v>
      </c>
      <c r="M126" s="93">
        <f>IF(TrRoad_act!M68=0,0,TrRoad_ene!M71/TrRoad_tech!M99)</f>
        <v>1.2000000000070941</v>
      </c>
      <c r="N126" s="93">
        <f>IF(TrRoad_act!N68=0,0,TrRoad_ene!N71/TrRoad_tech!N99)</f>
        <v>1.2000000000070936</v>
      </c>
      <c r="O126" s="93">
        <f>IF(TrRoad_act!O68=0,0,TrRoad_ene!O71/TrRoad_tech!O99)</f>
        <v>1.2080562729756918</v>
      </c>
      <c r="P126" s="93">
        <f>IF(TrRoad_act!P68=0,0,TrRoad_ene!P71/TrRoad_tech!P99)</f>
        <v>1.2080562729756918</v>
      </c>
      <c r="Q126" s="93">
        <f>IF(TrRoad_act!Q68=0,0,TrRoad_ene!Q71/TrRoad_tech!Q99)</f>
        <v>1.2198374506366501</v>
      </c>
      <c r="R126" s="93">
        <f>IF(TrRoad_act!R68=0,0,TrRoad_ene!R71/TrRoad_tech!R99)</f>
        <v>1.2310365236458329</v>
      </c>
      <c r="S126" s="93">
        <f>IF(TrRoad_act!S68=0,0,TrRoad_ene!S71/TrRoad_tech!S99)</f>
        <v>1.2348766429124849</v>
      </c>
      <c r="T126" s="93">
        <f>IF(TrRoad_act!T68=0,0,TrRoad_ene!T71/TrRoad_tech!T99)</f>
        <v>1.2348766429124851</v>
      </c>
      <c r="U126" s="93">
        <f>IF(TrRoad_act!U68=0,0,TrRoad_ene!U71/TrRoad_tech!U99)</f>
        <v>1.2483479880671631</v>
      </c>
      <c r="V126" s="93">
        <f>IF(TrRoad_act!V68=0,0,TrRoad_ene!V71/TrRoad_tech!V99)</f>
        <v>1.2542603071275977</v>
      </c>
      <c r="W126" s="93">
        <f>IF(TrRoad_act!W68=0,0,TrRoad_ene!W71/TrRoad_tech!W99)</f>
        <v>1.2542603071275977</v>
      </c>
      <c r="X126" s="93">
        <f>IF(TrRoad_act!X68=0,0,TrRoad_ene!X71/TrRoad_tech!X99)</f>
        <v>1.254260307127598</v>
      </c>
      <c r="Y126" s="93">
        <f>IF(TrRoad_act!Y68=0,0,TrRoad_ene!Y71/TrRoad_tech!Y99)</f>
        <v>1.2542603071275982</v>
      </c>
      <c r="DA126" s="175"/>
    </row>
    <row r="127" spans="1:105" ht="11.45" customHeight="1" x14ac:dyDescent="0.25">
      <c r="A127" s="111" t="s">
        <v>111</v>
      </c>
      <c r="B127" s="93">
        <f>IF(TrRoad_act!B69=0,0,TrRoad_ene!B72/TrRoad_tech!B100)</f>
        <v>1.10000000000673</v>
      </c>
      <c r="C127" s="93">
        <f>IF(TrRoad_act!C69=0,0,TrRoad_ene!C72/TrRoad_tech!C100)</f>
        <v>1.1002714814320096</v>
      </c>
      <c r="D127" s="93">
        <f>IF(TrRoad_act!D69=0,0,TrRoad_ene!D72/TrRoad_tech!D100)</f>
        <v>1.1007710871888055</v>
      </c>
      <c r="E127" s="93">
        <f>IF(TrRoad_act!E69=0,0,TrRoad_ene!E72/TrRoad_tech!E100)</f>
        <v>1.1016868517266261</v>
      </c>
      <c r="F127" s="93">
        <f>IF(TrRoad_act!F69=0,0,TrRoad_ene!F72/TrRoad_tech!F100)</f>
        <v>1.1031174689420651</v>
      </c>
      <c r="G127" s="93">
        <f>IF(TrRoad_act!G69=0,0,TrRoad_ene!G72/TrRoad_tech!G100)</f>
        <v>1.1067518226582986</v>
      </c>
      <c r="H127" s="93">
        <f>IF(TrRoad_act!H69=0,0,TrRoad_ene!H72/TrRoad_tech!H100)</f>
        <v>1.1091484717382685</v>
      </c>
      <c r="I127" s="93">
        <f>IF(TrRoad_act!I69=0,0,TrRoad_ene!I72/TrRoad_tech!I100)</f>
        <v>1.1121271304481599</v>
      </c>
      <c r="J127" s="93">
        <f>IF(TrRoad_act!J69=0,0,TrRoad_ene!J72/TrRoad_tech!J100)</f>
        <v>1.1161190186236669</v>
      </c>
      <c r="K127" s="93">
        <f>IF(TrRoad_act!K69=0,0,TrRoad_ene!K72/TrRoad_tech!K100)</f>
        <v>1.1200671109328835</v>
      </c>
      <c r="L127" s="93">
        <f>IF(TrRoad_act!L69=0,0,TrRoad_ene!L72/TrRoad_tech!L100)</f>
        <v>1.1275728183129452</v>
      </c>
      <c r="M127" s="93">
        <f>IF(TrRoad_act!M69=0,0,TrRoad_ene!M72/TrRoad_tech!M100)</f>
        <v>1.1342618130388915</v>
      </c>
      <c r="N127" s="93">
        <f>IF(TrRoad_act!N69=0,0,TrRoad_ene!N72/TrRoad_tech!N100)</f>
        <v>1.1468795220890935</v>
      </c>
      <c r="O127" s="93">
        <f>IF(TrRoad_act!O69=0,0,TrRoad_ene!O72/TrRoad_tech!O100)</f>
        <v>1.1512591165786346</v>
      </c>
      <c r="P127" s="93">
        <f>IF(TrRoad_act!P69=0,0,TrRoad_ene!P72/TrRoad_tech!P100)</f>
        <v>1.1807169937012161</v>
      </c>
      <c r="Q127" s="93">
        <f>IF(TrRoad_act!Q69=0,0,TrRoad_ene!Q72/TrRoad_tech!Q100)</f>
        <v>1.1903641422659605</v>
      </c>
      <c r="R127" s="93">
        <f>IF(TrRoad_act!R69=0,0,TrRoad_ene!R72/TrRoad_tech!R100)</f>
        <v>1.2036045642415187</v>
      </c>
      <c r="S127" s="93">
        <f>IF(TrRoad_act!S69=0,0,TrRoad_ene!S72/TrRoad_tech!S100)</f>
        <v>1.208470575200058</v>
      </c>
      <c r="T127" s="93">
        <f>IF(TrRoad_act!T69=0,0,TrRoad_ene!T72/TrRoad_tech!T100)</f>
        <v>1.2127172342187711</v>
      </c>
      <c r="U127" s="93">
        <f>IF(TrRoad_act!U69=0,0,TrRoad_ene!U72/TrRoad_tech!U100)</f>
        <v>1.2339928667319855</v>
      </c>
      <c r="V127" s="93">
        <f>IF(TrRoad_act!V69=0,0,TrRoad_ene!V72/TrRoad_tech!V100)</f>
        <v>1.2556321095638643</v>
      </c>
      <c r="W127" s="93">
        <f>IF(TrRoad_act!W69=0,0,TrRoad_ene!W72/TrRoad_tech!W100)</f>
        <v>1.2597940374416794</v>
      </c>
      <c r="X127" s="93">
        <f>IF(TrRoad_act!X69=0,0,TrRoad_ene!X72/TrRoad_tech!X100)</f>
        <v>1.2716748023126012</v>
      </c>
      <c r="Y127" s="93">
        <f>IF(TrRoad_act!Y69=0,0,TrRoad_ene!Y72/TrRoad_tech!Y100)</f>
        <v>1.2785831363791622</v>
      </c>
      <c r="DA127" s="175"/>
    </row>
    <row r="128" spans="1:105" ht="11.45" customHeight="1" x14ac:dyDescent="0.25">
      <c r="A128" s="111" t="s">
        <v>112</v>
      </c>
      <c r="B128" s="93">
        <f>IF(TrRoad_act!B70=0,0,TrRoad_ene!B73/TrRoad_tech!B101)</f>
        <v>0</v>
      </c>
      <c r="C128" s="93">
        <f>IF(TrRoad_act!C70=0,0,TrRoad_ene!C73/TrRoad_tech!C101)</f>
        <v>0</v>
      </c>
      <c r="D128" s="93">
        <f>IF(TrRoad_act!D70=0,0,TrRoad_ene!D73/TrRoad_tech!D101)</f>
        <v>0</v>
      </c>
      <c r="E128" s="93">
        <f>IF(TrRoad_act!E70=0,0,TrRoad_ene!E73/TrRoad_tech!E101)</f>
        <v>0</v>
      </c>
      <c r="F128" s="93">
        <f>IF(TrRoad_act!F70=0,0,TrRoad_ene!F73/TrRoad_tech!F101)</f>
        <v>0</v>
      </c>
      <c r="G128" s="93">
        <f>IF(TrRoad_act!G70=0,0,TrRoad_ene!G73/TrRoad_tech!G101)</f>
        <v>0</v>
      </c>
      <c r="H128" s="93">
        <f>IF(TrRoad_act!H70=0,0,TrRoad_ene!H73/TrRoad_tech!H101)</f>
        <v>0</v>
      </c>
      <c r="I128" s="93">
        <f>IF(TrRoad_act!I70=0,0,TrRoad_ene!I73/TrRoad_tech!I101)</f>
        <v>0</v>
      </c>
      <c r="J128" s="93">
        <f>IF(TrRoad_act!J70=0,0,TrRoad_ene!J73/TrRoad_tech!J101)</f>
        <v>0</v>
      </c>
      <c r="K128" s="93">
        <f>IF(TrRoad_act!K70=0,0,TrRoad_ene!K73/TrRoad_tech!K101)</f>
        <v>0</v>
      </c>
      <c r="L128" s="93">
        <f>IF(TrRoad_act!L70=0,0,TrRoad_ene!L73/TrRoad_tech!L101)</f>
        <v>1.2000000000070938</v>
      </c>
      <c r="M128" s="93">
        <f>IF(TrRoad_act!M70=0,0,TrRoad_ene!M73/TrRoad_tech!M101)</f>
        <v>1.2000000000070941</v>
      </c>
      <c r="N128" s="93">
        <f>IF(TrRoad_act!N70=0,0,TrRoad_ene!N73/TrRoad_tech!N101)</f>
        <v>1.2000000000070941</v>
      </c>
      <c r="O128" s="93">
        <f>IF(TrRoad_act!O70=0,0,TrRoad_ene!O73/TrRoad_tech!O101)</f>
        <v>1.2000000000070938</v>
      </c>
      <c r="P128" s="93">
        <f>IF(TrRoad_act!P70=0,0,TrRoad_ene!P73/TrRoad_tech!P101)</f>
        <v>1.2407652221504069</v>
      </c>
      <c r="Q128" s="93">
        <f>IF(TrRoad_act!Q70=0,0,TrRoad_ene!Q73/TrRoad_tech!Q101)</f>
        <v>1.2407652221504069</v>
      </c>
      <c r="R128" s="93">
        <f>IF(TrRoad_act!R70=0,0,TrRoad_ene!R73/TrRoad_tech!R101)</f>
        <v>1.2574725894522065</v>
      </c>
      <c r="S128" s="93">
        <f>IF(TrRoad_act!S70=0,0,TrRoad_ene!S73/TrRoad_tech!S101)</f>
        <v>1.257472589452207</v>
      </c>
      <c r="T128" s="93">
        <f>IF(TrRoad_act!T70=0,0,TrRoad_ene!T73/TrRoad_tech!T101)</f>
        <v>1.2574725894522065</v>
      </c>
      <c r="U128" s="93">
        <f>IF(TrRoad_act!U70=0,0,TrRoad_ene!U73/TrRoad_tech!U101)</f>
        <v>1.2574725894522065</v>
      </c>
      <c r="V128" s="93">
        <f>IF(TrRoad_act!V70=0,0,TrRoad_ene!V73/TrRoad_tech!V101)</f>
        <v>1.2705007523309122</v>
      </c>
      <c r="W128" s="93">
        <f>IF(TrRoad_act!W70=0,0,TrRoad_ene!W73/TrRoad_tech!W101)</f>
        <v>1.2705007523309126</v>
      </c>
      <c r="X128" s="93">
        <f>IF(TrRoad_act!X70=0,0,TrRoad_ene!X73/TrRoad_tech!X101)</f>
        <v>1.291166904541778</v>
      </c>
      <c r="Y128" s="93">
        <f>IF(TrRoad_act!Y70=0,0,TrRoad_ene!Y73/TrRoad_tech!Y101)</f>
        <v>1.2911669045417784</v>
      </c>
      <c r="DA128" s="175"/>
    </row>
    <row r="129" spans="1:105" ht="11.45" customHeight="1" x14ac:dyDescent="0.25">
      <c r="A129" s="111" t="s">
        <v>113</v>
      </c>
      <c r="B129" s="93">
        <f>IF(TrRoad_act!B71=0,0,TrRoad_ene!B74/TrRoad_tech!B102)</f>
        <v>1.4791232437468846</v>
      </c>
      <c r="C129" s="93">
        <f>IF(TrRoad_act!C71=0,0,TrRoad_ene!C74/TrRoad_tech!C102)</f>
        <v>1.4289226554780534</v>
      </c>
      <c r="D129" s="93">
        <f>IF(TrRoad_act!D71=0,0,TrRoad_ene!D74/TrRoad_tech!D102)</f>
        <v>1.4429700081941796</v>
      </c>
      <c r="E129" s="93">
        <f>IF(TrRoad_act!E71=0,0,TrRoad_ene!E74/TrRoad_tech!E102)</f>
        <v>1.3867457470530116</v>
      </c>
      <c r="F129" s="93">
        <f>IF(TrRoad_act!F71=0,0,TrRoad_ene!F74/TrRoad_tech!F102)</f>
        <v>1.39054753844401</v>
      </c>
      <c r="G129" s="93">
        <f>IF(TrRoad_act!G71=0,0,TrRoad_ene!G74/TrRoad_tech!G102)</f>
        <v>1.3943228863573198</v>
      </c>
      <c r="H129" s="93">
        <f>IF(TrRoad_act!H71=0,0,TrRoad_ene!H74/TrRoad_tech!H102)</f>
        <v>1.4018587546501529</v>
      </c>
      <c r="I129" s="93">
        <f>IF(TrRoad_act!I71=0,0,TrRoad_ene!I74/TrRoad_tech!I102)</f>
        <v>1.4083346309182447</v>
      </c>
      <c r="J129" s="93">
        <f>IF(TrRoad_act!J71=0,0,TrRoad_ene!J74/TrRoad_tech!J102)</f>
        <v>1.378476139534236</v>
      </c>
      <c r="K129" s="93">
        <f>IF(TrRoad_act!K71=0,0,TrRoad_ene!K74/TrRoad_tech!K102)</f>
        <v>1.309714615386566</v>
      </c>
      <c r="L129" s="93">
        <f>IF(TrRoad_act!L71=0,0,TrRoad_ene!L74/TrRoad_tech!L102)</f>
        <v>1.3106774127403094</v>
      </c>
      <c r="M129" s="93">
        <f>IF(TrRoad_act!M71=0,0,TrRoad_ene!M74/TrRoad_tech!M102)</f>
        <v>1.2979773570146167</v>
      </c>
      <c r="N129" s="93">
        <f>IF(TrRoad_act!N71=0,0,TrRoad_ene!N74/TrRoad_tech!N102)</f>
        <v>1.2475174499905548</v>
      </c>
      <c r="O129" s="93">
        <f>IF(TrRoad_act!O71=0,0,TrRoad_ene!O74/TrRoad_tech!O102)</f>
        <v>1.4051201126128305</v>
      </c>
      <c r="P129" s="93">
        <f>IF(TrRoad_act!P71=0,0,TrRoad_ene!P74/TrRoad_tech!P102)</f>
        <v>1.4849811697906325</v>
      </c>
      <c r="Q129" s="93">
        <f>IF(TrRoad_act!Q71=0,0,TrRoad_ene!Q74/TrRoad_tech!Q102)</f>
        <v>1.7509646611935852</v>
      </c>
      <c r="R129" s="93">
        <f>IF(TrRoad_act!R71=0,0,TrRoad_ene!R74/TrRoad_tech!R102)</f>
        <v>1.7413052793697714</v>
      </c>
      <c r="S129" s="93">
        <f>IF(TrRoad_act!S71=0,0,TrRoad_ene!S74/TrRoad_tech!S102)</f>
        <v>1.9489796346239214</v>
      </c>
      <c r="T129" s="93">
        <f>IF(TrRoad_act!T71=0,0,TrRoad_ene!T74/TrRoad_tech!T102)</f>
        <v>1.4395682811499857</v>
      </c>
      <c r="U129" s="93">
        <f>IF(TrRoad_act!U71=0,0,TrRoad_ene!U74/TrRoad_tech!U102)</f>
        <v>3.1566891617633988</v>
      </c>
      <c r="V129" s="93">
        <f>IF(TrRoad_act!V71=0,0,TrRoad_ene!V74/TrRoad_tech!V102)</f>
        <v>3.3703013713684857</v>
      </c>
      <c r="W129" s="93">
        <f>IF(TrRoad_act!W71=0,0,TrRoad_ene!W74/TrRoad_tech!W102)</f>
        <v>2.2735664820845818</v>
      </c>
      <c r="X129" s="93">
        <f>IF(TrRoad_act!X71=0,0,TrRoad_ene!X74/TrRoad_tech!X102)</f>
        <v>2.8670942437171041</v>
      </c>
      <c r="Y129" s="93">
        <f>IF(TrRoad_act!Y71=0,0,TrRoad_ene!Y74/TrRoad_tech!Y102)</f>
        <v>2.5170276650601111</v>
      </c>
      <c r="DA129" s="175"/>
    </row>
    <row r="130" spans="1:105" ht="11.45" customHeight="1" x14ac:dyDescent="0.25">
      <c r="A130" s="111" t="s">
        <v>115</v>
      </c>
      <c r="B130" s="93">
        <f>IF(TrRoad_act!B72=0,0,TrRoad_ene!B75/TrRoad_tech!B103)</f>
        <v>0</v>
      </c>
      <c r="C130" s="93">
        <f>IF(TrRoad_act!C72=0,0,TrRoad_ene!C75/TrRoad_tech!C103)</f>
        <v>0</v>
      </c>
      <c r="D130" s="93">
        <f>IF(TrRoad_act!D72=0,0,TrRoad_ene!D75/TrRoad_tech!D103)</f>
        <v>0</v>
      </c>
      <c r="E130" s="93">
        <f>IF(TrRoad_act!E72=0,0,TrRoad_ene!E75/TrRoad_tech!E103)</f>
        <v>0</v>
      </c>
      <c r="F130" s="93">
        <f>IF(TrRoad_act!F72=0,0,TrRoad_ene!F75/TrRoad_tech!F103)</f>
        <v>0</v>
      </c>
      <c r="G130" s="93">
        <f>IF(TrRoad_act!G72=0,0,TrRoad_ene!G75/TrRoad_tech!G103)</f>
        <v>0</v>
      </c>
      <c r="H130" s="93">
        <f>IF(TrRoad_act!H72=0,0,TrRoad_ene!H75/TrRoad_tech!H103)</f>
        <v>0</v>
      </c>
      <c r="I130" s="93">
        <f>IF(TrRoad_act!I72=0,0,TrRoad_ene!I75/TrRoad_tech!I103)</f>
        <v>0</v>
      </c>
      <c r="J130" s="93">
        <f>IF(TrRoad_act!J72=0,0,TrRoad_ene!J75/TrRoad_tech!J103)</f>
        <v>0</v>
      </c>
      <c r="K130" s="93">
        <f>IF(TrRoad_act!K72=0,0,TrRoad_ene!K75/TrRoad_tech!K103)</f>
        <v>0</v>
      </c>
      <c r="L130" s="93">
        <f>IF(TrRoad_act!L72=0,0,TrRoad_ene!L75/TrRoad_tech!L103)</f>
        <v>1.2000000000070941</v>
      </c>
      <c r="M130" s="93">
        <f>IF(TrRoad_act!M72=0,0,TrRoad_ene!M75/TrRoad_tech!M103)</f>
        <v>1.2000000000070941</v>
      </c>
      <c r="N130" s="93">
        <f>IF(TrRoad_act!N72=0,0,TrRoad_ene!N75/TrRoad_tech!N103)</f>
        <v>1.2172205912303491</v>
      </c>
      <c r="O130" s="93">
        <f>IF(TrRoad_act!O72=0,0,TrRoad_ene!O75/TrRoad_tech!O103)</f>
        <v>1.2172205912303493</v>
      </c>
      <c r="P130" s="93">
        <f>IF(TrRoad_act!P72=0,0,TrRoad_ene!P75/TrRoad_tech!P103)</f>
        <v>1.2172205912303493</v>
      </c>
      <c r="Q130" s="93">
        <f>IF(TrRoad_act!Q72=0,0,TrRoad_ene!Q75/TrRoad_tech!Q103)</f>
        <v>1.2172205912303495</v>
      </c>
      <c r="R130" s="93">
        <f>IF(TrRoad_act!R72=0,0,TrRoad_ene!R75/TrRoad_tech!R103)</f>
        <v>1.2172205912303495</v>
      </c>
      <c r="S130" s="93">
        <f>IF(TrRoad_act!S72=0,0,TrRoad_ene!S75/TrRoad_tech!S103)</f>
        <v>1.2645106023408799</v>
      </c>
      <c r="T130" s="93">
        <f>IF(TrRoad_act!T72=0,0,TrRoad_ene!T75/TrRoad_tech!T103)</f>
        <v>1.313355101311382</v>
      </c>
      <c r="U130" s="93">
        <f>IF(TrRoad_act!U72=0,0,TrRoad_ene!U75/TrRoad_tech!U103)</f>
        <v>1.3383239335987891</v>
      </c>
      <c r="V130" s="93">
        <f>IF(TrRoad_act!V72=0,0,TrRoad_ene!V75/TrRoad_tech!V103)</f>
        <v>1.3449002889853598</v>
      </c>
      <c r="W130" s="93">
        <f>IF(TrRoad_act!W72=0,0,TrRoad_ene!W75/TrRoad_tech!W103)</f>
        <v>1.3501604159597138</v>
      </c>
      <c r="X130" s="93">
        <f>IF(TrRoad_act!X72=0,0,TrRoad_ene!X75/TrRoad_tech!X103)</f>
        <v>1.3543518015225313</v>
      </c>
      <c r="Y130" s="93">
        <f>IF(TrRoad_act!Y72=0,0,TrRoad_ene!Y75/TrRoad_tech!Y103)</f>
        <v>1.3607114263440059</v>
      </c>
      <c r="DA130" s="175"/>
    </row>
    <row r="131" spans="1:105" ht="11.45" customHeight="1" x14ac:dyDescent="0.25">
      <c r="A131" s="27" t="s">
        <v>34</v>
      </c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DA131" s="173"/>
    </row>
    <row r="132" spans="1:105" ht="11.45" customHeight="1" x14ac:dyDescent="0.25">
      <c r="A132" s="136" t="s">
        <v>153</v>
      </c>
      <c r="B132" s="150">
        <f>IF(TrRoad_act!B74=0,0,TrRoad_ene!B77/TrRoad_tech!B105)</f>
        <v>1.0996022138938664</v>
      </c>
      <c r="C132" s="150">
        <f>IF(TrRoad_act!C74=0,0,TrRoad_ene!C77/TrRoad_tech!C105)</f>
        <v>1.0854505613996368</v>
      </c>
      <c r="D132" s="150">
        <f>IF(TrRoad_act!D74=0,0,TrRoad_ene!D77/TrRoad_tech!D105)</f>
        <v>1.0831424446603688</v>
      </c>
      <c r="E132" s="150">
        <f>IF(TrRoad_act!E74=0,0,TrRoad_ene!E77/TrRoad_tech!E105)</f>
        <v>1.082717878807502</v>
      </c>
      <c r="F132" s="150">
        <f>IF(TrRoad_act!F74=0,0,TrRoad_ene!F77/TrRoad_tech!F105)</f>
        <v>1.0789817130220087</v>
      </c>
      <c r="G132" s="150">
        <f>IF(TrRoad_act!G74=0,0,TrRoad_ene!G77/TrRoad_tech!G105)</f>
        <v>1.0727270458123654</v>
      </c>
      <c r="H132" s="150">
        <f>IF(TrRoad_act!H74=0,0,TrRoad_ene!H77/TrRoad_tech!H105)</f>
        <v>1.0685999806584179</v>
      </c>
      <c r="I132" s="150">
        <f>IF(TrRoad_act!I74=0,0,TrRoad_ene!I77/TrRoad_tech!I105)</f>
        <v>1.0666026766718089</v>
      </c>
      <c r="J132" s="150">
        <f>IF(TrRoad_act!J74=0,0,TrRoad_ene!J77/TrRoad_tech!J105)</f>
        <v>1.0662789443487888</v>
      </c>
      <c r="K132" s="150">
        <f>IF(TrRoad_act!K74=0,0,TrRoad_ene!K77/TrRoad_tech!K105)</f>
        <v>1.0678985190195773</v>
      </c>
      <c r="L132" s="150">
        <f>IF(TrRoad_act!L74=0,0,TrRoad_ene!L77/TrRoad_tech!L105)</f>
        <v>1.0715860379094095</v>
      </c>
      <c r="M132" s="150">
        <f>IF(TrRoad_act!M74=0,0,TrRoad_ene!M77/TrRoad_tech!M105)</f>
        <v>1.0776315901703843</v>
      </c>
      <c r="N132" s="150">
        <f>IF(TrRoad_act!N74=0,0,TrRoad_ene!N77/TrRoad_tech!N105)</f>
        <v>1.089448587508032</v>
      </c>
      <c r="O132" s="150">
        <f>IF(TrRoad_act!O74=0,0,TrRoad_ene!O77/TrRoad_tech!O105)</f>
        <v>1.091029349319083</v>
      </c>
      <c r="P132" s="150">
        <f>IF(TrRoad_act!P74=0,0,TrRoad_ene!P77/TrRoad_tech!P105)</f>
        <v>1.1080366280528799</v>
      </c>
      <c r="Q132" s="150">
        <f>IF(TrRoad_act!Q74=0,0,TrRoad_ene!Q77/TrRoad_tech!Q105)</f>
        <v>1.1231536539976981</v>
      </c>
      <c r="R132" s="150">
        <f>IF(TrRoad_act!R74=0,0,TrRoad_ene!R77/TrRoad_tech!R105)</f>
        <v>1.1295570628818077</v>
      </c>
      <c r="S132" s="150">
        <f>IF(TrRoad_act!S74=0,0,TrRoad_ene!S77/TrRoad_tech!S105)</f>
        <v>1.1454314605812117</v>
      </c>
      <c r="T132" s="150">
        <f>IF(TrRoad_act!T74=0,0,TrRoad_ene!T77/TrRoad_tech!T105)</f>
        <v>1.1634272359297042</v>
      </c>
      <c r="U132" s="150">
        <f>IF(TrRoad_act!U74=0,0,TrRoad_ene!U77/TrRoad_tech!U105)</f>
        <v>1.1788116189925841</v>
      </c>
      <c r="V132" s="150">
        <f>IF(TrRoad_act!V74=0,0,TrRoad_ene!V77/TrRoad_tech!V105)</f>
        <v>1.1925769269749902</v>
      </c>
      <c r="W132" s="150">
        <f>IF(TrRoad_act!W74=0,0,TrRoad_ene!W77/TrRoad_tech!W105)</f>
        <v>1.1965982715470298</v>
      </c>
      <c r="X132" s="150">
        <f>IF(TrRoad_act!X74=0,0,TrRoad_ene!X77/TrRoad_tech!X105)</f>
        <v>1.2135443466589153</v>
      </c>
      <c r="Y132" s="150">
        <f>IF(TrRoad_act!Y74=0,0,TrRoad_ene!Y77/TrRoad_tech!Y105)</f>
        <v>1.2300299552913745</v>
      </c>
      <c r="DA132" s="174"/>
    </row>
    <row r="133" spans="1:105" ht="11.45" customHeight="1" x14ac:dyDescent="0.25">
      <c r="A133" s="111" t="s">
        <v>110</v>
      </c>
      <c r="B133" s="91">
        <f>IF(TrRoad_act!B75=0,0,TrRoad_ene!B78/TrRoad_tech!B106)</f>
        <v>1.1000000000067303</v>
      </c>
      <c r="C133" s="91">
        <f>IF(TrRoad_act!C75=0,0,TrRoad_ene!C78/TrRoad_tech!C106)</f>
        <v>1.1000001963768484</v>
      </c>
      <c r="D133" s="91">
        <f>IF(TrRoad_act!D75=0,0,TrRoad_ene!D78/TrRoad_tech!D106)</f>
        <v>1.1000002082924201</v>
      </c>
      <c r="E133" s="91">
        <f>IF(TrRoad_act!E75=0,0,TrRoad_ene!E78/TrRoad_tech!E106)</f>
        <v>1.1000023427173327</v>
      </c>
      <c r="F133" s="91">
        <f>IF(TrRoad_act!F75=0,0,TrRoad_ene!F78/TrRoad_tech!F106)</f>
        <v>1.1000025091608632</v>
      </c>
      <c r="G133" s="91">
        <f>IF(TrRoad_act!G75=0,0,TrRoad_ene!G78/TrRoad_tech!G106)</f>
        <v>1.1000053952426305</v>
      </c>
      <c r="H133" s="91">
        <f>IF(TrRoad_act!H75=0,0,TrRoad_ene!H78/TrRoad_tech!H106)</f>
        <v>1.1003493184423723</v>
      </c>
      <c r="I133" s="91">
        <f>IF(TrRoad_act!I75=0,0,TrRoad_ene!I78/TrRoad_tech!I106)</f>
        <v>1.1011943397680291</v>
      </c>
      <c r="J133" s="91">
        <f>IF(TrRoad_act!J75=0,0,TrRoad_ene!J78/TrRoad_tech!J106)</f>
        <v>1.1024954420717155</v>
      </c>
      <c r="K133" s="91">
        <f>IF(TrRoad_act!K75=0,0,TrRoad_ene!K78/TrRoad_tech!K106)</f>
        <v>1.1045289512193719</v>
      </c>
      <c r="L133" s="91">
        <f>IF(TrRoad_act!L75=0,0,TrRoad_ene!L78/TrRoad_tech!L106)</f>
        <v>1.1072385147941262</v>
      </c>
      <c r="M133" s="91">
        <f>IF(TrRoad_act!M75=0,0,TrRoad_ene!M78/TrRoad_tech!M106)</f>
        <v>1.1079854231081316</v>
      </c>
      <c r="N133" s="91">
        <f>IF(TrRoad_act!N75=0,0,TrRoad_ene!N78/TrRoad_tech!N106)</f>
        <v>1.1089993145012025</v>
      </c>
      <c r="O133" s="91">
        <f>IF(TrRoad_act!O75=0,0,TrRoad_ene!O78/TrRoad_tech!O106)</f>
        <v>1.1097366825694233</v>
      </c>
      <c r="P133" s="91">
        <f>IF(TrRoad_act!P75=0,0,TrRoad_ene!P78/TrRoad_tech!P106)</f>
        <v>1.1126937987979326</v>
      </c>
      <c r="Q133" s="91">
        <f>IF(TrRoad_act!Q75=0,0,TrRoad_ene!Q78/TrRoad_tech!Q106)</f>
        <v>1.1291549791510307</v>
      </c>
      <c r="R133" s="91">
        <f>IF(TrRoad_act!R75=0,0,TrRoad_ene!R78/TrRoad_tech!R106)</f>
        <v>1.1352394044280321</v>
      </c>
      <c r="S133" s="91">
        <f>IF(TrRoad_act!S75=0,0,TrRoad_ene!S78/TrRoad_tech!S106)</f>
        <v>1.1521156927445815</v>
      </c>
      <c r="T133" s="91">
        <f>IF(TrRoad_act!T75=0,0,TrRoad_ene!T78/TrRoad_tech!T106)</f>
        <v>1.1608693612767664</v>
      </c>
      <c r="U133" s="91">
        <f>IF(TrRoad_act!U75=0,0,TrRoad_ene!U78/TrRoad_tech!U106)</f>
        <v>1.2064603298599832</v>
      </c>
      <c r="V133" s="91">
        <f>IF(TrRoad_act!V75=0,0,TrRoad_ene!V78/TrRoad_tech!V106)</f>
        <v>1.2409703209817551</v>
      </c>
      <c r="W133" s="91">
        <f>IF(TrRoad_act!W75=0,0,TrRoad_ene!W78/TrRoad_tech!W106)</f>
        <v>1.2460398099680681</v>
      </c>
      <c r="X133" s="91">
        <f>IF(TrRoad_act!X75=0,0,TrRoad_ene!X78/TrRoad_tech!X106)</f>
        <v>1.2472313137557478</v>
      </c>
      <c r="Y133" s="91">
        <f>IF(TrRoad_act!Y75=0,0,TrRoad_ene!Y78/TrRoad_tech!Y106)</f>
        <v>1.2613100933989365</v>
      </c>
      <c r="DA133" s="171"/>
    </row>
    <row r="134" spans="1:105" ht="11.45" customHeight="1" x14ac:dyDescent="0.25">
      <c r="A134" s="111" t="s">
        <v>111</v>
      </c>
      <c r="B134" s="91">
        <f>IF(TrRoad_act!B76=0,0,TrRoad_ene!B79/TrRoad_tech!B107)</f>
        <v>1.1000000000067303</v>
      </c>
      <c r="C134" s="91">
        <f>IF(TrRoad_act!C76=0,0,TrRoad_ene!C79/TrRoad_tech!C107)</f>
        <v>1.1000901305382209</v>
      </c>
      <c r="D134" s="91">
        <f>IF(TrRoad_act!D76=0,0,TrRoad_ene!D79/TrRoad_tech!D107)</f>
        <v>1.1001316361602074</v>
      </c>
      <c r="E134" s="91">
        <f>IF(TrRoad_act!E76=0,0,TrRoad_ene!E79/TrRoad_tech!E107)</f>
        <v>1.1001410863943906</v>
      </c>
      <c r="F134" s="91">
        <f>IF(TrRoad_act!F76=0,0,TrRoad_ene!F79/TrRoad_tech!F107)</f>
        <v>1.1003055192216147</v>
      </c>
      <c r="G134" s="91">
        <f>IF(TrRoad_act!G76=0,0,TrRoad_ene!G79/TrRoad_tech!G107)</f>
        <v>1.1007689519756407</v>
      </c>
      <c r="H134" s="91">
        <f>IF(TrRoad_act!H76=0,0,TrRoad_ene!H79/TrRoad_tech!H107)</f>
        <v>1.1017880040743215</v>
      </c>
      <c r="I134" s="91">
        <f>IF(TrRoad_act!I76=0,0,TrRoad_ene!I79/TrRoad_tech!I107)</f>
        <v>1.1034860077727666</v>
      </c>
      <c r="J134" s="91">
        <f>IF(TrRoad_act!J76=0,0,TrRoad_ene!J79/TrRoad_tech!J107)</f>
        <v>1.105637958873914</v>
      </c>
      <c r="K134" s="91">
        <f>IF(TrRoad_act!K76=0,0,TrRoad_ene!K79/TrRoad_tech!K107)</f>
        <v>1.1085722078321789</v>
      </c>
      <c r="L134" s="91">
        <f>IF(TrRoad_act!L76=0,0,TrRoad_ene!L79/TrRoad_tech!L107)</f>
        <v>1.1114370822457507</v>
      </c>
      <c r="M134" s="91">
        <f>IF(TrRoad_act!M76=0,0,TrRoad_ene!M79/TrRoad_tech!M107)</f>
        <v>1.114881657660872</v>
      </c>
      <c r="N134" s="91">
        <f>IF(TrRoad_act!N76=0,0,TrRoad_ene!N79/TrRoad_tech!N107)</f>
        <v>1.1179643689461198</v>
      </c>
      <c r="O134" s="91">
        <f>IF(TrRoad_act!O76=0,0,TrRoad_ene!O79/TrRoad_tech!O107)</f>
        <v>1.1215864179876118</v>
      </c>
      <c r="P134" s="91">
        <f>IF(TrRoad_act!P76=0,0,TrRoad_ene!P79/TrRoad_tech!P107)</f>
        <v>1.1357645469084094</v>
      </c>
      <c r="Q134" s="91">
        <f>IF(TrRoad_act!Q76=0,0,TrRoad_ene!Q79/TrRoad_tech!Q107)</f>
        <v>1.1440372793313924</v>
      </c>
      <c r="R134" s="91">
        <f>IF(TrRoad_act!R76=0,0,TrRoad_ene!R79/TrRoad_tech!R107)</f>
        <v>1.1543580230420465</v>
      </c>
      <c r="S134" s="91">
        <f>IF(TrRoad_act!S76=0,0,TrRoad_ene!S79/TrRoad_tech!S107)</f>
        <v>1.1680161876420594</v>
      </c>
      <c r="T134" s="91">
        <f>IF(TrRoad_act!T76=0,0,TrRoad_ene!T79/TrRoad_tech!T107)</f>
        <v>1.1831688331330248</v>
      </c>
      <c r="U134" s="91">
        <f>IF(TrRoad_act!U76=0,0,TrRoad_ene!U79/TrRoad_tech!U107)</f>
        <v>1.2029870100943465</v>
      </c>
      <c r="V134" s="91">
        <f>IF(TrRoad_act!V76=0,0,TrRoad_ene!V79/TrRoad_tech!V107)</f>
        <v>1.213618292077622</v>
      </c>
      <c r="W134" s="91">
        <f>IF(TrRoad_act!W76=0,0,TrRoad_ene!W79/TrRoad_tech!W107)</f>
        <v>1.2180709901821922</v>
      </c>
      <c r="X134" s="91">
        <f>IF(TrRoad_act!X76=0,0,TrRoad_ene!X79/TrRoad_tech!X107)</f>
        <v>1.234638836417062</v>
      </c>
      <c r="Y134" s="91">
        <f>IF(TrRoad_act!Y76=0,0,TrRoad_ene!Y79/TrRoad_tech!Y107)</f>
        <v>1.2484382011498105</v>
      </c>
      <c r="DA134" s="171"/>
    </row>
    <row r="135" spans="1:105" ht="11.45" customHeight="1" x14ac:dyDescent="0.25">
      <c r="A135" s="111" t="s">
        <v>112</v>
      </c>
      <c r="B135" s="91">
        <f>IF(TrRoad_act!B77=0,0,TrRoad_ene!B80/TrRoad_tech!B108)</f>
        <v>1.1000000000067303</v>
      </c>
      <c r="C135" s="91">
        <f>IF(TrRoad_act!C77=0,0,TrRoad_ene!C80/TrRoad_tech!C108)</f>
        <v>1.1000040332187049</v>
      </c>
      <c r="D135" s="91">
        <f>IF(TrRoad_act!D77=0,0,TrRoad_ene!D80/TrRoad_tech!D108)</f>
        <v>1.100010554209391</v>
      </c>
      <c r="E135" s="91">
        <f>IF(TrRoad_act!E77=0,0,TrRoad_ene!E80/TrRoad_tech!E108)</f>
        <v>1.1000451181179425</v>
      </c>
      <c r="F135" s="91">
        <f>IF(TrRoad_act!F77=0,0,TrRoad_ene!F80/TrRoad_tech!F108)</f>
        <v>1.1000510278580284</v>
      </c>
      <c r="G135" s="91">
        <f>IF(TrRoad_act!G77=0,0,TrRoad_ene!G80/TrRoad_tech!G108)</f>
        <v>1.1001088299578403</v>
      </c>
      <c r="H135" s="91">
        <f>IF(TrRoad_act!H77=0,0,TrRoad_ene!H80/TrRoad_tech!H108)</f>
        <v>1.1005274674477885</v>
      </c>
      <c r="I135" s="91">
        <f>IF(TrRoad_act!I77=0,0,TrRoad_ene!I80/TrRoad_tech!I108)</f>
        <v>1.1014656068310327</v>
      </c>
      <c r="J135" s="91">
        <f>IF(TrRoad_act!J77=0,0,TrRoad_ene!J80/TrRoad_tech!J108)</f>
        <v>1.10280634242453</v>
      </c>
      <c r="K135" s="91">
        <f>IF(TrRoad_act!K77=0,0,TrRoad_ene!K80/TrRoad_tech!K108)</f>
        <v>1.1048581525360071</v>
      </c>
      <c r="L135" s="91">
        <f>IF(TrRoad_act!L77=0,0,TrRoad_ene!L80/TrRoad_tech!L108)</f>
        <v>1.1065773588717429</v>
      </c>
      <c r="M135" s="91">
        <f>IF(TrRoad_act!M77=0,0,TrRoad_ene!M80/TrRoad_tech!M108)</f>
        <v>1.1089716992959331</v>
      </c>
      <c r="N135" s="91">
        <f>IF(TrRoad_act!N77=0,0,TrRoad_ene!N80/TrRoad_tech!N108)</f>
        <v>1.111491708838243</v>
      </c>
      <c r="O135" s="91">
        <f>IF(TrRoad_act!O77=0,0,TrRoad_ene!O80/TrRoad_tech!O108)</f>
        <v>1.1129401328126283</v>
      </c>
      <c r="P135" s="91">
        <f>IF(TrRoad_act!P77=0,0,TrRoad_ene!P80/TrRoad_tech!P108)</f>
        <v>1.1236576262874958</v>
      </c>
      <c r="Q135" s="91">
        <f>IF(TrRoad_act!Q77=0,0,TrRoad_ene!Q80/TrRoad_tech!Q108)</f>
        <v>1.1346371918264673</v>
      </c>
      <c r="R135" s="91">
        <f>IF(TrRoad_act!R77=0,0,TrRoad_ene!R80/TrRoad_tech!R108)</f>
        <v>1.1396937814143726</v>
      </c>
      <c r="S135" s="91">
        <f>IF(TrRoad_act!S77=0,0,TrRoad_ene!S80/TrRoad_tech!S108)</f>
        <v>1.1523760803021905</v>
      </c>
      <c r="T135" s="91">
        <f>IF(TrRoad_act!T77=0,0,TrRoad_ene!T80/TrRoad_tech!T108)</f>
        <v>1.1624780019662899</v>
      </c>
      <c r="U135" s="91">
        <f>IF(TrRoad_act!U77=0,0,TrRoad_ene!U80/TrRoad_tech!U108)</f>
        <v>1.1942133952515346</v>
      </c>
      <c r="V135" s="91">
        <f>IF(TrRoad_act!V77=0,0,TrRoad_ene!V80/TrRoad_tech!V108)</f>
        <v>1.2029365557958898</v>
      </c>
      <c r="W135" s="91">
        <f>IF(TrRoad_act!W77=0,0,TrRoad_ene!W80/TrRoad_tech!W108)</f>
        <v>1.2093914529365497</v>
      </c>
      <c r="X135" s="91">
        <f>IF(TrRoad_act!X77=0,0,TrRoad_ene!X80/TrRoad_tech!X108)</f>
        <v>1.2231353949521064</v>
      </c>
      <c r="Y135" s="91">
        <f>IF(TrRoad_act!Y77=0,0,TrRoad_ene!Y80/TrRoad_tech!Y108)</f>
        <v>1.2384166948714885</v>
      </c>
      <c r="DA135" s="171"/>
    </row>
    <row r="136" spans="1:105" ht="11.45" customHeight="1" x14ac:dyDescent="0.25">
      <c r="A136" s="111" t="s">
        <v>113</v>
      </c>
      <c r="B136" s="91">
        <f>IF(TrRoad_act!B78=0,0,TrRoad_ene!B81/TrRoad_tech!B109)</f>
        <v>0</v>
      </c>
      <c r="C136" s="91">
        <f>IF(TrRoad_act!C78=0,0,TrRoad_ene!C81/TrRoad_tech!C109)</f>
        <v>0</v>
      </c>
      <c r="D136" s="91">
        <f>IF(TrRoad_act!D78=0,0,TrRoad_ene!D81/TrRoad_tech!D109)</f>
        <v>0</v>
      </c>
      <c r="E136" s="91">
        <f>IF(TrRoad_act!E78=0,0,TrRoad_ene!E81/TrRoad_tech!E109)</f>
        <v>0</v>
      </c>
      <c r="F136" s="91">
        <f>IF(TrRoad_act!F78=0,0,TrRoad_ene!F81/TrRoad_tech!F109)</f>
        <v>0</v>
      </c>
      <c r="G136" s="91">
        <f>IF(TrRoad_act!G78=0,0,TrRoad_ene!G81/TrRoad_tech!G109)</f>
        <v>0</v>
      </c>
      <c r="H136" s="91">
        <f>IF(TrRoad_act!H78=0,0,TrRoad_ene!H81/TrRoad_tech!H109)</f>
        <v>0</v>
      </c>
      <c r="I136" s="91">
        <f>IF(TrRoad_act!I78=0,0,TrRoad_ene!I81/TrRoad_tech!I109)</f>
        <v>0</v>
      </c>
      <c r="J136" s="91">
        <f>IF(TrRoad_act!J78=0,0,TrRoad_ene!J81/TrRoad_tech!J109)</f>
        <v>0</v>
      </c>
      <c r="K136" s="91">
        <f>IF(TrRoad_act!K78=0,0,TrRoad_ene!K81/TrRoad_tech!K109)</f>
        <v>0</v>
      </c>
      <c r="L136" s="91">
        <f>IF(TrRoad_act!L78=0,0,TrRoad_ene!L81/TrRoad_tech!L109)</f>
        <v>0</v>
      </c>
      <c r="M136" s="91">
        <f>IF(TrRoad_act!M78=0,0,TrRoad_ene!M81/TrRoad_tech!M109)</f>
        <v>0</v>
      </c>
      <c r="N136" s="91">
        <f>IF(TrRoad_act!N78=0,0,TrRoad_ene!N81/TrRoad_tech!N109)</f>
        <v>0</v>
      </c>
      <c r="O136" s="91">
        <f>IF(TrRoad_act!O78=0,0,TrRoad_ene!O81/TrRoad_tech!O109)</f>
        <v>1.2560000000062248</v>
      </c>
      <c r="P136" s="91">
        <f>IF(TrRoad_act!P78=0,0,TrRoad_ene!P81/TrRoad_tech!P109)</f>
        <v>1.2691527600124437</v>
      </c>
      <c r="Q136" s="91">
        <f>IF(TrRoad_act!Q78=0,0,TrRoad_ene!Q81/TrRoad_tech!Q109)</f>
        <v>1.2829812818957318</v>
      </c>
      <c r="R136" s="91">
        <f>IF(TrRoad_act!R78=0,0,TrRoad_ene!R81/TrRoad_tech!R109)</f>
        <v>1.3044672500237544</v>
      </c>
      <c r="S136" s="91">
        <f>IF(TrRoad_act!S78=0,0,TrRoad_ene!S81/TrRoad_tech!S109)</f>
        <v>1.3077832655948014</v>
      </c>
      <c r="T136" s="91">
        <f>IF(TrRoad_act!T78=0,0,TrRoad_ene!T81/TrRoad_tech!T109)</f>
        <v>1.3212844983796734</v>
      </c>
      <c r="U136" s="91">
        <f>IF(TrRoad_act!U78=0,0,TrRoad_ene!U81/TrRoad_tech!U109)</f>
        <v>1.3343209581309932</v>
      </c>
      <c r="V136" s="91">
        <f>IF(TrRoad_act!V78=0,0,TrRoad_ene!V81/TrRoad_tech!V109)</f>
        <v>1.3363826964462175</v>
      </c>
      <c r="W136" s="91">
        <f>IF(TrRoad_act!W78=0,0,TrRoad_ene!W81/TrRoad_tech!W109)</f>
        <v>1.3438627604664519</v>
      </c>
      <c r="X136" s="91">
        <f>IF(TrRoad_act!X78=0,0,TrRoad_ene!X81/TrRoad_tech!X109)</f>
        <v>1.3450774069489455</v>
      </c>
      <c r="Y136" s="91">
        <f>IF(TrRoad_act!Y78=0,0,TrRoad_ene!Y81/TrRoad_tech!Y109)</f>
        <v>1.3471878673048467</v>
      </c>
      <c r="DA136" s="171"/>
    </row>
    <row r="137" spans="1:105" ht="11.45" customHeight="1" x14ac:dyDescent="0.25">
      <c r="A137" s="111" t="s">
        <v>115</v>
      </c>
      <c r="B137" s="91">
        <f>IF(TrRoad_act!B79=0,0,TrRoad_ene!B82/TrRoad_tech!B110)</f>
        <v>0</v>
      </c>
      <c r="C137" s="91">
        <f>IF(TrRoad_act!C79=0,0,TrRoad_ene!C82/TrRoad_tech!C110)</f>
        <v>0</v>
      </c>
      <c r="D137" s="91">
        <f>IF(TrRoad_act!D79=0,0,TrRoad_ene!D82/TrRoad_tech!D110)</f>
        <v>0</v>
      </c>
      <c r="E137" s="91">
        <f>IF(TrRoad_act!E79=0,0,TrRoad_ene!E82/TrRoad_tech!E110)</f>
        <v>0</v>
      </c>
      <c r="F137" s="91">
        <f>IF(TrRoad_act!F79=0,0,TrRoad_ene!F82/TrRoad_tech!F110)</f>
        <v>0</v>
      </c>
      <c r="G137" s="91">
        <f>IF(TrRoad_act!G79=0,0,TrRoad_ene!G82/TrRoad_tech!G110)</f>
        <v>0</v>
      </c>
      <c r="H137" s="91">
        <f>IF(TrRoad_act!H79=0,0,TrRoad_ene!H82/TrRoad_tech!H110)</f>
        <v>0</v>
      </c>
      <c r="I137" s="91">
        <f>IF(TrRoad_act!I79=0,0,TrRoad_ene!I82/TrRoad_tech!I110)</f>
        <v>0</v>
      </c>
      <c r="J137" s="91">
        <f>IF(TrRoad_act!J79=0,0,TrRoad_ene!J82/TrRoad_tech!J110)</f>
        <v>0</v>
      </c>
      <c r="K137" s="91">
        <f>IF(TrRoad_act!K79=0,0,TrRoad_ene!K82/TrRoad_tech!K110)</f>
        <v>0</v>
      </c>
      <c r="L137" s="91">
        <f>IF(TrRoad_act!L79=0,0,TrRoad_ene!L82/TrRoad_tech!L110)</f>
        <v>0</v>
      </c>
      <c r="M137" s="91">
        <f>IF(TrRoad_act!M79=0,0,TrRoad_ene!M82/TrRoad_tech!M110)</f>
        <v>1.2173333333398659</v>
      </c>
      <c r="N137" s="91">
        <f>IF(TrRoad_act!N79=0,0,TrRoad_ene!N82/TrRoad_tech!N110)</f>
        <v>1.2360000000066975</v>
      </c>
      <c r="O137" s="91">
        <f>IF(TrRoad_act!O79=0,0,TrRoad_ene!O82/TrRoad_tech!O110)</f>
        <v>1.2509307795143083</v>
      </c>
      <c r="P137" s="91">
        <f>IF(TrRoad_act!P79=0,0,TrRoad_ene!P82/TrRoad_tech!P110)</f>
        <v>1.2596973192432734</v>
      </c>
      <c r="Q137" s="91">
        <f>IF(TrRoad_act!Q79=0,0,TrRoad_ene!Q82/TrRoad_tech!Q110)</f>
        <v>1.2796621128643118</v>
      </c>
      <c r="R137" s="91">
        <f>IF(TrRoad_act!R79=0,0,TrRoad_ene!R82/TrRoad_tech!R110)</f>
        <v>1.2948184901307078</v>
      </c>
      <c r="S137" s="91">
        <f>IF(TrRoad_act!S79=0,0,TrRoad_ene!S82/TrRoad_tech!S110)</f>
        <v>1.3200340364558436</v>
      </c>
      <c r="T137" s="91">
        <f>IF(TrRoad_act!T79=0,0,TrRoad_ene!T82/TrRoad_tech!T110)</f>
        <v>1.3301989268644054</v>
      </c>
      <c r="U137" s="91">
        <f>IF(TrRoad_act!U79=0,0,TrRoad_ene!U82/TrRoad_tech!U110)</f>
        <v>1.3352341005917281</v>
      </c>
      <c r="V137" s="91">
        <f>IF(TrRoad_act!V79=0,0,TrRoad_ene!V82/TrRoad_tech!V110)</f>
        <v>1.3397364490897321</v>
      </c>
      <c r="W137" s="91">
        <f>IF(TrRoad_act!W79=0,0,TrRoad_ene!W82/TrRoad_tech!W110)</f>
        <v>1.3435389978662513</v>
      </c>
      <c r="X137" s="91">
        <f>IF(TrRoad_act!X79=0,0,TrRoad_ene!X82/TrRoad_tech!X110)</f>
        <v>1.3502501627127201</v>
      </c>
      <c r="Y137" s="91">
        <f>IF(TrRoad_act!Y79=0,0,TrRoad_ene!Y82/TrRoad_tech!Y110)</f>
        <v>1.35629555554033</v>
      </c>
      <c r="DA137" s="171"/>
    </row>
    <row r="138" spans="1:105" ht="11.45" customHeight="1" x14ac:dyDescent="0.25">
      <c r="A138" s="109" t="s">
        <v>154</v>
      </c>
      <c r="B138" s="151">
        <f>IF(TrRoad_act!B80=0,0,TrRoad_ene!B83/TrRoad_tech!B111)</f>
        <v>1.0873361582573937</v>
      </c>
      <c r="C138" s="151">
        <f>IF(TrRoad_act!C80=0,0,TrRoad_ene!C83/TrRoad_tech!C111)</f>
        <v>1.1444205735138009</v>
      </c>
      <c r="D138" s="151">
        <f>IF(TrRoad_act!D80=0,0,TrRoad_ene!D83/TrRoad_tech!D111)</f>
        <v>1.1762090266193759</v>
      </c>
      <c r="E138" s="151">
        <f>IF(TrRoad_act!E80=0,0,TrRoad_ene!E83/TrRoad_tech!E111)</f>
        <v>1.4017513337082623</v>
      </c>
      <c r="F138" s="151">
        <f>IF(TrRoad_act!F80=0,0,TrRoad_ene!F83/TrRoad_tech!F111)</f>
        <v>1.3863916532033493</v>
      </c>
      <c r="G138" s="151">
        <f>IF(TrRoad_act!G80=0,0,TrRoad_ene!G83/TrRoad_tech!G111)</f>
        <v>1.3787887222787159</v>
      </c>
      <c r="H138" s="151">
        <f>IF(TrRoad_act!H80=0,0,TrRoad_ene!H83/TrRoad_tech!H111)</f>
        <v>1.3978399709092799</v>
      </c>
      <c r="I138" s="151">
        <f>IF(TrRoad_act!I80=0,0,TrRoad_ene!I83/TrRoad_tech!I111)</f>
        <v>1.4078560729888789</v>
      </c>
      <c r="J138" s="151">
        <f>IF(TrRoad_act!J80=0,0,TrRoad_ene!J83/TrRoad_tech!J111)</f>
        <v>1.4656017447414984</v>
      </c>
      <c r="K138" s="151">
        <f>IF(TrRoad_act!K80=0,0,TrRoad_ene!K83/TrRoad_tech!K111)</f>
        <v>1.5025700870702237</v>
      </c>
      <c r="L138" s="151">
        <f>IF(TrRoad_act!L80=0,0,TrRoad_ene!L83/TrRoad_tech!L111)</f>
        <v>1.5313919793489681</v>
      </c>
      <c r="M138" s="151">
        <f>IF(TrRoad_act!M80=0,0,TrRoad_ene!M83/TrRoad_tech!M111)</f>
        <v>1.5116232663297491</v>
      </c>
      <c r="N138" s="151">
        <f>IF(TrRoad_act!N80=0,0,TrRoad_ene!N83/TrRoad_tech!N111)</f>
        <v>1.7179806391303389</v>
      </c>
      <c r="O138" s="151">
        <f>IF(TrRoad_act!O80=0,0,TrRoad_ene!O83/TrRoad_tech!O111)</f>
        <v>1.7367183020527934</v>
      </c>
      <c r="P138" s="151">
        <f>IF(TrRoad_act!P80=0,0,TrRoad_ene!P83/TrRoad_tech!P111)</f>
        <v>1.7120111678235861</v>
      </c>
      <c r="Q138" s="151">
        <f>IF(TrRoad_act!Q80=0,0,TrRoad_ene!Q83/TrRoad_tech!Q111)</f>
        <v>1.6327777847233933</v>
      </c>
      <c r="R138" s="151">
        <f>IF(TrRoad_act!R80=0,0,TrRoad_ene!R83/TrRoad_tech!R111)</f>
        <v>1.6793827609160363</v>
      </c>
      <c r="S138" s="151">
        <f>IF(TrRoad_act!S80=0,0,TrRoad_ene!S83/TrRoad_tech!S111)</f>
        <v>1.6868506861167882</v>
      </c>
      <c r="T138" s="151">
        <f>IF(TrRoad_act!T80=0,0,TrRoad_ene!T83/TrRoad_tech!T111)</f>
        <v>1.7155521215080396</v>
      </c>
      <c r="U138" s="151">
        <f>IF(TrRoad_act!U80=0,0,TrRoad_ene!U83/TrRoad_tech!U111)</f>
        <v>1.836510991454368</v>
      </c>
      <c r="V138" s="151">
        <f>IF(TrRoad_act!V80=0,0,TrRoad_ene!V83/TrRoad_tech!V111)</f>
        <v>1.8877221355355993</v>
      </c>
      <c r="W138" s="151">
        <f>IF(TrRoad_act!W80=0,0,TrRoad_ene!W83/TrRoad_tech!W111)</f>
        <v>1.8409582325130269</v>
      </c>
      <c r="X138" s="151">
        <f>IF(TrRoad_act!X80=0,0,TrRoad_ene!X83/TrRoad_tech!X111)</f>
        <v>1.9289411580633573</v>
      </c>
      <c r="Y138" s="151">
        <f>IF(TrRoad_act!Y80=0,0,TrRoad_ene!Y83/TrRoad_tech!Y111)</f>
        <v>2.0793037032230628</v>
      </c>
      <c r="DA138" s="176"/>
    </row>
    <row r="139" spans="1:105" ht="11.45" customHeight="1" x14ac:dyDescent="0.25">
      <c r="A139" s="128" t="s">
        <v>27</v>
      </c>
      <c r="B139" s="93">
        <f>IF(TrRoad_act!B81=0,0,TrRoad_ene!B84/TrRoad_tech!B112)</f>
        <v>1.0551181285705509</v>
      </c>
      <c r="C139" s="93">
        <f>IF(TrRoad_act!C81=0,0,TrRoad_ene!C84/TrRoad_tech!C112)</f>
        <v>1.1145886180443993</v>
      </c>
      <c r="D139" s="93">
        <f>IF(TrRoad_act!D81=0,0,TrRoad_ene!D84/TrRoad_tech!D112)</f>
        <v>1.1426913667847607</v>
      </c>
      <c r="E139" s="93">
        <f>IF(TrRoad_act!E81=0,0,TrRoad_ene!E84/TrRoad_tech!E112)</f>
        <v>1.3618396596978335</v>
      </c>
      <c r="F139" s="93">
        <f>IF(TrRoad_act!F81=0,0,TrRoad_ene!F84/TrRoad_tech!F112)</f>
        <v>1.3537610233310364</v>
      </c>
      <c r="G139" s="93">
        <f>IF(TrRoad_act!G81=0,0,TrRoad_ene!G84/TrRoad_tech!G112)</f>
        <v>1.3476952329681562</v>
      </c>
      <c r="H139" s="93">
        <f>IF(TrRoad_act!H81=0,0,TrRoad_ene!H84/TrRoad_tech!H112)</f>
        <v>1.3653725192730204</v>
      </c>
      <c r="I139" s="93">
        <f>IF(TrRoad_act!I81=0,0,TrRoad_ene!I84/TrRoad_tech!I112)</f>
        <v>1.3745798446804562</v>
      </c>
      <c r="J139" s="93">
        <f>IF(TrRoad_act!J81=0,0,TrRoad_ene!J84/TrRoad_tech!J112)</f>
        <v>1.4325863635938503</v>
      </c>
      <c r="K139" s="93">
        <f>IF(TrRoad_act!K81=0,0,TrRoad_ene!K84/TrRoad_tech!K112)</f>
        <v>1.4632680662069644</v>
      </c>
      <c r="L139" s="93">
        <f>IF(TrRoad_act!L81=0,0,TrRoad_ene!L84/TrRoad_tech!L112)</f>
        <v>1.4962377853420248</v>
      </c>
      <c r="M139" s="93">
        <f>IF(TrRoad_act!M81=0,0,TrRoad_ene!M84/TrRoad_tech!M112)</f>
        <v>1.4746669079003238</v>
      </c>
      <c r="N139" s="93">
        <f>IF(TrRoad_act!N81=0,0,TrRoad_ene!N84/TrRoad_tech!N112)</f>
        <v>1.674494396879681</v>
      </c>
      <c r="O139" s="93">
        <f>IF(TrRoad_act!O81=0,0,TrRoad_ene!O84/TrRoad_tech!O112)</f>
        <v>1.6824917256255192</v>
      </c>
      <c r="P139" s="93">
        <f>IF(TrRoad_act!P81=0,0,TrRoad_ene!P84/TrRoad_tech!P112)</f>
        <v>1.6504127090288696</v>
      </c>
      <c r="Q139" s="93">
        <f>IF(TrRoad_act!Q81=0,0,TrRoad_ene!Q84/TrRoad_tech!Q112)</f>
        <v>1.5856308399707033</v>
      </c>
      <c r="R139" s="93">
        <f>IF(TrRoad_act!R81=0,0,TrRoad_ene!R84/TrRoad_tech!R112)</f>
        <v>1.62374672032617</v>
      </c>
      <c r="S139" s="93">
        <f>IF(TrRoad_act!S81=0,0,TrRoad_ene!S84/TrRoad_tech!S112)</f>
        <v>1.628083887825488</v>
      </c>
      <c r="T139" s="93">
        <f>IF(TrRoad_act!T81=0,0,TrRoad_ene!T84/TrRoad_tech!T112)</f>
        <v>1.6499132322502044</v>
      </c>
      <c r="U139" s="93">
        <f>IF(TrRoad_act!U81=0,0,TrRoad_ene!U84/TrRoad_tech!U112)</f>
        <v>1.7582337694499168</v>
      </c>
      <c r="V139" s="93">
        <f>IF(TrRoad_act!V81=0,0,TrRoad_ene!V84/TrRoad_tech!V112)</f>
        <v>1.8039766225956666</v>
      </c>
      <c r="W139" s="93">
        <f>IF(TrRoad_act!W81=0,0,TrRoad_ene!W84/TrRoad_tech!W112)</f>
        <v>1.7530552311647478</v>
      </c>
      <c r="X139" s="93">
        <f>IF(TrRoad_act!X81=0,0,TrRoad_ene!X84/TrRoad_tech!X112)</f>
        <v>1.8268945906672325</v>
      </c>
      <c r="Y139" s="93">
        <f>IF(TrRoad_act!Y81=0,0,TrRoad_ene!Y84/TrRoad_tech!Y112)</f>
        <v>1.965600043634194</v>
      </c>
      <c r="DA139" s="175"/>
    </row>
    <row r="140" spans="1:105" ht="11.45" customHeight="1" x14ac:dyDescent="0.25">
      <c r="A140" s="138" t="s">
        <v>116</v>
      </c>
      <c r="B140" s="94">
        <f>IF(TrRoad_act!B82=0,0,TrRoad_ene!B85/TrRoad_tech!B113)</f>
        <v>1.0551181285705513</v>
      </c>
      <c r="C140" s="94">
        <f>IF(TrRoad_act!C82=0,0,TrRoad_ene!C85/TrRoad_tech!C113)</f>
        <v>1.1147266865379886</v>
      </c>
      <c r="D140" s="94">
        <f>IF(TrRoad_act!D82=0,0,TrRoad_ene!D85/TrRoad_tech!D113)</f>
        <v>1.1433446751289393</v>
      </c>
      <c r="E140" s="94">
        <f>IF(TrRoad_act!E82=0,0,TrRoad_ene!E85/TrRoad_tech!E113)</f>
        <v>1.3637197700527373</v>
      </c>
      <c r="F140" s="94">
        <f>IF(TrRoad_act!F82=0,0,TrRoad_ene!F85/TrRoad_tech!F113)</f>
        <v>1.3587355906597334</v>
      </c>
      <c r="G140" s="94">
        <f>IF(TrRoad_act!G82=0,0,TrRoad_ene!G85/TrRoad_tech!G113)</f>
        <v>1.3531212659168781</v>
      </c>
      <c r="H140" s="94">
        <f>IF(TrRoad_act!H82=0,0,TrRoad_ene!H85/TrRoad_tech!H113)</f>
        <v>1.3725190610587334</v>
      </c>
      <c r="I140" s="94">
        <f>IF(TrRoad_act!I82=0,0,TrRoad_ene!I85/TrRoad_tech!I113)</f>
        <v>1.3846515857044539</v>
      </c>
      <c r="J140" s="94">
        <f>IF(TrRoad_act!J82=0,0,TrRoad_ene!J85/TrRoad_tech!J113)</f>
        <v>1.4394090588885406</v>
      </c>
      <c r="K140" s="94">
        <f>IF(TrRoad_act!K82=0,0,TrRoad_ene!K85/TrRoad_tech!K113)</f>
        <v>1.4697181810441591</v>
      </c>
      <c r="L140" s="94">
        <f>IF(TrRoad_act!L82=0,0,TrRoad_ene!L85/TrRoad_tech!L113)</f>
        <v>1.4950469762687246</v>
      </c>
      <c r="M140" s="94">
        <f>IF(TrRoad_act!M82=0,0,TrRoad_ene!M85/TrRoad_tech!M113)</f>
        <v>1.4827761498165941</v>
      </c>
      <c r="N140" s="94">
        <f>IF(TrRoad_act!N82=0,0,TrRoad_ene!N85/TrRoad_tech!N113)</f>
        <v>1.6759523194740353</v>
      </c>
      <c r="O140" s="94">
        <f>IF(TrRoad_act!O82=0,0,TrRoad_ene!O85/TrRoad_tech!O113)</f>
        <v>1.7057651309128048</v>
      </c>
      <c r="P140" s="94">
        <f>IF(TrRoad_act!P82=0,0,TrRoad_ene!P85/TrRoad_tech!P113)</f>
        <v>1.6685303771233677</v>
      </c>
      <c r="Q140" s="94">
        <f>IF(TrRoad_act!Q82=0,0,TrRoad_ene!Q85/TrRoad_tech!Q113)</f>
        <v>1.5877498537709467</v>
      </c>
      <c r="R140" s="94">
        <f>IF(TrRoad_act!R82=0,0,TrRoad_ene!R85/TrRoad_tech!R113)</f>
        <v>1.6312542420225267</v>
      </c>
      <c r="S140" s="94">
        <f>IF(TrRoad_act!S82=0,0,TrRoad_ene!S85/TrRoad_tech!S113)</f>
        <v>1.6256052344967138</v>
      </c>
      <c r="T140" s="94">
        <f>IF(TrRoad_act!T82=0,0,TrRoad_ene!T85/TrRoad_tech!T113)</f>
        <v>1.649393417571698</v>
      </c>
      <c r="U140" s="94">
        <f>IF(TrRoad_act!U82=0,0,TrRoad_ene!U85/TrRoad_tech!U113)</f>
        <v>1.7510504895311834</v>
      </c>
      <c r="V140" s="94">
        <f>IF(TrRoad_act!V82=0,0,TrRoad_ene!V85/TrRoad_tech!V113)</f>
        <v>1.794301675177276</v>
      </c>
      <c r="W140" s="94">
        <f>IF(TrRoad_act!W82=0,0,TrRoad_ene!W85/TrRoad_tech!W113)</f>
        <v>1.7931254694327874</v>
      </c>
      <c r="X140" s="94">
        <f>IF(TrRoad_act!X82=0,0,TrRoad_ene!X85/TrRoad_tech!X113)</f>
        <v>1.8737137644056208</v>
      </c>
      <c r="Y140" s="94">
        <f>IF(TrRoad_act!Y82=0,0,TrRoad_ene!Y85/TrRoad_tech!Y113)</f>
        <v>2.0164016611834463</v>
      </c>
      <c r="DA140" s="178"/>
    </row>
    <row r="141" spans="1:105" x14ac:dyDescent="0.25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DA141" s="171"/>
    </row>
    <row r="142" spans="1:105" ht="11.45" customHeight="1" x14ac:dyDescent="0.25">
      <c r="A142" s="53" t="s">
        <v>122</v>
      </c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DA142" s="172"/>
    </row>
    <row r="143" spans="1:105" ht="11.45" customHeight="1" x14ac:dyDescent="0.25">
      <c r="A143" s="27" t="s">
        <v>33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DA143" s="173"/>
    </row>
    <row r="144" spans="1:105" ht="11.45" customHeight="1" x14ac:dyDescent="0.25">
      <c r="A144" s="136" t="s">
        <v>173</v>
      </c>
      <c r="B144" s="141">
        <v>3.306503468794697</v>
      </c>
      <c r="C144" s="141">
        <v>3.2613804357446017</v>
      </c>
      <c r="D144" s="141">
        <v>3.2119655806575627</v>
      </c>
      <c r="E144" s="141">
        <v>3.2119655806575627</v>
      </c>
      <c r="F144" s="141">
        <v>3.1625507255705232</v>
      </c>
      <c r="G144" s="141">
        <v>3.1131358704834833</v>
      </c>
      <c r="H144" s="141">
        <v>3.0143061603094043</v>
      </c>
      <c r="I144" s="141">
        <v>3.0143061603094043</v>
      </c>
      <c r="J144" s="141">
        <v>2.9648913052223649</v>
      </c>
      <c r="K144" s="141">
        <v>2.8016951988075856</v>
      </c>
      <c r="L144" s="141">
        <v>2.6997960129298755</v>
      </c>
      <c r="M144" s="141">
        <v>2.6066147466783458</v>
      </c>
      <c r="N144" s="141">
        <v>2.5066787540082891</v>
      </c>
      <c r="O144" s="141">
        <v>2.4030694406615525</v>
      </c>
      <c r="P144" s="141">
        <v>2.3432581441357399</v>
      </c>
      <c r="Q144" s="141">
        <v>2.2997420534327673</v>
      </c>
      <c r="R144" s="141">
        <v>2.285222918515927</v>
      </c>
      <c r="S144" s="141">
        <v>2.2736076105824545</v>
      </c>
      <c r="T144" s="141">
        <v>2.2643153642356766</v>
      </c>
      <c r="U144" s="141">
        <v>2.2568815671582545</v>
      </c>
      <c r="V144" s="141">
        <v>2.2509345294963166</v>
      </c>
      <c r="W144" s="141">
        <v>2.2461768993667661</v>
      </c>
      <c r="X144" s="141">
        <v>2.2423707952631258</v>
      </c>
      <c r="Y144" s="141">
        <v>2.2393259119802136</v>
      </c>
      <c r="DA144" s="174" t="s">
        <v>887</v>
      </c>
    </row>
    <row r="145" spans="1:105" ht="11.45" customHeight="1" x14ac:dyDescent="0.25">
      <c r="A145" s="109" t="s">
        <v>20</v>
      </c>
      <c r="B145" s="130">
        <v>6.7056746462657815</v>
      </c>
      <c r="C145" s="130">
        <v>6.6101331183375143</v>
      </c>
      <c r="D145" s="130">
        <v>6.4925701896958765</v>
      </c>
      <c r="E145" s="130">
        <v>6.3672327256123573</v>
      </c>
      <c r="F145" s="130">
        <v>6.2092389477963206</v>
      </c>
      <c r="G145" s="130">
        <v>6.15172656980371</v>
      </c>
      <c r="H145" s="130">
        <v>6.1497287661313411</v>
      </c>
      <c r="I145" s="130">
        <v>6.1542527479008635</v>
      </c>
      <c r="J145" s="130">
        <v>5.8885534684919492</v>
      </c>
      <c r="K145" s="130">
        <v>5.6298425990616279</v>
      </c>
      <c r="L145" s="130">
        <v>5.4466318924845822</v>
      </c>
      <c r="M145" s="130">
        <v>5.2367564165604739</v>
      </c>
      <c r="N145" s="130">
        <v>5.0193026974718498</v>
      </c>
      <c r="O145" s="130">
        <v>4.7962761865329337</v>
      </c>
      <c r="P145" s="130">
        <v>4.6639654694416839</v>
      </c>
      <c r="Q145" s="130">
        <v>4.5225950481548551</v>
      </c>
      <c r="R145" s="130">
        <v>4.4806376680955928</v>
      </c>
      <c r="S145" s="130">
        <v>4.4860845264045759</v>
      </c>
      <c r="T145" s="130">
        <v>4.5527563674520888</v>
      </c>
      <c r="U145" s="130">
        <v>4.4389191723196948</v>
      </c>
      <c r="V145" s="130">
        <v>4.1493929930405713</v>
      </c>
      <c r="W145" s="130">
        <v>3.9194942251404599</v>
      </c>
      <c r="X145" s="130">
        <v>3.832955985702148</v>
      </c>
      <c r="Y145" s="130">
        <v>3.6755590532098932</v>
      </c>
      <c r="DA145" s="176" t="s">
        <v>888</v>
      </c>
    </row>
    <row r="146" spans="1:105" ht="11.45" customHeight="1" x14ac:dyDescent="0.25">
      <c r="A146" s="111" t="s">
        <v>110</v>
      </c>
      <c r="B146" s="96">
        <v>6.7588876254399324</v>
      </c>
      <c r="C146" s="96">
        <v>6.6666507617611597</v>
      </c>
      <c r="D146" s="96">
        <v>6.5656409017344757</v>
      </c>
      <c r="E146" s="96">
        <v>6.5656409017344757</v>
      </c>
      <c r="F146" s="96">
        <v>6.4646310417077908</v>
      </c>
      <c r="G146" s="96">
        <v>6.363621181681105</v>
      </c>
      <c r="H146" s="96">
        <v>6.161601461627737</v>
      </c>
      <c r="I146" s="96">
        <v>6.161601461627737</v>
      </c>
      <c r="J146" s="96">
        <v>6.0605916016010513</v>
      </c>
      <c r="K146" s="96">
        <v>5.7269992873704219</v>
      </c>
      <c r="L146" s="96">
        <v>5.5187051927259922</v>
      </c>
      <c r="M146" s="96">
        <v>5.3282315660281601</v>
      </c>
      <c r="N146" s="96">
        <v>5.1231230538805468</v>
      </c>
      <c r="O146" s="96">
        <v>4.867237481755696</v>
      </c>
      <c r="P146" s="96">
        <v>4.7488771232032816</v>
      </c>
      <c r="Q146" s="96">
        <v>4.6342800484116928</v>
      </c>
      <c r="R146" s="96">
        <v>4.60763044613776</v>
      </c>
      <c r="S146" s="96">
        <v>4.591195910739339</v>
      </c>
      <c r="T146" s="96">
        <v>4.7125373858718858</v>
      </c>
      <c r="U146" s="96">
        <v>4.7576023337286761</v>
      </c>
      <c r="V146" s="96">
        <v>4.5963930464321763</v>
      </c>
      <c r="W146" s="96">
        <v>4.4278214132442422</v>
      </c>
      <c r="X146" s="96">
        <v>4.390456440180631</v>
      </c>
      <c r="Y146" s="96">
        <v>4.3693493260511831</v>
      </c>
      <c r="DA146" s="171" t="s">
        <v>889</v>
      </c>
    </row>
    <row r="147" spans="1:105" ht="11.45" customHeight="1" x14ac:dyDescent="0.25">
      <c r="A147" s="111" t="s">
        <v>111</v>
      </c>
      <c r="B147" s="96">
        <v>6.5717822216892099</v>
      </c>
      <c r="C147" s="96">
        <v>6.467925626353642</v>
      </c>
      <c r="D147" s="96">
        <v>6.3544532469439288</v>
      </c>
      <c r="E147" s="96">
        <v>6.1275084881245041</v>
      </c>
      <c r="F147" s="96">
        <v>6.0140361087147909</v>
      </c>
      <c r="G147" s="96">
        <v>6.0318512722821147</v>
      </c>
      <c r="H147" s="96">
        <v>6.143394621241864</v>
      </c>
      <c r="I147" s="96">
        <v>6.1509972706623151</v>
      </c>
      <c r="J147" s="96">
        <v>5.8121687457449109</v>
      </c>
      <c r="K147" s="96">
        <v>5.5837627097589646</v>
      </c>
      <c r="L147" s="96">
        <v>5.3692825845121588</v>
      </c>
      <c r="M147" s="96">
        <v>5.2023044796042006</v>
      </c>
      <c r="N147" s="96">
        <v>4.9695048941621014</v>
      </c>
      <c r="O147" s="96">
        <v>4.7573207519513989</v>
      </c>
      <c r="P147" s="96">
        <v>4.6041922106364712</v>
      </c>
      <c r="Q147" s="96">
        <v>4.478554333533217</v>
      </c>
      <c r="R147" s="96">
        <v>4.4425696656045934</v>
      </c>
      <c r="S147" s="96">
        <v>4.4899207196592252</v>
      </c>
      <c r="T147" s="96">
        <v>4.6067807634208728</v>
      </c>
      <c r="U147" s="96">
        <v>4.450475991818565</v>
      </c>
      <c r="V147" s="96">
        <v>4.286471140621515</v>
      </c>
      <c r="W147" s="96">
        <v>4.2303986761356756</v>
      </c>
      <c r="X147" s="96">
        <v>4.1858580420453162</v>
      </c>
      <c r="Y147" s="96">
        <v>4.2707913856424691</v>
      </c>
      <c r="DA147" s="171" t="s">
        <v>890</v>
      </c>
    </row>
    <row r="148" spans="1:105" ht="11.45" customHeight="1" x14ac:dyDescent="0.25">
      <c r="A148" s="111" t="s">
        <v>112</v>
      </c>
      <c r="B148" s="96">
        <v>5.7571258453578089</v>
      </c>
      <c r="C148" s="96">
        <v>0</v>
      </c>
      <c r="D148" s="96">
        <v>0</v>
      </c>
      <c r="E148" s="96">
        <v>6.2416219498105638</v>
      </c>
      <c r="F148" s="96">
        <v>6.1260363581474051</v>
      </c>
      <c r="G148" s="96">
        <v>6.1441832960385208</v>
      </c>
      <c r="H148" s="96">
        <v>0</v>
      </c>
      <c r="I148" s="96">
        <v>0</v>
      </c>
      <c r="J148" s="96">
        <v>5.9204095905786494</v>
      </c>
      <c r="K148" s="96">
        <v>5.687749916513396</v>
      </c>
      <c r="L148" s="96">
        <v>5.8446199366826725</v>
      </c>
      <c r="M148" s="96">
        <v>5.2991877355088395</v>
      </c>
      <c r="N148" s="96">
        <v>5.296926108382543</v>
      </c>
      <c r="O148" s="96">
        <v>5.4771280581601349</v>
      </c>
      <c r="P148" s="96">
        <v>5.4434728424952539</v>
      </c>
      <c r="Q148" s="96">
        <v>5.4046446260757177</v>
      </c>
      <c r="R148" s="96">
        <v>4.7974893925949651</v>
      </c>
      <c r="S148" s="96">
        <v>5.2020355191763326</v>
      </c>
      <c r="T148" s="96">
        <v>5.0694228427050554</v>
      </c>
      <c r="U148" s="96">
        <v>5.5348402575837392</v>
      </c>
      <c r="V148" s="96">
        <v>4.5623093958792902</v>
      </c>
      <c r="W148" s="96">
        <v>4.3705362296500452</v>
      </c>
      <c r="X148" s="96">
        <v>4.4557926876982092</v>
      </c>
      <c r="Y148" s="96">
        <v>4.4125393361949978</v>
      </c>
      <c r="DA148" s="171" t="s">
        <v>891</v>
      </c>
    </row>
    <row r="149" spans="1:105" ht="11.45" customHeight="1" x14ac:dyDescent="0.25">
      <c r="A149" s="111" t="s">
        <v>113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0</v>
      </c>
      <c r="L149" s="96">
        <v>7.5353917970296527</v>
      </c>
      <c r="M149" s="96">
        <v>0</v>
      </c>
      <c r="N149" s="96">
        <v>5.6270782899896759</v>
      </c>
      <c r="O149" s="96">
        <v>5.5445070324735228</v>
      </c>
      <c r="P149" s="96">
        <v>4.7218526520348139</v>
      </c>
      <c r="Q149" s="96">
        <v>4.138174344936508</v>
      </c>
      <c r="R149" s="96">
        <v>4.324287338068153</v>
      </c>
      <c r="S149" s="96">
        <v>4.3793348430789223</v>
      </c>
      <c r="T149" s="96">
        <v>5.3632757538994209</v>
      </c>
      <c r="U149" s="96">
        <v>4.7164821637410812</v>
      </c>
      <c r="V149" s="96">
        <v>4.6449353515258114</v>
      </c>
      <c r="W149" s="96">
        <v>4.5390471413597471</v>
      </c>
      <c r="X149" s="96">
        <v>4.4703777443648969</v>
      </c>
      <c r="Y149" s="96">
        <v>4.4703777443648969</v>
      </c>
      <c r="DA149" s="171" t="s">
        <v>892</v>
      </c>
    </row>
    <row r="150" spans="1:105" ht="11.45" customHeight="1" x14ac:dyDescent="0.25">
      <c r="A150" s="111" t="s">
        <v>114</v>
      </c>
      <c r="B150" s="96">
        <v>0</v>
      </c>
      <c r="C150" s="96">
        <v>0</v>
      </c>
      <c r="D150" s="96">
        <v>0</v>
      </c>
      <c r="E150" s="96">
        <v>0</v>
      </c>
      <c r="F150" s="96">
        <v>0</v>
      </c>
      <c r="G150" s="96">
        <v>0</v>
      </c>
      <c r="H150" s="96">
        <v>0</v>
      </c>
      <c r="I150" s="96">
        <v>0</v>
      </c>
      <c r="J150" s="96">
        <v>0</v>
      </c>
      <c r="K150" s="96">
        <v>0</v>
      </c>
      <c r="L150" s="96">
        <v>0</v>
      </c>
      <c r="M150" s="96">
        <v>3.3270157843743964</v>
      </c>
      <c r="N150" s="96">
        <v>2.7225660421081077</v>
      </c>
      <c r="O150" s="96">
        <v>3.0584797716045289</v>
      </c>
      <c r="P150" s="96">
        <v>3.1260980205172912</v>
      </c>
      <c r="Q150" s="96">
        <v>3.1490024088798743</v>
      </c>
      <c r="R150" s="96">
        <v>3.1303973184576224</v>
      </c>
      <c r="S150" s="96">
        <v>3.1424439363656509</v>
      </c>
      <c r="T150" s="96">
        <v>3.2630020158889659</v>
      </c>
      <c r="U150" s="96">
        <v>3.095919143551952</v>
      </c>
      <c r="V150" s="96">
        <v>3.0307022134643962</v>
      </c>
      <c r="W150" s="96">
        <v>2.7374015928862874</v>
      </c>
      <c r="X150" s="96">
        <v>2.6315909459259261</v>
      </c>
      <c r="Y150" s="96">
        <v>2.4292281204166191</v>
      </c>
      <c r="DA150" s="171" t="s">
        <v>893</v>
      </c>
    </row>
    <row r="151" spans="1:105" ht="11.45" customHeight="1" x14ac:dyDescent="0.25">
      <c r="A151" s="111" t="s">
        <v>115</v>
      </c>
      <c r="B151" s="96">
        <v>0</v>
      </c>
      <c r="C151" s="96">
        <v>0</v>
      </c>
      <c r="D151" s="96">
        <v>0</v>
      </c>
      <c r="E151" s="96">
        <v>0</v>
      </c>
      <c r="F151" s="96">
        <v>0</v>
      </c>
      <c r="G151" s="96">
        <v>0</v>
      </c>
      <c r="H151" s="96">
        <v>0</v>
      </c>
      <c r="I151" s="96">
        <v>0</v>
      </c>
      <c r="J151" s="96">
        <v>1.2236579000796759</v>
      </c>
      <c r="K151" s="96">
        <v>1.2208913782356174</v>
      </c>
      <c r="L151" s="96">
        <v>1.2037833190025795</v>
      </c>
      <c r="M151" s="96">
        <v>1.2037833190025795</v>
      </c>
      <c r="N151" s="96">
        <v>1.2037833190025795</v>
      </c>
      <c r="O151" s="96">
        <v>1.2321076323908755</v>
      </c>
      <c r="P151" s="96">
        <v>1.2191815677259725</v>
      </c>
      <c r="Q151" s="96">
        <v>1.2096691643123285</v>
      </c>
      <c r="R151" s="96">
        <v>1.2391595065713723</v>
      </c>
      <c r="S151" s="96">
        <v>1.2298818263994533</v>
      </c>
      <c r="T151" s="96">
        <v>1.4885840894518945</v>
      </c>
      <c r="U151" s="96">
        <v>1.5671979043772124</v>
      </c>
      <c r="V151" s="96">
        <v>1.546603355927394</v>
      </c>
      <c r="W151" s="96">
        <v>1.4715273277208212</v>
      </c>
      <c r="X151" s="96">
        <v>1.4620538589277343</v>
      </c>
      <c r="Y151" s="96">
        <v>1.4172119842334343</v>
      </c>
      <c r="DA151" s="171" t="s">
        <v>894</v>
      </c>
    </row>
    <row r="152" spans="1:105" ht="11.45" customHeight="1" x14ac:dyDescent="0.25">
      <c r="A152" s="109" t="s">
        <v>21</v>
      </c>
      <c r="B152" s="130">
        <v>47.601464098428103</v>
      </c>
      <c r="C152" s="130">
        <v>46.487293842451784</v>
      </c>
      <c r="D152" s="130">
        <v>46.371821800459216</v>
      </c>
      <c r="E152" s="130">
        <v>46.442825064795635</v>
      </c>
      <c r="F152" s="130">
        <v>46.806108066491056</v>
      </c>
      <c r="G152" s="130">
        <v>45.994509095193997</v>
      </c>
      <c r="H152" s="130">
        <v>46.504426047468868</v>
      </c>
      <c r="I152" s="130">
        <v>45.939379146846257</v>
      </c>
      <c r="J152" s="130">
        <v>45.933290140924555</v>
      </c>
      <c r="K152" s="130">
        <v>45.416375061873218</v>
      </c>
      <c r="L152" s="130">
        <v>44.679060466174207</v>
      </c>
      <c r="M152" s="130">
        <v>44.819501398146265</v>
      </c>
      <c r="N152" s="130">
        <v>43.908839596667775</v>
      </c>
      <c r="O152" s="130">
        <v>43.611401447942455</v>
      </c>
      <c r="P152" s="130">
        <v>43.508155347350872</v>
      </c>
      <c r="Q152" s="130">
        <v>43.151362225350837</v>
      </c>
      <c r="R152" s="130">
        <v>42.532368767873123</v>
      </c>
      <c r="S152" s="130">
        <v>41.005974296988512</v>
      </c>
      <c r="T152" s="130">
        <v>36.592781382150918</v>
      </c>
      <c r="U152" s="130">
        <v>38.675257085101457</v>
      </c>
      <c r="V152" s="130">
        <v>36.232208181037819</v>
      </c>
      <c r="W152" s="130">
        <v>34.954406568372569</v>
      </c>
      <c r="X152" s="130">
        <v>34.036169749463824</v>
      </c>
      <c r="Y152" s="130">
        <v>27.590622062975111</v>
      </c>
      <c r="DA152" s="176" t="s">
        <v>895</v>
      </c>
    </row>
    <row r="153" spans="1:105" ht="11.45" customHeight="1" x14ac:dyDescent="0.25">
      <c r="A153" s="111" t="s">
        <v>110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0</v>
      </c>
      <c r="K153" s="97">
        <v>0</v>
      </c>
      <c r="L153" s="97">
        <v>11.249150053874482</v>
      </c>
      <c r="M153" s="97">
        <v>0</v>
      </c>
      <c r="N153" s="97">
        <v>0</v>
      </c>
      <c r="O153" s="97">
        <v>10.156666478142329</v>
      </c>
      <c r="P153" s="97">
        <v>0</v>
      </c>
      <c r="Q153" s="97">
        <v>9.6399355552418804</v>
      </c>
      <c r="R153" s="97">
        <v>9.4182893700572379</v>
      </c>
      <c r="S153" s="97">
        <v>0</v>
      </c>
      <c r="T153" s="97">
        <v>0</v>
      </c>
      <c r="U153" s="97">
        <v>8.8490244403054703</v>
      </c>
      <c r="V153" s="97">
        <v>0</v>
      </c>
      <c r="W153" s="97">
        <v>0</v>
      </c>
      <c r="X153" s="97">
        <v>0</v>
      </c>
      <c r="Y153" s="97">
        <v>0</v>
      </c>
      <c r="DA153" s="175" t="s">
        <v>896</v>
      </c>
    </row>
    <row r="154" spans="1:105" ht="11.45" customHeight="1" x14ac:dyDescent="0.25">
      <c r="A154" s="111" t="s">
        <v>111</v>
      </c>
      <c r="B154" s="97">
        <v>47.601464098428103</v>
      </c>
      <c r="C154" s="97">
        <v>47.437289629498387</v>
      </c>
      <c r="D154" s="97">
        <v>47.255537561952416</v>
      </c>
      <c r="E154" s="97">
        <v>47.255537561952416</v>
      </c>
      <c r="F154" s="97">
        <v>47.071663874940924</v>
      </c>
      <c r="G154" s="97">
        <v>46.885609867530093</v>
      </c>
      <c r="H154" s="97">
        <v>46.504426047468876</v>
      </c>
      <c r="I154" s="97">
        <v>46.504426047468876</v>
      </c>
      <c r="J154" s="97">
        <v>46.311461624035395</v>
      </c>
      <c r="K154" s="97">
        <v>45.646741696739284</v>
      </c>
      <c r="L154" s="97">
        <v>45.220053291973642</v>
      </c>
      <c r="M154" s="97">
        <v>44.819501398146265</v>
      </c>
      <c r="N154" s="97">
        <v>44.377195115511334</v>
      </c>
      <c r="O154" s="97">
        <v>43.754370400804852</v>
      </c>
      <c r="P154" s="97">
        <v>43.513313397777353</v>
      </c>
      <c r="Q154" s="97">
        <v>43.199999999908329</v>
      </c>
      <c r="R154" s="97">
        <v>42.576587692799748</v>
      </c>
      <c r="S154" s="97">
        <v>41.687026524235314</v>
      </c>
      <c r="T154" s="97">
        <v>40.57510485764508</v>
      </c>
      <c r="U154" s="97">
        <v>39.282957940199523</v>
      </c>
      <c r="V154" s="97">
        <v>37.850004212381698</v>
      </c>
      <c r="W154" s="97">
        <v>36.312251650876611</v>
      </c>
      <c r="X154" s="97">
        <v>34.701909610749958</v>
      </c>
      <c r="Y154" s="97">
        <v>33.047242070247883</v>
      </c>
      <c r="DA154" s="175" t="s">
        <v>897</v>
      </c>
    </row>
    <row r="155" spans="1:105" ht="11.45" customHeight="1" x14ac:dyDescent="0.25">
      <c r="A155" s="111" t="s">
        <v>112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37.683377743311368</v>
      </c>
      <c r="M155" s="97">
        <v>0</v>
      </c>
      <c r="N155" s="97">
        <v>0</v>
      </c>
      <c r="O155" s="97">
        <v>0</v>
      </c>
      <c r="P155" s="97">
        <v>36.261094498147791</v>
      </c>
      <c r="Q155" s="97">
        <v>0</v>
      </c>
      <c r="R155" s="97">
        <v>35.716758956942492</v>
      </c>
      <c r="S155" s="97">
        <v>0</v>
      </c>
      <c r="T155" s="97">
        <v>0</v>
      </c>
      <c r="U155" s="97">
        <v>0</v>
      </c>
      <c r="V155" s="97">
        <v>0</v>
      </c>
      <c r="W155" s="97">
        <v>0</v>
      </c>
      <c r="X155" s="97">
        <v>0</v>
      </c>
      <c r="Y155" s="97">
        <v>0</v>
      </c>
      <c r="DA155" s="175" t="s">
        <v>898</v>
      </c>
    </row>
    <row r="156" spans="1:105" ht="11.45" customHeight="1" x14ac:dyDescent="0.25">
      <c r="A156" s="111" t="s">
        <v>113</v>
      </c>
      <c r="B156" s="97">
        <v>0</v>
      </c>
      <c r="C156" s="97">
        <v>39.531074691248655</v>
      </c>
      <c r="D156" s="97">
        <v>39.379614634960348</v>
      </c>
      <c r="E156" s="97">
        <v>39.379614634960348</v>
      </c>
      <c r="F156" s="97">
        <v>39.22638656245077</v>
      </c>
      <c r="G156" s="97">
        <v>39.07134155627508</v>
      </c>
      <c r="H156" s="97">
        <v>0</v>
      </c>
      <c r="I156" s="97">
        <v>38.753688372890728</v>
      </c>
      <c r="J156" s="97">
        <v>38.592884686696159</v>
      </c>
      <c r="K156" s="97">
        <v>39.060350181704926</v>
      </c>
      <c r="L156" s="97">
        <v>37.683377743311368</v>
      </c>
      <c r="M156" s="97">
        <v>0</v>
      </c>
      <c r="N156" s="97">
        <v>0</v>
      </c>
      <c r="O156" s="97">
        <v>0</v>
      </c>
      <c r="P156" s="97">
        <v>0</v>
      </c>
      <c r="Q156" s="97">
        <v>0</v>
      </c>
      <c r="R156" s="97">
        <v>0</v>
      </c>
      <c r="S156" s="97">
        <v>0</v>
      </c>
      <c r="T156" s="97">
        <v>35.532875927239857</v>
      </c>
      <c r="U156" s="97">
        <v>35.422411519622734</v>
      </c>
      <c r="V156" s="97">
        <v>35.320941483018295</v>
      </c>
      <c r="W156" s="97">
        <v>35.224938836095333</v>
      </c>
      <c r="X156" s="97">
        <v>35.132295080153774</v>
      </c>
      <c r="Y156" s="97">
        <v>35.041748998029327</v>
      </c>
      <c r="DA156" s="175" t="s">
        <v>899</v>
      </c>
    </row>
    <row r="157" spans="1:105" ht="11.45" customHeight="1" x14ac:dyDescent="0.25">
      <c r="A157" s="111" t="s">
        <v>115</v>
      </c>
      <c r="B157" s="97">
        <v>0</v>
      </c>
      <c r="C157" s="97">
        <v>0</v>
      </c>
      <c r="D157" s="97">
        <v>0</v>
      </c>
      <c r="E157" s="97">
        <v>0</v>
      </c>
      <c r="F157" s="97">
        <v>0</v>
      </c>
      <c r="G157" s="97">
        <v>0</v>
      </c>
      <c r="H157" s="97">
        <v>0</v>
      </c>
      <c r="I157" s="97">
        <v>0</v>
      </c>
      <c r="J157" s="97">
        <v>0</v>
      </c>
      <c r="K157" s="97">
        <v>0</v>
      </c>
      <c r="L157" s="97">
        <v>21.222815781708345</v>
      </c>
      <c r="M157" s="97">
        <v>0</v>
      </c>
      <c r="N157" s="97">
        <v>19.724663714564173</v>
      </c>
      <c r="O157" s="97">
        <v>0</v>
      </c>
      <c r="P157" s="97">
        <v>0</v>
      </c>
      <c r="Q157" s="97">
        <v>0</v>
      </c>
      <c r="R157" s="97">
        <v>0</v>
      </c>
      <c r="S157" s="97">
        <v>19.358242788072374</v>
      </c>
      <c r="T157" s="97">
        <v>19.223597557675618</v>
      </c>
      <c r="U157" s="97">
        <v>19.087469972246691</v>
      </c>
      <c r="V157" s="97">
        <v>18.951585879838206</v>
      </c>
      <c r="W157" s="97">
        <v>18.816454553924082</v>
      </c>
      <c r="X157" s="97">
        <v>18.682222841809924</v>
      </c>
      <c r="Y157" s="97">
        <v>18.548929665082142</v>
      </c>
      <c r="DA157" s="175" t="s">
        <v>900</v>
      </c>
    </row>
    <row r="158" spans="1:105" ht="11.45" customHeight="1" x14ac:dyDescent="0.25">
      <c r="A158" s="27" t="s">
        <v>34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DA158" s="173"/>
    </row>
    <row r="159" spans="1:105" ht="11.45" customHeight="1" x14ac:dyDescent="0.25">
      <c r="A159" s="136" t="s">
        <v>153</v>
      </c>
      <c r="B159" s="141">
        <v>0</v>
      </c>
      <c r="C159" s="141">
        <v>7.4484156520222697</v>
      </c>
      <c r="D159" s="141">
        <v>7.445640996310372</v>
      </c>
      <c r="E159" s="141">
        <v>7.9428635143573398</v>
      </c>
      <c r="F159" s="141">
        <v>7.4167086939037521</v>
      </c>
      <c r="G159" s="141">
        <v>7.4516222207717648</v>
      </c>
      <c r="H159" s="141">
        <v>7.5010694768908222</v>
      </c>
      <c r="I159" s="141">
        <v>7.391665906467332</v>
      </c>
      <c r="J159" s="141">
        <v>7.108257664827601</v>
      </c>
      <c r="K159" s="141">
        <v>6.9554114424465352</v>
      </c>
      <c r="L159" s="141">
        <v>7.053536965640979</v>
      </c>
      <c r="M159" s="141">
        <v>7.1749451501686279</v>
      </c>
      <c r="N159" s="141">
        <v>5.7987352775500467</v>
      </c>
      <c r="O159" s="141">
        <v>6.3431593577411762</v>
      </c>
      <c r="P159" s="141">
        <v>6.3951540149462556</v>
      </c>
      <c r="Q159" s="141">
        <v>5.9581704267522566</v>
      </c>
      <c r="R159" s="141">
        <v>5.8620202011816636</v>
      </c>
      <c r="S159" s="141">
        <v>5.6257157623217271</v>
      </c>
      <c r="T159" s="141">
        <v>5.5643210973702741</v>
      </c>
      <c r="U159" s="141">
        <v>5.5059421988539983</v>
      </c>
      <c r="V159" s="141">
        <v>5.7014314001635826</v>
      </c>
      <c r="W159" s="141">
        <v>5.5673593732430442</v>
      </c>
      <c r="X159" s="141">
        <v>5.2955648841633032</v>
      </c>
      <c r="Y159" s="141">
        <v>5.2661677647474825</v>
      </c>
      <c r="DA159" s="174" t="s">
        <v>901</v>
      </c>
    </row>
    <row r="160" spans="1:105" ht="11.45" customHeight="1" x14ac:dyDescent="0.25">
      <c r="A160" s="111" t="s">
        <v>110</v>
      </c>
      <c r="B160" s="96">
        <v>0</v>
      </c>
      <c r="C160" s="96">
        <v>8.1742440640096703</v>
      </c>
      <c r="D160" s="96">
        <v>8.0503918812216444</v>
      </c>
      <c r="E160" s="96">
        <v>8.0503918812216444</v>
      </c>
      <c r="F160" s="96">
        <v>0</v>
      </c>
      <c r="G160" s="96">
        <v>7.8026875156455926</v>
      </c>
      <c r="H160" s="96">
        <v>7.5549831500695399</v>
      </c>
      <c r="I160" s="96">
        <v>7.5549831500695399</v>
      </c>
      <c r="J160" s="96">
        <v>7.4311309672815158</v>
      </c>
      <c r="K160" s="96">
        <v>7.0221002422824137</v>
      </c>
      <c r="L160" s="96">
        <v>6.7667026179638272</v>
      </c>
      <c r="M160" s="96">
        <v>0</v>
      </c>
      <c r="N160" s="96">
        <v>6.2826782489891624</v>
      </c>
      <c r="O160" s="96">
        <v>0</v>
      </c>
      <c r="P160" s="96">
        <v>6.454004314498432</v>
      </c>
      <c r="Q160" s="96">
        <v>8.1204684850880309</v>
      </c>
      <c r="R160" s="96">
        <v>4.8152953472978171</v>
      </c>
      <c r="S160" s="96">
        <v>5.0111838414556402</v>
      </c>
      <c r="T160" s="96">
        <v>5.1116212148238347</v>
      </c>
      <c r="U160" s="96">
        <v>4.6938909366893276</v>
      </c>
      <c r="V160" s="96">
        <v>4.8719746252379661</v>
      </c>
      <c r="W160" s="96">
        <v>5.5165069580121937</v>
      </c>
      <c r="X160" s="96">
        <v>6.5198206086518491</v>
      </c>
      <c r="Y160" s="96">
        <v>8.4605079835291619</v>
      </c>
      <c r="DA160" s="171" t="s">
        <v>902</v>
      </c>
    </row>
    <row r="161" spans="1:105" ht="11.45" customHeight="1" x14ac:dyDescent="0.25">
      <c r="A161" s="111" t="s">
        <v>111</v>
      </c>
      <c r="B161" s="96">
        <v>0</v>
      </c>
      <c r="C161" s="96">
        <v>7.5529551295170378</v>
      </c>
      <c r="D161" s="96">
        <v>7.4204471447886675</v>
      </c>
      <c r="E161" s="96">
        <v>0</v>
      </c>
      <c r="F161" s="96">
        <v>7.0229231906035618</v>
      </c>
      <c r="G161" s="96">
        <v>7.0437269442059147</v>
      </c>
      <c r="H161" s="96">
        <v>7.1739822931939008</v>
      </c>
      <c r="I161" s="96">
        <v>7.1828603281707029</v>
      </c>
      <c r="J161" s="96">
        <v>6.7871914857717925</v>
      </c>
      <c r="K161" s="96">
        <v>6.5204691020010825</v>
      </c>
      <c r="L161" s="96">
        <v>6.2700087758090026</v>
      </c>
      <c r="M161" s="96">
        <v>6.0750191907645226</v>
      </c>
      <c r="N161" s="96">
        <v>5.8031662158555672</v>
      </c>
      <c r="O161" s="96">
        <v>5.721952838522534</v>
      </c>
      <c r="P161" s="96">
        <v>5.5236651327704225</v>
      </c>
      <c r="Q161" s="96">
        <v>5.5678908182163864</v>
      </c>
      <c r="R161" s="96">
        <v>5.4699309971915095</v>
      </c>
      <c r="S161" s="96">
        <v>5.2638547386570513</v>
      </c>
      <c r="T161" s="96">
        <v>5.2817462893334248</v>
      </c>
      <c r="U161" s="96">
        <v>5.3193128917372343</v>
      </c>
      <c r="V161" s="96">
        <v>5.7633895461536193</v>
      </c>
      <c r="W161" s="96">
        <v>5.6441000929784435</v>
      </c>
      <c r="X161" s="96">
        <v>5.5921971522057365</v>
      </c>
      <c r="Y161" s="96">
        <v>5.5833531249735593</v>
      </c>
      <c r="DA161" s="171" t="s">
        <v>903</v>
      </c>
    </row>
    <row r="162" spans="1:105" ht="11.45" customHeight="1" x14ac:dyDescent="0.25">
      <c r="A162" s="111" t="s">
        <v>112</v>
      </c>
      <c r="B162" s="96">
        <v>0</v>
      </c>
      <c r="C162" s="96">
        <v>11.357105989013673</v>
      </c>
      <c r="D162" s="96">
        <v>11.1578585155222</v>
      </c>
      <c r="E162" s="96">
        <v>10.759363568539268</v>
      </c>
      <c r="F162" s="96">
        <v>10.560116095047801</v>
      </c>
      <c r="G162" s="96">
        <v>10.591397948385959</v>
      </c>
      <c r="H162" s="96">
        <v>10.787258214828077</v>
      </c>
      <c r="I162" s="96">
        <v>10.800607795552009</v>
      </c>
      <c r="J162" s="96">
        <v>10.205654839706483</v>
      </c>
      <c r="K162" s="96">
        <v>9.8045940191161112</v>
      </c>
      <c r="L162" s="96">
        <v>9.427985867494769</v>
      </c>
      <c r="M162" s="96">
        <v>9.1347870670080997</v>
      </c>
      <c r="N162" s="96">
        <v>9.1308884540027808</v>
      </c>
      <c r="O162" s="96">
        <v>6.3961897422379463</v>
      </c>
      <c r="P162" s="96">
        <v>7.1842561687560176</v>
      </c>
      <c r="Q162" s="96">
        <v>7.2272756667725204</v>
      </c>
      <c r="R162" s="96">
        <v>4.285647676086163</v>
      </c>
      <c r="S162" s="96">
        <v>6.0227297223104337</v>
      </c>
      <c r="T162" s="96">
        <v>6.1434411495806227</v>
      </c>
      <c r="U162" s="96">
        <v>5.6413888119240383</v>
      </c>
      <c r="V162" s="96">
        <v>0</v>
      </c>
      <c r="W162" s="96">
        <v>7.3659923112061332</v>
      </c>
      <c r="X162" s="96">
        <v>7.4656959966850565</v>
      </c>
      <c r="Y162" s="96">
        <v>6.8672640018672526</v>
      </c>
      <c r="DA162" s="171" t="s">
        <v>904</v>
      </c>
    </row>
    <row r="163" spans="1:105" ht="11.45" customHeight="1" x14ac:dyDescent="0.25">
      <c r="A163" s="111" t="s">
        <v>113</v>
      </c>
      <c r="B163" s="96">
        <v>0</v>
      </c>
      <c r="C163" s="96">
        <v>0</v>
      </c>
      <c r="D163" s="96">
        <v>0</v>
      </c>
      <c r="E163" s="96">
        <v>0</v>
      </c>
      <c r="F163" s="96">
        <v>0</v>
      </c>
      <c r="G163" s="96">
        <v>0</v>
      </c>
      <c r="H163" s="96">
        <v>0</v>
      </c>
      <c r="I163" s="96">
        <v>0</v>
      </c>
      <c r="J163" s="96">
        <v>0</v>
      </c>
      <c r="K163" s="96">
        <v>0</v>
      </c>
      <c r="L163" s="96">
        <v>0</v>
      </c>
      <c r="M163" s="96">
        <v>0</v>
      </c>
      <c r="N163" s="96">
        <v>0</v>
      </c>
      <c r="O163" s="96">
        <v>7.0728435825250262</v>
      </c>
      <c r="P163" s="96">
        <v>6.8506720062604582</v>
      </c>
      <c r="Q163" s="96">
        <v>8.4575712861355736</v>
      </c>
      <c r="R163" s="96">
        <v>6.2430540134426904</v>
      </c>
      <c r="S163" s="96">
        <v>6.2391275643776289</v>
      </c>
      <c r="T163" s="96">
        <v>7.0523644560288199</v>
      </c>
      <c r="U163" s="96">
        <v>8.5577742662758531</v>
      </c>
      <c r="V163" s="96">
        <v>7.4445474273505221</v>
      </c>
      <c r="W163" s="96">
        <v>7.6635047046255371</v>
      </c>
      <c r="X163" s="96">
        <v>5.53475339778511</v>
      </c>
      <c r="Y163" s="96">
        <v>5.3644532932378759</v>
      </c>
      <c r="DA163" s="171" t="s">
        <v>905</v>
      </c>
    </row>
    <row r="164" spans="1:105" ht="11.45" customHeight="1" x14ac:dyDescent="0.25">
      <c r="A164" s="111" t="s">
        <v>115</v>
      </c>
      <c r="B164" s="96">
        <v>0</v>
      </c>
      <c r="C164" s="96">
        <v>0</v>
      </c>
      <c r="D164" s="96">
        <v>0</v>
      </c>
      <c r="E164" s="96">
        <v>0</v>
      </c>
      <c r="F164" s="96">
        <v>0</v>
      </c>
      <c r="G164" s="96">
        <v>0</v>
      </c>
      <c r="H164" s="96">
        <v>0</v>
      </c>
      <c r="I164" s="96">
        <v>0</v>
      </c>
      <c r="J164" s="96">
        <v>0</v>
      </c>
      <c r="K164" s="96">
        <v>0</v>
      </c>
      <c r="L164" s="96">
        <v>0</v>
      </c>
      <c r="M164" s="96">
        <v>1.3566283477464831</v>
      </c>
      <c r="N164" s="96">
        <v>1.3327601031814273</v>
      </c>
      <c r="O164" s="96">
        <v>1.375898952153805</v>
      </c>
      <c r="P164" s="96">
        <v>1.3876579138831935</v>
      </c>
      <c r="Q164" s="96">
        <v>1.3840543184985323</v>
      </c>
      <c r="R164" s="96">
        <v>1.3923630110216525</v>
      </c>
      <c r="S164" s="96">
        <v>1.3894561478933791</v>
      </c>
      <c r="T164" s="96">
        <v>1.5004809015800078</v>
      </c>
      <c r="U164" s="96">
        <v>1.6676158464636535</v>
      </c>
      <c r="V164" s="96">
        <v>1.8427910775288248</v>
      </c>
      <c r="W164" s="96">
        <v>1.9922993971582355</v>
      </c>
      <c r="X164" s="96">
        <v>2.0049523050660265</v>
      </c>
      <c r="Y164" s="96">
        <v>1.799885138199173</v>
      </c>
      <c r="DA164" s="171" t="s">
        <v>906</v>
      </c>
    </row>
    <row r="165" spans="1:105" ht="11.45" customHeight="1" x14ac:dyDescent="0.25">
      <c r="A165" s="109" t="s">
        <v>154</v>
      </c>
      <c r="B165" s="130">
        <v>33.546147315091126</v>
      </c>
      <c r="C165" s="130">
        <v>28.922802495872954</v>
      </c>
      <c r="D165" s="130">
        <v>28.985752493217252</v>
      </c>
      <c r="E165" s="130">
        <v>29.480707922544941</v>
      </c>
      <c r="F165" s="130">
        <v>28.69260918173325</v>
      </c>
      <c r="G165" s="130">
        <v>28.107931103896274</v>
      </c>
      <c r="H165" s="130">
        <v>27.899912006729</v>
      </c>
      <c r="I165" s="130">
        <v>27.638576637086143</v>
      </c>
      <c r="J165" s="130">
        <v>26.636289440421464</v>
      </c>
      <c r="K165" s="130">
        <v>26.478990244580505</v>
      </c>
      <c r="L165" s="130">
        <v>25.729291836666818</v>
      </c>
      <c r="M165" s="130">
        <v>26.180412559112</v>
      </c>
      <c r="N165" s="130">
        <v>24.686490754471532</v>
      </c>
      <c r="O165" s="130">
        <v>26.965046457685965</v>
      </c>
      <c r="P165" s="130">
        <v>23.759795722301625</v>
      </c>
      <c r="Q165" s="130">
        <v>22.888799999951431</v>
      </c>
      <c r="R165" s="130">
        <v>22.810185356444261</v>
      </c>
      <c r="S165" s="130">
        <v>21.895963328362143</v>
      </c>
      <c r="T165" s="130">
        <v>21.53954938928533</v>
      </c>
      <c r="U165" s="130">
        <v>20.855559504293108</v>
      </c>
      <c r="V165" s="130">
        <v>20.772640470685072</v>
      </c>
      <c r="W165" s="130">
        <v>22.740067471591068</v>
      </c>
      <c r="X165" s="130">
        <v>20.802872458643037</v>
      </c>
      <c r="Y165" s="130">
        <v>20.284096893887018</v>
      </c>
      <c r="DA165" s="176" t="s">
        <v>907</v>
      </c>
    </row>
    <row r="166" spans="1:105" ht="11.45" customHeight="1" x14ac:dyDescent="0.25">
      <c r="A166" s="128" t="s">
        <v>27</v>
      </c>
      <c r="B166" s="97">
        <v>0</v>
      </c>
      <c r="C166" s="97">
        <v>28.628350515406915</v>
      </c>
      <c r="D166" s="97">
        <v>28.462595302196149</v>
      </c>
      <c r="E166" s="97">
        <v>28.256199208777268</v>
      </c>
      <c r="F166" s="97">
        <v>28.009686691511032</v>
      </c>
      <c r="G166" s="97">
        <v>27.723679722033737</v>
      </c>
      <c r="H166" s="97">
        <v>27.398893908659403</v>
      </c>
      <c r="I166" s="97">
        <v>27.03613408855044</v>
      </c>
      <c r="J166" s="97">
        <v>26.636289440421464</v>
      </c>
      <c r="K166" s="97">
        <v>26.200328171414601</v>
      </c>
      <c r="L166" s="97">
        <v>25.729291836666818</v>
      </c>
      <c r="M166" s="97">
        <v>25.224289351000557</v>
      </c>
      <c r="N166" s="97">
        <v>24.686490754471532</v>
      </c>
      <c r="O166" s="97">
        <v>24.117120794229933</v>
      </c>
      <c r="P166" s="97">
        <v>23.517452383682397</v>
      </c>
      <c r="Q166" s="97">
        <v>22.888799999951431</v>
      </c>
      <c r="R166" s="97">
        <v>22.241610292306827</v>
      </c>
      <c r="S166" s="97">
        <v>21.788577496955604</v>
      </c>
      <c r="T166" s="97">
        <v>21.312893061836821</v>
      </c>
      <c r="U166" s="97">
        <v>20.731500974469419</v>
      </c>
      <c r="V166" s="97">
        <v>20.772640470685072</v>
      </c>
      <c r="W166" s="97">
        <v>20.560943398134569</v>
      </c>
      <c r="X166" s="97">
        <v>20.447665467807035</v>
      </c>
      <c r="Y166" s="97">
        <v>20.243188813128963</v>
      </c>
      <c r="DA166" s="175" t="s">
        <v>908</v>
      </c>
    </row>
    <row r="167" spans="1:105" ht="11.45" customHeight="1" x14ac:dyDescent="0.25">
      <c r="A167" s="138" t="s">
        <v>116</v>
      </c>
      <c r="B167" s="98">
        <v>33.546147315091126</v>
      </c>
      <c r="C167" s="98">
        <v>33.402061855603584</v>
      </c>
      <c r="D167" s="98">
        <v>33.242692617271175</v>
      </c>
      <c r="E167" s="98">
        <v>33.04424825123408</v>
      </c>
      <c r="F167" s="98">
        <v>32.807233008364037</v>
      </c>
      <c r="G167" s="98">
        <v>32.532244897882101</v>
      </c>
      <c r="H167" s="98">
        <v>32.219971958189838</v>
      </c>
      <c r="I167" s="98">
        <v>31.871188018858444</v>
      </c>
      <c r="J167" s="98">
        <v>0</v>
      </c>
      <c r="K167" s="98">
        <v>31.067582811954381</v>
      </c>
      <c r="L167" s="98">
        <v>0</v>
      </c>
      <c r="M167" s="98">
        <v>30.129147390351896</v>
      </c>
      <c r="N167" s="98">
        <v>0</v>
      </c>
      <c r="O167" s="98">
        <v>29.064634207446638</v>
      </c>
      <c r="P167" s="98">
        <v>28.488068946000222</v>
      </c>
      <c r="Q167" s="98">
        <v>0</v>
      </c>
      <c r="R167" s="98">
        <v>27.103246514875242</v>
      </c>
      <c r="S167" s="98">
        <v>26.556973620783872</v>
      </c>
      <c r="T167" s="98">
        <v>25.983387081987935</v>
      </c>
      <c r="U167" s="98">
        <v>25.282336867904011</v>
      </c>
      <c r="V167" s="98">
        <v>0</v>
      </c>
      <c r="W167" s="98">
        <v>24.748425433669372</v>
      </c>
      <c r="X167" s="98">
        <v>24.612077098006637</v>
      </c>
      <c r="Y167" s="98">
        <v>24.36595632702657</v>
      </c>
      <c r="DA167" s="178" t="s">
        <v>909</v>
      </c>
    </row>
    <row r="168" spans="1:105" x14ac:dyDescent="0.25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DA168" s="171"/>
    </row>
    <row r="169" spans="1:105" ht="11.45" customHeight="1" x14ac:dyDescent="0.25">
      <c r="A169" s="53" t="s">
        <v>123</v>
      </c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DA169" s="172"/>
    </row>
    <row r="170" spans="1:105" ht="11.45" customHeight="1" x14ac:dyDescent="0.25">
      <c r="A170" s="27" t="s">
        <v>33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DA170" s="173"/>
    </row>
    <row r="171" spans="1:105" ht="11.45" customHeight="1" x14ac:dyDescent="0.25">
      <c r="A171" s="136" t="s">
        <v>173</v>
      </c>
      <c r="B171" s="152">
        <v>109.43641653029219</v>
      </c>
      <c r="C171" s="152">
        <v>108.31003652625513</v>
      </c>
      <c r="D171" s="152">
        <v>107.27849239008376</v>
      </c>
      <c r="E171" s="152">
        <v>106.42725820926111</v>
      </c>
      <c r="F171" s="152">
        <v>105.50996345520471</v>
      </c>
      <c r="G171" s="152">
        <v>104.56346833279858</v>
      </c>
      <c r="H171" s="152">
        <v>103.50392964890194</v>
      </c>
      <c r="I171" s="152">
        <v>102.3189733081398</v>
      </c>
      <c r="J171" s="152">
        <v>101.56875958721183</v>
      </c>
      <c r="K171" s="152">
        <v>100.35410124094965</v>
      </c>
      <c r="L171" s="152">
        <v>97.540534474479571</v>
      </c>
      <c r="M171" s="152">
        <v>95.189570052484086</v>
      </c>
      <c r="N171" s="152">
        <v>93.040017186031903</v>
      </c>
      <c r="O171" s="152">
        <v>91.835557984238051</v>
      </c>
      <c r="P171" s="152">
        <v>90.102128196514244</v>
      </c>
      <c r="Q171" s="152">
        <v>87.604383278777945</v>
      </c>
      <c r="R171" s="152">
        <v>85.538495421676714</v>
      </c>
      <c r="S171" s="152">
        <v>83.722847775387592</v>
      </c>
      <c r="T171" s="152">
        <v>82.018091071811924</v>
      </c>
      <c r="U171" s="152">
        <v>80.44042370828717</v>
      </c>
      <c r="V171" s="152">
        <v>77.066845188975037</v>
      </c>
      <c r="W171" s="152">
        <v>75.11922814091551</v>
      </c>
      <c r="X171" s="152">
        <v>74.247341483210235</v>
      </c>
      <c r="Y171" s="152">
        <v>73.183587259365595</v>
      </c>
      <c r="DA171" s="174" t="s">
        <v>910</v>
      </c>
    </row>
    <row r="172" spans="1:105" ht="11.45" customHeight="1" x14ac:dyDescent="0.25">
      <c r="A172" s="109" t="s">
        <v>20</v>
      </c>
      <c r="B172" s="116">
        <v>225.72422247089241</v>
      </c>
      <c r="C172" s="116">
        <v>220.71887838145585</v>
      </c>
      <c r="D172" s="116">
        <v>218.37021556022864</v>
      </c>
      <c r="E172" s="116">
        <v>217.56030677466214</v>
      </c>
      <c r="F172" s="116">
        <v>217.15389743852811</v>
      </c>
      <c r="G172" s="116">
        <v>215.56448685984375</v>
      </c>
      <c r="H172" s="116">
        <v>214.05580205463158</v>
      </c>
      <c r="I172" s="116">
        <v>212.21760628028716</v>
      </c>
      <c r="J172" s="116">
        <v>208.53180811746105</v>
      </c>
      <c r="K172" s="116">
        <v>205.25090759271072</v>
      </c>
      <c r="L172" s="116">
        <v>198.70966961100103</v>
      </c>
      <c r="M172" s="116">
        <v>199.29826035947167</v>
      </c>
      <c r="N172" s="116">
        <v>193.74728104363768</v>
      </c>
      <c r="O172" s="116">
        <v>192.88064215098706</v>
      </c>
      <c r="P172" s="116">
        <v>189.29941349385604</v>
      </c>
      <c r="Q172" s="116">
        <v>185.89902023420771</v>
      </c>
      <c r="R172" s="116">
        <v>182.2297551779393</v>
      </c>
      <c r="S172" s="116">
        <v>177.03992025480983</v>
      </c>
      <c r="T172" s="116">
        <v>172.19153582528466</v>
      </c>
      <c r="U172" s="116">
        <v>166.87836627806726</v>
      </c>
      <c r="V172" s="116">
        <v>165.12165455343433</v>
      </c>
      <c r="W172" s="116">
        <v>157.21678723993134</v>
      </c>
      <c r="X172" s="116">
        <v>152.01842741878713</v>
      </c>
      <c r="Y172" s="116">
        <v>144.11963997533439</v>
      </c>
      <c r="DA172" s="176" t="s">
        <v>911</v>
      </c>
    </row>
    <row r="173" spans="1:105" ht="11.45" customHeight="1" x14ac:dyDescent="0.25">
      <c r="A173" s="111" t="s">
        <v>110</v>
      </c>
      <c r="B173" s="87">
        <v>223.70109344803168</v>
      </c>
      <c r="C173" s="87">
        <v>217.2806208369187</v>
      </c>
      <c r="D173" s="87">
        <v>213.80915043568535</v>
      </c>
      <c r="E173" s="87">
        <v>212.11873938987318</v>
      </c>
      <c r="F173" s="87">
        <v>210.7623187509127</v>
      </c>
      <c r="G173" s="87">
        <v>209.28759862433475</v>
      </c>
      <c r="H173" s="87">
        <v>207.85846368108</v>
      </c>
      <c r="I173" s="87">
        <v>206.29395117753683</v>
      </c>
      <c r="J173" s="87">
        <v>204.3209915424321</v>
      </c>
      <c r="K173" s="87">
        <v>202.67545992421296</v>
      </c>
      <c r="L173" s="87">
        <v>198.17359377364878</v>
      </c>
      <c r="M173" s="87">
        <v>195.97070561351853</v>
      </c>
      <c r="N173" s="87">
        <v>192.27348869422636</v>
      </c>
      <c r="O173" s="87">
        <v>191.21470416667239</v>
      </c>
      <c r="P173" s="87">
        <v>188.5157093257049</v>
      </c>
      <c r="Q173" s="87">
        <v>184.67830503102437</v>
      </c>
      <c r="R173" s="87">
        <v>181.3460240442694</v>
      </c>
      <c r="S173" s="87">
        <v>176.20566647118673</v>
      </c>
      <c r="T173" s="87">
        <v>172.60559490020077</v>
      </c>
      <c r="U173" s="87">
        <v>169.73009801940069</v>
      </c>
      <c r="V173" s="87">
        <v>168.38221314501004</v>
      </c>
      <c r="W173" s="87">
        <v>166.62634913515694</v>
      </c>
      <c r="X173" s="87">
        <v>164.81241319410421</v>
      </c>
      <c r="Y173" s="87">
        <v>161.70001770123483</v>
      </c>
      <c r="DA173" s="171" t="s">
        <v>912</v>
      </c>
    </row>
    <row r="174" spans="1:105" ht="11.45" customHeight="1" x14ac:dyDescent="0.25">
      <c r="A174" s="111" t="s">
        <v>111</v>
      </c>
      <c r="B174" s="87">
        <v>232.06539951303247</v>
      </c>
      <c r="C174" s="87">
        <v>226.30933547009704</v>
      </c>
      <c r="D174" s="87">
        <v>221.69589130214072</v>
      </c>
      <c r="E174" s="87">
        <v>218.49287309903644</v>
      </c>
      <c r="F174" s="87">
        <v>214.4375602403594</v>
      </c>
      <c r="G174" s="87">
        <v>210.6200974998593</v>
      </c>
      <c r="H174" s="87">
        <v>207.6880223713452</v>
      </c>
      <c r="I174" s="87">
        <v>204.81820420751458</v>
      </c>
      <c r="J174" s="87">
        <v>200.80847488725351</v>
      </c>
      <c r="K174" s="87">
        <v>197.90197030985135</v>
      </c>
      <c r="L174" s="87">
        <v>193.74332731935945</v>
      </c>
      <c r="M174" s="87">
        <v>191.01161632704913</v>
      </c>
      <c r="N174" s="87">
        <v>186.95538294408797</v>
      </c>
      <c r="O174" s="87">
        <v>184.91496911176645</v>
      </c>
      <c r="P174" s="87">
        <v>181.57911618501831</v>
      </c>
      <c r="Q174" s="87">
        <v>178.14900101472531</v>
      </c>
      <c r="R174" s="87">
        <v>174.6937099157748</v>
      </c>
      <c r="S174" s="87">
        <v>170.93725429862002</v>
      </c>
      <c r="T174" s="87">
        <v>168.31125018650732</v>
      </c>
      <c r="U174" s="87">
        <v>166.49304898067271</v>
      </c>
      <c r="V174" s="87">
        <v>164.78262409417377</v>
      </c>
      <c r="W174" s="87">
        <v>163.3154092147133</v>
      </c>
      <c r="X174" s="87">
        <v>162.18625939043471</v>
      </c>
      <c r="Y174" s="87">
        <v>161.06149383044914</v>
      </c>
      <c r="DA174" s="171" t="s">
        <v>913</v>
      </c>
    </row>
    <row r="175" spans="1:105" ht="11.45" customHeight="1" x14ac:dyDescent="0.25">
      <c r="A175" s="111" t="s">
        <v>112</v>
      </c>
      <c r="B175" s="87">
        <v>173.11874845838813</v>
      </c>
      <c r="C175" s="87">
        <v>140.92006492991163</v>
      </c>
      <c r="D175" s="87">
        <v>140.92006492991158</v>
      </c>
      <c r="E175" s="87">
        <v>141.74389642458354</v>
      </c>
      <c r="F175" s="87">
        <v>141.94418368972558</v>
      </c>
      <c r="G175" s="87">
        <v>143.89901882259099</v>
      </c>
      <c r="H175" s="87">
        <v>144.30703770284907</v>
      </c>
      <c r="I175" s="87">
        <v>144.34861647919067</v>
      </c>
      <c r="J175" s="87">
        <v>148.56725932890572</v>
      </c>
      <c r="K175" s="87">
        <v>152.74871445173801</v>
      </c>
      <c r="L175" s="87">
        <v>153.06169979583635</v>
      </c>
      <c r="M175" s="87">
        <v>153.19738447097092</v>
      </c>
      <c r="N175" s="87">
        <v>154.90566864238207</v>
      </c>
      <c r="O175" s="87">
        <v>154.75531134980241</v>
      </c>
      <c r="P175" s="87">
        <v>153.70107076075675</v>
      </c>
      <c r="Q175" s="87">
        <v>153.77775704039794</v>
      </c>
      <c r="R175" s="87">
        <v>152.66653075315136</v>
      </c>
      <c r="S175" s="87">
        <v>150.94321698780175</v>
      </c>
      <c r="T175" s="87">
        <v>149.82072444638797</v>
      </c>
      <c r="U175" s="87">
        <v>149.58466522967507</v>
      </c>
      <c r="V175" s="87">
        <v>148.24727395928898</v>
      </c>
      <c r="W175" s="87">
        <v>144.84420468706156</v>
      </c>
      <c r="X175" s="87">
        <v>141.60144315642975</v>
      </c>
      <c r="Y175" s="87">
        <v>136.77095009397578</v>
      </c>
      <c r="DA175" s="171" t="s">
        <v>914</v>
      </c>
    </row>
    <row r="176" spans="1:105" ht="11.45" customHeight="1" x14ac:dyDescent="0.25">
      <c r="A176" s="111" t="s">
        <v>113</v>
      </c>
      <c r="B176" s="87">
        <v>0</v>
      </c>
      <c r="C176" s="87">
        <v>0</v>
      </c>
      <c r="D176" s="87">
        <v>0</v>
      </c>
      <c r="E176" s="87">
        <v>0</v>
      </c>
      <c r="F176" s="87">
        <v>0</v>
      </c>
      <c r="G176" s="87">
        <v>0</v>
      </c>
      <c r="H176" s="87">
        <v>0</v>
      </c>
      <c r="I176" s="87">
        <v>0</v>
      </c>
      <c r="J176" s="87">
        <v>0</v>
      </c>
      <c r="K176" s="87">
        <v>0</v>
      </c>
      <c r="L176" s="87">
        <v>176.99089068825904</v>
      </c>
      <c r="M176" s="87">
        <v>176.99089068825904</v>
      </c>
      <c r="N176" s="87">
        <v>144.31273628048032</v>
      </c>
      <c r="O176" s="87">
        <v>134.34663833122289</v>
      </c>
      <c r="P176" s="87">
        <v>129.10933634921315</v>
      </c>
      <c r="Q176" s="87">
        <v>121.9104405282193</v>
      </c>
      <c r="R176" s="87">
        <v>116.95793232977687</v>
      </c>
      <c r="S176" s="87">
        <v>114.32590366150124</v>
      </c>
      <c r="T176" s="87">
        <v>115.79667556442119</v>
      </c>
      <c r="U176" s="87">
        <v>113.36753191046341</v>
      </c>
      <c r="V176" s="87">
        <v>112.19342530793321</v>
      </c>
      <c r="W176" s="87">
        <v>110.62683670293582</v>
      </c>
      <c r="X176" s="87">
        <v>110.15487793817678</v>
      </c>
      <c r="Y176" s="87">
        <v>109.91488909643824</v>
      </c>
      <c r="DA176" s="171" t="s">
        <v>915</v>
      </c>
    </row>
    <row r="177" spans="1:105" ht="11.45" customHeight="1" x14ac:dyDescent="0.25">
      <c r="A177" s="111" t="s">
        <v>114</v>
      </c>
      <c r="B177" s="87">
        <v>0</v>
      </c>
      <c r="C177" s="87">
        <v>0</v>
      </c>
      <c r="D177" s="87">
        <v>0</v>
      </c>
      <c r="E177" s="87">
        <v>0</v>
      </c>
      <c r="F177" s="87">
        <v>0</v>
      </c>
      <c r="G177" s="87">
        <v>0</v>
      </c>
      <c r="H177" s="87">
        <v>0</v>
      </c>
      <c r="I177" s="87">
        <v>0</v>
      </c>
      <c r="J177" s="87">
        <v>0</v>
      </c>
      <c r="K177" s="87">
        <v>0</v>
      </c>
      <c r="L177" s="87">
        <v>0</v>
      </c>
      <c r="M177" s="87">
        <v>71.494825607826371</v>
      </c>
      <c r="N177" s="87">
        <v>57.266148255720758</v>
      </c>
      <c r="O177" s="87">
        <v>58.471398940458229</v>
      </c>
      <c r="P177" s="87">
        <v>58.575076010474014</v>
      </c>
      <c r="Q177" s="87">
        <v>58.747143502067146</v>
      </c>
      <c r="R177" s="87">
        <v>58.202843713372921</v>
      </c>
      <c r="S177" s="87">
        <v>58.488299628231594</v>
      </c>
      <c r="T177" s="87">
        <v>59.2560276054094</v>
      </c>
      <c r="U177" s="87">
        <v>55.53400884563802</v>
      </c>
      <c r="V177" s="87">
        <v>49.692853090308525</v>
      </c>
      <c r="W177" s="87">
        <v>44.782328905060524</v>
      </c>
      <c r="X177" s="87">
        <v>40.661295339718635</v>
      </c>
      <c r="Y177" s="87">
        <v>36.575355018568843</v>
      </c>
      <c r="DA177" s="171" t="s">
        <v>916</v>
      </c>
    </row>
    <row r="178" spans="1:105" ht="11.45" customHeight="1" x14ac:dyDescent="0.25">
      <c r="A178" s="111" t="s">
        <v>115</v>
      </c>
      <c r="B178" s="87">
        <v>0</v>
      </c>
      <c r="C178" s="87">
        <v>0</v>
      </c>
      <c r="D178" s="87">
        <v>0</v>
      </c>
      <c r="E178" s="87">
        <v>0</v>
      </c>
      <c r="F178" s="87">
        <v>0</v>
      </c>
      <c r="G178" s="87">
        <v>0</v>
      </c>
      <c r="H178" s="87">
        <v>0</v>
      </c>
      <c r="I178" s="87">
        <v>0</v>
      </c>
      <c r="J178" s="87">
        <v>0</v>
      </c>
      <c r="K178" s="87">
        <v>0</v>
      </c>
      <c r="L178" s="87">
        <v>0</v>
      </c>
      <c r="M178" s="87">
        <v>0</v>
      </c>
      <c r="N178" s="87">
        <v>0</v>
      </c>
      <c r="O178" s="87">
        <v>0</v>
      </c>
      <c r="P178" s="87">
        <v>0</v>
      </c>
      <c r="Q178" s="87">
        <v>0</v>
      </c>
      <c r="R178" s="87">
        <v>0</v>
      </c>
      <c r="S178" s="87">
        <v>0</v>
      </c>
      <c r="T178" s="87">
        <v>0</v>
      </c>
      <c r="U178" s="87">
        <v>0</v>
      </c>
      <c r="V178" s="87">
        <v>0</v>
      </c>
      <c r="W178" s="87">
        <v>0</v>
      </c>
      <c r="X178" s="87">
        <v>0</v>
      </c>
      <c r="Y178" s="87">
        <v>0</v>
      </c>
      <c r="DA178" s="171" t="s">
        <v>917</v>
      </c>
    </row>
    <row r="179" spans="1:105" ht="11.45" customHeight="1" x14ac:dyDescent="0.25">
      <c r="A179" s="109" t="s">
        <v>21</v>
      </c>
      <c r="B179" s="116">
        <v>1767.2959423683783</v>
      </c>
      <c r="C179" s="116">
        <v>1684.1615279191055</v>
      </c>
      <c r="D179" s="116">
        <v>1672.9661492182911</v>
      </c>
      <c r="E179" s="116">
        <v>1661.2092136554866</v>
      </c>
      <c r="F179" s="116">
        <v>1671.3762916564681</v>
      </c>
      <c r="G179" s="116">
        <v>1580.009520525997</v>
      </c>
      <c r="H179" s="116">
        <v>1608.8588321083714</v>
      </c>
      <c r="I179" s="116">
        <v>1569.695250480549</v>
      </c>
      <c r="J179" s="116">
        <v>1566.4712769095274</v>
      </c>
      <c r="K179" s="116">
        <v>1560.8964365411559</v>
      </c>
      <c r="L179" s="116">
        <v>1539.9803756621307</v>
      </c>
      <c r="M179" s="116">
        <v>1538.6853338068984</v>
      </c>
      <c r="N179" s="116">
        <v>1462.6817920318581</v>
      </c>
      <c r="O179" s="116">
        <v>1464.4258220292918</v>
      </c>
      <c r="P179" s="116">
        <v>1443.5386036200214</v>
      </c>
      <c r="Q179" s="116">
        <v>1438.5528878213283</v>
      </c>
      <c r="R179" s="116">
        <v>1420.7327460770214</v>
      </c>
      <c r="S179" s="116">
        <v>1396.5158308576979</v>
      </c>
      <c r="T179" s="116">
        <v>1204.7097369179553</v>
      </c>
      <c r="U179" s="116">
        <v>1347.45361577581</v>
      </c>
      <c r="V179" s="116">
        <v>1227.2785142421299</v>
      </c>
      <c r="W179" s="116">
        <v>1179.9683158500284</v>
      </c>
      <c r="X179" s="116">
        <v>1262.2971965234722</v>
      </c>
      <c r="Y179" s="116">
        <v>907.95347974252934</v>
      </c>
      <c r="DA179" s="176" t="s">
        <v>918</v>
      </c>
    </row>
    <row r="180" spans="1:105" ht="11.45" customHeight="1" x14ac:dyDescent="0.25">
      <c r="A180" s="111" t="s">
        <v>110</v>
      </c>
      <c r="B180" s="101">
        <v>0</v>
      </c>
      <c r="C180" s="101">
        <v>0</v>
      </c>
      <c r="D180" s="101">
        <v>0</v>
      </c>
      <c r="E180" s="101">
        <v>0</v>
      </c>
      <c r="F180" s="101">
        <v>0</v>
      </c>
      <c r="G180" s="101">
        <v>0</v>
      </c>
      <c r="H180" s="101">
        <v>0</v>
      </c>
      <c r="I180" s="101">
        <v>0</v>
      </c>
      <c r="J180" s="101">
        <v>0</v>
      </c>
      <c r="K180" s="101">
        <v>0</v>
      </c>
      <c r="L180" s="101">
        <v>326.38873421774252</v>
      </c>
      <c r="M180" s="101">
        <v>326.38873421774247</v>
      </c>
      <c r="N180" s="101">
        <v>326.38873421774247</v>
      </c>
      <c r="O180" s="101">
        <v>321.41507400809195</v>
      </c>
      <c r="P180" s="101">
        <v>321.41507400809189</v>
      </c>
      <c r="Q180" s="101">
        <v>315.38761832023891</v>
      </c>
      <c r="R180" s="101">
        <v>309.89689880292389</v>
      </c>
      <c r="S180" s="101">
        <v>307.97152068464953</v>
      </c>
      <c r="T180" s="101">
        <v>307.97152068464959</v>
      </c>
      <c r="U180" s="101">
        <v>300.80928444413991</v>
      </c>
      <c r="V180" s="101">
        <v>297.95376987875869</v>
      </c>
      <c r="W180" s="101">
        <v>297.95376987875869</v>
      </c>
      <c r="X180" s="101">
        <v>297.95376987875858</v>
      </c>
      <c r="Y180" s="101">
        <v>297.95376987875858</v>
      </c>
      <c r="DA180" s="175" t="s">
        <v>919</v>
      </c>
    </row>
    <row r="181" spans="1:105" ht="11.45" customHeight="1" x14ac:dyDescent="0.25">
      <c r="A181" s="111" t="s">
        <v>111</v>
      </c>
      <c r="B181" s="101">
        <v>1768.163583969731</v>
      </c>
      <c r="C181" s="101">
        <v>1715.6201062546966</v>
      </c>
      <c r="D181" s="101">
        <v>1699.0403006594304</v>
      </c>
      <c r="E181" s="101">
        <v>1681.4167999467497</v>
      </c>
      <c r="F181" s="101">
        <v>1663.3057283202818</v>
      </c>
      <c r="G181" s="101">
        <v>1606.221266550587</v>
      </c>
      <c r="H181" s="101">
        <v>1594.0770272865348</v>
      </c>
      <c r="I181" s="101">
        <v>1579.8695585031028</v>
      </c>
      <c r="J181" s="101">
        <v>1567.4323878743862</v>
      </c>
      <c r="K181" s="101">
        <v>1556.1079728521318</v>
      </c>
      <c r="L181" s="101">
        <v>1535.6389604088047</v>
      </c>
      <c r="M181" s="101">
        <v>1521.36772723081</v>
      </c>
      <c r="N181" s="101">
        <v>1474.9424062248486</v>
      </c>
      <c r="O181" s="101">
        <v>1464.8457186211522</v>
      </c>
      <c r="P181" s="101">
        <v>1436.2869077386695</v>
      </c>
      <c r="Q181" s="101">
        <v>1429.3854028502706</v>
      </c>
      <c r="R181" s="101">
        <v>1412.7742230185768</v>
      </c>
      <c r="S181" s="101">
        <v>1407.8860316625082</v>
      </c>
      <c r="T181" s="101">
        <v>1403.0381412084664</v>
      </c>
      <c r="U181" s="101">
        <v>1370.3836391536322</v>
      </c>
      <c r="V181" s="101">
        <v>1340.8920740199774</v>
      </c>
      <c r="W181" s="101">
        <v>1331.7500192867922</v>
      </c>
      <c r="X181" s="101">
        <v>1298.8074629517691</v>
      </c>
      <c r="Y181" s="101">
        <v>1281.1913309601389</v>
      </c>
      <c r="DA181" s="175" t="s">
        <v>920</v>
      </c>
    </row>
    <row r="182" spans="1:105" ht="11.45" customHeight="1" x14ac:dyDescent="0.25">
      <c r="A182" s="111" t="s">
        <v>112</v>
      </c>
      <c r="B182" s="101">
        <v>0</v>
      </c>
      <c r="C182" s="101">
        <v>0</v>
      </c>
      <c r="D182" s="101">
        <v>0</v>
      </c>
      <c r="E182" s="101">
        <v>0</v>
      </c>
      <c r="F182" s="101">
        <v>0</v>
      </c>
      <c r="G182" s="101">
        <v>0</v>
      </c>
      <c r="H182" s="101">
        <v>0</v>
      </c>
      <c r="I182" s="101">
        <v>0</v>
      </c>
      <c r="J182" s="101">
        <v>0</v>
      </c>
      <c r="K182" s="101">
        <v>0</v>
      </c>
      <c r="L182" s="101">
        <v>995.54615305424204</v>
      </c>
      <c r="M182" s="101">
        <v>995.54615305424204</v>
      </c>
      <c r="N182" s="101">
        <v>995.54615305424204</v>
      </c>
      <c r="O182" s="101">
        <v>995.54615305424204</v>
      </c>
      <c r="P182" s="101">
        <v>975.37913306899804</v>
      </c>
      <c r="Q182" s="101">
        <v>975.37913306899804</v>
      </c>
      <c r="R182" s="101">
        <v>968.2549968732144</v>
      </c>
      <c r="S182" s="101">
        <v>968.25499687321428</v>
      </c>
      <c r="T182" s="101">
        <v>968.25499687321451</v>
      </c>
      <c r="U182" s="101">
        <v>968.25499687321428</v>
      </c>
      <c r="V182" s="101">
        <v>962.27525730305899</v>
      </c>
      <c r="W182" s="101">
        <v>962.27525730305888</v>
      </c>
      <c r="X182" s="101">
        <v>952.93982477454392</v>
      </c>
      <c r="Y182" s="101">
        <v>952.93982477454358</v>
      </c>
      <c r="DA182" s="175" t="s">
        <v>921</v>
      </c>
    </row>
    <row r="183" spans="1:105" ht="11.45" customHeight="1" x14ac:dyDescent="0.25">
      <c r="A183" s="111" t="s">
        <v>113</v>
      </c>
      <c r="B183" s="101">
        <v>1021.746359703458</v>
      </c>
      <c r="C183" s="101">
        <v>942.56006232556069</v>
      </c>
      <c r="D183" s="101">
        <v>935.55189313280528</v>
      </c>
      <c r="E183" s="101">
        <v>932.53092018078212</v>
      </c>
      <c r="F183" s="101">
        <v>931.56971666157563</v>
      </c>
      <c r="G183" s="101">
        <v>928.38612750527852</v>
      </c>
      <c r="H183" s="101">
        <v>926.92608791967541</v>
      </c>
      <c r="I183" s="101">
        <v>925.22029843553923</v>
      </c>
      <c r="J183" s="101">
        <v>923.86238746436459</v>
      </c>
      <c r="K183" s="101">
        <v>923.6015879488466</v>
      </c>
      <c r="L183" s="101">
        <v>923.38143847235403</v>
      </c>
      <c r="M183" s="101">
        <v>923.14030749903725</v>
      </c>
      <c r="N183" s="101">
        <v>921.94292048244813</v>
      </c>
      <c r="O183" s="101">
        <v>921.32928138749605</v>
      </c>
      <c r="P183" s="101">
        <v>920.488638400333</v>
      </c>
      <c r="Q183" s="101">
        <v>920.12748005688388</v>
      </c>
      <c r="R183" s="101">
        <v>919.85002165924516</v>
      </c>
      <c r="S183" s="101">
        <v>919.54895927575217</v>
      </c>
      <c r="T183" s="101">
        <v>877.89323806451443</v>
      </c>
      <c r="U183" s="101">
        <v>833.41571827528912</v>
      </c>
      <c r="V183" s="101">
        <v>832.6248066715707</v>
      </c>
      <c r="W183" s="101">
        <v>831.00417478429483</v>
      </c>
      <c r="X183" s="101">
        <v>830.35118266280188</v>
      </c>
      <c r="Y183" s="101">
        <v>829.52188440429734</v>
      </c>
      <c r="DA183" s="175" t="s">
        <v>922</v>
      </c>
    </row>
    <row r="184" spans="1:105" ht="11.45" customHeight="1" x14ac:dyDescent="0.25">
      <c r="A184" s="111" t="s">
        <v>115</v>
      </c>
      <c r="B184" s="101">
        <v>0</v>
      </c>
      <c r="C184" s="101">
        <v>0</v>
      </c>
      <c r="D184" s="101">
        <v>0</v>
      </c>
      <c r="E184" s="101">
        <v>0</v>
      </c>
      <c r="F184" s="101">
        <v>0</v>
      </c>
      <c r="G184" s="101">
        <v>0</v>
      </c>
      <c r="H184" s="101">
        <v>0</v>
      </c>
      <c r="I184" s="101">
        <v>0</v>
      </c>
      <c r="J184" s="101">
        <v>0</v>
      </c>
      <c r="K184" s="101">
        <v>0</v>
      </c>
      <c r="L184" s="101">
        <v>0</v>
      </c>
      <c r="M184" s="101">
        <v>0</v>
      </c>
      <c r="N184" s="101">
        <v>0</v>
      </c>
      <c r="O184" s="101">
        <v>0</v>
      </c>
      <c r="P184" s="101">
        <v>0</v>
      </c>
      <c r="Q184" s="101">
        <v>0</v>
      </c>
      <c r="R184" s="101">
        <v>0</v>
      </c>
      <c r="S184" s="101">
        <v>0</v>
      </c>
      <c r="T184" s="101">
        <v>0</v>
      </c>
      <c r="U184" s="101">
        <v>0</v>
      </c>
      <c r="V184" s="101">
        <v>0</v>
      </c>
      <c r="W184" s="101">
        <v>0</v>
      </c>
      <c r="X184" s="101">
        <v>0</v>
      </c>
      <c r="Y184" s="101">
        <v>0</v>
      </c>
      <c r="DA184" s="175" t="s">
        <v>923</v>
      </c>
    </row>
    <row r="185" spans="1:105" ht="11.45" customHeight="1" x14ac:dyDescent="0.25">
      <c r="A185" s="27" t="s">
        <v>34</v>
      </c>
      <c r="B185" s="29">
        <v>0</v>
      </c>
      <c r="C185" s="29">
        <v>0</v>
      </c>
      <c r="D185" s="29">
        <v>0</v>
      </c>
      <c r="E185" s="29">
        <v>0</v>
      </c>
      <c r="F185" s="29">
        <v>0</v>
      </c>
      <c r="G185" s="29">
        <v>0</v>
      </c>
      <c r="H185" s="29">
        <v>0</v>
      </c>
      <c r="I185" s="29">
        <v>0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29">
        <v>0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0</v>
      </c>
      <c r="W185" s="29">
        <v>0</v>
      </c>
      <c r="X185" s="29">
        <v>0</v>
      </c>
      <c r="Y185" s="29">
        <v>0</v>
      </c>
      <c r="DA185" s="173"/>
    </row>
    <row r="186" spans="1:105" ht="11.45" customHeight="1" x14ac:dyDescent="0.25">
      <c r="A186" s="136" t="s">
        <v>153</v>
      </c>
      <c r="B186" s="152">
        <v>331.75993704537581</v>
      </c>
      <c r="C186" s="152">
        <v>318.46370002990966</v>
      </c>
      <c r="D186" s="152">
        <v>310.25911955854048</v>
      </c>
      <c r="E186" s="152">
        <v>296.27033688803891</v>
      </c>
      <c r="F186" s="152">
        <v>289.69471598422194</v>
      </c>
      <c r="G186" s="152">
        <v>282.2425028864883</v>
      </c>
      <c r="H186" s="152">
        <v>277.98154446030912</v>
      </c>
      <c r="I186" s="152">
        <v>274.64562085499705</v>
      </c>
      <c r="J186" s="152">
        <v>262.44594594491463</v>
      </c>
      <c r="K186" s="152">
        <v>250.08547620616883</v>
      </c>
      <c r="L186" s="152">
        <v>230.67810036934216</v>
      </c>
      <c r="M186" s="152">
        <v>214.5708504069583</v>
      </c>
      <c r="N186" s="152">
        <v>243.92888840081008</v>
      </c>
      <c r="O186" s="152">
        <v>218.61051103274724</v>
      </c>
      <c r="P186" s="152">
        <v>199.3916981851834</v>
      </c>
      <c r="Q186" s="152">
        <v>210.5908816796935</v>
      </c>
      <c r="R186" s="152">
        <v>204.70731837582014</v>
      </c>
      <c r="S186" s="152">
        <v>197.24866871924888</v>
      </c>
      <c r="T186" s="152">
        <v>193.56137626823167</v>
      </c>
      <c r="U186" s="152">
        <v>190.97644972806248</v>
      </c>
      <c r="V186" s="152">
        <v>194.53044398833038</v>
      </c>
      <c r="W186" s="152">
        <v>195.26996412214794</v>
      </c>
      <c r="X186" s="152">
        <v>198.95226754986984</v>
      </c>
      <c r="Y186" s="152">
        <v>190.89447740067746</v>
      </c>
      <c r="DA186" s="174" t="s">
        <v>924</v>
      </c>
    </row>
    <row r="187" spans="1:105" ht="11.45" customHeight="1" x14ac:dyDescent="0.25">
      <c r="A187" s="111" t="s">
        <v>110</v>
      </c>
      <c r="B187" s="87">
        <v>321.85485435519195</v>
      </c>
      <c r="C187" s="87">
        <v>316.9936727775621</v>
      </c>
      <c r="D187" s="87">
        <v>316.72961390855789</v>
      </c>
      <c r="E187" s="87">
        <v>304.91349343368154</v>
      </c>
      <c r="F187" s="87">
        <v>303.81040012789731</v>
      </c>
      <c r="G187" s="87">
        <v>296.95834709363425</v>
      </c>
      <c r="H187" s="87">
        <v>289.25091547709309</v>
      </c>
      <c r="I187" s="87">
        <v>281.23837478108487</v>
      </c>
      <c r="J187" s="87">
        <v>274.31978327525547</v>
      </c>
      <c r="K187" s="87">
        <v>267.74701725764857</v>
      </c>
      <c r="L187" s="87">
        <v>261.07483896422423</v>
      </c>
      <c r="M187" s="87">
        <v>256.43479612499777</v>
      </c>
      <c r="N187" s="87">
        <v>250.66107895480584</v>
      </c>
      <c r="O187" s="87">
        <v>246.74705984296591</v>
      </c>
      <c r="P187" s="87">
        <v>245.37645984878441</v>
      </c>
      <c r="Q187" s="87">
        <v>231.36855261277668</v>
      </c>
      <c r="R187" s="87">
        <v>225.03377973537525</v>
      </c>
      <c r="S187" s="87">
        <v>216.99274321553494</v>
      </c>
      <c r="T187" s="87">
        <v>212.42342443077035</v>
      </c>
      <c r="U187" s="87">
        <v>200.4851056019923</v>
      </c>
      <c r="V187" s="87">
        <v>190.75458506954217</v>
      </c>
      <c r="W187" s="87">
        <v>189.23464112906032</v>
      </c>
      <c r="X187" s="87">
        <v>189.19722866397285</v>
      </c>
      <c r="Y187" s="87">
        <v>187.48185301231132</v>
      </c>
      <c r="DA187" s="171" t="s">
        <v>925</v>
      </c>
    </row>
    <row r="188" spans="1:105" ht="11.45" customHeight="1" x14ac:dyDescent="0.25">
      <c r="A188" s="111" t="s">
        <v>111</v>
      </c>
      <c r="B188" s="87">
        <v>326.69893917313004</v>
      </c>
      <c r="C188" s="87">
        <v>309.40997472070057</v>
      </c>
      <c r="D188" s="87">
        <v>305.98542567716851</v>
      </c>
      <c r="E188" s="87">
        <v>304.61444301808922</v>
      </c>
      <c r="F188" s="87">
        <v>299.61445122319702</v>
      </c>
      <c r="G188" s="87">
        <v>290.43153741801626</v>
      </c>
      <c r="H188" s="87">
        <v>281.5249134914942</v>
      </c>
      <c r="I188" s="87">
        <v>272.82745973326769</v>
      </c>
      <c r="J188" s="87">
        <v>264.59898675426439</v>
      </c>
      <c r="K188" s="87">
        <v>256.55896986451501</v>
      </c>
      <c r="L188" s="87">
        <v>249.80872835390022</v>
      </c>
      <c r="M188" s="87">
        <v>244.63411679862983</v>
      </c>
      <c r="N188" s="87">
        <v>237.4917565102657</v>
      </c>
      <c r="O188" s="87">
        <v>235.73298354124643</v>
      </c>
      <c r="P188" s="87">
        <v>224.92500752534832</v>
      </c>
      <c r="Q188" s="87">
        <v>218.74626775828256</v>
      </c>
      <c r="R188" s="87">
        <v>214.79885777859238</v>
      </c>
      <c r="S188" s="87">
        <v>207.75303207008071</v>
      </c>
      <c r="T188" s="87">
        <v>201.45220921160842</v>
      </c>
      <c r="U188" s="87">
        <v>194.7966618287619</v>
      </c>
      <c r="V188" s="87">
        <v>192.17335977790276</v>
      </c>
      <c r="W188" s="87">
        <v>191.44095181509013</v>
      </c>
      <c r="X188" s="87">
        <v>187.09735493022649</v>
      </c>
      <c r="Y188" s="87">
        <v>183.91262854460265</v>
      </c>
      <c r="DA188" s="171" t="s">
        <v>926</v>
      </c>
    </row>
    <row r="189" spans="1:105" ht="11.45" customHeight="1" x14ac:dyDescent="0.25">
      <c r="A189" s="111" t="s">
        <v>112</v>
      </c>
      <c r="B189" s="87">
        <v>464.91620165125914</v>
      </c>
      <c r="C189" s="87">
        <v>457.49230986833294</v>
      </c>
      <c r="D189" s="87">
        <v>452.02610781166709</v>
      </c>
      <c r="E189" s="87">
        <v>434.90820394188535</v>
      </c>
      <c r="F189" s="87">
        <v>432.28850094781495</v>
      </c>
      <c r="G189" s="87">
        <v>417.82667749654331</v>
      </c>
      <c r="H189" s="87">
        <v>401.91990458359749</v>
      </c>
      <c r="I189" s="87">
        <v>385.69166716651546</v>
      </c>
      <c r="J189" s="87">
        <v>371.1715254419413</v>
      </c>
      <c r="K189" s="87">
        <v>356.99460632663391</v>
      </c>
      <c r="L189" s="87">
        <v>347.46687805504229</v>
      </c>
      <c r="M189" s="87">
        <v>338.63283926132806</v>
      </c>
      <c r="N189" s="87">
        <v>322.55073055265996</v>
      </c>
      <c r="O189" s="87">
        <v>320.92661702187394</v>
      </c>
      <c r="P189" s="87">
        <v>303.67592462515154</v>
      </c>
      <c r="Q189" s="87">
        <v>294.74424619992766</v>
      </c>
      <c r="R189" s="87">
        <v>286.13636482943247</v>
      </c>
      <c r="S189" s="87">
        <v>275.32574511992686</v>
      </c>
      <c r="T189" s="87">
        <v>261.72472130980958</v>
      </c>
      <c r="U189" s="87">
        <v>236.70714638842375</v>
      </c>
      <c r="V189" s="87">
        <v>231.32662133054697</v>
      </c>
      <c r="W189" s="87">
        <v>228.0706264595035</v>
      </c>
      <c r="X189" s="87">
        <v>223.9916811543921</v>
      </c>
      <c r="Y189" s="87">
        <v>217.59677385346021</v>
      </c>
      <c r="DA189" s="171" t="s">
        <v>927</v>
      </c>
    </row>
    <row r="190" spans="1:105" ht="11.45" customHeight="1" x14ac:dyDescent="0.25">
      <c r="A190" s="111" t="s">
        <v>113</v>
      </c>
      <c r="B190" s="87">
        <v>0</v>
      </c>
      <c r="C190" s="87">
        <v>0</v>
      </c>
      <c r="D190" s="87">
        <v>0</v>
      </c>
      <c r="E190" s="87">
        <v>0</v>
      </c>
      <c r="F190" s="87">
        <v>0</v>
      </c>
      <c r="G190" s="87">
        <v>0</v>
      </c>
      <c r="H190" s="87">
        <v>0</v>
      </c>
      <c r="I190" s="87">
        <v>0</v>
      </c>
      <c r="J190" s="87">
        <v>0</v>
      </c>
      <c r="K190" s="87">
        <v>0</v>
      </c>
      <c r="L190" s="87">
        <v>0</v>
      </c>
      <c r="M190" s="87">
        <v>0</v>
      </c>
      <c r="N190" s="87">
        <v>0</v>
      </c>
      <c r="O190" s="87">
        <v>166.12658227848152</v>
      </c>
      <c r="P190" s="87">
        <v>162.87005485039558</v>
      </c>
      <c r="Q190" s="87">
        <v>176.29793819438279</v>
      </c>
      <c r="R190" s="87">
        <v>163.06848126276458</v>
      </c>
      <c r="S190" s="87">
        <v>160.74730965586045</v>
      </c>
      <c r="T190" s="87">
        <v>162.65469375528127</v>
      </c>
      <c r="U190" s="87">
        <v>179.52636621778552</v>
      </c>
      <c r="V190" s="87">
        <v>179.00948572412659</v>
      </c>
      <c r="W190" s="87">
        <v>179.46082314732411</v>
      </c>
      <c r="X190" s="87">
        <v>176.26896111575516</v>
      </c>
      <c r="Y190" s="87">
        <v>172.33040814481589</v>
      </c>
      <c r="DA190" s="171" t="s">
        <v>928</v>
      </c>
    </row>
    <row r="191" spans="1:105" ht="11.45" customHeight="1" x14ac:dyDescent="0.25">
      <c r="A191" s="111" t="s">
        <v>115</v>
      </c>
      <c r="B191" s="87">
        <v>0</v>
      </c>
      <c r="C191" s="87">
        <v>0</v>
      </c>
      <c r="D191" s="87">
        <v>0</v>
      </c>
      <c r="E191" s="87">
        <v>0</v>
      </c>
      <c r="F191" s="87">
        <v>0</v>
      </c>
      <c r="G191" s="87">
        <v>0</v>
      </c>
      <c r="H191" s="87">
        <v>0</v>
      </c>
      <c r="I191" s="87">
        <v>0</v>
      </c>
      <c r="J191" s="87">
        <v>0</v>
      </c>
      <c r="K191" s="87">
        <v>0</v>
      </c>
      <c r="L191" s="87">
        <v>0</v>
      </c>
      <c r="M191" s="87">
        <v>0</v>
      </c>
      <c r="N191" s="87">
        <v>0</v>
      </c>
      <c r="O191" s="87">
        <v>0</v>
      </c>
      <c r="P191" s="87">
        <v>0</v>
      </c>
      <c r="Q191" s="87">
        <v>0</v>
      </c>
      <c r="R191" s="87">
        <v>0</v>
      </c>
      <c r="S191" s="87">
        <v>0</v>
      </c>
      <c r="T191" s="87">
        <v>0</v>
      </c>
      <c r="U191" s="87">
        <v>0</v>
      </c>
      <c r="V191" s="87">
        <v>0</v>
      </c>
      <c r="W191" s="87">
        <v>0</v>
      </c>
      <c r="X191" s="87">
        <v>0</v>
      </c>
      <c r="Y191" s="87">
        <v>0</v>
      </c>
      <c r="DA191" s="171" t="s">
        <v>929</v>
      </c>
    </row>
    <row r="192" spans="1:105" ht="11.45" customHeight="1" x14ac:dyDescent="0.25">
      <c r="A192" s="109" t="s">
        <v>154</v>
      </c>
      <c r="B192" s="116">
        <v>941.91135690655699</v>
      </c>
      <c r="C192" s="116">
        <v>938.77110509799877</v>
      </c>
      <c r="D192" s="116">
        <v>937.11596239503945</v>
      </c>
      <c r="E192" s="116">
        <v>936.4979507690183</v>
      </c>
      <c r="F192" s="116">
        <v>932.45169524560936</v>
      </c>
      <c r="G192" s="116">
        <v>927.58498892027853</v>
      </c>
      <c r="H192" s="116">
        <v>921.65361588083601</v>
      </c>
      <c r="I192" s="116">
        <v>914.71255138418223</v>
      </c>
      <c r="J192" s="116">
        <v>906.8393241778341</v>
      </c>
      <c r="K192" s="116">
        <v>898.17541773766084</v>
      </c>
      <c r="L192" s="116">
        <v>887.36578142222402</v>
      </c>
      <c r="M192" s="116">
        <v>880.17067124774678</v>
      </c>
      <c r="N192" s="116">
        <v>864.92296391744446</v>
      </c>
      <c r="O192" s="116">
        <v>856.56392484304649</v>
      </c>
      <c r="P192" s="116">
        <v>839.41678517330649</v>
      </c>
      <c r="Q192" s="116">
        <v>822.06540571561902</v>
      </c>
      <c r="R192" s="116">
        <v>803.15451288008148</v>
      </c>
      <c r="S192" s="116">
        <v>783.47204614681868</v>
      </c>
      <c r="T192" s="116">
        <v>765.47289041981151</v>
      </c>
      <c r="U192" s="116">
        <v>742.04051924200849</v>
      </c>
      <c r="V192" s="116">
        <v>730.77786201545587</v>
      </c>
      <c r="W192" s="116">
        <v>723.67456143686923</v>
      </c>
      <c r="X192" s="116">
        <v>708.89433909533057</v>
      </c>
      <c r="Y192" s="116">
        <v>703.14161056565592</v>
      </c>
      <c r="DA192" s="176" t="s">
        <v>930</v>
      </c>
    </row>
    <row r="193" spans="1:105" ht="11.45" customHeight="1" x14ac:dyDescent="0.25">
      <c r="A193" s="128" t="s">
        <v>27</v>
      </c>
      <c r="B193" s="101">
        <v>873.51846174947184</v>
      </c>
      <c r="C193" s="101">
        <v>870.58833854717716</v>
      </c>
      <c r="D193" s="101">
        <v>868.89086006516118</v>
      </c>
      <c r="E193" s="101">
        <v>868.15549101783347</v>
      </c>
      <c r="F193" s="101">
        <v>863.23670816498441</v>
      </c>
      <c r="G193" s="101">
        <v>858.51912345488813</v>
      </c>
      <c r="H193" s="101">
        <v>852.69065899116947</v>
      </c>
      <c r="I193" s="101">
        <v>845.84883031954496</v>
      </c>
      <c r="J193" s="101">
        <v>839.97473548817118</v>
      </c>
      <c r="K193" s="101">
        <v>832.04967283174915</v>
      </c>
      <c r="L193" s="101">
        <v>822.38307886434177</v>
      </c>
      <c r="M193" s="101">
        <v>815.39436986424118</v>
      </c>
      <c r="N193" s="101">
        <v>800.9184053075943</v>
      </c>
      <c r="O193" s="101">
        <v>792.08019132546553</v>
      </c>
      <c r="P193" s="101">
        <v>776.50996154572272</v>
      </c>
      <c r="Q193" s="101">
        <v>760.3177813951047</v>
      </c>
      <c r="R193" s="101">
        <v>741.7793958887479</v>
      </c>
      <c r="S193" s="101">
        <v>724.1318196511304</v>
      </c>
      <c r="T193" s="101">
        <v>707.64620056915419</v>
      </c>
      <c r="U193" s="101">
        <v>686.54323378933191</v>
      </c>
      <c r="V193" s="101">
        <v>676.55671737122464</v>
      </c>
      <c r="W193" s="101">
        <v>669.66952707935661</v>
      </c>
      <c r="X193" s="101">
        <v>655.64889925344551</v>
      </c>
      <c r="Y193" s="101">
        <v>650.95186726614679</v>
      </c>
      <c r="DA193" s="175" t="s">
        <v>931</v>
      </c>
    </row>
    <row r="194" spans="1:105" ht="11.45" customHeight="1" x14ac:dyDescent="0.25">
      <c r="A194" s="138" t="s">
        <v>116</v>
      </c>
      <c r="B194" s="88">
        <v>1066.0594178947845</v>
      </c>
      <c r="C194" s="88">
        <v>1055.3642993975218</v>
      </c>
      <c r="D194" s="88">
        <v>1046.0734148982187</v>
      </c>
      <c r="E194" s="88">
        <v>1038.6171293486289</v>
      </c>
      <c r="F194" s="88">
        <v>1019.4851124544441</v>
      </c>
      <c r="G194" s="88">
        <v>1010.7907001854395</v>
      </c>
      <c r="H194" s="88">
        <v>999.13580733298613</v>
      </c>
      <c r="I194" s="88">
        <v>985.47960535230186</v>
      </c>
      <c r="J194" s="88">
        <v>979.56031631916721</v>
      </c>
      <c r="K194" s="88">
        <v>969.75206486023069</v>
      </c>
      <c r="L194" s="88">
        <v>964.26979132305928</v>
      </c>
      <c r="M194" s="88">
        <v>947.25439327057575</v>
      </c>
      <c r="N194" s="88">
        <v>934.3390773096271</v>
      </c>
      <c r="O194" s="88">
        <v>914.56972250717388</v>
      </c>
      <c r="P194" s="88">
        <v>903.5971667945845</v>
      </c>
      <c r="Q194" s="88">
        <v>900.3341674746888</v>
      </c>
      <c r="R194" s="88">
        <v>879.69525031766216</v>
      </c>
      <c r="S194" s="88">
        <v>870.50777382191529</v>
      </c>
      <c r="T194" s="88">
        <v>854.16233927679866</v>
      </c>
      <c r="U194" s="88">
        <v>838.09795519636157</v>
      </c>
      <c r="V194" s="88">
        <v>829.49573974789382</v>
      </c>
      <c r="W194" s="88">
        <v>799.88130911754445</v>
      </c>
      <c r="X194" s="88">
        <v>783.77920021775287</v>
      </c>
      <c r="Y194" s="88">
        <v>777.57659853927521</v>
      </c>
      <c r="DA194" s="178" t="s">
        <v>932</v>
      </c>
    </row>
    <row r="195" spans="1:105" x14ac:dyDescent="0.2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DA195" s="171"/>
    </row>
    <row r="196" spans="1:105" ht="11.45" customHeight="1" x14ac:dyDescent="0.25">
      <c r="A196" s="53" t="s">
        <v>124</v>
      </c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DA196" s="172"/>
    </row>
    <row r="197" spans="1:105" ht="11.45" customHeight="1" x14ac:dyDescent="0.25">
      <c r="A197" s="27" t="s">
        <v>33</v>
      </c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DA197" s="173"/>
    </row>
    <row r="198" spans="1:105" ht="11.45" customHeight="1" x14ac:dyDescent="0.25">
      <c r="A198" s="136" t="s">
        <v>173</v>
      </c>
      <c r="B198" s="150">
        <f>IF(TrRoad_act!B59=0,0,TrRoad_emi!B56/TrRoad_tech!B171)</f>
        <v>1.1275000000068984</v>
      </c>
      <c r="C198" s="150">
        <f>IF(TrRoad_act!C59=0,0,TrRoad_emi!C56/TrRoad_tech!C171)</f>
        <v>1.0727499066142254</v>
      </c>
      <c r="D198" s="150">
        <f>IF(TrRoad_act!D59=0,0,TrRoad_emi!D56/TrRoad_tech!D171)</f>
        <v>1.073245886973941</v>
      </c>
      <c r="E198" s="150">
        <f>IF(TrRoad_act!E59=0,0,TrRoad_emi!E56/TrRoad_tech!E171)</f>
        <v>1.0739639509358303</v>
      </c>
      <c r="F198" s="150">
        <f>IF(TrRoad_act!F59=0,0,TrRoad_emi!F56/TrRoad_tech!F171)</f>
        <v>1.0750423053021072</v>
      </c>
      <c r="G198" s="150">
        <f>IF(TrRoad_act!G59=0,0,TrRoad_emi!G56/TrRoad_tech!G171)</f>
        <v>1.0764852400522016</v>
      </c>
      <c r="H198" s="150">
        <f>IF(TrRoad_act!H59=0,0,TrRoad_emi!H56/TrRoad_tech!H171)</f>
        <v>1.0780435580734575</v>
      </c>
      <c r="I198" s="150">
        <f>IF(TrRoad_act!I59=0,0,TrRoad_emi!I56/TrRoad_tech!I171)</f>
        <v>1.0802123734130205</v>
      </c>
      <c r="J198" s="150">
        <f>IF(TrRoad_act!J59=0,0,TrRoad_emi!J56/TrRoad_tech!J171)</f>
        <v>1.0822801843489351</v>
      </c>
      <c r="K198" s="150">
        <f>IF(TrRoad_act!K59=0,0,TrRoad_emi!K56/TrRoad_tech!K171)</f>
        <v>1.0853612115286011</v>
      </c>
      <c r="L198" s="150">
        <f>IF(TrRoad_act!L59=0,0,TrRoad_emi!L56/TrRoad_tech!L171)</f>
        <v>1.091985471874396</v>
      </c>
      <c r="M198" s="150">
        <f>IF(TrRoad_act!M59=0,0,TrRoad_emi!M56/TrRoad_tech!M171)</f>
        <v>1.0987143797531309</v>
      </c>
      <c r="N198" s="150">
        <f>IF(TrRoad_act!N59=0,0,TrRoad_emi!N56/TrRoad_tech!N171)</f>
        <v>1.1042794354310921</v>
      </c>
      <c r="O198" s="150">
        <f>IF(TrRoad_act!O59=0,0,TrRoad_emi!O56/TrRoad_tech!O171)</f>
        <v>1.1089419684274218</v>
      </c>
      <c r="P198" s="150">
        <f>IF(TrRoad_act!P59=0,0,TrRoad_emi!P56/TrRoad_tech!P171)</f>
        <v>1.1159918349811204</v>
      </c>
      <c r="Q198" s="150">
        <f>IF(TrRoad_act!Q59=0,0,TrRoad_emi!Q56/TrRoad_tech!Q171)</f>
        <v>1.1077728564050675</v>
      </c>
      <c r="R198" s="150">
        <f>IF(TrRoad_act!R59=0,0,TrRoad_emi!R56/TrRoad_tech!R171)</f>
        <v>1.1147036204564369</v>
      </c>
      <c r="S198" s="150">
        <f>IF(TrRoad_act!S59=0,0,TrRoad_emi!S56/TrRoad_tech!S171)</f>
        <v>1.20657871558117</v>
      </c>
      <c r="T198" s="150">
        <f>IF(TrRoad_act!T59=0,0,TrRoad_emi!T56/TrRoad_tech!T171)</f>
        <v>1.2155502237099267</v>
      </c>
      <c r="U198" s="150">
        <f>IF(TrRoad_act!U59=0,0,TrRoad_emi!U56/TrRoad_tech!U171)</f>
        <v>1.226821003685364</v>
      </c>
      <c r="V198" s="150">
        <f>IF(TrRoad_act!V59=0,0,TrRoad_emi!V56/TrRoad_tech!V171)</f>
        <v>1.2535506424988216</v>
      </c>
      <c r="W198" s="150">
        <f>IF(TrRoad_act!W59=0,0,TrRoad_emi!W56/TrRoad_tech!W171)</f>
        <v>1.2616013464243143</v>
      </c>
      <c r="X198" s="150">
        <f>IF(TrRoad_act!X59=0,0,TrRoad_emi!X56/TrRoad_tech!X171)</f>
        <v>1.2663005271426566</v>
      </c>
      <c r="Y198" s="150">
        <f>IF(TrRoad_act!Y59=0,0,TrRoad_emi!Y56/TrRoad_tech!Y171)</f>
        <v>1.2861937860808603</v>
      </c>
      <c r="DA198" s="174"/>
    </row>
    <row r="199" spans="1:105" ht="11.45" customHeight="1" x14ac:dyDescent="0.25">
      <c r="A199" s="109" t="s">
        <v>20</v>
      </c>
      <c r="B199" s="151">
        <f>IF(TrRoad_act!B60=0,0,TrRoad_emi!B57/TrRoad_tech!B172)</f>
        <v>0.78170255819494705</v>
      </c>
      <c r="C199" s="151">
        <f>IF(TrRoad_act!C60=0,0,TrRoad_emi!C57/TrRoad_tech!C172)</f>
        <v>0.79839560966593459</v>
      </c>
      <c r="D199" s="151">
        <f>IF(TrRoad_act!D60=0,0,TrRoad_emi!D57/TrRoad_tech!D172)</f>
        <v>0.79385169520724119</v>
      </c>
      <c r="E199" s="151">
        <f>IF(TrRoad_act!E60=0,0,TrRoad_emi!E57/TrRoad_tech!E172)</f>
        <v>0.83468984765892784</v>
      </c>
      <c r="F199" s="151">
        <f>IF(TrRoad_act!F60=0,0,TrRoad_emi!F57/TrRoad_tech!F172)</f>
        <v>0.83971507405946866</v>
      </c>
      <c r="G199" s="151">
        <f>IF(TrRoad_act!G60=0,0,TrRoad_emi!G57/TrRoad_tech!G172)</f>
        <v>0.81207079344000599</v>
      </c>
      <c r="H199" s="151">
        <f>IF(TrRoad_act!H60=0,0,TrRoad_emi!H57/TrRoad_tech!H172)</f>
        <v>0.80779406840037249</v>
      </c>
      <c r="I199" s="151">
        <f>IF(TrRoad_act!I60=0,0,TrRoad_emi!I57/TrRoad_tech!I172)</f>
        <v>0.81179877106605258</v>
      </c>
      <c r="J199" s="151">
        <f>IF(TrRoad_act!J60=0,0,TrRoad_emi!J57/TrRoad_tech!J172)</f>
        <v>0.82581119820446047</v>
      </c>
      <c r="K199" s="151">
        <f>IF(TrRoad_act!K60=0,0,TrRoad_emi!K57/TrRoad_tech!K172)</f>
        <v>0.82145750389785188</v>
      </c>
      <c r="L199" s="151">
        <f>IF(TrRoad_act!L60=0,0,TrRoad_emi!L57/TrRoad_tech!L172)</f>
        <v>0.82772256044965986</v>
      </c>
      <c r="M199" s="151">
        <f>IF(TrRoad_act!M60=0,0,TrRoad_emi!M57/TrRoad_tech!M172)</f>
        <v>0.79420974414701839</v>
      </c>
      <c r="N199" s="151">
        <f>IF(TrRoad_act!N60=0,0,TrRoad_emi!N57/TrRoad_tech!N172)</f>
        <v>0.84337752357052775</v>
      </c>
      <c r="O199" s="151">
        <f>IF(TrRoad_act!O60=0,0,TrRoad_emi!O57/TrRoad_tech!O172)</f>
        <v>0.84303984433884926</v>
      </c>
      <c r="P199" s="151">
        <f>IF(TrRoad_act!P60=0,0,TrRoad_emi!P57/TrRoad_tech!P172)</f>
        <v>0.83734913343176098</v>
      </c>
      <c r="Q199" s="151">
        <f>IF(TrRoad_act!Q60=0,0,TrRoad_emi!Q57/TrRoad_tech!Q172)</f>
        <v>0.85729462110598154</v>
      </c>
      <c r="R199" s="151">
        <f>IF(TrRoad_act!R60=0,0,TrRoad_emi!R57/TrRoad_tech!R172)</f>
        <v>0.87506440149237552</v>
      </c>
      <c r="S199" s="151">
        <f>IF(TrRoad_act!S60=0,0,TrRoad_emi!S57/TrRoad_tech!S172)</f>
        <v>0.89146645408515024</v>
      </c>
      <c r="T199" s="151">
        <f>IF(TrRoad_act!T60=0,0,TrRoad_emi!T57/TrRoad_tech!T172)</f>
        <v>0.91216593403170665</v>
      </c>
      <c r="U199" s="151">
        <f>IF(TrRoad_act!U60=0,0,TrRoad_emi!U57/TrRoad_tech!U172)</f>
        <v>0.95474548814824256</v>
      </c>
      <c r="V199" s="151">
        <f>IF(TrRoad_act!V60=0,0,TrRoad_emi!V57/TrRoad_tech!V172)</f>
        <v>0.933317066126785</v>
      </c>
      <c r="W199" s="151">
        <f>IF(TrRoad_act!W60=0,0,TrRoad_emi!W57/TrRoad_tech!W172)</f>
        <v>0.98850071315702726</v>
      </c>
      <c r="X199" s="151">
        <f>IF(TrRoad_act!X60=0,0,TrRoad_emi!X57/TrRoad_tech!X172)</f>
        <v>1.0244798405019959</v>
      </c>
      <c r="Y199" s="151">
        <f>IF(TrRoad_act!Y60=0,0,TrRoad_emi!Y57/TrRoad_tech!Y172)</f>
        <v>1.0766972717557193</v>
      </c>
      <c r="DA199" s="176"/>
    </row>
    <row r="200" spans="1:105" ht="11.45" customHeight="1" x14ac:dyDescent="0.25">
      <c r="A200" s="111" t="s">
        <v>110</v>
      </c>
      <c r="B200" s="91">
        <f>IF(TrRoad_act!B61=0,0,TrRoad_emi!B58/TrRoad_tech!B173)</f>
        <v>0.89354313844413935</v>
      </c>
      <c r="C200" s="91">
        <f>IF(TrRoad_act!C61=0,0,TrRoad_emi!C58/TrRoad_tech!C173)</f>
        <v>0.90185301064491441</v>
      </c>
      <c r="D200" s="91">
        <f>IF(TrRoad_act!D61=0,0,TrRoad_emi!D58/TrRoad_tech!D173)</f>
        <v>0.90627257522306559</v>
      </c>
      <c r="E200" s="91">
        <f>IF(TrRoad_act!E61=0,0,TrRoad_emi!E58/TrRoad_tech!E173)</f>
        <v>0.90958547102629317</v>
      </c>
      <c r="F200" s="91">
        <f>IF(TrRoad_act!F61=0,0,TrRoad_emi!F58/TrRoad_tech!F173)</f>
        <v>0.91325912090215056</v>
      </c>
      <c r="G200" s="91">
        <f>IF(TrRoad_act!G61=0,0,TrRoad_emi!G58/TrRoad_tech!G173)</f>
        <v>0.91591554043439327</v>
      </c>
      <c r="H200" s="91">
        <f>IF(TrRoad_act!H61=0,0,TrRoad_emi!H58/TrRoad_tech!H173)</f>
        <v>0.91912134397005685</v>
      </c>
      <c r="I200" s="91">
        <f>IF(TrRoad_act!I61=0,0,TrRoad_emi!I58/TrRoad_tech!I173)</f>
        <v>0.92240566242702027</v>
      </c>
      <c r="J200" s="91">
        <f>IF(TrRoad_act!J61=0,0,TrRoad_emi!J58/TrRoad_tech!J173)</f>
        <v>0.92627701200903334</v>
      </c>
      <c r="K200" s="91">
        <f>IF(TrRoad_act!K61=0,0,TrRoad_emi!K58/TrRoad_tech!K173)</f>
        <v>0.93189269828224686</v>
      </c>
      <c r="L200" s="91">
        <f>IF(TrRoad_act!L61=0,0,TrRoad_emi!L58/TrRoad_tech!L173)</f>
        <v>0.93801037563166889</v>
      </c>
      <c r="M200" s="91">
        <f>IF(TrRoad_act!M61=0,0,TrRoad_emi!M58/TrRoad_tech!M173)</f>
        <v>0.94237420974318453</v>
      </c>
      <c r="N200" s="91">
        <f>IF(TrRoad_act!N61=0,0,TrRoad_emi!N58/TrRoad_tech!N173)</f>
        <v>0.9425030557666334</v>
      </c>
      <c r="O200" s="91">
        <f>IF(TrRoad_act!O61=0,0,TrRoad_emi!O58/TrRoad_tech!O173)</f>
        <v>0.9454269688788578</v>
      </c>
      <c r="P200" s="91">
        <f>IF(TrRoad_act!P61=0,0,TrRoad_emi!P58/TrRoad_tech!P173)</f>
        <v>0.95425491618881175</v>
      </c>
      <c r="Q200" s="91">
        <f>IF(TrRoad_act!Q61=0,0,TrRoad_emi!Q58/TrRoad_tech!Q173)</f>
        <v>0.94709644373745716</v>
      </c>
      <c r="R200" s="91">
        <f>IF(TrRoad_act!R61=0,0,TrRoad_emi!R58/TrRoad_tech!R173)</f>
        <v>0.96497968620969254</v>
      </c>
      <c r="S200" s="91">
        <f>IF(TrRoad_act!S61=0,0,TrRoad_emi!S58/TrRoad_tech!S173)</f>
        <v>0.99948268964748366</v>
      </c>
      <c r="T200" s="91">
        <f>IF(TrRoad_act!T61=0,0,TrRoad_emi!T58/TrRoad_tech!T173)</f>
        <v>1.0229982786217056</v>
      </c>
      <c r="U200" s="91">
        <f>IF(TrRoad_act!U61=0,0,TrRoad_emi!U58/TrRoad_tech!U173)</f>
        <v>1.0386985502296815</v>
      </c>
      <c r="V200" s="91">
        <f>IF(TrRoad_act!V61=0,0,TrRoad_emi!V58/TrRoad_tech!V173)</f>
        <v>1.0376837918574406</v>
      </c>
      <c r="W200" s="91">
        <f>IF(TrRoad_act!W61=0,0,TrRoad_emi!W58/TrRoad_tech!W173)</f>
        <v>1.0344668742119547</v>
      </c>
      <c r="X200" s="91">
        <f>IF(TrRoad_act!X61=0,0,TrRoad_emi!X58/TrRoad_tech!X173)</f>
        <v>1.0761687838341085</v>
      </c>
      <c r="Y200" s="91">
        <f>IF(TrRoad_act!Y61=0,0,TrRoad_emi!Y58/TrRoad_tech!Y173)</f>
        <v>1.1159119478336694</v>
      </c>
      <c r="DA200" s="171"/>
    </row>
    <row r="201" spans="1:105" ht="11.45" customHeight="1" x14ac:dyDescent="0.25">
      <c r="A201" s="111" t="s">
        <v>111</v>
      </c>
      <c r="B201" s="91">
        <f>IF(TrRoad_act!B62=0,0,TrRoad_emi!B59/TrRoad_tech!B174)</f>
        <v>0.57391117009429937</v>
      </c>
      <c r="C201" s="91">
        <f>IF(TrRoad_act!C62=0,0,TrRoad_emi!C59/TrRoad_tech!C174)</f>
        <v>0.63859661903021869</v>
      </c>
      <c r="D201" s="91">
        <f>IF(TrRoad_act!D62=0,0,TrRoad_emi!D59/TrRoad_tech!D174)</f>
        <v>0.64699360143663642</v>
      </c>
      <c r="E201" s="91">
        <f>IF(TrRoad_act!E62=0,0,TrRoad_emi!E59/TrRoad_tech!E174)</f>
        <v>0.76679519912906424</v>
      </c>
      <c r="F201" s="91">
        <f>IF(TrRoad_act!F62=0,0,TrRoad_emi!F59/TrRoad_tech!F174)</f>
        <v>0.80040330642919943</v>
      </c>
      <c r="G201" s="91">
        <f>IF(TrRoad_act!G62=0,0,TrRoad_emi!G59/TrRoad_tech!G174)</f>
        <v>0.75920123470054701</v>
      </c>
      <c r="H201" s="91">
        <f>IF(TrRoad_act!H62=0,0,TrRoad_emi!H59/TrRoad_tech!H174)</f>
        <v>0.76449104766344567</v>
      </c>
      <c r="I201" s="91">
        <f>IF(TrRoad_act!I62=0,0,TrRoad_emi!I59/TrRoad_tech!I174)</f>
        <v>0.77927750711748633</v>
      </c>
      <c r="J201" s="91">
        <f>IF(TrRoad_act!J62=0,0,TrRoad_emi!J59/TrRoad_tech!J174)</f>
        <v>0.80577114181783882</v>
      </c>
      <c r="K201" s="91">
        <f>IF(TrRoad_act!K62=0,0,TrRoad_emi!K59/TrRoad_tech!K174)</f>
        <v>0.79467759648899394</v>
      </c>
      <c r="L201" s="91">
        <f>IF(TrRoad_act!L62=0,0,TrRoad_emi!L59/TrRoad_tech!L174)</f>
        <v>0.79236735388352875</v>
      </c>
      <c r="M201" s="91">
        <f>IF(TrRoad_act!M62=0,0,TrRoad_emi!M59/TrRoad_tech!M174)</f>
        <v>0.76510590391926403</v>
      </c>
      <c r="N201" s="91">
        <f>IF(TrRoad_act!N62=0,0,TrRoad_emi!N59/TrRoad_tech!N174)</f>
        <v>0.83083122340083448</v>
      </c>
      <c r="O201" s="91">
        <f>IF(TrRoad_act!O62=0,0,TrRoad_emi!O59/TrRoad_tech!O174)</f>
        <v>0.83646146812814892</v>
      </c>
      <c r="P201" s="91">
        <f>IF(TrRoad_act!P62=0,0,TrRoad_emi!P59/TrRoad_tech!P174)</f>
        <v>0.82478987493343348</v>
      </c>
      <c r="Q201" s="91">
        <f>IF(TrRoad_act!Q62=0,0,TrRoad_emi!Q59/TrRoad_tech!Q174)</f>
        <v>0.85931403683245489</v>
      </c>
      <c r="R201" s="91">
        <f>IF(TrRoad_act!R62=0,0,TrRoad_emi!R59/TrRoad_tech!R174)</f>
        <v>0.87980746416383171</v>
      </c>
      <c r="S201" s="91">
        <f>IF(TrRoad_act!S62=0,0,TrRoad_emi!S59/TrRoad_tech!S174)</f>
        <v>0.88782299687032873</v>
      </c>
      <c r="T201" s="91">
        <f>IF(TrRoad_act!T62=0,0,TrRoad_emi!T59/TrRoad_tech!T174)</f>
        <v>0.89934631285114985</v>
      </c>
      <c r="U201" s="91">
        <f>IF(TrRoad_act!U62=0,0,TrRoad_emi!U59/TrRoad_tech!U174)</f>
        <v>0.931561432486258</v>
      </c>
      <c r="V201" s="91">
        <f>IF(TrRoad_act!V62=0,0,TrRoad_emi!V59/TrRoad_tech!V174)</f>
        <v>0.90726937662914042</v>
      </c>
      <c r="W201" s="91">
        <f>IF(TrRoad_act!W62=0,0,TrRoad_emi!W59/TrRoad_tech!W174)</f>
        <v>0.93651545212195675</v>
      </c>
      <c r="X201" s="91">
        <f>IF(TrRoad_act!X62=0,0,TrRoad_emi!X59/TrRoad_tech!X174)</f>
        <v>0.94055400815426438</v>
      </c>
      <c r="Y201" s="91">
        <f>IF(TrRoad_act!Y62=0,0,TrRoad_emi!Y59/TrRoad_tech!Y174)</f>
        <v>0.94488091596386814</v>
      </c>
      <c r="DA201" s="171"/>
    </row>
    <row r="202" spans="1:105" ht="11.45" customHeight="1" x14ac:dyDescent="0.25">
      <c r="A202" s="111" t="s">
        <v>112</v>
      </c>
      <c r="B202" s="91">
        <f>IF(TrRoad_act!B63=0,0,TrRoad_emi!B60/TrRoad_tech!B175)</f>
        <v>1.107150665700154</v>
      </c>
      <c r="C202" s="91">
        <f>IF(TrRoad_act!C63=0,0,TrRoad_emi!C60/TrRoad_tech!C175)</f>
        <v>1.4582826442901828</v>
      </c>
      <c r="D202" s="91">
        <f>IF(TrRoad_act!D63=0,0,TrRoad_emi!D60/TrRoad_tech!D175)</f>
        <v>1.4967010175207518</v>
      </c>
      <c r="E202" s="91">
        <f>IF(TrRoad_act!E63=0,0,TrRoad_emi!E60/TrRoad_tech!E175)</f>
        <v>1.298988482966752</v>
      </c>
      <c r="F202" s="91">
        <f>IF(TrRoad_act!F63=0,0,TrRoad_emi!F60/TrRoad_tech!F175)</f>
        <v>1.2698421802738762</v>
      </c>
      <c r="G202" s="91">
        <f>IF(TrRoad_act!G63=0,0,TrRoad_emi!G60/TrRoad_tech!G175)</f>
        <v>1.3190695338489982</v>
      </c>
      <c r="H202" s="91">
        <f>IF(TrRoad_act!H63=0,0,TrRoad_emi!H60/TrRoad_tech!H175)</f>
        <v>1.468932665428728</v>
      </c>
      <c r="I202" s="91">
        <f>IF(TrRoad_act!I63=0,0,TrRoad_emi!I60/TrRoad_tech!I175)</f>
        <v>1.5986205406719105</v>
      </c>
      <c r="J202" s="91">
        <f>IF(TrRoad_act!J63=0,0,TrRoad_emi!J60/TrRoad_tech!J175)</f>
        <v>1.3090880438445542</v>
      </c>
      <c r="K202" s="91">
        <f>IF(TrRoad_act!K63=0,0,TrRoad_emi!K60/TrRoad_tech!K175)</f>
        <v>1.070127007185685</v>
      </c>
      <c r="L202" s="91">
        <f>IF(TrRoad_act!L63=0,0,TrRoad_emi!L60/TrRoad_tech!L175)</f>
        <v>1.05979164746666</v>
      </c>
      <c r="M202" s="91">
        <f>IF(TrRoad_act!M63=0,0,TrRoad_emi!M60/TrRoad_tech!M175)</f>
        <v>1.0369626430721595</v>
      </c>
      <c r="N202" s="91">
        <f>IF(TrRoad_act!N63=0,0,TrRoad_emi!N60/TrRoad_tech!N175)</f>
        <v>1.0303664544873452</v>
      </c>
      <c r="O202" s="91">
        <f>IF(TrRoad_act!O63=0,0,TrRoad_emi!O60/TrRoad_tech!O175)</f>
        <v>1.0492994557723929</v>
      </c>
      <c r="P202" s="91">
        <f>IF(TrRoad_act!P63=0,0,TrRoad_emi!P60/TrRoad_tech!P175)</f>
        <v>0.9913214453492849</v>
      </c>
      <c r="Q202" s="91">
        <f>IF(TrRoad_act!Q63=0,0,TrRoad_emi!Q60/TrRoad_tech!Q175)</f>
        <v>1.0241213036631038</v>
      </c>
      <c r="R202" s="91">
        <f>IF(TrRoad_act!R63=0,0,TrRoad_emi!R60/TrRoad_tech!R175)</f>
        <v>1.0317960951826572</v>
      </c>
      <c r="S202" s="91">
        <f>IF(TrRoad_act!S63=0,0,TrRoad_emi!S60/TrRoad_tech!S175)</f>
        <v>0.99000374832425408</v>
      </c>
      <c r="T202" s="91">
        <f>IF(TrRoad_act!T63=0,0,TrRoad_emi!T60/TrRoad_tech!T175)</f>
        <v>0.93542280274728073</v>
      </c>
      <c r="U202" s="91">
        <f>IF(TrRoad_act!U63=0,0,TrRoad_emi!U60/TrRoad_tech!U175)</f>
        <v>0.94231117676107756</v>
      </c>
      <c r="V202" s="91">
        <f>IF(TrRoad_act!V63=0,0,TrRoad_emi!V60/TrRoad_tech!V175)</f>
        <v>0.84640285605293453</v>
      </c>
      <c r="W202" s="91">
        <f>IF(TrRoad_act!W63=0,0,TrRoad_emi!W60/TrRoad_tech!W175)</f>
        <v>0.83342065588046388</v>
      </c>
      <c r="X202" s="91">
        <f>IF(TrRoad_act!X63=0,0,TrRoad_emi!X60/TrRoad_tech!X175)</f>
        <v>0.85863883178066436</v>
      </c>
      <c r="Y202" s="91">
        <f>IF(TrRoad_act!Y63=0,0,TrRoad_emi!Y60/TrRoad_tech!Y175)</f>
        <v>0.94195455689404339</v>
      </c>
      <c r="DA202" s="171"/>
    </row>
    <row r="203" spans="1:105" ht="11.45" customHeight="1" x14ac:dyDescent="0.25">
      <c r="A203" s="111" t="s">
        <v>113</v>
      </c>
      <c r="B203" s="91">
        <f>IF(TrRoad_act!B64=0,0,TrRoad_emi!B61/TrRoad_tech!B176)</f>
        <v>0</v>
      </c>
      <c r="C203" s="91">
        <f>IF(TrRoad_act!C64=0,0,TrRoad_emi!C61/TrRoad_tech!C176)</f>
        <v>0</v>
      </c>
      <c r="D203" s="91">
        <f>IF(TrRoad_act!D64=0,0,TrRoad_emi!D61/TrRoad_tech!D176)</f>
        <v>0</v>
      </c>
      <c r="E203" s="91">
        <f>IF(TrRoad_act!E64=0,0,TrRoad_emi!E61/TrRoad_tech!E176)</f>
        <v>0</v>
      </c>
      <c r="F203" s="91">
        <f>IF(TrRoad_act!F64=0,0,TrRoad_emi!F61/TrRoad_tech!F176)</f>
        <v>0</v>
      </c>
      <c r="G203" s="91">
        <f>IF(TrRoad_act!G64=0,0,TrRoad_emi!G61/TrRoad_tech!G176)</f>
        <v>0</v>
      </c>
      <c r="H203" s="91">
        <f>IF(TrRoad_act!H64=0,0,TrRoad_emi!H61/TrRoad_tech!H176)</f>
        <v>0</v>
      </c>
      <c r="I203" s="91">
        <f>IF(TrRoad_act!I64=0,0,TrRoad_emi!I61/TrRoad_tech!I176)</f>
        <v>0</v>
      </c>
      <c r="J203" s="91">
        <f>IF(TrRoad_act!J64=0,0,TrRoad_emi!J61/TrRoad_tech!J176)</f>
        <v>0</v>
      </c>
      <c r="K203" s="91">
        <f>IF(TrRoad_act!K64=0,0,TrRoad_emi!K61/TrRoad_tech!K176)</f>
        <v>0</v>
      </c>
      <c r="L203" s="91">
        <f>IF(TrRoad_act!L64=0,0,TrRoad_emi!L61/TrRoad_tech!L176)</f>
        <v>1.0555555555604399</v>
      </c>
      <c r="M203" s="91">
        <f>IF(TrRoad_act!M64=0,0,TrRoad_emi!M61/TrRoad_tech!M176)</f>
        <v>1.0555555555604399</v>
      </c>
      <c r="N203" s="91">
        <f>IF(TrRoad_act!N64=0,0,TrRoad_emi!N61/TrRoad_tech!N176)</f>
        <v>1.0622326280710899</v>
      </c>
      <c r="O203" s="91">
        <f>IF(TrRoad_act!O64=0,0,TrRoad_emi!O61/TrRoad_tech!O176)</f>
        <v>1.0683228078340112</v>
      </c>
      <c r="P203" s="91">
        <f>IF(TrRoad_act!P64=0,0,TrRoad_emi!P61/TrRoad_tech!P176)</f>
        <v>1.0701298174647764</v>
      </c>
      <c r="Q203" s="91">
        <f>IF(TrRoad_act!Q64=0,0,TrRoad_emi!Q61/TrRoad_tech!Q176)</f>
        <v>1.0725045400685649</v>
      </c>
      <c r="R203" s="91">
        <f>IF(TrRoad_act!R64=0,0,TrRoad_emi!R61/TrRoad_tech!R176)</f>
        <v>1.0757812940475422</v>
      </c>
      <c r="S203" s="91">
        <f>IF(TrRoad_act!S64=0,0,TrRoad_emi!S61/TrRoad_tech!S176)</f>
        <v>1.0784812570795568</v>
      </c>
      <c r="T203" s="91">
        <f>IF(TrRoad_act!T64=0,0,TrRoad_emi!T61/TrRoad_tech!T176)</f>
        <v>1.0886120048416974</v>
      </c>
      <c r="U203" s="91">
        <f>IF(TrRoad_act!U64=0,0,TrRoad_emi!U61/TrRoad_tech!U176)</f>
        <v>1.0923109917513298</v>
      </c>
      <c r="V203" s="91">
        <f>IF(TrRoad_act!V64=0,0,TrRoad_emi!V61/TrRoad_tech!V176)</f>
        <v>1.0938267273325686</v>
      </c>
      <c r="W203" s="91">
        <f>IF(TrRoad_act!W64=0,0,TrRoad_emi!W61/TrRoad_tech!W176)</f>
        <v>1.0957225597290452</v>
      </c>
      <c r="X203" s="91">
        <f>IF(TrRoad_act!X64=0,0,TrRoad_emi!X61/TrRoad_tech!X176)</f>
        <v>1.0961262212835658</v>
      </c>
      <c r="Y203" s="91">
        <f>IF(TrRoad_act!Y64=0,0,TrRoad_emi!Y61/TrRoad_tech!Y176)</f>
        <v>1.0963447143379728</v>
      </c>
      <c r="DA203" s="171"/>
    </row>
    <row r="204" spans="1:105" ht="11.45" customHeight="1" x14ac:dyDescent="0.25">
      <c r="A204" s="111" t="s">
        <v>114</v>
      </c>
      <c r="B204" s="91">
        <f>IF(TrRoad_act!B65=0,0,TrRoad_emi!B62/TrRoad_tech!B177)</f>
        <v>0</v>
      </c>
      <c r="C204" s="91">
        <f>IF(TrRoad_act!C65=0,0,TrRoad_emi!C62/TrRoad_tech!C177)</f>
        <v>0</v>
      </c>
      <c r="D204" s="91">
        <f>IF(TrRoad_act!D65=0,0,TrRoad_emi!D62/TrRoad_tech!D177)</f>
        <v>0</v>
      </c>
      <c r="E204" s="91">
        <f>IF(TrRoad_act!E65=0,0,TrRoad_emi!E62/TrRoad_tech!E177)</f>
        <v>0</v>
      </c>
      <c r="F204" s="91">
        <f>IF(TrRoad_act!F65=0,0,TrRoad_emi!F62/TrRoad_tech!F177)</f>
        <v>0</v>
      </c>
      <c r="G204" s="91">
        <f>IF(TrRoad_act!G65=0,0,TrRoad_emi!G62/TrRoad_tech!G177)</f>
        <v>0</v>
      </c>
      <c r="H204" s="91">
        <f>IF(TrRoad_act!H65=0,0,TrRoad_emi!H62/TrRoad_tech!H177)</f>
        <v>0</v>
      </c>
      <c r="I204" s="91">
        <f>IF(TrRoad_act!I65=0,0,TrRoad_emi!I62/TrRoad_tech!I177)</f>
        <v>0</v>
      </c>
      <c r="J204" s="91">
        <f>IF(TrRoad_act!J65=0,0,TrRoad_emi!J62/TrRoad_tech!J177)</f>
        <v>0</v>
      </c>
      <c r="K204" s="91">
        <f>IF(TrRoad_act!K65=0,0,TrRoad_emi!K62/TrRoad_tech!K177)</f>
        <v>0</v>
      </c>
      <c r="L204" s="91">
        <f>IF(TrRoad_act!L65=0,0,TrRoad_emi!L62/TrRoad_tech!L177)</f>
        <v>0</v>
      </c>
      <c r="M204" s="91">
        <f>IF(TrRoad_act!M65=0,0,TrRoad_emi!M62/TrRoad_tech!M177)</f>
        <v>0.96791819844031035</v>
      </c>
      <c r="N204" s="91">
        <f>IF(TrRoad_act!N65=0,0,TrRoad_emi!N62/TrRoad_tech!N177)</f>
        <v>0.97022326903498468</v>
      </c>
      <c r="O204" s="91">
        <f>IF(TrRoad_act!O65=0,0,TrRoad_emi!O62/TrRoad_tech!O177)</f>
        <v>0.97555095617639398</v>
      </c>
      <c r="P204" s="91">
        <f>IF(TrRoad_act!P65=0,0,TrRoad_emi!P62/TrRoad_tech!P177)</f>
        <v>0.98783438680038949</v>
      </c>
      <c r="Q204" s="91">
        <f>IF(TrRoad_act!Q65=0,0,TrRoad_emi!Q62/TrRoad_tech!Q177)</f>
        <v>0.9862663551375056</v>
      </c>
      <c r="R204" s="91">
        <f>IF(TrRoad_act!R65=0,0,TrRoad_emi!R62/TrRoad_tech!R177)</f>
        <v>1.0069636559541844</v>
      </c>
      <c r="S204" s="91">
        <f>IF(TrRoad_act!S65=0,0,TrRoad_emi!S62/TrRoad_tech!S177)</f>
        <v>1.0431551218063395</v>
      </c>
      <c r="T204" s="91">
        <f>IF(TrRoad_act!T65=0,0,TrRoad_emi!T62/TrRoad_tech!T177)</f>
        <v>1.0673054578366408</v>
      </c>
      <c r="U204" s="91">
        <f>IF(TrRoad_act!U65=0,0,TrRoad_emi!U62/TrRoad_tech!U177)</f>
        <v>1.0822470634128241</v>
      </c>
      <c r="V204" s="91">
        <f>IF(TrRoad_act!V65=0,0,TrRoad_emi!V62/TrRoad_tech!V177)</f>
        <v>1.0818225218329649</v>
      </c>
      <c r="W204" s="91">
        <f>IF(TrRoad_act!W65=0,0,TrRoad_emi!W62/TrRoad_tech!W177)</f>
        <v>1.0777718730953858</v>
      </c>
      <c r="X204" s="91">
        <f>IF(TrRoad_act!X65=0,0,TrRoad_emi!X62/TrRoad_tech!X177)</f>
        <v>1.1203359611028341</v>
      </c>
      <c r="Y204" s="91">
        <f>IF(TrRoad_act!Y65=0,0,TrRoad_emi!Y62/TrRoad_tech!Y177)</f>
        <v>1.1591513690876936</v>
      </c>
      <c r="DA204" s="171"/>
    </row>
    <row r="205" spans="1:105" ht="11.45" customHeight="1" x14ac:dyDescent="0.25">
      <c r="A205" s="111" t="s">
        <v>115</v>
      </c>
      <c r="B205" s="91">
        <f>0</f>
        <v>0</v>
      </c>
      <c r="C205" s="91">
        <f>0</f>
        <v>0</v>
      </c>
      <c r="D205" s="91">
        <f>0</f>
        <v>0</v>
      </c>
      <c r="E205" s="91">
        <f>0</f>
        <v>0</v>
      </c>
      <c r="F205" s="91">
        <f>0</f>
        <v>0</v>
      </c>
      <c r="G205" s="91">
        <f>0</f>
        <v>0</v>
      </c>
      <c r="H205" s="91">
        <f>0</f>
        <v>0</v>
      </c>
      <c r="I205" s="91">
        <f>0</f>
        <v>0</v>
      </c>
      <c r="J205" s="91">
        <f>0</f>
        <v>0</v>
      </c>
      <c r="K205" s="91">
        <f>0</f>
        <v>0</v>
      </c>
      <c r="L205" s="91">
        <f>0</f>
        <v>0</v>
      </c>
      <c r="M205" s="91">
        <f>0</f>
        <v>0</v>
      </c>
      <c r="N205" s="91">
        <f>0</f>
        <v>0</v>
      </c>
      <c r="O205" s="91">
        <f>0</f>
        <v>0</v>
      </c>
      <c r="P205" s="91">
        <f>0</f>
        <v>0</v>
      </c>
      <c r="Q205" s="91">
        <f>0</f>
        <v>0</v>
      </c>
      <c r="R205" s="91">
        <f>0</f>
        <v>0</v>
      </c>
      <c r="S205" s="91">
        <f>0</f>
        <v>0</v>
      </c>
      <c r="T205" s="91">
        <f>0</f>
        <v>0</v>
      </c>
      <c r="U205" s="91">
        <f>0</f>
        <v>0</v>
      </c>
      <c r="V205" s="91">
        <f>0</f>
        <v>0</v>
      </c>
      <c r="W205" s="91">
        <f>0</f>
        <v>0</v>
      </c>
      <c r="X205" s="91">
        <f>0</f>
        <v>0</v>
      </c>
      <c r="Y205" s="91">
        <f>0</f>
        <v>0</v>
      </c>
      <c r="DA205" s="171"/>
    </row>
    <row r="206" spans="1:105" ht="11.45" customHeight="1" x14ac:dyDescent="0.25">
      <c r="A206" s="109" t="s">
        <v>21</v>
      </c>
      <c r="B206" s="151">
        <f>IF(TrRoad_act!B67=0,0,TrRoad_emi!B64/TrRoad_tech!B179)</f>
        <v>1.0997118468760991</v>
      </c>
      <c r="C206" s="151">
        <f>IF(TrRoad_act!C67=0,0,TrRoad_emi!C64/TrRoad_tech!C179)</f>
        <v>1.1160624204726113</v>
      </c>
      <c r="D206" s="151">
        <f>IF(TrRoad_act!D67=0,0,TrRoad_emi!D64/TrRoad_tech!D179)</f>
        <v>1.1109535138297977</v>
      </c>
      <c r="E206" s="151">
        <f>IF(TrRoad_act!E67=0,0,TrRoad_emi!E64/TrRoad_tech!E179)</f>
        <v>1.1047640770376275</v>
      </c>
      <c r="F206" s="151">
        <f>IF(TrRoad_act!F67=0,0,TrRoad_emi!F64/TrRoad_tech!F179)</f>
        <v>1.0873532010251852</v>
      </c>
      <c r="G206" s="151">
        <f>IF(TrRoad_act!G67=0,0,TrRoad_emi!G64/TrRoad_tech!G179)</f>
        <v>1.107013690254798</v>
      </c>
      <c r="H206" s="151">
        <f>IF(TrRoad_act!H67=0,0,TrRoad_emi!H64/TrRoad_tech!H179)</f>
        <v>1.0660302285718222</v>
      </c>
      <c r="I206" s="151">
        <f>IF(TrRoad_act!I67=0,0,TrRoad_emi!I64/TrRoad_tech!I179)</f>
        <v>1.0735365128648131</v>
      </c>
      <c r="J206" s="151">
        <f>IF(TrRoad_act!J67=0,0,TrRoad_emi!J64/TrRoad_tech!J179)</f>
        <v>1.0697032278433862</v>
      </c>
      <c r="K206" s="151">
        <f>IF(TrRoad_act!K67=0,0,TrRoad_emi!K64/TrRoad_tech!K179)</f>
        <v>1.0479408223509787</v>
      </c>
      <c r="L206" s="151">
        <f>IF(TrRoad_act!L67=0,0,TrRoad_emi!L64/TrRoad_tech!L179)</f>
        <v>1.0316598036328799</v>
      </c>
      <c r="M206" s="151">
        <f>IF(TrRoad_act!M67=0,0,TrRoad_emi!M64/TrRoad_tech!M179)</f>
        <v>1.0283554637359673</v>
      </c>
      <c r="N206" s="151">
        <f>IF(TrRoad_act!N67=0,0,TrRoad_emi!N64/TrRoad_tech!N179)</f>
        <v>1.0532567958680741</v>
      </c>
      <c r="O206" s="151">
        <f>IF(TrRoad_act!O67=0,0,TrRoad_emi!O64/TrRoad_tech!O179)</f>
        <v>1.05902407938868</v>
      </c>
      <c r="P206" s="151">
        <f>IF(TrRoad_act!P67=0,0,TrRoad_emi!P64/TrRoad_tech!P179)</f>
        <v>1.0882124794411958</v>
      </c>
      <c r="Q206" s="151">
        <f>IF(TrRoad_act!Q67=0,0,TrRoad_emi!Q64/TrRoad_tech!Q179)</f>
        <v>1.094126774205312</v>
      </c>
      <c r="R206" s="151">
        <f>IF(TrRoad_act!R67=0,0,TrRoad_emi!R64/TrRoad_tech!R179)</f>
        <v>1.1266153002350083</v>
      </c>
      <c r="S206" s="151">
        <f>IF(TrRoad_act!S67=0,0,TrRoad_emi!S64/TrRoad_tech!S179)</f>
        <v>1.1530157013146207</v>
      </c>
      <c r="T206" s="151">
        <f>IF(TrRoad_act!T67=0,0,TrRoad_emi!T64/TrRoad_tech!T179)</f>
        <v>1.299194443509188</v>
      </c>
      <c r="U206" s="151">
        <f>IF(TrRoad_act!U67=0,0,TrRoad_emi!U64/TrRoad_tech!U179)</f>
        <v>1.1983494515470416</v>
      </c>
      <c r="V206" s="151">
        <f>IF(TrRoad_act!V67=0,0,TrRoad_emi!V64/TrRoad_tech!V179)</f>
        <v>1.3237649892770607</v>
      </c>
      <c r="W206" s="151">
        <f>IF(TrRoad_act!W67=0,0,TrRoad_emi!W64/TrRoad_tech!W179)</f>
        <v>1.3164807736153903</v>
      </c>
      <c r="X206" s="151">
        <f>IF(TrRoad_act!X67=0,0,TrRoad_emi!X64/TrRoad_tech!X179)</f>
        <v>1.2415802466935901</v>
      </c>
      <c r="Y206" s="151">
        <f>IF(TrRoad_act!Y67=0,0,TrRoad_emi!Y64/TrRoad_tech!Y179)</f>
        <v>1.6466329465762284</v>
      </c>
      <c r="DA206" s="176"/>
    </row>
    <row r="207" spans="1:105" ht="11.45" customHeight="1" x14ac:dyDescent="0.25">
      <c r="A207" s="111" t="s">
        <v>110</v>
      </c>
      <c r="B207" s="93">
        <f>IF(TrRoad_act!B68=0,0,TrRoad_emi!B65/TrRoad_tech!B180)</f>
        <v>0</v>
      </c>
      <c r="C207" s="93">
        <f>IF(TrRoad_act!C68=0,0,TrRoad_emi!C65/TrRoad_tech!C180)</f>
        <v>0</v>
      </c>
      <c r="D207" s="93">
        <f>IF(TrRoad_act!D68=0,0,TrRoad_emi!D65/TrRoad_tech!D180)</f>
        <v>0</v>
      </c>
      <c r="E207" s="93">
        <f>IF(TrRoad_act!E68=0,0,TrRoad_emi!E65/TrRoad_tech!E180)</f>
        <v>0</v>
      </c>
      <c r="F207" s="93">
        <f>IF(TrRoad_act!F68=0,0,TrRoad_emi!F65/TrRoad_tech!F180)</f>
        <v>0</v>
      </c>
      <c r="G207" s="93">
        <f>IF(TrRoad_act!G68=0,0,TrRoad_emi!G65/TrRoad_tech!G180)</f>
        <v>0</v>
      </c>
      <c r="H207" s="93">
        <f>IF(TrRoad_act!H68=0,0,TrRoad_emi!H65/TrRoad_tech!H180)</f>
        <v>0</v>
      </c>
      <c r="I207" s="93">
        <f>IF(TrRoad_act!I68=0,0,TrRoad_emi!I65/TrRoad_tech!I180)</f>
        <v>0</v>
      </c>
      <c r="J207" s="93">
        <f>IF(TrRoad_act!J68=0,0,TrRoad_emi!J65/TrRoad_tech!J180)</f>
        <v>0</v>
      </c>
      <c r="K207" s="93">
        <f>IF(TrRoad_act!K68=0,0,TrRoad_emi!K65/TrRoad_tech!K180)</f>
        <v>0</v>
      </c>
      <c r="L207" s="93">
        <f>IF(TrRoad_act!L68=0,0,TrRoad_emi!L65/TrRoad_tech!L180)</f>
        <v>1.2000000000070936</v>
      </c>
      <c r="M207" s="93">
        <f>IF(TrRoad_act!M68=0,0,TrRoad_emi!M65/TrRoad_tech!M180)</f>
        <v>1.2000000000070938</v>
      </c>
      <c r="N207" s="93">
        <f>IF(TrRoad_act!N68=0,0,TrRoad_emi!N65/TrRoad_tech!N180)</f>
        <v>1.19869233564094</v>
      </c>
      <c r="O207" s="93">
        <f>IF(TrRoad_act!O68=0,0,TrRoad_emi!O65/TrRoad_tech!O180)</f>
        <v>1.2060305498648363</v>
      </c>
      <c r="P207" s="93">
        <f>IF(TrRoad_act!P68=0,0,TrRoad_emi!P65/TrRoad_tech!P180)</f>
        <v>1.2060175505948965</v>
      </c>
      <c r="Q207" s="93">
        <f>IF(TrRoad_act!Q68=0,0,TrRoad_emi!Q65/TrRoad_tech!Q180)</f>
        <v>1.1966705486738596</v>
      </c>
      <c r="R207" s="93">
        <f>IF(TrRoad_act!R68=0,0,TrRoad_emi!R65/TrRoad_tech!R180)</f>
        <v>1.2030831575013585</v>
      </c>
      <c r="S207" s="93">
        <f>IF(TrRoad_act!S68=0,0,TrRoad_emi!S65/TrRoad_tech!S180)</f>
        <v>1.2315161159442549</v>
      </c>
      <c r="T207" s="93">
        <f>IF(TrRoad_act!T68=0,0,TrRoad_emi!T65/TrRoad_tech!T180)</f>
        <v>1.2284358277529872</v>
      </c>
      <c r="U207" s="93">
        <f>IF(TrRoad_act!U68=0,0,TrRoad_emi!U65/TrRoad_tech!U180)</f>
        <v>1.2391847571242911</v>
      </c>
      <c r="V207" s="93">
        <f>IF(TrRoad_act!V68=0,0,TrRoad_emi!V65/TrRoad_tech!V180)</f>
        <v>1.245535539520344</v>
      </c>
      <c r="W207" s="93">
        <f>IF(TrRoad_act!W68=0,0,TrRoad_emi!W65/TrRoad_tech!W180)</f>
        <v>1.2330696391875933</v>
      </c>
      <c r="X207" s="93">
        <f>IF(TrRoad_act!X68=0,0,TrRoad_emi!X65/TrRoad_tech!X180)</f>
        <v>1.225187699488826</v>
      </c>
      <c r="Y207" s="93">
        <f>IF(TrRoad_act!Y68=0,0,TrRoad_emi!Y65/TrRoad_tech!Y180)</f>
        <v>1.2284915889934809</v>
      </c>
      <c r="DA207" s="175"/>
    </row>
    <row r="208" spans="1:105" ht="11.45" customHeight="1" x14ac:dyDescent="0.25">
      <c r="A208" s="111" t="s">
        <v>111</v>
      </c>
      <c r="B208" s="93">
        <f>IF(TrRoad_act!B69=0,0,TrRoad_emi!B66/TrRoad_tech!B181)</f>
        <v>1.10000000000673</v>
      </c>
      <c r="C208" s="93">
        <f>IF(TrRoad_act!C69=0,0,TrRoad_emi!C66/TrRoad_tech!C181)</f>
        <v>1.1002714814320094</v>
      </c>
      <c r="D208" s="93">
        <f>IF(TrRoad_act!D69=0,0,TrRoad_emi!D66/TrRoad_tech!D181)</f>
        <v>1.1007710871888055</v>
      </c>
      <c r="E208" s="93">
        <f>IF(TrRoad_act!E69=0,0,TrRoad_emi!E66/TrRoad_tech!E181)</f>
        <v>1.1016868517266265</v>
      </c>
      <c r="F208" s="93">
        <f>IF(TrRoad_act!F69=0,0,TrRoad_emi!F66/TrRoad_tech!F181)</f>
        <v>1.1031174689420651</v>
      </c>
      <c r="G208" s="93">
        <f>IF(TrRoad_act!G69=0,0,TrRoad_emi!G66/TrRoad_tech!G181)</f>
        <v>1.1067518226582984</v>
      </c>
      <c r="H208" s="93">
        <f>IF(TrRoad_act!H69=0,0,TrRoad_emi!H66/TrRoad_tech!H181)</f>
        <v>1.091094957814132</v>
      </c>
      <c r="I208" s="93">
        <f>IF(TrRoad_act!I69=0,0,TrRoad_emi!I66/TrRoad_tech!I181)</f>
        <v>1.081820914452887</v>
      </c>
      <c r="J208" s="93">
        <f>IF(TrRoad_act!J69=0,0,TrRoad_emi!J66/TrRoad_tech!J181)</f>
        <v>1.0855867107471457</v>
      </c>
      <c r="K208" s="93">
        <f>IF(TrRoad_act!K69=0,0,TrRoad_emi!K66/TrRoad_tech!K181)</f>
        <v>1.0691791459535263</v>
      </c>
      <c r="L208" s="93">
        <f>IF(TrRoad_act!L69=0,0,TrRoad_emi!L66/TrRoad_tech!L181)</f>
        <v>1.0526850379306791</v>
      </c>
      <c r="M208" s="93">
        <f>IF(TrRoad_act!M69=0,0,TrRoad_emi!M66/TrRoad_tech!M181)</f>
        <v>1.0586274217896026</v>
      </c>
      <c r="N208" s="93">
        <f>IF(TrRoad_act!N69=0,0,TrRoad_emi!N66/TrRoad_tech!N181)</f>
        <v>1.0697375335077262</v>
      </c>
      <c r="O208" s="93">
        <f>IF(TrRoad_act!O69=0,0,TrRoad_emi!O66/TrRoad_tech!O181)</f>
        <v>1.0762146997545485</v>
      </c>
      <c r="P208" s="93">
        <f>IF(TrRoad_act!P69=0,0,TrRoad_emi!P66/TrRoad_tech!P181)</f>
        <v>1.1052234352766037</v>
      </c>
      <c r="Q208" s="93">
        <f>IF(TrRoad_act!Q69=0,0,TrRoad_emi!Q66/TrRoad_tech!Q181)</f>
        <v>1.1028815575424253</v>
      </c>
      <c r="R208" s="93">
        <f>IF(TrRoad_act!R69=0,0,TrRoad_emi!R66/TrRoad_tech!R181)</f>
        <v>1.1361065422404739</v>
      </c>
      <c r="S208" s="93">
        <f>IF(TrRoad_act!S69=0,0,TrRoad_emi!S66/TrRoad_tech!S181)</f>
        <v>1.1421249935410551</v>
      </c>
      <c r="T208" s="93">
        <f>IF(TrRoad_act!T69=0,0,TrRoad_emi!T66/TrRoad_tech!T181)</f>
        <v>1.1423212835332823</v>
      </c>
      <c r="U208" s="93">
        <f>IF(TrRoad_act!U69=0,0,TrRoad_emi!U66/TrRoad_tech!U181)</f>
        <v>1.1621079679694137</v>
      </c>
      <c r="V208" s="93">
        <f>IF(TrRoad_act!V69=0,0,TrRoad_emi!V66/TrRoad_tech!V181)</f>
        <v>1.1784332809323994</v>
      </c>
      <c r="W208" s="93">
        <f>IF(TrRoad_act!W69=0,0,TrRoad_emi!W66/TrRoad_tech!W181)</f>
        <v>1.162670809020858</v>
      </c>
      <c r="X208" s="93">
        <f>IF(TrRoad_act!X69=0,0,TrRoad_emi!X66/TrRoad_tech!X181)</f>
        <v>1.1799982005984171</v>
      </c>
      <c r="Y208" s="93">
        <f>IF(TrRoad_act!Y69=0,0,TrRoad_emi!Y66/TrRoad_tech!Y181)</f>
        <v>1.1869330089195202</v>
      </c>
      <c r="DA208" s="175"/>
    </row>
    <row r="209" spans="1:105" ht="11.45" customHeight="1" x14ac:dyDescent="0.25">
      <c r="A209" s="111" t="s">
        <v>112</v>
      </c>
      <c r="B209" s="93">
        <f>IF(TrRoad_act!B70=0,0,TrRoad_emi!B67/TrRoad_tech!B182)</f>
        <v>0</v>
      </c>
      <c r="C209" s="93">
        <f>IF(TrRoad_act!C70=0,0,TrRoad_emi!C67/TrRoad_tech!C182)</f>
        <v>0</v>
      </c>
      <c r="D209" s="93">
        <f>IF(TrRoad_act!D70=0,0,TrRoad_emi!D67/TrRoad_tech!D182)</f>
        <v>0</v>
      </c>
      <c r="E209" s="93">
        <f>IF(TrRoad_act!E70=0,0,TrRoad_emi!E67/TrRoad_tech!E182)</f>
        <v>0</v>
      </c>
      <c r="F209" s="93">
        <f>IF(TrRoad_act!F70=0,0,TrRoad_emi!F67/TrRoad_tech!F182)</f>
        <v>0</v>
      </c>
      <c r="G209" s="93">
        <f>IF(TrRoad_act!G70=0,0,TrRoad_emi!G67/TrRoad_tech!G182)</f>
        <v>0</v>
      </c>
      <c r="H209" s="93">
        <f>IF(TrRoad_act!H70=0,0,TrRoad_emi!H67/TrRoad_tech!H182)</f>
        <v>0</v>
      </c>
      <c r="I209" s="93">
        <f>IF(TrRoad_act!I70=0,0,TrRoad_emi!I67/TrRoad_tech!I182)</f>
        <v>0</v>
      </c>
      <c r="J209" s="93">
        <f>IF(TrRoad_act!J70=0,0,TrRoad_emi!J67/TrRoad_tech!J182)</f>
        <v>0</v>
      </c>
      <c r="K209" s="93">
        <f>IF(TrRoad_act!K70=0,0,TrRoad_emi!K67/TrRoad_tech!K182)</f>
        <v>0</v>
      </c>
      <c r="L209" s="93">
        <f>IF(TrRoad_act!L70=0,0,TrRoad_emi!L67/TrRoad_tech!L182)</f>
        <v>1.2000000000070938</v>
      </c>
      <c r="M209" s="93">
        <f>IF(TrRoad_act!M70=0,0,TrRoad_emi!M67/TrRoad_tech!M182)</f>
        <v>1.2000000000070943</v>
      </c>
      <c r="N209" s="93">
        <f>IF(TrRoad_act!N70=0,0,TrRoad_emi!N67/TrRoad_tech!N182)</f>
        <v>1.2000000000070941</v>
      </c>
      <c r="O209" s="93">
        <f>IF(TrRoad_act!O70=0,0,TrRoad_emi!O67/TrRoad_tech!O182)</f>
        <v>1.2000000000070941</v>
      </c>
      <c r="P209" s="93">
        <f>IF(TrRoad_act!P70=0,0,TrRoad_emi!P67/TrRoad_tech!P182)</f>
        <v>1.2407652221504071</v>
      </c>
      <c r="Q209" s="93">
        <f>IF(TrRoad_act!Q70=0,0,TrRoad_emi!Q67/TrRoad_tech!Q182)</f>
        <v>1.2407652221504071</v>
      </c>
      <c r="R209" s="93">
        <f>IF(TrRoad_act!R70=0,0,TrRoad_emi!R67/TrRoad_tech!R182)</f>
        <v>1.2574725894522065</v>
      </c>
      <c r="S209" s="93">
        <f>IF(TrRoad_act!S70=0,0,TrRoad_emi!S67/TrRoad_tech!S182)</f>
        <v>1.257472589452207</v>
      </c>
      <c r="T209" s="93">
        <f>IF(TrRoad_act!T70=0,0,TrRoad_emi!T67/TrRoad_tech!T182)</f>
        <v>1.2574725894522065</v>
      </c>
      <c r="U209" s="93">
        <f>IF(TrRoad_act!U70=0,0,TrRoad_emi!U67/TrRoad_tech!U182)</f>
        <v>1.2574725894522063</v>
      </c>
      <c r="V209" s="93">
        <f>IF(TrRoad_act!V70=0,0,TrRoad_emi!V67/TrRoad_tech!V182)</f>
        <v>1.2705007523309122</v>
      </c>
      <c r="W209" s="93">
        <f>IF(TrRoad_act!W70=0,0,TrRoad_emi!W67/TrRoad_tech!W182)</f>
        <v>1.2705007523309126</v>
      </c>
      <c r="X209" s="93">
        <f>IF(TrRoad_act!X70=0,0,TrRoad_emi!X67/TrRoad_tech!X182)</f>
        <v>1.2911669045417782</v>
      </c>
      <c r="Y209" s="93">
        <f>IF(TrRoad_act!Y70=0,0,TrRoad_emi!Y67/TrRoad_tech!Y182)</f>
        <v>1.2911669045417784</v>
      </c>
      <c r="DA209" s="175"/>
    </row>
    <row r="210" spans="1:105" ht="11.45" customHeight="1" x14ac:dyDescent="0.25">
      <c r="A210" s="111" t="s">
        <v>113</v>
      </c>
      <c r="B210" s="93">
        <f>IF(TrRoad_act!B71=0,0,TrRoad_emi!B68/TrRoad_tech!B183)</f>
        <v>1.4791232437468851</v>
      </c>
      <c r="C210" s="93">
        <f>IF(TrRoad_act!C71=0,0,TrRoad_emi!C68/TrRoad_tech!C183)</f>
        <v>1.4289226554780534</v>
      </c>
      <c r="D210" s="93">
        <f>IF(TrRoad_act!D71=0,0,TrRoad_emi!D68/TrRoad_tech!D183)</f>
        <v>1.4429700081941796</v>
      </c>
      <c r="E210" s="93">
        <f>IF(TrRoad_act!E71=0,0,TrRoad_emi!E68/TrRoad_tech!E183)</f>
        <v>1.3867457470530113</v>
      </c>
      <c r="F210" s="93">
        <f>IF(TrRoad_act!F71=0,0,TrRoad_emi!F68/TrRoad_tech!F183)</f>
        <v>1.3905475384440098</v>
      </c>
      <c r="G210" s="93">
        <f>IF(TrRoad_act!G71=0,0,TrRoad_emi!G68/TrRoad_tech!G183)</f>
        <v>1.3943228863573198</v>
      </c>
      <c r="H210" s="93">
        <f>IF(TrRoad_act!H71=0,0,TrRoad_emi!H68/TrRoad_tech!H183)</f>
        <v>1.4018587546501526</v>
      </c>
      <c r="I210" s="93">
        <f>IF(TrRoad_act!I71=0,0,TrRoad_emi!I68/TrRoad_tech!I183)</f>
        <v>1.408334630918245</v>
      </c>
      <c r="J210" s="93">
        <f>IF(TrRoad_act!J71=0,0,TrRoad_emi!J68/TrRoad_tech!J183)</f>
        <v>1.3784761395342362</v>
      </c>
      <c r="K210" s="93">
        <f>IF(TrRoad_act!K71=0,0,TrRoad_emi!K68/TrRoad_tech!K183)</f>
        <v>1.3097146153865662</v>
      </c>
      <c r="L210" s="93">
        <f>IF(TrRoad_act!L71=0,0,TrRoad_emi!L68/TrRoad_tech!L183)</f>
        <v>1.3106774127403094</v>
      </c>
      <c r="M210" s="93">
        <f>IF(TrRoad_act!M71=0,0,TrRoad_emi!M68/TrRoad_tech!M183)</f>
        <v>1.2979773570146165</v>
      </c>
      <c r="N210" s="93">
        <f>IF(TrRoad_act!N71=0,0,TrRoad_emi!N68/TrRoad_tech!N183)</f>
        <v>1.2475174499905552</v>
      </c>
      <c r="O210" s="93">
        <f>IF(TrRoad_act!O71=0,0,TrRoad_emi!O68/TrRoad_tech!O183)</f>
        <v>1.4051201126128303</v>
      </c>
      <c r="P210" s="93">
        <f>IF(TrRoad_act!P71=0,0,TrRoad_emi!P68/TrRoad_tech!P183)</f>
        <v>1.4849811697906321</v>
      </c>
      <c r="Q210" s="93">
        <f>IF(TrRoad_act!Q71=0,0,TrRoad_emi!Q68/TrRoad_tech!Q183)</f>
        <v>1.7509646611935854</v>
      </c>
      <c r="R210" s="93">
        <f>IF(TrRoad_act!R71=0,0,TrRoad_emi!R68/TrRoad_tech!R183)</f>
        <v>1.741305279369771</v>
      </c>
      <c r="S210" s="93">
        <f>IF(TrRoad_act!S71=0,0,TrRoad_emi!S68/TrRoad_tech!S183)</f>
        <v>1.9489796346239214</v>
      </c>
      <c r="T210" s="93">
        <f>IF(TrRoad_act!T71=0,0,TrRoad_emi!T68/TrRoad_tech!T183)</f>
        <v>1.4395682811499855</v>
      </c>
      <c r="U210" s="93">
        <f>IF(TrRoad_act!U71=0,0,TrRoad_emi!U68/TrRoad_tech!U183)</f>
        <v>3.1566891617633992</v>
      </c>
      <c r="V210" s="93">
        <f>IF(TrRoad_act!V71=0,0,TrRoad_emi!V68/TrRoad_tech!V183)</f>
        <v>3.3703013713684853</v>
      </c>
      <c r="W210" s="93">
        <f>IF(TrRoad_act!W71=0,0,TrRoad_emi!W68/TrRoad_tech!W183)</f>
        <v>2.2735664820845818</v>
      </c>
      <c r="X210" s="93">
        <f>IF(TrRoad_act!X71=0,0,TrRoad_emi!X68/TrRoad_tech!X183)</f>
        <v>2.8670942437171045</v>
      </c>
      <c r="Y210" s="93">
        <f>IF(TrRoad_act!Y71=0,0,TrRoad_emi!Y68/TrRoad_tech!Y183)</f>
        <v>2.5170276650601111</v>
      </c>
      <c r="DA210" s="175"/>
    </row>
    <row r="211" spans="1:105" ht="11.45" customHeight="1" x14ac:dyDescent="0.25">
      <c r="A211" s="111" t="s">
        <v>115</v>
      </c>
      <c r="B211" s="93">
        <f>0</f>
        <v>0</v>
      </c>
      <c r="C211" s="93">
        <f>0</f>
        <v>0</v>
      </c>
      <c r="D211" s="93">
        <f>0</f>
        <v>0</v>
      </c>
      <c r="E211" s="93">
        <f>0</f>
        <v>0</v>
      </c>
      <c r="F211" s="93">
        <f>0</f>
        <v>0</v>
      </c>
      <c r="G211" s="93">
        <f>0</f>
        <v>0</v>
      </c>
      <c r="H211" s="93">
        <f>0</f>
        <v>0</v>
      </c>
      <c r="I211" s="93">
        <f>0</f>
        <v>0</v>
      </c>
      <c r="J211" s="93">
        <f>0</f>
        <v>0</v>
      </c>
      <c r="K211" s="93">
        <f>0</f>
        <v>0</v>
      </c>
      <c r="L211" s="93">
        <f>0</f>
        <v>0</v>
      </c>
      <c r="M211" s="93">
        <f>0</f>
        <v>0</v>
      </c>
      <c r="N211" s="93">
        <f>0</f>
        <v>0</v>
      </c>
      <c r="O211" s="93">
        <f>0</f>
        <v>0</v>
      </c>
      <c r="P211" s="93">
        <f>0</f>
        <v>0</v>
      </c>
      <c r="Q211" s="93">
        <f>0</f>
        <v>0</v>
      </c>
      <c r="R211" s="93">
        <f>0</f>
        <v>0</v>
      </c>
      <c r="S211" s="93">
        <f>0</f>
        <v>0</v>
      </c>
      <c r="T211" s="93">
        <f>0</f>
        <v>0</v>
      </c>
      <c r="U211" s="93">
        <f>0</f>
        <v>0</v>
      </c>
      <c r="V211" s="93">
        <f>0</f>
        <v>0</v>
      </c>
      <c r="W211" s="93">
        <f>0</f>
        <v>0</v>
      </c>
      <c r="X211" s="93">
        <f>0</f>
        <v>0</v>
      </c>
      <c r="Y211" s="93">
        <f>0</f>
        <v>0</v>
      </c>
      <c r="DA211" s="175"/>
    </row>
    <row r="212" spans="1:105" ht="11.45" customHeight="1" x14ac:dyDescent="0.25">
      <c r="A212" s="27" t="s">
        <v>34</v>
      </c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DA212" s="173"/>
    </row>
    <row r="213" spans="1:105" ht="11.45" customHeight="1" x14ac:dyDescent="0.25">
      <c r="A213" s="136" t="s">
        <v>153</v>
      </c>
      <c r="B213" s="150">
        <f>IF(TrRoad_act!B74=0,0,TrRoad_emi!B71/TrRoad_tech!B186)</f>
        <v>1.0832567170183971</v>
      </c>
      <c r="C213" s="150">
        <f>IF(TrRoad_act!C74=0,0,TrRoad_emi!C71/TrRoad_tech!C186)</f>
        <v>1.06934591872397</v>
      </c>
      <c r="D213" s="150">
        <f>IF(TrRoad_act!D74=0,0,TrRoad_emi!D71/TrRoad_tech!D186)</f>
        <v>1.0856321839899417</v>
      </c>
      <c r="E213" s="150">
        <f>IF(TrRoad_act!E74=0,0,TrRoad_emi!E71/TrRoad_tech!E186)</f>
        <v>1.1313936344522808</v>
      </c>
      <c r="F213" s="150">
        <f>IF(TrRoad_act!F74=0,0,TrRoad_emi!F71/TrRoad_tech!F186)</f>
        <v>1.1384097870083933</v>
      </c>
      <c r="G213" s="150">
        <f>IF(TrRoad_act!G74=0,0,TrRoad_emi!G71/TrRoad_tech!G186)</f>
        <v>1.1332208638402508</v>
      </c>
      <c r="H213" s="150">
        <f>IF(TrRoad_act!H74=0,0,TrRoad_emi!H71/TrRoad_tech!H186)</f>
        <v>1.0984143876164192</v>
      </c>
      <c r="I213" s="150">
        <f>IF(TrRoad_act!I74=0,0,TrRoad_emi!I71/TrRoad_tech!I186)</f>
        <v>1.0671715971119515</v>
      </c>
      <c r="J213" s="150">
        <f>IF(TrRoad_act!J74=0,0,TrRoad_emi!J71/TrRoad_tech!J186)</f>
        <v>1.0851271818554111</v>
      </c>
      <c r="K213" s="150">
        <f>IF(TrRoad_act!K74=0,0,TrRoad_emi!K71/TrRoad_tech!K186)</f>
        <v>1.0867830876864206</v>
      </c>
      <c r="L213" s="150">
        <f>IF(TrRoad_act!L74=0,0,TrRoad_emi!L71/TrRoad_tech!L186)</f>
        <v>1.1251590337306294</v>
      </c>
      <c r="M213" s="150">
        <f>IF(TrRoad_act!M74=0,0,TrRoad_emi!M71/TrRoad_tech!M186)</f>
        <v>1.1877658176279344</v>
      </c>
      <c r="N213" s="150">
        <f>IF(TrRoad_act!N74=0,0,TrRoad_emi!N71/TrRoad_tech!N186)</f>
        <v>1.0164944694087792</v>
      </c>
      <c r="O213" s="150">
        <f>IF(TrRoad_act!O74=0,0,TrRoad_emi!O71/TrRoad_tech!O186)</f>
        <v>1.1317402356724464</v>
      </c>
      <c r="P213" s="150">
        <f>IF(TrRoad_act!P74=0,0,TrRoad_emi!P71/TrRoad_tech!P186)</f>
        <v>1.2006312044199263</v>
      </c>
      <c r="Q213" s="150">
        <f>IF(TrRoad_act!Q74=0,0,TrRoad_emi!Q71/TrRoad_tech!Q186)</f>
        <v>1.1020393766205687</v>
      </c>
      <c r="R213" s="150">
        <f>IF(TrRoad_act!R74=0,0,TrRoad_emi!R71/TrRoad_tech!R186)</f>
        <v>1.1439435840095915</v>
      </c>
      <c r="S213" s="150">
        <f>IF(TrRoad_act!S74=0,0,TrRoad_emi!S71/TrRoad_tech!S186)</f>
        <v>1.163186361752772</v>
      </c>
      <c r="T213" s="150">
        <f>IF(TrRoad_act!T74=0,0,TrRoad_emi!T71/TrRoad_tech!T186)</f>
        <v>1.160067402485375</v>
      </c>
      <c r="U213" s="150">
        <f>IF(TrRoad_act!U74=0,0,TrRoad_emi!U71/TrRoad_tech!U186)</f>
        <v>1.1555995349102448</v>
      </c>
      <c r="V213" s="150">
        <f>IF(TrRoad_act!V74=0,0,TrRoad_emi!V71/TrRoad_tech!V186)</f>
        <v>1.1246247112754739</v>
      </c>
      <c r="W213" s="150">
        <f>IF(TrRoad_act!W74=0,0,TrRoad_emi!W71/TrRoad_tech!W186)</f>
        <v>1.1014021291543823</v>
      </c>
      <c r="X213" s="150">
        <f>IF(TrRoad_act!X74=0,0,TrRoad_emi!X71/TrRoad_tech!X186)</f>
        <v>1.0763220795328532</v>
      </c>
      <c r="Y213" s="150">
        <f>IF(TrRoad_act!Y74=0,0,TrRoad_emi!Y71/TrRoad_tech!Y186)</f>
        <v>1.1145458231850272</v>
      </c>
      <c r="DA213" s="174"/>
    </row>
    <row r="214" spans="1:105" ht="11.45" customHeight="1" x14ac:dyDescent="0.25">
      <c r="A214" s="111" t="s">
        <v>110</v>
      </c>
      <c r="B214" s="91">
        <f>IF(TrRoad_act!B75=0,0,TrRoad_emi!B72/TrRoad_tech!B187)</f>
        <v>1.1000000000067303</v>
      </c>
      <c r="C214" s="91">
        <f>IF(TrRoad_act!C75=0,0,TrRoad_emi!C72/TrRoad_tech!C187)</f>
        <v>1.1000001963768486</v>
      </c>
      <c r="D214" s="91">
        <f>IF(TrRoad_act!D75=0,0,TrRoad_emi!D72/TrRoad_tech!D187)</f>
        <v>1.1000002082924198</v>
      </c>
      <c r="E214" s="91">
        <f>IF(TrRoad_act!E75=0,0,TrRoad_emi!E72/TrRoad_tech!E187)</f>
        <v>1.1000023427173327</v>
      </c>
      <c r="F214" s="91">
        <f>IF(TrRoad_act!F75=0,0,TrRoad_emi!F72/TrRoad_tech!F187)</f>
        <v>1.1000025091608634</v>
      </c>
      <c r="G214" s="91">
        <f>IF(TrRoad_act!G75=0,0,TrRoad_emi!G72/TrRoad_tech!G187)</f>
        <v>1.1000053952426305</v>
      </c>
      <c r="H214" s="91">
        <f>IF(TrRoad_act!H75=0,0,TrRoad_emi!H72/TrRoad_tech!H187)</f>
        <v>1.1003493184423723</v>
      </c>
      <c r="I214" s="91">
        <f>IF(TrRoad_act!I75=0,0,TrRoad_emi!I72/TrRoad_tech!I187)</f>
        <v>1.1011943397680288</v>
      </c>
      <c r="J214" s="91">
        <f>IF(TrRoad_act!J75=0,0,TrRoad_emi!J72/TrRoad_tech!J187)</f>
        <v>1.1024954420717157</v>
      </c>
      <c r="K214" s="91">
        <f>IF(TrRoad_act!K75=0,0,TrRoad_emi!K72/TrRoad_tech!K187)</f>
        <v>1.1045289512193719</v>
      </c>
      <c r="L214" s="91">
        <f>IF(TrRoad_act!L75=0,0,TrRoad_emi!L72/TrRoad_tech!L187)</f>
        <v>1.1072385147941257</v>
      </c>
      <c r="M214" s="91">
        <f>IF(TrRoad_act!M75=0,0,TrRoad_emi!M72/TrRoad_tech!M187)</f>
        <v>1.1079854231081314</v>
      </c>
      <c r="N214" s="91">
        <f>IF(TrRoad_act!N75=0,0,TrRoad_emi!N72/TrRoad_tech!N187)</f>
        <v>1.1077908154298246</v>
      </c>
      <c r="O214" s="91">
        <f>IF(TrRoad_act!O75=0,0,TrRoad_emi!O72/TrRoad_tech!O187)</f>
        <v>1.1078758261713122</v>
      </c>
      <c r="P214" s="91">
        <f>IF(TrRoad_act!P75=0,0,TrRoad_emi!P72/TrRoad_tech!P187)</f>
        <v>1.1108160106507019</v>
      </c>
      <c r="Q214" s="91">
        <f>IF(TrRoad_act!Q75=0,0,TrRoad_emi!Q72/TrRoad_tech!Q187)</f>
        <v>1.1077103000348618</v>
      </c>
      <c r="R214" s="91">
        <f>IF(TrRoad_act!R75=0,0,TrRoad_emi!R72/TrRoad_tech!R187)</f>
        <v>1.1094613205742492</v>
      </c>
      <c r="S214" s="91">
        <f>IF(TrRoad_act!S75=0,0,TrRoad_emi!S72/TrRoad_tech!S187)</f>
        <v>1.1489803869808755</v>
      </c>
      <c r="T214" s="91">
        <f>IF(TrRoad_act!T75=0,0,TrRoad_emi!T72/TrRoad_tech!T187)</f>
        <v>1.1548145500345088</v>
      </c>
      <c r="U214" s="91">
        <f>IF(TrRoad_act!U75=0,0,TrRoad_emi!U72/TrRoad_tech!U187)</f>
        <v>1.1976045662975836</v>
      </c>
      <c r="V214" s="91">
        <f>IF(TrRoad_act!V75=0,0,TrRoad_emi!V72/TrRoad_tech!V187)</f>
        <v>1.2323379999264386</v>
      </c>
      <c r="W214" s="91">
        <f>IF(TrRoad_act!W75=0,0,TrRoad_emi!W72/TrRoad_tech!W187)</f>
        <v>1.2249880269346654</v>
      </c>
      <c r="X214" s="91">
        <f>IF(TrRoad_act!X75=0,0,TrRoad_emi!X72/TrRoad_tech!X187)</f>
        <v>1.2183216317594712</v>
      </c>
      <c r="Y214" s="91">
        <f>IF(TrRoad_act!Y75=0,0,TrRoad_emi!Y72/TrRoad_tech!Y187)</f>
        <v>1.2353965377424168</v>
      </c>
      <c r="DA214" s="171"/>
    </row>
    <row r="215" spans="1:105" ht="11.45" customHeight="1" x14ac:dyDescent="0.25">
      <c r="A215" s="111" t="s">
        <v>111</v>
      </c>
      <c r="B215" s="91">
        <f>IF(TrRoad_act!B76=0,0,TrRoad_emi!B73/TrRoad_tech!B188)</f>
        <v>1.1000000000067303</v>
      </c>
      <c r="C215" s="91">
        <f>IF(TrRoad_act!C76=0,0,TrRoad_emi!C73/TrRoad_tech!C188)</f>
        <v>1.1000901305382211</v>
      </c>
      <c r="D215" s="91">
        <f>IF(TrRoad_act!D76=0,0,TrRoad_emi!D73/TrRoad_tech!D188)</f>
        <v>1.1001316361602071</v>
      </c>
      <c r="E215" s="91">
        <f>IF(TrRoad_act!E76=0,0,TrRoad_emi!E73/TrRoad_tech!E188)</f>
        <v>1.1001410863943908</v>
      </c>
      <c r="F215" s="91">
        <f>IF(TrRoad_act!F76=0,0,TrRoad_emi!F73/TrRoad_tech!F188)</f>
        <v>1.1003055192216145</v>
      </c>
      <c r="G215" s="91">
        <f>IF(TrRoad_act!G76=0,0,TrRoad_emi!G73/TrRoad_tech!G188)</f>
        <v>1.1007689519756405</v>
      </c>
      <c r="H215" s="91">
        <f>IF(TrRoad_act!H76=0,0,TrRoad_emi!H73/TrRoad_tech!H188)</f>
        <v>1.0838542958469384</v>
      </c>
      <c r="I215" s="91">
        <f>IF(TrRoad_act!I76=0,0,TrRoad_emi!I73/TrRoad_tech!I188)</f>
        <v>1.0734152682109628</v>
      </c>
      <c r="J215" s="91">
        <f>IF(TrRoad_act!J76=0,0,TrRoad_emi!J73/TrRoad_tech!J188)</f>
        <v>1.075392368576622</v>
      </c>
      <c r="K215" s="91">
        <f>IF(TrRoad_act!K76=0,0,TrRoad_emi!K73/TrRoad_tech!K188)</f>
        <v>1.0582064903331019</v>
      </c>
      <c r="L215" s="91">
        <f>IF(TrRoad_act!L76=0,0,TrRoad_emi!L73/TrRoad_tech!L188)</f>
        <v>1.0376209572273607</v>
      </c>
      <c r="M215" s="91">
        <f>IF(TrRoad_act!M76=0,0,TrRoad_emi!M73/TrRoad_tech!M188)</f>
        <v>1.0405395661588579</v>
      </c>
      <c r="N215" s="91">
        <f>IF(TrRoad_act!N76=0,0,TrRoad_emi!N73/TrRoad_tech!N188)</f>
        <v>1.042767285972205</v>
      </c>
      <c r="O215" s="91">
        <f>IF(TrRoad_act!O76=0,0,TrRoad_emi!O73/TrRoad_tech!O188)</f>
        <v>1.0484762054875512</v>
      </c>
      <c r="P215" s="91">
        <f>IF(TrRoad_act!P76=0,0,TrRoad_emi!P73/TrRoad_tech!P188)</f>
        <v>1.0631451913506873</v>
      </c>
      <c r="Q215" s="91">
        <f>IF(TrRoad_act!Q76=0,0,TrRoad_emi!Q73/TrRoad_tech!Q188)</f>
        <v>1.059959361774607</v>
      </c>
      <c r="R215" s="91">
        <f>IF(TrRoad_act!R76=0,0,TrRoad_emi!R73/TrRoad_tech!R188)</f>
        <v>1.0896217420813008</v>
      </c>
      <c r="S215" s="91">
        <f>IF(TrRoad_act!S76=0,0,TrRoad_emi!S73/TrRoad_tech!S188)</f>
        <v>1.1038915701738887</v>
      </c>
      <c r="T215" s="91">
        <f>IF(TrRoad_act!T76=0,0,TrRoad_emi!T73/TrRoad_tech!T188)</f>
        <v>1.1144881114613361</v>
      </c>
      <c r="U215" s="91">
        <f>IF(TrRoad_act!U76=0,0,TrRoad_emi!U73/TrRoad_tech!U188)</f>
        <v>1.1329083234465551</v>
      </c>
      <c r="V215" s="91">
        <f>IF(TrRoad_act!V76=0,0,TrRoad_emi!V73/TrRoad_tech!V188)</f>
        <v>1.1390025588222386</v>
      </c>
      <c r="W215" s="91">
        <f>IF(TrRoad_act!W76=0,0,TrRoad_emi!W73/TrRoad_tech!W188)</f>
        <v>1.1241643804537602</v>
      </c>
      <c r="X215" s="91">
        <f>IF(TrRoad_act!X76=0,0,TrRoad_emi!X73/TrRoad_tech!X188)</f>
        <v>1.1456322030692645</v>
      </c>
      <c r="Y215" s="91">
        <f>IF(TrRoad_act!Y76=0,0,TrRoad_emi!Y73/TrRoad_tech!Y188)</f>
        <v>1.1589488930201162</v>
      </c>
      <c r="DA215" s="171"/>
    </row>
    <row r="216" spans="1:105" ht="11.45" customHeight="1" x14ac:dyDescent="0.25">
      <c r="A216" s="111" t="s">
        <v>112</v>
      </c>
      <c r="B216" s="91">
        <f>IF(TrRoad_act!B77=0,0,TrRoad_emi!B74/TrRoad_tech!B189)</f>
        <v>1.1000000000067303</v>
      </c>
      <c r="C216" s="91">
        <f>IF(TrRoad_act!C77=0,0,TrRoad_emi!C74/TrRoad_tech!C189)</f>
        <v>1.1000040332187051</v>
      </c>
      <c r="D216" s="91">
        <f>IF(TrRoad_act!D77=0,0,TrRoad_emi!D74/TrRoad_tech!D189)</f>
        <v>1.1000105542093912</v>
      </c>
      <c r="E216" s="91">
        <f>IF(TrRoad_act!E77=0,0,TrRoad_emi!E74/TrRoad_tech!E189)</f>
        <v>1.1000451181179423</v>
      </c>
      <c r="F216" s="91">
        <f>IF(TrRoad_act!F77=0,0,TrRoad_emi!F74/TrRoad_tech!F189)</f>
        <v>1.1000510278580284</v>
      </c>
      <c r="G216" s="91">
        <f>IF(TrRoad_act!G77=0,0,TrRoad_emi!G74/TrRoad_tech!G189)</f>
        <v>1.1001088299578401</v>
      </c>
      <c r="H216" s="91">
        <f>IF(TrRoad_act!H77=0,0,TrRoad_emi!H74/TrRoad_tech!H189)</f>
        <v>1.100527467447789</v>
      </c>
      <c r="I216" s="91">
        <f>IF(TrRoad_act!I77=0,0,TrRoad_emi!I74/TrRoad_tech!I189)</f>
        <v>1.1014656068310325</v>
      </c>
      <c r="J216" s="91">
        <f>IF(TrRoad_act!J77=0,0,TrRoad_emi!J74/TrRoad_tech!J189)</f>
        <v>1.1028063424245298</v>
      </c>
      <c r="K216" s="91">
        <f>IF(TrRoad_act!K77=0,0,TrRoad_emi!K74/TrRoad_tech!K189)</f>
        <v>1.1048581525360071</v>
      </c>
      <c r="L216" s="91">
        <f>IF(TrRoad_act!L77=0,0,TrRoad_emi!L74/TrRoad_tech!L189)</f>
        <v>1.1065773588717429</v>
      </c>
      <c r="M216" s="91">
        <f>IF(TrRoad_act!M77=0,0,TrRoad_emi!M74/TrRoad_tech!M189)</f>
        <v>1.1089716992959329</v>
      </c>
      <c r="N216" s="91">
        <f>IF(TrRoad_act!N77=0,0,TrRoad_emi!N74/TrRoad_tech!N189)</f>
        <v>1.111491708838243</v>
      </c>
      <c r="O216" s="91">
        <f>IF(TrRoad_act!O77=0,0,TrRoad_emi!O74/TrRoad_tech!O189)</f>
        <v>1.1129401328126283</v>
      </c>
      <c r="P216" s="91">
        <f>IF(TrRoad_act!P77=0,0,TrRoad_emi!P74/TrRoad_tech!P189)</f>
        <v>1.123657626287496</v>
      </c>
      <c r="Q216" s="91">
        <f>IF(TrRoad_act!Q77=0,0,TrRoad_emi!Q74/TrRoad_tech!Q189)</f>
        <v>1.1346371918264671</v>
      </c>
      <c r="R216" s="91">
        <f>IF(TrRoad_act!R77=0,0,TrRoad_emi!R74/TrRoad_tech!R189)</f>
        <v>1.1396937814143726</v>
      </c>
      <c r="S216" s="91">
        <f>IF(TrRoad_act!S77=0,0,TrRoad_emi!S74/TrRoad_tech!S189)</f>
        <v>1.152376080302191</v>
      </c>
      <c r="T216" s="91">
        <f>IF(TrRoad_act!T77=0,0,TrRoad_emi!T74/TrRoad_tech!T189)</f>
        <v>1.1624780019662899</v>
      </c>
      <c r="U216" s="91">
        <f>IF(TrRoad_act!U77=0,0,TrRoad_emi!U74/TrRoad_tech!U189)</f>
        <v>1.1942133952515348</v>
      </c>
      <c r="V216" s="91">
        <f>IF(TrRoad_act!V77=0,0,TrRoad_emi!V74/TrRoad_tech!V189)</f>
        <v>1.2029365557958898</v>
      </c>
      <c r="W216" s="91">
        <f>IF(TrRoad_act!W77=0,0,TrRoad_emi!W74/TrRoad_tech!W189)</f>
        <v>1.2093914529365495</v>
      </c>
      <c r="X216" s="91">
        <f>IF(TrRoad_act!X77=0,0,TrRoad_emi!X74/TrRoad_tech!X189)</f>
        <v>1.2231353949521064</v>
      </c>
      <c r="Y216" s="91">
        <f>IF(TrRoad_act!Y77=0,0,TrRoad_emi!Y74/TrRoad_tech!Y189)</f>
        <v>1.2384166948714888</v>
      </c>
      <c r="DA216" s="171"/>
    </row>
    <row r="217" spans="1:105" ht="11.45" customHeight="1" x14ac:dyDescent="0.25">
      <c r="A217" s="111" t="s">
        <v>113</v>
      </c>
      <c r="B217" s="91">
        <f>IF(TrRoad_act!B78=0,0,TrRoad_emi!B75/TrRoad_tech!B190)</f>
        <v>0</v>
      </c>
      <c r="C217" s="91">
        <f>IF(TrRoad_act!C78=0,0,TrRoad_emi!C75/TrRoad_tech!C190)</f>
        <v>0</v>
      </c>
      <c r="D217" s="91">
        <f>IF(TrRoad_act!D78=0,0,TrRoad_emi!D75/TrRoad_tech!D190)</f>
        <v>0</v>
      </c>
      <c r="E217" s="91">
        <f>IF(TrRoad_act!E78=0,0,TrRoad_emi!E75/TrRoad_tech!E190)</f>
        <v>0</v>
      </c>
      <c r="F217" s="91">
        <f>IF(TrRoad_act!F78=0,0,TrRoad_emi!F75/TrRoad_tech!F190)</f>
        <v>0</v>
      </c>
      <c r="G217" s="91">
        <f>IF(TrRoad_act!G78=0,0,TrRoad_emi!G75/TrRoad_tech!G190)</f>
        <v>0</v>
      </c>
      <c r="H217" s="91">
        <f>IF(TrRoad_act!H78=0,0,TrRoad_emi!H75/TrRoad_tech!H190)</f>
        <v>0</v>
      </c>
      <c r="I217" s="91">
        <f>IF(TrRoad_act!I78=0,0,TrRoad_emi!I75/TrRoad_tech!I190)</f>
        <v>0</v>
      </c>
      <c r="J217" s="91">
        <f>IF(TrRoad_act!J78=0,0,TrRoad_emi!J75/TrRoad_tech!J190)</f>
        <v>0</v>
      </c>
      <c r="K217" s="91">
        <f>IF(TrRoad_act!K78=0,0,TrRoad_emi!K75/TrRoad_tech!K190)</f>
        <v>0</v>
      </c>
      <c r="L217" s="91">
        <f>IF(TrRoad_act!L78=0,0,TrRoad_emi!L75/TrRoad_tech!L190)</f>
        <v>0</v>
      </c>
      <c r="M217" s="91">
        <f>IF(TrRoad_act!M78=0,0,TrRoad_emi!M75/TrRoad_tech!M190)</f>
        <v>0</v>
      </c>
      <c r="N217" s="91">
        <f>IF(TrRoad_act!N78=0,0,TrRoad_emi!N75/TrRoad_tech!N190)</f>
        <v>0</v>
      </c>
      <c r="O217" s="91">
        <f>IF(TrRoad_act!O78=0,0,TrRoad_emi!O75/TrRoad_tech!O190)</f>
        <v>1.2560000000062248</v>
      </c>
      <c r="P217" s="91">
        <f>IF(TrRoad_act!P78=0,0,TrRoad_emi!P75/TrRoad_tech!P190)</f>
        <v>1.2691527600124439</v>
      </c>
      <c r="Q217" s="91">
        <f>IF(TrRoad_act!Q78=0,0,TrRoad_emi!Q75/TrRoad_tech!Q190)</f>
        <v>1.282981281895732</v>
      </c>
      <c r="R217" s="91">
        <f>IF(TrRoad_act!R78=0,0,TrRoad_emi!R75/TrRoad_tech!R190)</f>
        <v>1.3044672500237544</v>
      </c>
      <c r="S217" s="91">
        <f>IF(TrRoad_act!S78=0,0,TrRoad_emi!S75/TrRoad_tech!S190)</f>
        <v>1.3077832655948014</v>
      </c>
      <c r="T217" s="91">
        <f>IF(TrRoad_act!T78=0,0,TrRoad_emi!T75/TrRoad_tech!T190)</f>
        <v>1.3212844983796734</v>
      </c>
      <c r="U217" s="91">
        <f>IF(TrRoad_act!U78=0,0,TrRoad_emi!U75/TrRoad_tech!U190)</f>
        <v>1.3343209581309932</v>
      </c>
      <c r="V217" s="91">
        <f>IF(TrRoad_act!V78=0,0,TrRoad_emi!V75/TrRoad_tech!V190)</f>
        <v>1.3363826964462171</v>
      </c>
      <c r="W217" s="91">
        <f>IF(TrRoad_act!W78=0,0,TrRoad_emi!W75/TrRoad_tech!W190)</f>
        <v>1.3438627604664519</v>
      </c>
      <c r="X217" s="91">
        <f>IF(TrRoad_act!X78=0,0,TrRoad_emi!X75/TrRoad_tech!X190)</f>
        <v>1.3450774069489453</v>
      </c>
      <c r="Y217" s="91">
        <f>IF(TrRoad_act!Y78=0,0,TrRoad_emi!Y75/TrRoad_tech!Y190)</f>
        <v>1.3471878673048467</v>
      </c>
      <c r="DA217" s="171"/>
    </row>
    <row r="218" spans="1:105" ht="11.45" customHeight="1" x14ac:dyDescent="0.25">
      <c r="A218" s="111" t="s">
        <v>115</v>
      </c>
      <c r="B218" s="91">
        <f>0</f>
        <v>0</v>
      </c>
      <c r="C218" s="91">
        <f>0</f>
        <v>0</v>
      </c>
      <c r="D218" s="91">
        <f>0</f>
        <v>0</v>
      </c>
      <c r="E218" s="91">
        <f>0</f>
        <v>0</v>
      </c>
      <c r="F218" s="91">
        <f>0</f>
        <v>0</v>
      </c>
      <c r="G218" s="91">
        <f>0</f>
        <v>0</v>
      </c>
      <c r="H218" s="91">
        <f>0</f>
        <v>0</v>
      </c>
      <c r="I218" s="91">
        <f>0</f>
        <v>0</v>
      </c>
      <c r="J218" s="91">
        <f>0</f>
        <v>0</v>
      </c>
      <c r="K218" s="91">
        <f>0</f>
        <v>0</v>
      </c>
      <c r="L218" s="91">
        <f>0</f>
        <v>0</v>
      </c>
      <c r="M218" s="91">
        <f>0</f>
        <v>0</v>
      </c>
      <c r="N218" s="91">
        <f>0</f>
        <v>0</v>
      </c>
      <c r="O218" s="91">
        <f>0</f>
        <v>0</v>
      </c>
      <c r="P218" s="91">
        <f>0</f>
        <v>0</v>
      </c>
      <c r="Q218" s="91">
        <f>0</f>
        <v>0</v>
      </c>
      <c r="R218" s="91">
        <f>0</f>
        <v>0</v>
      </c>
      <c r="S218" s="91">
        <f>0</f>
        <v>0</v>
      </c>
      <c r="T218" s="91">
        <f>0</f>
        <v>0</v>
      </c>
      <c r="U218" s="91">
        <f>0</f>
        <v>0</v>
      </c>
      <c r="V218" s="91">
        <f>0</f>
        <v>0</v>
      </c>
      <c r="W218" s="91">
        <f>0</f>
        <v>0</v>
      </c>
      <c r="X218" s="91">
        <f>0</f>
        <v>0</v>
      </c>
      <c r="Y218" s="91">
        <f>0</f>
        <v>0</v>
      </c>
      <c r="DA218" s="171"/>
    </row>
    <row r="219" spans="1:105" ht="11.45" customHeight="1" x14ac:dyDescent="0.25">
      <c r="A219" s="109" t="s">
        <v>154</v>
      </c>
      <c r="B219" s="151">
        <f>IF(TrRoad_act!B80=0,0,TrRoad_emi!B77/TrRoad_tech!B192)</f>
        <v>1.0873361582573939</v>
      </c>
      <c r="C219" s="151">
        <f>IF(TrRoad_act!C80=0,0,TrRoad_emi!C77/TrRoad_tech!C192)</f>
        <v>1.1444205735138009</v>
      </c>
      <c r="D219" s="151">
        <f>IF(TrRoad_act!D80=0,0,TrRoad_emi!D77/TrRoad_tech!D192)</f>
        <v>1.1762090266193757</v>
      </c>
      <c r="E219" s="151">
        <f>IF(TrRoad_act!E80=0,0,TrRoad_emi!E77/TrRoad_tech!E192)</f>
        <v>1.4017513337082621</v>
      </c>
      <c r="F219" s="151">
        <f>IF(TrRoad_act!F80=0,0,TrRoad_emi!F77/TrRoad_tech!F192)</f>
        <v>1.3863916532033498</v>
      </c>
      <c r="G219" s="151">
        <f>IF(TrRoad_act!G80=0,0,TrRoad_emi!G77/TrRoad_tech!G192)</f>
        <v>1.3787887222787159</v>
      </c>
      <c r="H219" s="151">
        <f>IF(TrRoad_act!H80=0,0,TrRoad_emi!H77/TrRoad_tech!H192)</f>
        <v>1.3750874503752391</v>
      </c>
      <c r="I219" s="151">
        <f>IF(TrRoad_act!I80=0,0,TrRoad_emi!I77/TrRoad_tech!I192)</f>
        <v>1.3694910434251601</v>
      </c>
      <c r="J219" s="151">
        <f>IF(TrRoad_act!J80=0,0,TrRoad_emi!J77/TrRoad_tech!J192)</f>
        <v>1.4255090638103958</v>
      </c>
      <c r="K219" s="151">
        <f>IF(TrRoad_act!K80=0,0,TrRoad_emi!K77/TrRoad_tech!K192)</f>
        <v>1.4343038794264913</v>
      </c>
      <c r="L219" s="151">
        <f>IF(TrRoad_act!L80=0,0,TrRoad_emi!L77/TrRoad_tech!L192)</f>
        <v>1.429684538050201</v>
      </c>
      <c r="M219" s="151">
        <f>IF(TrRoad_act!M80=0,0,TrRoad_emi!M77/TrRoad_tech!M192)</f>
        <v>1.4108258100169069</v>
      </c>
      <c r="N219" s="151">
        <f>IF(TrRoad_act!N80=0,0,TrRoad_emi!N77/TrRoad_tech!N192)</f>
        <v>1.6024249593101993</v>
      </c>
      <c r="O219" s="151">
        <f>IF(TrRoad_act!O80=0,0,TrRoad_emi!O77/TrRoad_tech!O192)</f>
        <v>1.6235109360580786</v>
      </c>
      <c r="P219" s="151">
        <f>IF(TrRoad_act!P80=0,0,TrRoad_emi!P77/TrRoad_tech!P192)</f>
        <v>1.6025473286384404</v>
      </c>
      <c r="Q219" s="151">
        <f>IF(TrRoad_act!Q80=0,0,TrRoad_emi!Q77/TrRoad_tech!Q192)</f>
        <v>1.5127812090412138</v>
      </c>
      <c r="R219" s="151">
        <f>IF(TrRoad_act!R80=0,0,TrRoad_emi!R77/TrRoad_tech!R192)</f>
        <v>1.5852031458562355</v>
      </c>
      <c r="S219" s="151">
        <f>IF(TrRoad_act!S80=0,0,TrRoad_emi!S77/TrRoad_tech!S192)</f>
        <v>1.5942418198034487</v>
      </c>
      <c r="T219" s="151">
        <f>IF(TrRoad_act!T80=0,0,TrRoad_emi!T77/TrRoad_tech!T192)</f>
        <v>1.6159675529570174</v>
      </c>
      <c r="U219" s="151">
        <f>IF(TrRoad_act!U80=0,0,TrRoad_emi!U77/TrRoad_tech!U192)</f>
        <v>1.7295270612743887</v>
      </c>
      <c r="V219" s="151">
        <f>IF(TrRoad_act!V80=0,0,TrRoad_emi!V77/TrRoad_tech!V192)</f>
        <v>1.7716611201035757</v>
      </c>
      <c r="W219" s="151">
        <f>IF(TrRoad_act!W80=0,0,TrRoad_emi!W77/TrRoad_tech!W192)</f>
        <v>1.6990304239859666</v>
      </c>
      <c r="X219" s="151">
        <f>IF(TrRoad_act!X80=0,0,TrRoad_emi!X77/TrRoad_tech!X192)</f>
        <v>1.7898814157799672</v>
      </c>
      <c r="Y219" s="151">
        <f>IF(TrRoad_act!Y80=0,0,TrRoad_emi!Y77/TrRoad_tech!Y192)</f>
        <v>1.9302571187613184</v>
      </c>
      <c r="DA219" s="176"/>
    </row>
    <row r="220" spans="1:105" ht="11.45" customHeight="1" x14ac:dyDescent="0.25">
      <c r="A220" s="128" t="s">
        <v>27</v>
      </c>
      <c r="B220" s="93">
        <f>IF(TrRoad_act!B81=0,0,TrRoad_emi!B78/TrRoad_tech!B193)</f>
        <v>1.1281999037096366</v>
      </c>
      <c r="C220" s="93">
        <f>IF(TrRoad_act!C81=0,0,TrRoad_emi!C78/TrRoad_tech!C193)</f>
        <v>1.1917895612855696</v>
      </c>
      <c r="D220" s="93">
        <f>IF(TrRoad_act!D81=0,0,TrRoad_emi!D78/TrRoad_tech!D193)</f>
        <v>1.2218388207611939</v>
      </c>
      <c r="E220" s="93">
        <f>IF(TrRoad_act!E81=0,0,TrRoad_emi!E78/TrRoad_tech!E193)</f>
        <v>1.4561662162137008</v>
      </c>
      <c r="F220" s="93">
        <f>IF(TrRoad_act!F81=0,0,TrRoad_emi!F78/TrRoad_tech!F193)</f>
        <v>1.4475280206180345</v>
      </c>
      <c r="G220" s="93">
        <f>IF(TrRoad_act!G81=0,0,TrRoad_emi!G78/TrRoad_tech!G193)</f>
        <v>1.4410420889313189</v>
      </c>
      <c r="H220" s="93">
        <f>IF(TrRoad_act!H81=0,0,TrRoad_emi!H78/TrRoad_tech!H193)</f>
        <v>1.4361803972106737</v>
      </c>
      <c r="I220" s="93">
        <f>IF(TrRoad_act!I81=0,0,TrRoad_emi!I78/TrRoad_tech!I193)</f>
        <v>1.4297360989737045</v>
      </c>
      <c r="J220" s="93">
        <f>IF(TrRoad_act!J81=0,0,TrRoad_emi!J78/TrRoad_tech!J193)</f>
        <v>1.4899091797416921</v>
      </c>
      <c r="K220" s="93">
        <f>IF(TrRoad_act!K81=0,0,TrRoad_emi!K78/TrRoad_tech!K193)</f>
        <v>1.4935346495042359</v>
      </c>
      <c r="L220" s="93">
        <f>IF(TrRoad_act!L81=0,0,TrRoad_emi!L78/TrRoad_tech!L193)</f>
        <v>1.4936176726138535</v>
      </c>
      <c r="M220" s="93">
        <f>IF(TrRoad_act!M81=0,0,TrRoad_emi!M78/TrRoad_tech!M193)</f>
        <v>1.471664237585171</v>
      </c>
      <c r="N220" s="93">
        <f>IF(TrRoad_act!N81=0,0,TrRoad_emi!N78/TrRoad_tech!N193)</f>
        <v>1.6700447468407533</v>
      </c>
      <c r="O220" s="93">
        <f>IF(TrRoad_act!O81=0,0,TrRoad_emi!O78/TrRoad_tech!O193)</f>
        <v>1.681758950831088</v>
      </c>
      <c r="P220" s="93">
        <f>IF(TrRoad_act!P81=0,0,TrRoad_emi!P78/TrRoad_tech!P193)</f>
        <v>1.6518925854899495</v>
      </c>
      <c r="Q220" s="93">
        <f>IF(TrRoad_act!Q81=0,0,TrRoad_emi!Q78/TrRoad_tech!Q193)</f>
        <v>1.5708549899685527</v>
      </c>
      <c r="R220" s="93">
        <f>IF(TrRoad_act!R81=0,0,TrRoad_emi!R78/TrRoad_tech!R193)</f>
        <v>1.6388473190039086</v>
      </c>
      <c r="S220" s="93">
        <f>IF(TrRoad_act!S81=0,0,TrRoad_emi!S78/TrRoad_tech!S193)</f>
        <v>1.645278061902866</v>
      </c>
      <c r="T220" s="93">
        <f>IF(TrRoad_act!T81=0,0,TrRoad_emi!T78/TrRoad_tech!T193)</f>
        <v>1.6617848604179237</v>
      </c>
      <c r="U220" s="93">
        <f>IF(TrRoad_act!U81=0,0,TrRoad_emi!U78/TrRoad_tech!U193)</f>
        <v>1.7704979170203639</v>
      </c>
      <c r="V220" s="93">
        <f>IF(TrRoad_act!V81=0,0,TrRoad_emi!V78/TrRoad_tech!V193)</f>
        <v>1.8103329859814541</v>
      </c>
      <c r="W220" s="93">
        <f>IF(TrRoad_act!W81=0,0,TrRoad_emi!W78/TrRoad_tech!W193)</f>
        <v>1.7299668961028558</v>
      </c>
      <c r="X220" s="93">
        <f>IF(TrRoad_act!X81=0,0,TrRoad_emi!X78/TrRoad_tech!X193)</f>
        <v>1.8126073732652057</v>
      </c>
      <c r="Y220" s="93">
        <f>IF(TrRoad_act!Y81=0,0,TrRoad_emi!Y78/TrRoad_tech!Y193)</f>
        <v>1.9510902660496952</v>
      </c>
      <c r="DA220" s="175"/>
    </row>
    <row r="221" spans="1:105" ht="11.45" customHeight="1" x14ac:dyDescent="0.25">
      <c r="A221" s="138" t="s">
        <v>116</v>
      </c>
      <c r="B221" s="94">
        <f>IF(TrRoad_act!B82=0,0,TrRoad_emi!B79/TrRoad_tech!B194)</f>
        <v>1.1281999037096371</v>
      </c>
      <c r="C221" s="94">
        <f>IF(TrRoad_act!C82=0,0,TrRoad_emi!C79/TrRoad_tech!C194)</f>
        <v>1.1919371929648621</v>
      </c>
      <c r="D221" s="94">
        <f>IF(TrRoad_act!D82=0,0,TrRoad_emi!D79/TrRoad_tech!D194)</f>
        <v>1.2225373798997747</v>
      </c>
      <c r="E221" s="94">
        <f>IF(TrRoad_act!E82=0,0,TrRoad_emi!E79/TrRoad_tech!E194)</f>
        <v>1.4581765506624507</v>
      </c>
      <c r="F221" s="94">
        <f>IF(TrRoad_act!F82=0,0,TrRoad_emi!F79/TrRoad_tech!F194)</f>
        <v>1.4528471467227451</v>
      </c>
      <c r="G221" s="94">
        <f>IF(TrRoad_act!G82=0,0,TrRoad_emi!G79/TrRoad_tech!G194)</f>
        <v>1.4468439510020299</v>
      </c>
      <c r="H221" s="94">
        <f>IF(TrRoad_act!H82=0,0,TrRoad_emi!H79/TrRoad_tech!H194)</f>
        <v>1.4436975568690156</v>
      </c>
      <c r="I221" s="94">
        <f>IF(TrRoad_act!I82=0,0,TrRoad_emi!I79/TrRoad_tech!I194)</f>
        <v>1.440211977677478</v>
      </c>
      <c r="J221" s="94">
        <f>IF(TrRoad_act!J82=0,0,TrRoad_emi!J79/TrRoad_tech!J194)</f>
        <v>1.4970048750578471</v>
      </c>
      <c r="K221" s="94">
        <f>IF(TrRoad_act!K82=0,0,TrRoad_emi!K79/TrRoad_tech!K194)</f>
        <v>1.5001181800446133</v>
      </c>
      <c r="L221" s="94">
        <f>IF(TrRoad_act!L82=0,0,TrRoad_emi!L79/TrRoad_tech!L194)</f>
        <v>1.4924289488067057</v>
      </c>
      <c r="M221" s="94">
        <f>IF(TrRoad_act!M82=0,0,TrRoad_emi!M79/TrRoad_tech!M194)</f>
        <v>1.4797569677184419</v>
      </c>
      <c r="N221" s="94">
        <f>IF(TrRoad_act!N82=0,0,TrRoad_emi!N79/TrRoad_tech!N194)</f>
        <v>1.6714987952833988</v>
      </c>
      <c r="O221" s="94">
        <f>IF(TrRoad_act!O82=0,0,TrRoad_emi!O79/TrRoad_tech!O194)</f>
        <v>1.705022219863606</v>
      </c>
      <c r="P221" s="94">
        <f>IF(TrRoad_act!P82=0,0,TrRoad_emi!P79/TrRoad_tech!P194)</f>
        <v>1.6700264991637479</v>
      </c>
      <c r="Q221" s="94">
        <f>IF(TrRoad_act!Q82=0,0,TrRoad_emi!Q79/TrRoad_tech!Q194)</f>
        <v>1.5729542575395508</v>
      </c>
      <c r="R221" s="94">
        <f>IF(TrRoad_act!R82=0,0,TrRoad_emi!R79/TrRoad_tech!R194)</f>
        <v>1.6464246595154672</v>
      </c>
      <c r="S221" s="94">
        <f>IF(TrRoad_act!S82=0,0,TrRoad_emi!S79/TrRoad_tech!S194)</f>
        <v>1.6427732315465251</v>
      </c>
      <c r="T221" s="94">
        <f>IF(TrRoad_act!T82=0,0,TrRoad_emi!T79/TrRoad_tech!T194)</f>
        <v>1.6612613055145014</v>
      </c>
      <c r="U221" s="94">
        <f>IF(TrRoad_act!U82=0,0,TrRoad_emi!U79/TrRoad_tech!U194)</f>
        <v>1.7632645318161477</v>
      </c>
      <c r="V221" s="94">
        <f>IF(TrRoad_act!V82=0,0,TrRoad_emi!V79/TrRoad_tech!V194)</f>
        <v>1.8006239486082602</v>
      </c>
      <c r="W221" s="94">
        <f>IF(TrRoad_act!W82=0,0,TrRoad_emi!W79/TrRoad_tech!W194)</f>
        <v>1.7695093956717978</v>
      </c>
      <c r="X221" s="94">
        <f>IF(TrRoad_act!X82=0,0,TrRoad_emi!X79/TrRoad_tech!X194)</f>
        <v>1.8590603979563529</v>
      </c>
      <c r="Y221" s="94">
        <f>IF(TrRoad_act!Y82=0,0,TrRoad_emi!Y79/TrRoad_tech!Y194)</f>
        <v>2.0015168733449737</v>
      </c>
      <c r="DA221" s="178"/>
    </row>
    <row r="222" spans="1:105" x14ac:dyDescent="0.25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DA222" s="171"/>
    </row>
    <row r="223" spans="1:105" ht="11.45" customHeight="1" x14ac:dyDescent="0.25">
      <c r="A223" s="53" t="s">
        <v>125</v>
      </c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DA223" s="172"/>
    </row>
    <row r="224" spans="1:105" ht="11.45" customHeight="1" x14ac:dyDescent="0.25">
      <c r="A224" s="27" t="s">
        <v>33</v>
      </c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DA224" s="173"/>
    </row>
    <row r="225" spans="1:105" ht="11.45" customHeight="1" x14ac:dyDescent="0.25">
      <c r="A225" s="136" t="s">
        <v>173</v>
      </c>
      <c r="B225" s="152">
        <v>95.936624251427006</v>
      </c>
      <c r="C225" s="152">
        <v>94.627400926042213</v>
      </c>
      <c r="D225" s="152">
        <v>93.193652427162775</v>
      </c>
      <c r="E225" s="152">
        <v>93.193652427162775</v>
      </c>
      <c r="F225" s="152">
        <v>91.75990392828335</v>
      </c>
      <c r="G225" s="152">
        <v>90.32615542940394</v>
      </c>
      <c r="H225" s="152">
        <v>87.458658431645077</v>
      </c>
      <c r="I225" s="152">
        <v>87.458658431645077</v>
      </c>
      <c r="J225" s="152">
        <v>86.024909932765624</v>
      </c>
      <c r="K225" s="152">
        <v>81.28985258648747</v>
      </c>
      <c r="L225" s="152">
        <v>78.333296212258176</v>
      </c>
      <c r="M225" s="152">
        <v>75.629686126252793</v>
      </c>
      <c r="N225" s="152">
        <v>72.730090868463606</v>
      </c>
      <c r="O225" s="152">
        <v>69.723915959741205</v>
      </c>
      <c r="P225" s="152">
        <v>67.988519661221886</v>
      </c>
      <c r="Q225" s="152">
        <v>66.725921003134303</v>
      </c>
      <c r="R225" s="152">
        <v>66.304655214630415</v>
      </c>
      <c r="S225" s="152">
        <v>65.967642583827285</v>
      </c>
      <c r="T225" s="152">
        <v>65.698032479184775</v>
      </c>
      <c r="U225" s="152">
        <v>65.48234439547079</v>
      </c>
      <c r="V225" s="152">
        <v>65.309793928499587</v>
      </c>
      <c r="W225" s="152">
        <v>65.171753554922617</v>
      </c>
      <c r="X225" s="152">
        <v>65.061321256061049</v>
      </c>
      <c r="Y225" s="152">
        <v>64.972975416971806</v>
      </c>
      <c r="DA225" s="174" t="s">
        <v>933</v>
      </c>
    </row>
    <row r="226" spans="1:105" ht="11.45" customHeight="1" x14ac:dyDescent="0.25">
      <c r="A226" s="109" t="s">
        <v>20</v>
      </c>
      <c r="B226" s="116">
        <v>198.31806413056424</v>
      </c>
      <c r="C226" s="116">
        <v>195.48661287455948</v>
      </c>
      <c r="D226" s="116">
        <v>192.79734980972543</v>
      </c>
      <c r="E226" s="116">
        <v>190.19035178071104</v>
      </c>
      <c r="F226" s="116">
        <v>186.98222009648421</v>
      </c>
      <c r="G226" s="116">
        <v>186.02202067719233</v>
      </c>
      <c r="H226" s="116">
        <v>186.4823932583231</v>
      </c>
      <c r="I226" s="116">
        <v>187.12920138036404</v>
      </c>
      <c r="J226" s="116">
        <v>178.65029982152052</v>
      </c>
      <c r="K226" s="116">
        <v>170.15854992709544</v>
      </c>
      <c r="L226" s="116">
        <v>162.76795459290406</v>
      </c>
      <c r="M226" s="116">
        <v>159.1343979261658</v>
      </c>
      <c r="N226" s="116">
        <v>152.08806437388114</v>
      </c>
      <c r="O226" s="116">
        <v>145.75564109011941</v>
      </c>
      <c r="P226" s="116">
        <v>141.1426772236982</v>
      </c>
      <c r="Q226" s="116">
        <v>137.12489171935619</v>
      </c>
      <c r="R226" s="116">
        <v>135.48257556124466</v>
      </c>
      <c r="S226" s="116">
        <v>135.01168323837013</v>
      </c>
      <c r="T226" s="116">
        <v>135.55436394952986</v>
      </c>
      <c r="U226" s="116">
        <v>129.75127481333877</v>
      </c>
      <c r="V226" s="116">
        <v>121.27448650821762</v>
      </c>
      <c r="W226" s="116">
        <v>110.37193178307935</v>
      </c>
      <c r="X226" s="116">
        <v>105.53368345345059</v>
      </c>
      <c r="Y226" s="116">
        <v>97.647495377775542</v>
      </c>
      <c r="DA226" s="176" t="s">
        <v>934</v>
      </c>
    </row>
    <row r="227" spans="1:105" ht="11.45" customHeight="1" x14ac:dyDescent="0.25">
      <c r="A227" s="111" t="s">
        <v>110</v>
      </c>
      <c r="B227" s="87">
        <v>196.10590722162993</v>
      </c>
      <c r="C227" s="87">
        <v>193.42969852673747</v>
      </c>
      <c r="D227" s="87">
        <v>190.49894551875661</v>
      </c>
      <c r="E227" s="87">
        <v>190.49894551875661</v>
      </c>
      <c r="F227" s="87">
        <v>187.56819251077573</v>
      </c>
      <c r="G227" s="87">
        <v>184.63743950279479</v>
      </c>
      <c r="H227" s="87">
        <v>178.77593348683305</v>
      </c>
      <c r="I227" s="87">
        <v>178.77593348683305</v>
      </c>
      <c r="J227" s="87">
        <v>175.84518047885217</v>
      </c>
      <c r="K227" s="87">
        <v>166.16615827139202</v>
      </c>
      <c r="L227" s="87">
        <v>160.12260426327293</v>
      </c>
      <c r="M227" s="87">
        <v>154.59610265008166</v>
      </c>
      <c r="N227" s="87">
        <v>148.64497680177041</v>
      </c>
      <c r="O227" s="87">
        <v>141.22057872810021</v>
      </c>
      <c r="P227" s="87">
        <v>137.78640926423256</v>
      </c>
      <c r="Q227" s="87">
        <v>134.46142968736223</v>
      </c>
      <c r="R227" s="87">
        <v>133.68820416259476</v>
      </c>
      <c r="S227" s="87">
        <v>133.2113639408484</v>
      </c>
      <c r="T227" s="87">
        <v>136.7320290832771</v>
      </c>
      <c r="U227" s="87">
        <v>138.0395670944267</v>
      </c>
      <c r="V227" s="87">
        <v>133.3621563591395</v>
      </c>
      <c r="W227" s="87">
        <v>128.471130662289</v>
      </c>
      <c r="X227" s="87">
        <v>127.3870037545755</v>
      </c>
      <c r="Y227" s="87">
        <v>126.7745908850959</v>
      </c>
      <c r="DA227" s="171" t="s">
        <v>935</v>
      </c>
    </row>
    <row r="228" spans="1:105" ht="11.45" customHeight="1" x14ac:dyDescent="0.25">
      <c r="A228" s="111" t="s">
        <v>111</v>
      </c>
      <c r="B228" s="87">
        <v>203.88420714074374</v>
      </c>
      <c r="C228" s="87">
        <v>200.66214060201312</v>
      </c>
      <c r="D228" s="87">
        <v>197.14175217039889</v>
      </c>
      <c r="E228" s="87">
        <v>190.10097530717039</v>
      </c>
      <c r="F228" s="87">
        <v>186.58058687555612</v>
      </c>
      <c r="G228" s="87">
        <v>187.13328785931955</v>
      </c>
      <c r="H228" s="87">
        <v>190.59382968759638</v>
      </c>
      <c r="I228" s="87">
        <v>190.82969571251456</v>
      </c>
      <c r="J228" s="87">
        <v>180.31781585571431</v>
      </c>
      <c r="K228" s="87">
        <v>173.23170405495156</v>
      </c>
      <c r="L228" s="87">
        <v>166.57763232703113</v>
      </c>
      <c r="M228" s="87">
        <v>161.39727220848289</v>
      </c>
      <c r="N228" s="87">
        <v>154.17485410340515</v>
      </c>
      <c r="O228" s="87">
        <v>147.59201338484158</v>
      </c>
      <c r="P228" s="87">
        <v>142.84132473092149</v>
      </c>
      <c r="Q228" s="87">
        <v>138.94351161174924</v>
      </c>
      <c r="R228" s="87">
        <v>137.82711650881404</v>
      </c>
      <c r="S228" s="87">
        <v>139.29614451180311</v>
      </c>
      <c r="T228" s="87">
        <v>142.92163247915269</v>
      </c>
      <c r="U228" s="87">
        <v>138.0724038596656</v>
      </c>
      <c r="V228" s="87">
        <v>132.9842865232163</v>
      </c>
      <c r="W228" s="87">
        <v>131.24468384338431</v>
      </c>
      <c r="X228" s="87">
        <v>129.86284683772581</v>
      </c>
      <c r="Y228" s="87">
        <v>132.49783485695249</v>
      </c>
      <c r="DA228" s="171" t="s">
        <v>936</v>
      </c>
    </row>
    <row r="229" spans="1:105" ht="11.45" customHeight="1" x14ac:dyDescent="0.25">
      <c r="A229" s="111" t="s">
        <v>112</v>
      </c>
      <c r="B229" s="87">
        <v>152.09582662776114</v>
      </c>
      <c r="C229" s="87">
        <v>0</v>
      </c>
      <c r="D229" s="87">
        <v>0</v>
      </c>
      <c r="E229" s="87">
        <v>164.89558773843598</v>
      </c>
      <c r="F229" s="87">
        <v>161.84196574327973</v>
      </c>
      <c r="G229" s="87">
        <v>162.32138439651925</v>
      </c>
      <c r="H229" s="87">
        <v>0</v>
      </c>
      <c r="I229" s="87">
        <v>0</v>
      </c>
      <c r="J229" s="87">
        <v>156.40957221389689</v>
      </c>
      <c r="K229" s="87">
        <v>150.26300422139181</v>
      </c>
      <c r="L229" s="87">
        <v>154.40730747819802</v>
      </c>
      <c r="M229" s="87">
        <v>139.99769342158928</v>
      </c>
      <c r="N229" s="87">
        <v>139.93794415493477</v>
      </c>
      <c r="O229" s="87">
        <v>144.69864684713966</v>
      </c>
      <c r="P229" s="87">
        <v>143.80951953181213</v>
      </c>
      <c r="Q229" s="87">
        <v>142.78372822006358</v>
      </c>
      <c r="R229" s="87">
        <v>126.74347139606378</v>
      </c>
      <c r="S229" s="87">
        <v>137.43105738674797</v>
      </c>
      <c r="T229" s="87">
        <v>133.92760180995481</v>
      </c>
      <c r="U229" s="87">
        <v>146.22332859174961</v>
      </c>
      <c r="V229" s="87">
        <v>120.5303197353914</v>
      </c>
      <c r="W229" s="87">
        <v>115.4639204545455</v>
      </c>
      <c r="X229" s="87">
        <v>117.7162859248342</v>
      </c>
      <c r="Y229" s="87">
        <v>116.5735882614495</v>
      </c>
      <c r="DA229" s="171" t="s">
        <v>937</v>
      </c>
    </row>
    <row r="230" spans="1:105" ht="11.45" customHeight="1" x14ac:dyDescent="0.25">
      <c r="A230" s="111" t="s">
        <v>113</v>
      </c>
      <c r="B230" s="87">
        <v>0</v>
      </c>
      <c r="C230" s="87">
        <v>0</v>
      </c>
      <c r="D230" s="87">
        <v>0</v>
      </c>
      <c r="E230" s="87">
        <v>0</v>
      </c>
      <c r="F230" s="87">
        <v>0</v>
      </c>
      <c r="G230" s="87">
        <v>0</v>
      </c>
      <c r="H230" s="87">
        <v>0</v>
      </c>
      <c r="I230" s="87">
        <v>0</v>
      </c>
      <c r="J230" s="87">
        <v>0</v>
      </c>
      <c r="K230" s="87">
        <v>0</v>
      </c>
      <c r="L230" s="87">
        <v>176.99089068825904</v>
      </c>
      <c r="M230" s="87">
        <v>0</v>
      </c>
      <c r="N230" s="87">
        <v>132.16852226720644</v>
      </c>
      <c r="O230" s="87">
        <v>130.22909286437243</v>
      </c>
      <c r="P230" s="87">
        <v>110.90662955465582</v>
      </c>
      <c r="Q230" s="87">
        <v>97.197223828802763</v>
      </c>
      <c r="R230" s="87">
        <v>101.56863613360321</v>
      </c>
      <c r="S230" s="87">
        <v>102.86158906882588</v>
      </c>
      <c r="T230" s="87">
        <v>125.97234201725043</v>
      </c>
      <c r="U230" s="87">
        <v>110.78048780487801</v>
      </c>
      <c r="V230" s="87">
        <v>109.1</v>
      </c>
      <c r="W230" s="87">
        <v>106.61290322580641</v>
      </c>
      <c r="X230" s="87">
        <v>105</v>
      </c>
      <c r="Y230" s="87">
        <v>105</v>
      </c>
      <c r="DA230" s="171" t="s">
        <v>938</v>
      </c>
    </row>
    <row r="231" spans="1:105" ht="11.45" customHeight="1" x14ac:dyDescent="0.25">
      <c r="A231" s="111" t="s">
        <v>114</v>
      </c>
      <c r="B231" s="87">
        <v>0</v>
      </c>
      <c r="C231" s="87">
        <v>0</v>
      </c>
      <c r="D231" s="87">
        <v>0</v>
      </c>
      <c r="E231" s="87">
        <v>0</v>
      </c>
      <c r="F231" s="87">
        <v>0</v>
      </c>
      <c r="G231" s="87">
        <v>0</v>
      </c>
      <c r="H231" s="87">
        <v>0</v>
      </c>
      <c r="I231" s="87">
        <v>0</v>
      </c>
      <c r="J231" s="87">
        <v>0</v>
      </c>
      <c r="K231" s="87">
        <v>0</v>
      </c>
      <c r="L231" s="87">
        <v>0</v>
      </c>
      <c r="M231" s="87">
        <v>71.494825607826343</v>
      </c>
      <c r="N231" s="87">
        <v>52.105498706458313</v>
      </c>
      <c r="O231" s="87">
        <v>60.050134736734122</v>
      </c>
      <c r="P231" s="87">
        <v>58.495182816844988</v>
      </c>
      <c r="Q231" s="87">
        <v>58.829237650922565</v>
      </c>
      <c r="R231" s="87">
        <v>57.830752777087127</v>
      </c>
      <c r="S231" s="87">
        <v>58.685693131974041</v>
      </c>
      <c r="T231" s="87">
        <v>59.79399441340783</v>
      </c>
      <c r="U231" s="87">
        <v>51.12380538662034</v>
      </c>
      <c r="V231" s="87">
        <v>42.63371692731387</v>
      </c>
      <c r="W231" s="87">
        <v>37.003913171884228</v>
      </c>
      <c r="X231" s="87">
        <v>33.467548239104033</v>
      </c>
      <c r="Y231" s="87">
        <v>28.130714645779211</v>
      </c>
      <c r="DA231" s="171" t="s">
        <v>939</v>
      </c>
    </row>
    <row r="232" spans="1:105" ht="11.45" customHeight="1" x14ac:dyDescent="0.25">
      <c r="A232" s="111" t="s">
        <v>115</v>
      </c>
      <c r="B232" s="87">
        <v>0</v>
      </c>
      <c r="C232" s="87">
        <v>0</v>
      </c>
      <c r="D232" s="87">
        <v>0</v>
      </c>
      <c r="E232" s="87">
        <v>0</v>
      </c>
      <c r="F232" s="87">
        <v>0</v>
      </c>
      <c r="G232" s="87">
        <v>0</v>
      </c>
      <c r="H232" s="87">
        <v>0</v>
      </c>
      <c r="I232" s="87">
        <v>0</v>
      </c>
      <c r="J232" s="87">
        <v>0</v>
      </c>
      <c r="K232" s="87">
        <v>0</v>
      </c>
      <c r="L232" s="87">
        <v>0</v>
      </c>
      <c r="M232" s="87">
        <v>0</v>
      </c>
      <c r="N232" s="87">
        <v>0</v>
      </c>
      <c r="O232" s="87">
        <v>0</v>
      </c>
      <c r="P232" s="87">
        <v>0</v>
      </c>
      <c r="Q232" s="87">
        <v>0</v>
      </c>
      <c r="R232" s="87">
        <v>0</v>
      </c>
      <c r="S232" s="87">
        <v>0</v>
      </c>
      <c r="T232" s="87">
        <v>0</v>
      </c>
      <c r="U232" s="87">
        <v>0</v>
      </c>
      <c r="V232" s="87">
        <v>0</v>
      </c>
      <c r="W232" s="87">
        <v>0</v>
      </c>
      <c r="X232" s="87">
        <v>0</v>
      </c>
      <c r="Y232" s="87">
        <v>0</v>
      </c>
      <c r="DA232" s="171" t="s">
        <v>940</v>
      </c>
    </row>
    <row r="233" spans="1:105" ht="11.45" customHeight="1" x14ac:dyDescent="0.25">
      <c r="A233" s="109" t="s">
        <v>21</v>
      </c>
      <c r="B233" s="116">
        <v>1476.7967712648842</v>
      </c>
      <c r="C233" s="116">
        <v>1406.433562528606</v>
      </c>
      <c r="D233" s="116">
        <v>1405.3486470879673</v>
      </c>
      <c r="E233" s="116">
        <v>1410.2269539134679</v>
      </c>
      <c r="F233" s="116">
        <v>1442.1150346737743</v>
      </c>
      <c r="G233" s="116">
        <v>1393.3645507144574</v>
      </c>
      <c r="H233" s="116">
        <v>1442.7620565287714</v>
      </c>
      <c r="I233" s="116">
        <v>1403.9402899832971</v>
      </c>
      <c r="J233" s="116">
        <v>1410.7930735011935</v>
      </c>
      <c r="K233" s="116">
        <v>1398.7102920359453</v>
      </c>
      <c r="L233" s="116">
        <v>1376.4230534539813</v>
      </c>
      <c r="M233" s="116">
        <v>1390.4886374423527</v>
      </c>
      <c r="N233" s="116">
        <v>1350.6102595719196</v>
      </c>
      <c r="O233" s="116">
        <v>1352.9214600730302</v>
      </c>
      <c r="P233" s="116">
        <v>1349.6864145390282</v>
      </c>
      <c r="Q233" s="116">
        <v>1338.7078972782124</v>
      </c>
      <c r="R233" s="116">
        <v>1319.3295302468632</v>
      </c>
      <c r="S233" s="116">
        <v>1253.8589017031461</v>
      </c>
      <c r="T233" s="116">
        <v>973.09066303688189</v>
      </c>
      <c r="U233" s="116">
        <v>1169.6437189891972</v>
      </c>
      <c r="V233" s="116">
        <v>1029.2913917001335</v>
      </c>
      <c r="W233" s="116">
        <v>962.38884711361754</v>
      </c>
      <c r="X233" s="116">
        <v>1022.9404268171963</v>
      </c>
      <c r="Y233" s="116">
        <v>611.47825115613784</v>
      </c>
      <c r="DA233" s="176" t="s">
        <v>941</v>
      </c>
    </row>
    <row r="234" spans="1:105" ht="11.45" customHeight="1" x14ac:dyDescent="0.25">
      <c r="A234" s="111" t="s">
        <v>110</v>
      </c>
      <c r="B234" s="101">
        <v>0</v>
      </c>
      <c r="C234" s="101">
        <v>0</v>
      </c>
      <c r="D234" s="101">
        <v>0</v>
      </c>
      <c r="E234" s="101">
        <v>0</v>
      </c>
      <c r="F234" s="101">
        <v>0</v>
      </c>
      <c r="G234" s="101">
        <v>0</v>
      </c>
      <c r="H234" s="101">
        <v>0</v>
      </c>
      <c r="I234" s="101">
        <v>0</v>
      </c>
      <c r="J234" s="101">
        <v>0</v>
      </c>
      <c r="K234" s="101">
        <v>0</v>
      </c>
      <c r="L234" s="101">
        <v>326.38873421774252</v>
      </c>
      <c r="M234" s="101">
        <v>0</v>
      </c>
      <c r="N234" s="101">
        <v>0</v>
      </c>
      <c r="O234" s="101">
        <v>294.69084329005614</v>
      </c>
      <c r="P234" s="101">
        <v>0</v>
      </c>
      <c r="Q234" s="101">
        <v>279.6981415260189</v>
      </c>
      <c r="R234" s="101">
        <v>273.26718296647061</v>
      </c>
      <c r="S234" s="101">
        <v>0</v>
      </c>
      <c r="T234" s="101">
        <v>0</v>
      </c>
      <c r="U234" s="101">
        <v>256.75023199982968</v>
      </c>
      <c r="V234" s="101">
        <v>0</v>
      </c>
      <c r="W234" s="101">
        <v>0</v>
      </c>
      <c r="X234" s="101">
        <v>0</v>
      </c>
      <c r="Y234" s="101">
        <v>0</v>
      </c>
      <c r="DA234" s="175" t="s">
        <v>942</v>
      </c>
    </row>
    <row r="235" spans="1:105" ht="11.45" customHeight="1" x14ac:dyDescent="0.25">
      <c r="A235" s="111" t="s">
        <v>111</v>
      </c>
      <c r="B235" s="101">
        <v>1476.796771264884</v>
      </c>
      <c r="C235" s="101">
        <v>1471.7033916760086</v>
      </c>
      <c r="D235" s="101">
        <v>1466.0646813630733</v>
      </c>
      <c r="E235" s="101">
        <v>1466.0646813630733</v>
      </c>
      <c r="F235" s="101">
        <v>1460.3601495289759</v>
      </c>
      <c r="G235" s="101">
        <v>1454.5879750249089</v>
      </c>
      <c r="H235" s="101">
        <v>1442.7620565287714</v>
      </c>
      <c r="I235" s="101">
        <v>1442.7620565287714</v>
      </c>
      <c r="J235" s="101">
        <v>1436.7754919788595</v>
      </c>
      <c r="K235" s="101">
        <v>1416.1530959870786</v>
      </c>
      <c r="L235" s="101">
        <v>1402.9154347002091</v>
      </c>
      <c r="M235" s="101">
        <v>1390.4886374423527</v>
      </c>
      <c r="N235" s="101">
        <v>1376.7664441763054</v>
      </c>
      <c r="O235" s="101">
        <v>1357.4438131362051</v>
      </c>
      <c r="P235" s="101">
        <v>1349.9652153555635</v>
      </c>
      <c r="Q235" s="101">
        <v>1340.2449215971562</v>
      </c>
      <c r="R235" s="101">
        <v>1320.9040609799058</v>
      </c>
      <c r="S235" s="101">
        <v>1293.306148048863</v>
      </c>
      <c r="T235" s="101">
        <v>1258.8096812232943</v>
      </c>
      <c r="U235" s="101">
        <v>1218.7218723328428</v>
      </c>
      <c r="V235" s="101">
        <v>1174.2656464857218</v>
      </c>
      <c r="W235" s="101">
        <v>1126.5581219201065</v>
      </c>
      <c r="X235" s="101">
        <v>1076.5985677229137</v>
      </c>
      <c r="Y235" s="101">
        <v>1025.2638508688797</v>
      </c>
      <c r="DA235" s="175" t="s">
        <v>943</v>
      </c>
    </row>
    <row r="236" spans="1:105" ht="11.45" customHeight="1" x14ac:dyDescent="0.25">
      <c r="A236" s="111" t="s">
        <v>112</v>
      </c>
      <c r="B236" s="101">
        <v>0</v>
      </c>
      <c r="C236" s="101">
        <v>0</v>
      </c>
      <c r="D236" s="101">
        <v>0</v>
      </c>
      <c r="E236" s="101">
        <v>0</v>
      </c>
      <c r="F236" s="101">
        <v>0</v>
      </c>
      <c r="G236" s="101">
        <v>0</v>
      </c>
      <c r="H236" s="101">
        <v>0</v>
      </c>
      <c r="I236" s="101">
        <v>0</v>
      </c>
      <c r="J236" s="101">
        <v>0</v>
      </c>
      <c r="K236" s="101">
        <v>0</v>
      </c>
      <c r="L236" s="101">
        <v>995.54615305424227</v>
      </c>
      <c r="M236" s="101">
        <v>0</v>
      </c>
      <c r="N236" s="101">
        <v>0</v>
      </c>
      <c r="O236" s="101">
        <v>0</v>
      </c>
      <c r="P236" s="101">
        <v>957.97126730697312</v>
      </c>
      <c r="Q236" s="101">
        <v>0</v>
      </c>
      <c r="R236" s="101">
        <v>943.5906255898484</v>
      </c>
      <c r="S236" s="101">
        <v>0</v>
      </c>
      <c r="T236" s="101">
        <v>0</v>
      </c>
      <c r="U236" s="101">
        <v>0</v>
      </c>
      <c r="V236" s="101">
        <v>0</v>
      </c>
      <c r="W236" s="101">
        <v>0</v>
      </c>
      <c r="X236" s="101">
        <v>0</v>
      </c>
      <c r="Y236" s="101">
        <v>0</v>
      </c>
      <c r="DA236" s="175" t="s">
        <v>944</v>
      </c>
    </row>
    <row r="237" spans="1:105" ht="11.45" customHeight="1" x14ac:dyDescent="0.25">
      <c r="A237" s="111" t="s">
        <v>113</v>
      </c>
      <c r="B237" s="101">
        <v>0</v>
      </c>
      <c r="C237" s="101">
        <v>928.50382673216461</v>
      </c>
      <c r="D237" s="101">
        <v>924.94634080598769</v>
      </c>
      <c r="E237" s="101">
        <v>924.94634080598769</v>
      </c>
      <c r="F237" s="101">
        <v>921.34732780674256</v>
      </c>
      <c r="G237" s="101">
        <v>917.70563876402832</v>
      </c>
      <c r="H237" s="101">
        <v>0</v>
      </c>
      <c r="I237" s="101">
        <v>910.24461731066208</v>
      </c>
      <c r="J237" s="101">
        <v>906.4676686911157</v>
      </c>
      <c r="K237" s="101">
        <v>917.44747392967599</v>
      </c>
      <c r="L237" s="101">
        <v>885.10521689925486</v>
      </c>
      <c r="M237" s="101">
        <v>0</v>
      </c>
      <c r="N237" s="101">
        <v>0</v>
      </c>
      <c r="O237" s="101">
        <v>0</v>
      </c>
      <c r="P237" s="101">
        <v>0</v>
      </c>
      <c r="Q237" s="101">
        <v>0</v>
      </c>
      <c r="R237" s="101">
        <v>0</v>
      </c>
      <c r="S237" s="101">
        <v>0</v>
      </c>
      <c r="T237" s="101">
        <v>834.59434206946173</v>
      </c>
      <c r="U237" s="101">
        <v>831.9997598074998</v>
      </c>
      <c r="V237" s="101">
        <v>829.61643686417676</v>
      </c>
      <c r="W237" s="101">
        <v>827.36153168538772</v>
      </c>
      <c r="X237" s="101">
        <v>825.1855199633078</v>
      </c>
      <c r="Y237" s="101">
        <v>823.05877829476503</v>
      </c>
      <c r="DA237" s="175" t="s">
        <v>945</v>
      </c>
    </row>
    <row r="238" spans="1:105" ht="11.45" customHeight="1" x14ac:dyDescent="0.25">
      <c r="A238" s="111" t="s">
        <v>115</v>
      </c>
      <c r="B238" s="101">
        <v>0</v>
      </c>
      <c r="C238" s="101">
        <v>0</v>
      </c>
      <c r="D238" s="101">
        <v>0</v>
      </c>
      <c r="E238" s="101">
        <v>0</v>
      </c>
      <c r="F238" s="101">
        <v>0</v>
      </c>
      <c r="G238" s="101">
        <v>0</v>
      </c>
      <c r="H238" s="101">
        <v>0</v>
      </c>
      <c r="I238" s="101">
        <v>0</v>
      </c>
      <c r="J238" s="101">
        <v>0</v>
      </c>
      <c r="K238" s="101">
        <v>0</v>
      </c>
      <c r="L238" s="101">
        <v>0</v>
      </c>
      <c r="M238" s="101">
        <v>0</v>
      </c>
      <c r="N238" s="101">
        <v>0</v>
      </c>
      <c r="O238" s="101">
        <v>0</v>
      </c>
      <c r="P238" s="101">
        <v>0</v>
      </c>
      <c r="Q238" s="101">
        <v>0</v>
      </c>
      <c r="R238" s="101">
        <v>0</v>
      </c>
      <c r="S238" s="101">
        <v>0</v>
      </c>
      <c r="T238" s="101">
        <v>0</v>
      </c>
      <c r="U238" s="101">
        <v>0</v>
      </c>
      <c r="V238" s="101">
        <v>0</v>
      </c>
      <c r="W238" s="101">
        <v>0</v>
      </c>
      <c r="X238" s="101">
        <v>0</v>
      </c>
      <c r="Y238" s="101">
        <v>0</v>
      </c>
      <c r="DA238" s="175" t="s">
        <v>946</v>
      </c>
    </row>
    <row r="239" spans="1:105" ht="11.45" customHeight="1" x14ac:dyDescent="0.25">
      <c r="A239" s="27" t="s">
        <v>34</v>
      </c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DA239" s="173"/>
    </row>
    <row r="240" spans="1:105" ht="11.45" customHeight="1" x14ac:dyDescent="0.25">
      <c r="A240" s="136" t="s">
        <v>153</v>
      </c>
      <c r="B240" s="152">
        <v>0</v>
      </c>
      <c r="C240" s="152">
        <v>234.34853555698916</v>
      </c>
      <c r="D240" s="152">
        <v>230.25893277838867</v>
      </c>
      <c r="E240" s="152">
        <v>235.58862604877658</v>
      </c>
      <c r="F240" s="152">
        <v>217.88630040403928</v>
      </c>
      <c r="G240" s="152">
        <v>218.64466613592168</v>
      </c>
      <c r="H240" s="152">
        <v>222.5610598475279</v>
      </c>
      <c r="I240" s="152">
        <v>222.83343840516676</v>
      </c>
      <c r="J240" s="152">
        <v>210.65928088413887</v>
      </c>
      <c r="K240" s="152">
        <v>202.34110025986479</v>
      </c>
      <c r="L240" s="152">
        <v>194.55960042825419</v>
      </c>
      <c r="M240" s="152">
        <v>188.48110223407627</v>
      </c>
      <c r="N240" s="152">
        <v>179.83488521597613</v>
      </c>
      <c r="O240" s="152">
        <v>177.33121263532078</v>
      </c>
      <c r="P240" s="152">
        <v>171.37947186520341</v>
      </c>
      <c r="Q240" s="152">
        <v>174.51435598441466</v>
      </c>
      <c r="R240" s="152">
        <v>169.44913034397123</v>
      </c>
      <c r="S240" s="152">
        <v>162.39378303569191</v>
      </c>
      <c r="T240" s="152">
        <v>163.03027995670251</v>
      </c>
      <c r="U240" s="152">
        <v>164.03398943671658</v>
      </c>
      <c r="V240" s="152">
        <v>175.96332937691656</v>
      </c>
      <c r="W240" s="152">
        <v>173.11010323532335</v>
      </c>
      <c r="X240" s="152">
        <v>171.77459386014536</v>
      </c>
      <c r="Y240" s="152">
        <v>167.23421656346551</v>
      </c>
      <c r="DA240" s="174" t="s">
        <v>947</v>
      </c>
    </row>
    <row r="241" spans="1:105" ht="11.45" customHeight="1" x14ac:dyDescent="0.25">
      <c r="A241" s="111" t="s">
        <v>110</v>
      </c>
      <c r="B241" s="87">
        <v>0</v>
      </c>
      <c r="C241" s="87">
        <v>237.17180057706611</v>
      </c>
      <c r="D241" s="87">
        <v>233.57828844711059</v>
      </c>
      <c r="E241" s="87">
        <v>233.57828844711059</v>
      </c>
      <c r="F241" s="87">
        <v>0</v>
      </c>
      <c r="G241" s="87">
        <v>226.39126418719943</v>
      </c>
      <c r="H241" s="87">
        <v>219.20423992728831</v>
      </c>
      <c r="I241" s="87">
        <v>219.20423992728828</v>
      </c>
      <c r="J241" s="87">
        <v>215.61072779733274</v>
      </c>
      <c r="K241" s="87">
        <v>203.74289601010892</v>
      </c>
      <c r="L241" s="87">
        <v>196.3326555097743</v>
      </c>
      <c r="M241" s="87">
        <v>0</v>
      </c>
      <c r="N241" s="87">
        <v>182.28891883957402</v>
      </c>
      <c r="O241" s="87">
        <v>0</v>
      </c>
      <c r="P241" s="87">
        <v>187.25986307911833</v>
      </c>
      <c r="Q241" s="87">
        <v>235.61152775183035</v>
      </c>
      <c r="R241" s="87">
        <v>139.71350242126084</v>
      </c>
      <c r="S241" s="87">
        <v>145.39711383632689</v>
      </c>
      <c r="T241" s="87">
        <v>148.31125641641532</v>
      </c>
      <c r="U241" s="87">
        <v>136.19101123595499</v>
      </c>
      <c r="V241" s="87">
        <v>141.358024691358</v>
      </c>
      <c r="W241" s="87">
        <v>160.0588235294118</v>
      </c>
      <c r="X241" s="87">
        <v>189.16949152542369</v>
      </c>
      <c r="Y241" s="87">
        <v>245.47761194029849</v>
      </c>
      <c r="DA241" s="171" t="s">
        <v>948</v>
      </c>
    </row>
    <row r="242" spans="1:105" ht="11.45" customHeight="1" x14ac:dyDescent="0.25">
      <c r="A242" s="111" t="s">
        <v>111</v>
      </c>
      <c r="B242" s="87">
        <v>0</v>
      </c>
      <c r="C242" s="87">
        <v>234.32429989370092</v>
      </c>
      <c r="D242" s="87">
        <v>230.21334726398686</v>
      </c>
      <c r="E242" s="87">
        <v>0</v>
      </c>
      <c r="F242" s="87">
        <v>217.88048937484476</v>
      </c>
      <c r="G242" s="87">
        <v>218.52590893770983</v>
      </c>
      <c r="H242" s="87">
        <v>222.5669753727187</v>
      </c>
      <c r="I242" s="87">
        <v>222.84240919890962</v>
      </c>
      <c r="J242" s="87">
        <v>210.56710464658343</v>
      </c>
      <c r="K242" s="87">
        <v>202.29225926867278</v>
      </c>
      <c r="L242" s="87">
        <v>194.52193102234838</v>
      </c>
      <c r="M242" s="87">
        <v>188.47253747788639</v>
      </c>
      <c r="N242" s="87">
        <v>180.0385196759517</v>
      </c>
      <c r="O242" s="87">
        <v>177.51894058945675</v>
      </c>
      <c r="P242" s="87">
        <v>171.36722552811455</v>
      </c>
      <c r="Q242" s="87">
        <v>172.73929150781902</v>
      </c>
      <c r="R242" s="87">
        <v>169.70016760389689</v>
      </c>
      <c r="S242" s="87">
        <v>163.30681901678724</v>
      </c>
      <c r="T242" s="87">
        <v>163.86188984858259</v>
      </c>
      <c r="U242" s="87">
        <v>165.0273631840796</v>
      </c>
      <c r="V242" s="87">
        <v>178.80448079710459</v>
      </c>
      <c r="W242" s="87">
        <v>175.1036223753807</v>
      </c>
      <c r="X242" s="87">
        <v>173.49337578309539</v>
      </c>
      <c r="Y242" s="87">
        <v>173.21899701956721</v>
      </c>
      <c r="DA242" s="171" t="s">
        <v>949</v>
      </c>
    </row>
    <row r="243" spans="1:105" ht="11.45" customHeight="1" x14ac:dyDescent="0.25">
      <c r="A243" s="111" t="s">
        <v>112</v>
      </c>
      <c r="B243" s="87">
        <v>0</v>
      </c>
      <c r="C243" s="87">
        <v>300.04006684880346</v>
      </c>
      <c r="D243" s="87">
        <v>294.77620602689456</v>
      </c>
      <c r="E243" s="87">
        <v>284.24848438307691</v>
      </c>
      <c r="F243" s="87">
        <v>278.98462356116812</v>
      </c>
      <c r="G243" s="87">
        <v>279.81104971020778</v>
      </c>
      <c r="H243" s="87">
        <v>284.98542489814423</v>
      </c>
      <c r="I243" s="87">
        <v>285.33810357321227</v>
      </c>
      <c r="J243" s="87">
        <v>269.62021515899244</v>
      </c>
      <c r="K243" s="87">
        <v>259.02470644957504</v>
      </c>
      <c r="L243" s="87">
        <v>249.07520566147099</v>
      </c>
      <c r="M243" s="87">
        <v>241.32927216546346</v>
      </c>
      <c r="N243" s="87">
        <v>241.22627584687098</v>
      </c>
      <c r="O243" s="87">
        <v>168.9790691127796</v>
      </c>
      <c r="P243" s="87">
        <v>189.79876591956398</v>
      </c>
      <c r="Q243" s="87">
        <v>190.93528547596856</v>
      </c>
      <c r="R243" s="87">
        <v>113.22127454539894</v>
      </c>
      <c r="S243" s="87">
        <v>159.11273789664045</v>
      </c>
      <c r="T243" s="87">
        <v>162.3017778459548</v>
      </c>
      <c r="U243" s="87">
        <v>149.0382037366881</v>
      </c>
      <c r="V243" s="87">
        <v>0</v>
      </c>
      <c r="W243" s="87">
        <v>194.6</v>
      </c>
      <c r="X243" s="87">
        <v>197.2340425531915</v>
      </c>
      <c r="Y243" s="87">
        <v>181.42424242424241</v>
      </c>
      <c r="DA243" s="171" t="s">
        <v>950</v>
      </c>
    </row>
    <row r="244" spans="1:105" ht="11.45" customHeight="1" x14ac:dyDescent="0.25">
      <c r="A244" s="111" t="s">
        <v>113</v>
      </c>
      <c r="B244" s="87">
        <v>0</v>
      </c>
      <c r="C244" s="87">
        <v>0</v>
      </c>
      <c r="D244" s="87">
        <v>0</v>
      </c>
      <c r="E244" s="87">
        <v>0</v>
      </c>
      <c r="F244" s="87">
        <v>0</v>
      </c>
      <c r="G244" s="87">
        <v>0</v>
      </c>
      <c r="H244" s="87">
        <v>0</v>
      </c>
      <c r="I244" s="87">
        <v>0</v>
      </c>
      <c r="J244" s="87">
        <v>0</v>
      </c>
      <c r="K244" s="87">
        <v>0</v>
      </c>
      <c r="L244" s="87">
        <v>0</v>
      </c>
      <c r="M244" s="87">
        <v>0</v>
      </c>
      <c r="N244" s="87">
        <v>0</v>
      </c>
      <c r="O244" s="87">
        <v>166.12658227848152</v>
      </c>
      <c r="P244" s="87">
        <v>160.90822784810135</v>
      </c>
      <c r="Q244" s="87">
        <v>198.6509945750455</v>
      </c>
      <c r="R244" s="87">
        <v>146.63652802893321</v>
      </c>
      <c r="S244" s="87">
        <v>146.54430379746842</v>
      </c>
      <c r="T244" s="87">
        <v>165.64556962025324</v>
      </c>
      <c r="U244" s="87">
        <v>201.00455696202542</v>
      </c>
      <c r="V244" s="87">
        <v>174.85714285714289</v>
      </c>
      <c r="W244" s="87">
        <v>180</v>
      </c>
      <c r="X244" s="87">
        <v>130</v>
      </c>
      <c r="Y244" s="87">
        <v>126</v>
      </c>
      <c r="DA244" s="171" t="s">
        <v>951</v>
      </c>
    </row>
    <row r="245" spans="1:105" ht="11.45" customHeight="1" x14ac:dyDescent="0.25">
      <c r="A245" s="111" t="s">
        <v>115</v>
      </c>
      <c r="B245" s="87">
        <v>0</v>
      </c>
      <c r="C245" s="87">
        <v>0</v>
      </c>
      <c r="D245" s="87">
        <v>0</v>
      </c>
      <c r="E245" s="87">
        <v>0</v>
      </c>
      <c r="F245" s="87">
        <v>0</v>
      </c>
      <c r="G245" s="87">
        <v>0</v>
      </c>
      <c r="H245" s="87">
        <v>0</v>
      </c>
      <c r="I245" s="87">
        <v>0</v>
      </c>
      <c r="J245" s="87">
        <v>0</v>
      </c>
      <c r="K245" s="87">
        <v>0</v>
      </c>
      <c r="L245" s="87">
        <v>0</v>
      </c>
      <c r="M245" s="87">
        <v>0</v>
      </c>
      <c r="N245" s="87">
        <v>0</v>
      </c>
      <c r="O245" s="87">
        <v>0</v>
      </c>
      <c r="P245" s="87">
        <v>0</v>
      </c>
      <c r="Q245" s="87">
        <v>0</v>
      </c>
      <c r="R245" s="87">
        <v>0</v>
      </c>
      <c r="S245" s="87">
        <v>0</v>
      </c>
      <c r="T245" s="87">
        <v>0</v>
      </c>
      <c r="U245" s="87">
        <v>0</v>
      </c>
      <c r="V245" s="87">
        <v>0</v>
      </c>
      <c r="W245" s="87">
        <v>0</v>
      </c>
      <c r="X245" s="87">
        <v>0</v>
      </c>
      <c r="Y245" s="87">
        <v>0</v>
      </c>
      <c r="DA245" s="171" t="s">
        <v>952</v>
      </c>
    </row>
    <row r="246" spans="1:105" ht="11.45" customHeight="1" x14ac:dyDescent="0.25">
      <c r="A246" s="109" t="s">
        <v>154</v>
      </c>
      <c r="B246" s="116">
        <v>1040.7419809790824</v>
      </c>
      <c r="C246" s="116">
        <v>897.30646211883186</v>
      </c>
      <c r="D246" s="116">
        <v>899.25943467104071</v>
      </c>
      <c r="E246" s="116">
        <v>914.61502496212381</v>
      </c>
      <c r="F246" s="116">
        <v>890.16490146461842</v>
      </c>
      <c r="G246" s="116">
        <v>872.02573885832544</v>
      </c>
      <c r="H246" s="116">
        <v>865.57211528021787</v>
      </c>
      <c r="I246" s="116">
        <v>857.46439764136824</v>
      </c>
      <c r="J246" s="116">
        <v>826.36925122205025</v>
      </c>
      <c r="K246" s="116">
        <v>821.48917139803154</v>
      </c>
      <c r="L246" s="116">
        <v>798.23038704761677</v>
      </c>
      <c r="M246" s="116">
        <v>812.22604115145191</v>
      </c>
      <c r="N246" s="116">
        <v>765.87833022698658</v>
      </c>
      <c r="O246" s="116">
        <v>836.56867073198339</v>
      </c>
      <c r="P246" s="116">
        <v>737.12836933028143</v>
      </c>
      <c r="Q246" s="116">
        <v>710.10643429289325</v>
      </c>
      <c r="R246" s="116">
        <v>707.66747881317383</v>
      </c>
      <c r="S246" s="116">
        <v>679.30448274021285</v>
      </c>
      <c r="T246" s="116">
        <v>668.24702968847339</v>
      </c>
      <c r="U246" s="116">
        <v>647.02679890637626</v>
      </c>
      <c r="V246" s="116">
        <v>644.4543032189423</v>
      </c>
      <c r="W246" s="116">
        <v>705.49212837132598</v>
      </c>
      <c r="X246" s="116">
        <v>645.39222609696378</v>
      </c>
      <c r="Y246" s="116">
        <v>629.29763544616685</v>
      </c>
      <c r="DA246" s="176" t="s">
        <v>953</v>
      </c>
    </row>
    <row r="247" spans="1:105" ht="11.45" customHeight="1" x14ac:dyDescent="0.25">
      <c r="A247" s="128" t="s">
        <v>27</v>
      </c>
      <c r="B247" s="101">
        <v>0</v>
      </c>
      <c r="C247" s="101">
        <v>830.63796310968644</v>
      </c>
      <c r="D247" s="101">
        <v>825.82865449785743</v>
      </c>
      <c r="E247" s="101">
        <v>819.84017009184902</v>
      </c>
      <c r="F247" s="101">
        <v>812.68772674332752</v>
      </c>
      <c r="G247" s="101">
        <v>804.38937066326116</v>
      </c>
      <c r="H247" s="101">
        <v>794.96586488625212</v>
      </c>
      <c r="I247" s="101">
        <v>784.44056137946495</v>
      </c>
      <c r="J247" s="101">
        <v>772.83925924005518</v>
      </c>
      <c r="K247" s="101">
        <v>760.1900505373851</v>
      </c>
      <c r="L247" s="101">
        <v>746.52315549797356</v>
      </c>
      <c r="M247" s="101">
        <v>731.87074875755025</v>
      </c>
      <c r="N247" s="101">
        <v>716.26677847139229</v>
      </c>
      <c r="O247" s="101">
        <v>699.74678009508352</v>
      </c>
      <c r="P247" s="101">
        <v>682.34768660521013</v>
      </c>
      <c r="Q247" s="101">
        <v>664.10763692979094</v>
      </c>
      <c r="R247" s="101">
        <v>645.32973562478344</v>
      </c>
      <c r="S247" s="101">
        <v>632.1852047112784</v>
      </c>
      <c r="T247" s="101">
        <v>618.38344725209788</v>
      </c>
      <c r="U247" s="101">
        <v>601.51463257976638</v>
      </c>
      <c r="V247" s="101">
        <v>602.70827548006332</v>
      </c>
      <c r="W247" s="101">
        <v>596.56598568781703</v>
      </c>
      <c r="X247" s="101">
        <v>593.27928045965848</v>
      </c>
      <c r="Y247" s="101">
        <v>587.34648765506176</v>
      </c>
      <c r="DA247" s="175" t="s">
        <v>954</v>
      </c>
    </row>
    <row r="248" spans="1:105" ht="11.45" customHeight="1" x14ac:dyDescent="0.25">
      <c r="A248" s="138" t="s">
        <v>116</v>
      </c>
      <c r="B248" s="88">
        <v>973.32549638124704</v>
      </c>
      <c r="C248" s="88">
        <v>969.14492535889485</v>
      </c>
      <c r="D248" s="88">
        <v>964.5209027684374</v>
      </c>
      <c r="E248" s="88">
        <v>958.76313394738929</v>
      </c>
      <c r="F248" s="88">
        <v>951.8862494947706</v>
      </c>
      <c r="G248" s="88">
        <v>943.90760036347785</v>
      </c>
      <c r="H248" s="88">
        <v>934.84714966022614</v>
      </c>
      <c r="I248" s="88">
        <v>924.72734968168083</v>
      </c>
      <c r="J248" s="88">
        <v>0</v>
      </c>
      <c r="K248" s="88">
        <v>901.41112711943799</v>
      </c>
      <c r="L248" s="88">
        <v>0</v>
      </c>
      <c r="M248" s="88">
        <v>874.1828700569024</v>
      </c>
      <c r="N248" s="88">
        <v>0</v>
      </c>
      <c r="O248" s="88">
        <v>843.29652676318142</v>
      </c>
      <c r="P248" s="88">
        <v>826.56776014737818</v>
      </c>
      <c r="Q248" s="88">
        <v>0</v>
      </c>
      <c r="R248" s="88">
        <v>786.38779648376408</v>
      </c>
      <c r="S248" s="88">
        <v>770.5379484876006</v>
      </c>
      <c r="T248" s="88">
        <v>753.89560809162901</v>
      </c>
      <c r="U248" s="88">
        <v>733.55496982988586</v>
      </c>
      <c r="V248" s="88">
        <v>0</v>
      </c>
      <c r="W248" s="88">
        <v>718.06378370741038</v>
      </c>
      <c r="X248" s="88">
        <v>714.10770164996393</v>
      </c>
      <c r="Y248" s="88">
        <v>706.96662463346422</v>
      </c>
      <c r="DA248" s="178" t="s">
        <v>955</v>
      </c>
    </row>
  </sheetData>
  <mergeCells count="1">
    <mergeCell ref="B57:V57"/>
  </mergeCells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DA124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1030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DA3" s="172"/>
    </row>
    <row r="4" spans="1:105" ht="11.45" customHeight="1" x14ac:dyDescent="0.25">
      <c r="A4" s="27" t="s">
        <v>18</v>
      </c>
      <c r="B4" s="28">
        <f t="shared" ref="B4" si="0">SUM(B5,B6,B9)</f>
        <v>4562</v>
      </c>
      <c r="C4" s="28">
        <f t="shared" ref="C4:V4" si="1">SUM(C5,C6,C9)</f>
        <v>4537</v>
      </c>
      <c r="D4" s="28">
        <f t="shared" si="1"/>
        <v>4475</v>
      </c>
      <c r="E4" s="28">
        <f t="shared" si="1"/>
        <v>4523</v>
      </c>
      <c r="F4" s="28">
        <f t="shared" si="1"/>
        <v>4599</v>
      </c>
      <c r="G4" s="28">
        <f t="shared" si="1"/>
        <v>4656.7160000000003</v>
      </c>
      <c r="H4" s="28">
        <f t="shared" si="1"/>
        <v>4863.8</v>
      </c>
      <c r="I4" s="28">
        <f t="shared" si="1"/>
        <v>5036.8900000000003</v>
      </c>
      <c r="J4" s="28">
        <f t="shared" si="1"/>
        <v>5307.7610000000004</v>
      </c>
      <c r="K4" s="28">
        <f t="shared" si="1"/>
        <v>5303.1840000000002</v>
      </c>
      <c r="L4" s="28">
        <f t="shared" si="1"/>
        <v>5244.2330000000002</v>
      </c>
      <c r="M4" s="28">
        <f t="shared" si="1"/>
        <v>5385</v>
      </c>
      <c r="N4" s="28">
        <f t="shared" si="1"/>
        <v>4831.0689999999995</v>
      </c>
      <c r="O4" s="28">
        <f t="shared" si="1"/>
        <v>4590.2960000000003</v>
      </c>
      <c r="P4" s="28">
        <f t="shared" si="1"/>
        <v>4818.5609999999997</v>
      </c>
      <c r="Q4" s="28">
        <f t="shared" si="1"/>
        <v>4965.652</v>
      </c>
      <c r="R4" s="28">
        <f t="shared" si="1"/>
        <v>5327.2989999999991</v>
      </c>
      <c r="S4" s="28">
        <f t="shared" si="1"/>
        <v>5637.0770000000002</v>
      </c>
      <c r="T4" s="28">
        <f t="shared" si="1"/>
        <v>5746</v>
      </c>
      <c r="U4" s="28">
        <f t="shared" si="1"/>
        <v>6346.6639999999998</v>
      </c>
      <c r="V4" s="28">
        <f t="shared" si="1"/>
        <v>3228.5</v>
      </c>
      <c r="W4" s="28">
        <f t="shared" ref="W4:Y4" si="2">SUM(W5,W6,W9)</f>
        <v>3561.654</v>
      </c>
      <c r="X4" s="28">
        <f t="shared" si="2"/>
        <v>5519.817</v>
      </c>
      <c r="Y4" s="28">
        <f t="shared" si="2"/>
        <v>6174</v>
      </c>
      <c r="DA4" s="173" t="s">
        <v>376</v>
      </c>
    </row>
    <row r="5" spans="1:105" ht="11.45" customHeight="1" x14ac:dyDescent="0.25">
      <c r="A5" s="107" t="s">
        <v>23</v>
      </c>
      <c r="B5" s="108">
        <v>530</v>
      </c>
      <c r="C5" s="108">
        <v>545</v>
      </c>
      <c r="D5" s="108">
        <v>550</v>
      </c>
      <c r="E5" s="108">
        <v>770</v>
      </c>
      <c r="F5" s="108">
        <v>847</v>
      </c>
      <c r="G5" s="108">
        <v>847.71600000000001</v>
      </c>
      <c r="H5" s="108">
        <v>987.8</v>
      </c>
      <c r="I5" s="108">
        <v>1049.8900000000001</v>
      </c>
      <c r="J5" s="108">
        <v>1094.7610000000002</v>
      </c>
      <c r="K5" s="108">
        <v>1090.184</v>
      </c>
      <c r="L5" s="108">
        <v>1133.2329999999999</v>
      </c>
      <c r="M5" s="108">
        <v>1148</v>
      </c>
      <c r="N5" s="108">
        <v>1028.069</v>
      </c>
      <c r="O5" s="108">
        <v>941.29599999999994</v>
      </c>
      <c r="P5" s="108">
        <v>966.56100000000004</v>
      </c>
      <c r="Q5" s="108">
        <v>1008.6520000000002</v>
      </c>
      <c r="R5" s="108">
        <v>1061.299</v>
      </c>
      <c r="S5" s="108">
        <v>1121.077</v>
      </c>
      <c r="T5" s="108">
        <v>1176</v>
      </c>
      <c r="U5" s="108">
        <v>1291.664</v>
      </c>
      <c r="V5" s="108">
        <v>665.5</v>
      </c>
      <c r="W5" s="108">
        <v>649.654</v>
      </c>
      <c r="X5" s="108">
        <v>1100.817</v>
      </c>
      <c r="Y5" s="108">
        <v>1345</v>
      </c>
      <c r="DA5" s="203" t="s">
        <v>377</v>
      </c>
    </row>
    <row r="6" spans="1:105" ht="11.45" customHeight="1" x14ac:dyDescent="0.25">
      <c r="A6" s="109" t="s">
        <v>24</v>
      </c>
      <c r="B6" s="110">
        <f t="shared" ref="B6" si="3">SUM(B7:B8)</f>
        <v>4032</v>
      </c>
      <c r="C6" s="110">
        <f t="shared" ref="C6:V6" si="4">SUM(C7:C8)</f>
        <v>3992</v>
      </c>
      <c r="D6" s="110">
        <f t="shared" si="4"/>
        <v>3925</v>
      </c>
      <c r="E6" s="110">
        <f t="shared" si="4"/>
        <v>3753</v>
      </c>
      <c r="F6" s="110">
        <f t="shared" si="4"/>
        <v>3316</v>
      </c>
      <c r="G6" s="110">
        <f t="shared" si="4"/>
        <v>3319</v>
      </c>
      <c r="H6" s="110">
        <f t="shared" si="4"/>
        <v>3368</v>
      </c>
      <c r="I6" s="110">
        <f t="shared" si="4"/>
        <v>3481</v>
      </c>
      <c r="J6" s="110">
        <f t="shared" si="4"/>
        <v>3688</v>
      </c>
      <c r="K6" s="110">
        <f t="shared" si="4"/>
        <v>3684</v>
      </c>
      <c r="L6" s="110">
        <f t="shared" si="4"/>
        <v>3591.7406019999999</v>
      </c>
      <c r="M6" s="110">
        <f t="shared" si="4"/>
        <v>3771</v>
      </c>
      <c r="N6" s="110">
        <f t="shared" si="4"/>
        <v>3341</v>
      </c>
      <c r="O6" s="110">
        <f t="shared" si="4"/>
        <v>3184</v>
      </c>
      <c r="P6" s="110">
        <f t="shared" si="4"/>
        <v>3314</v>
      </c>
      <c r="Q6" s="110">
        <f t="shared" si="4"/>
        <v>3388</v>
      </c>
      <c r="R6" s="110">
        <f t="shared" si="4"/>
        <v>3651.8899999999994</v>
      </c>
      <c r="S6" s="110">
        <f t="shared" si="4"/>
        <v>3863</v>
      </c>
      <c r="T6" s="110">
        <f t="shared" si="4"/>
        <v>3909</v>
      </c>
      <c r="U6" s="110">
        <f t="shared" si="4"/>
        <v>4359</v>
      </c>
      <c r="V6" s="110">
        <f t="shared" si="4"/>
        <v>2340</v>
      </c>
      <c r="W6" s="110">
        <f t="shared" ref="W6:Y6" si="5">SUM(W7:W8)</f>
        <v>2642</v>
      </c>
      <c r="X6" s="110">
        <f t="shared" si="5"/>
        <v>3868</v>
      </c>
      <c r="Y6" s="110">
        <f t="shared" si="5"/>
        <v>4229</v>
      </c>
      <c r="DA6" s="176" t="s">
        <v>378</v>
      </c>
    </row>
    <row r="7" spans="1:105" ht="11.45" customHeight="1" x14ac:dyDescent="0.25">
      <c r="A7" s="111" t="s">
        <v>90</v>
      </c>
      <c r="B7" s="84">
        <v>1692.4540182801234</v>
      </c>
      <c r="C7" s="84">
        <v>1519.9296980896286</v>
      </c>
      <c r="D7" s="84">
        <v>1294.7987857137896</v>
      </c>
      <c r="E7" s="84">
        <v>1015.4354855753286</v>
      </c>
      <c r="F7" s="84">
        <v>949.23054657377509</v>
      </c>
      <c r="G7" s="84">
        <v>896.14112596937127</v>
      </c>
      <c r="H7" s="84">
        <v>858.28528830077391</v>
      </c>
      <c r="I7" s="84">
        <v>925.78950334557885</v>
      </c>
      <c r="J7" s="84">
        <v>939.18418602622035</v>
      </c>
      <c r="K7" s="84">
        <v>835.35225429619481</v>
      </c>
      <c r="L7" s="84">
        <v>769.802956903873</v>
      </c>
      <c r="M7" s="84">
        <v>869.69222844611875</v>
      </c>
      <c r="N7" s="84">
        <v>627.31096633525749</v>
      </c>
      <c r="O7" s="84">
        <v>688.91784006868374</v>
      </c>
      <c r="P7" s="84">
        <v>712.14885896695637</v>
      </c>
      <c r="Q7" s="84">
        <v>713.30921765394953</v>
      </c>
      <c r="R7" s="84">
        <v>552.84055066109909</v>
      </c>
      <c r="S7" s="84">
        <v>571.54700739743123</v>
      </c>
      <c r="T7" s="84">
        <v>487.92114167029575</v>
      </c>
      <c r="U7" s="84">
        <v>534.96818181818185</v>
      </c>
      <c r="V7" s="84">
        <v>301.21529409856288</v>
      </c>
      <c r="W7" s="84">
        <v>324.37218513324734</v>
      </c>
      <c r="X7" s="84">
        <v>468.86501344301519</v>
      </c>
      <c r="Y7" s="84">
        <v>506.8729752910117</v>
      </c>
      <c r="DA7" s="171" t="s">
        <v>1031</v>
      </c>
    </row>
    <row r="8" spans="1:105" ht="11.45" customHeight="1" x14ac:dyDescent="0.25">
      <c r="A8" s="111" t="s">
        <v>93</v>
      </c>
      <c r="B8" s="84">
        <v>2339.5459817198766</v>
      </c>
      <c r="C8" s="84">
        <v>2472.0703019103712</v>
      </c>
      <c r="D8" s="84">
        <v>2630.2012142862104</v>
      </c>
      <c r="E8" s="84">
        <v>2737.5645144246714</v>
      </c>
      <c r="F8" s="84">
        <v>2366.769453426225</v>
      </c>
      <c r="G8" s="84">
        <v>2422.8588740306286</v>
      </c>
      <c r="H8" s="84">
        <v>2509.714711699226</v>
      </c>
      <c r="I8" s="84">
        <v>2555.2104966544211</v>
      </c>
      <c r="J8" s="84">
        <v>2748.8158139737798</v>
      </c>
      <c r="K8" s="84">
        <v>2848.6477457038054</v>
      </c>
      <c r="L8" s="84">
        <v>2821.9376450961267</v>
      </c>
      <c r="M8" s="84">
        <v>2901.3077715538811</v>
      </c>
      <c r="N8" s="84">
        <v>2713.6890336647425</v>
      </c>
      <c r="O8" s="84">
        <v>2495.0821599313163</v>
      </c>
      <c r="P8" s="84">
        <v>2601.8511410330439</v>
      </c>
      <c r="Q8" s="84">
        <v>2674.6907823460506</v>
      </c>
      <c r="R8" s="84">
        <v>3099.0494493389006</v>
      </c>
      <c r="S8" s="84">
        <v>3291.4529926025689</v>
      </c>
      <c r="T8" s="84">
        <v>3421.0788583297044</v>
      </c>
      <c r="U8" s="84">
        <v>3824.0318181818184</v>
      </c>
      <c r="V8" s="84">
        <v>2038.7847059014371</v>
      </c>
      <c r="W8" s="84">
        <v>2317.6278148667525</v>
      </c>
      <c r="X8" s="84">
        <v>3399.1349865569846</v>
      </c>
      <c r="Y8" s="84">
        <v>3722.1270247089883</v>
      </c>
      <c r="DA8" s="171" t="s">
        <v>1032</v>
      </c>
    </row>
    <row r="9" spans="1:105" ht="11.45" customHeight="1" x14ac:dyDescent="0.25">
      <c r="A9" s="112" t="s">
        <v>25</v>
      </c>
      <c r="B9" s="113">
        <v>0</v>
      </c>
      <c r="C9" s="113">
        <v>0</v>
      </c>
      <c r="D9" s="113">
        <v>0</v>
      </c>
      <c r="E9" s="113">
        <v>0</v>
      </c>
      <c r="F9" s="113">
        <v>436</v>
      </c>
      <c r="G9" s="113">
        <v>490</v>
      </c>
      <c r="H9" s="113">
        <v>508</v>
      </c>
      <c r="I9" s="113">
        <v>506</v>
      </c>
      <c r="J9" s="113">
        <v>525</v>
      </c>
      <c r="K9" s="113">
        <v>529</v>
      </c>
      <c r="L9" s="113">
        <v>519.25939800000003</v>
      </c>
      <c r="M9" s="113">
        <v>466</v>
      </c>
      <c r="N9" s="113">
        <v>462</v>
      </c>
      <c r="O9" s="113">
        <v>465</v>
      </c>
      <c r="P9" s="113">
        <v>538</v>
      </c>
      <c r="Q9" s="113">
        <v>569</v>
      </c>
      <c r="R9" s="113">
        <v>614.11</v>
      </c>
      <c r="S9" s="113">
        <v>653</v>
      </c>
      <c r="T9" s="113">
        <v>661</v>
      </c>
      <c r="U9" s="113">
        <v>696</v>
      </c>
      <c r="V9" s="113">
        <v>223</v>
      </c>
      <c r="W9" s="113">
        <v>270</v>
      </c>
      <c r="X9" s="113">
        <v>551</v>
      </c>
      <c r="Y9" s="113">
        <v>600</v>
      </c>
      <c r="DA9" s="204" t="s">
        <v>379</v>
      </c>
    </row>
    <row r="10" spans="1:105" ht="11.45" customHeight="1" x14ac:dyDescent="0.25">
      <c r="A10" s="27" t="s">
        <v>28</v>
      </c>
      <c r="B10" s="28">
        <f t="shared" ref="B10" si="6">SUM(B11:B12)</f>
        <v>2183</v>
      </c>
      <c r="C10" s="28">
        <f t="shared" ref="C10:V10" si="7">SUM(C11:C12)</f>
        <v>2138</v>
      </c>
      <c r="D10" s="28">
        <f t="shared" si="7"/>
        <v>2193</v>
      </c>
      <c r="E10" s="28">
        <f t="shared" si="7"/>
        <v>2073</v>
      </c>
      <c r="F10" s="28">
        <f t="shared" si="7"/>
        <v>2282</v>
      </c>
      <c r="G10" s="28">
        <f t="shared" si="7"/>
        <v>2422</v>
      </c>
      <c r="H10" s="28">
        <f t="shared" si="7"/>
        <v>2430</v>
      </c>
      <c r="I10" s="28">
        <f t="shared" si="7"/>
        <v>2586</v>
      </c>
      <c r="J10" s="28">
        <f t="shared" si="7"/>
        <v>2549</v>
      </c>
      <c r="K10" s="28">
        <f t="shared" si="7"/>
        <v>2174</v>
      </c>
      <c r="L10" s="28">
        <f t="shared" si="7"/>
        <v>2313</v>
      </c>
      <c r="M10" s="28">
        <f t="shared" si="7"/>
        <v>2322</v>
      </c>
      <c r="N10" s="28">
        <f t="shared" si="7"/>
        <v>2421</v>
      </c>
      <c r="O10" s="28">
        <f t="shared" si="7"/>
        <v>2290</v>
      </c>
      <c r="P10" s="28">
        <f t="shared" si="7"/>
        <v>2434</v>
      </c>
      <c r="Q10" s="28">
        <f t="shared" si="7"/>
        <v>2688</v>
      </c>
      <c r="R10" s="28">
        <f t="shared" si="7"/>
        <v>2774</v>
      </c>
      <c r="S10" s="28">
        <f t="shared" si="7"/>
        <v>2751</v>
      </c>
      <c r="T10" s="28">
        <f t="shared" si="7"/>
        <v>2765</v>
      </c>
      <c r="U10" s="28">
        <f t="shared" si="7"/>
        <v>2478</v>
      </c>
      <c r="V10" s="28">
        <f t="shared" si="7"/>
        <v>2302</v>
      </c>
      <c r="W10" s="28">
        <f t="shared" ref="W10:Y10" si="8">SUM(W11:W12)</f>
        <v>1881</v>
      </c>
      <c r="X10" s="28">
        <f t="shared" si="8"/>
        <v>2190</v>
      </c>
      <c r="Y10" s="28">
        <f t="shared" si="8"/>
        <v>2263</v>
      </c>
      <c r="DA10" s="173" t="s">
        <v>384</v>
      </c>
    </row>
    <row r="11" spans="1:105" ht="11.45" customHeight="1" x14ac:dyDescent="0.25">
      <c r="A11" s="83" t="s">
        <v>90</v>
      </c>
      <c r="B11" s="84">
        <v>1169.8393209617755</v>
      </c>
      <c r="C11" s="84">
        <v>1034.0993334984839</v>
      </c>
      <c r="D11" s="84">
        <v>922.60201720682267</v>
      </c>
      <c r="E11" s="84">
        <v>784.62071159446327</v>
      </c>
      <c r="F11" s="84">
        <v>786.84550974890522</v>
      </c>
      <c r="G11" s="84">
        <v>790.69629126737482</v>
      </c>
      <c r="H11" s="84">
        <v>736.6818542332677</v>
      </c>
      <c r="I11" s="84">
        <v>793.68742199639269</v>
      </c>
      <c r="J11" s="84">
        <v>758.07581075400356</v>
      </c>
      <c r="K11" s="84">
        <v>565.03633184200874</v>
      </c>
      <c r="L11" s="84">
        <v>560.85756030754476</v>
      </c>
      <c r="M11" s="84">
        <v>587.30600431677067</v>
      </c>
      <c r="N11" s="84">
        <v>519.94026984333584</v>
      </c>
      <c r="O11" s="84">
        <v>561.71181554241593</v>
      </c>
      <c r="P11" s="84">
        <v>592.80742486228758</v>
      </c>
      <c r="Q11" s="84">
        <v>647.03658255525488</v>
      </c>
      <c r="R11" s="84">
        <v>476.99861451625975</v>
      </c>
      <c r="S11" s="84">
        <v>721.79938485103025</v>
      </c>
      <c r="T11" s="84">
        <v>671.9061641991924</v>
      </c>
      <c r="U11" s="84">
        <v>773.76789826462857</v>
      </c>
      <c r="V11" s="84">
        <v>601.41165048189646</v>
      </c>
      <c r="W11" s="84">
        <v>643.45041003433903</v>
      </c>
      <c r="X11" s="84">
        <v>931.2654231397446</v>
      </c>
      <c r="Y11" s="84">
        <v>765.26936102952197</v>
      </c>
      <c r="DA11" s="171" t="s">
        <v>1033</v>
      </c>
    </row>
    <row r="12" spans="1:105" ht="11.45" customHeight="1" x14ac:dyDescent="0.25">
      <c r="A12" s="85" t="s">
        <v>93</v>
      </c>
      <c r="B12" s="86">
        <v>1013.1606790382245</v>
      </c>
      <c r="C12" s="86">
        <v>1103.9006665015161</v>
      </c>
      <c r="D12" s="86">
        <v>1270.3979827931773</v>
      </c>
      <c r="E12" s="86">
        <v>1288.3792884055367</v>
      </c>
      <c r="F12" s="86">
        <v>1495.1544902510948</v>
      </c>
      <c r="G12" s="86">
        <v>1631.3037087326252</v>
      </c>
      <c r="H12" s="86">
        <v>1693.3181457667324</v>
      </c>
      <c r="I12" s="86">
        <v>1792.3125780036073</v>
      </c>
      <c r="J12" s="86">
        <v>1790.9241892459963</v>
      </c>
      <c r="K12" s="86">
        <v>1608.9636681579914</v>
      </c>
      <c r="L12" s="86">
        <v>1752.1424396924554</v>
      </c>
      <c r="M12" s="86">
        <v>1734.6939956832293</v>
      </c>
      <c r="N12" s="86">
        <v>1901.059730156664</v>
      </c>
      <c r="O12" s="86">
        <v>1728.2881844575841</v>
      </c>
      <c r="P12" s="86">
        <v>1841.1925751377125</v>
      </c>
      <c r="Q12" s="86">
        <v>2040.9634174447451</v>
      </c>
      <c r="R12" s="86">
        <v>2297.0013854837403</v>
      </c>
      <c r="S12" s="86">
        <v>2029.2006151489697</v>
      </c>
      <c r="T12" s="86">
        <v>2093.0938358008075</v>
      </c>
      <c r="U12" s="86">
        <v>1704.2321017353715</v>
      </c>
      <c r="V12" s="86">
        <v>1700.5883495181035</v>
      </c>
      <c r="W12" s="86">
        <v>1237.549589965661</v>
      </c>
      <c r="X12" s="86">
        <v>1258.7345768602554</v>
      </c>
      <c r="Y12" s="86">
        <v>1497.7306389704781</v>
      </c>
      <c r="DA12" s="178" t="s">
        <v>1034</v>
      </c>
    </row>
    <row r="13" spans="1:105" x14ac:dyDescent="0.25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14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DA13" s="171"/>
    </row>
    <row r="14" spans="1:105" ht="11.45" customHeight="1" x14ac:dyDescent="0.25">
      <c r="A14" s="53" t="s">
        <v>64</v>
      </c>
      <c r="B14" s="62">
        <f t="shared" ref="B14" si="9">B15+B21</f>
        <v>43.326543538163783</v>
      </c>
      <c r="C14" s="62">
        <f t="shared" ref="C14:V14" si="10">C15+C21</f>
        <v>40.643443855049661</v>
      </c>
      <c r="D14" s="62">
        <f t="shared" si="10"/>
        <v>41.735296631813036</v>
      </c>
      <c r="E14" s="62">
        <f t="shared" si="10"/>
        <v>44.152395546711304</v>
      </c>
      <c r="F14" s="62">
        <f t="shared" si="10"/>
        <v>44.427384809098605</v>
      </c>
      <c r="G14" s="62">
        <f t="shared" si="10"/>
        <v>44.674046726896037</v>
      </c>
      <c r="H14" s="62">
        <f t="shared" si="10"/>
        <v>48.750123710020695</v>
      </c>
      <c r="I14" s="62">
        <f t="shared" si="10"/>
        <v>48.678772620187033</v>
      </c>
      <c r="J14" s="62">
        <f t="shared" si="10"/>
        <v>51.096676402316369</v>
      </c>
      <c r="K14" s="62">
        <f t="shared" si="10"/>
        <v>48.47315325924027</v>
      </c>
      <c r="L14" s="62">
        <f t="shared" si="10"/>
        <v>48.477079020209132</v>
      </c>
      <c r="M14" s="62">
        <f t="shared" si="10"/>
        <v>44.462953526929844</v>
      </c>
      <c r="N14" s="62">
        <f t="shared" si="10"/>
        <v>42.925483990298694</v>
      </c>
      <c r="O14" s="62">
        <f t="shared" si="10"/>
        <v>37.904517769386992</v>
      </c>
      <c r="P14" s="62">
        <f t="shared" si="10"/>
        <v>38.805867294442059</v>
      </c>
      <c r="Q14" s="62">
        <f t="shared" si="10"/>
        <v>40.661285925522236</v>
      </c>
      <c r="R14" s="62">
        <f t="shared" si="10"/>
        <v>56.495313269573977</v>
      </c>
      <c r="S14" s="62">
        <f t="shared" si="10"/>
        <v>64.994663870999034</v>
      </c>
      <c r="T14" s="62">
        <f t="shared" si="10"/>
        <v>66.488547594188461</v>
      </c>
      <c r="U14" s="62">
        <f t="shared" si="10"/>
        <v>67.655593572621484</v>
      </c>
      <c r="V14" s="62">
        <f t="shared" si="10"/>
        <v>60.594702021209287</v>
      </c>
      <c r="W14" s="62">
        <f t="shared" ref="W14:Y14" si="11">W15+W21</f>
        <v>63.918281053687792</v>
      </c>
      <c r="X14" s="62">
        <f t="shared" si="11"/>
        <v>64.290102356906033</v>
      </c>
      <c r="Y14" s="62">
        <f t="shared" si="11"/>
        <v>69.549747409666239</v>
      </c>
      <c r="DA14" s="172" t="s">
        <v>1035</v>
      </c>
    </row>
    <row r="15" spans="1:105" ht="11.45" customHeight="1" x14ac:dyDescent="0.25">
      <c r="A15" s="27" t="s">
        <v>33</v>
      </c>
      <c r="B15" s="29">
        <f t="shared" ref="B15" si="12">SUM(B16,B17,B20)</f>
        <v>39.325237407673555</v>
      </c>
      <c r="C15" s="29">
        <f t="shared" ref="C15:V15" si="13">SUM(C16,C17,C20)</f>
        <v>36.658312592533505</v>
      </c>
      <c r="D15" s="29">
        <f t="shared" si="13"/>
        <v>37.659010208149148</v>
      </c>
      <c r="E15" s="29">
        <f t="shared" si="13"/>
        <v>40.366970848176855</v>
      </c>
      <c r="F15" s="29">
        <f t="shared" si="13"/>
        <v>40.187691292775739</v>
      </c>
      <c r="G15" s="29">
        <f t="shared" si="13"/>
        <v>40.288904123285938</v>
      </c>
      <c r="H15" s="29">
        <f t="shared" si="13"/>
        <v>44.32637390422434</v>
      </c>
      <c r="I15" s="29">
        <f t="shared" si="13"/>
        <v>44.177319593486168</v>
      </c>
      <c r="J15" s="29">
        <f t="shared" si="13"/>
        <v>46.498571539807607</v>
      </c>
      <c r="K15" s="29">
        <f t="shared" si="13"/>
        <v>44.401727959685559</v>
      </c>
      <c r="L15" s="29">
        <f t="shared" si="13"/>
        <v>44.247223566461727</v>
      </c>
      <c r="M15" s="29">
        <f t="shared" si="13"/>
        <v>40.530134432451469</v>
      </c>
      <c r="N15" s="29">
        <f t="shared" si="13"/>
        <v>38.815727976086308</v>
      </c>
      <c r="O15" s="29">
        <f t="shared" si="13"/>
        <v>34.298809639906501</v>
      </c>
      <c r="P15" s="29">
        <f t="shared" si="13"/>
        <v>34.834198082823974</v>
      </c>
      <c r="Q15" s="29">
        <f t="shared" si="13"/>
        <v>36.299151430455623</v>
      </c>
      <c r="R15" s="29">
        <f t="shared" si="13"/>
        <v>51.62750908859357</v>
      </c>
      <c r="S15" s="29">
        <f t="shared" si="13"/>
        <v>60.257578708562313</v>
      </c>
      <c r="T15" s="29">
        <f t="shared" si="13"/>
        <v>61.573048026899393</v>
      </c>
      <c r="U15" s="29">
        <f t="shared" si="13"/>
        <v>63.316768263711246</v>
      </c>
      <c r="V15" s="29">
        <f t="shared" si="13"/>
        <v>55.841330742001929</v>
      </c>
      <c r="W15" s="29">
        <f t="shared" ref="W15:Y15" si="14">SUM(W16,W17,W20)</f>
        <v>58.879850068194919</v>
      </c>
      <c r="X15" s="29">
        <f t="shared" si="14"/>
        <v>60.05833899257329</v>
      </c>
      <c r="Y15" s="29">
        <f t="shared" si="14"/>
        <v>64.063070634961846</v>
      </c>
      <c r="DA15" s="173" t="s">
        <v>1036</v>
      </c>
    </row>
    <row r="16" spans="1:105" ht="11.45" customHeight="1" x14ac:dyDescent="0.25">
      <c r="A16" s="107" t="s">
        <v>23</v>
      </c>
      <c r="B16" s="115">
        <v>6.8452238551958127</v>
      </c>
      <c r="C16" s="115">
        <v>7.0389566058145627</v>
      </c>
      <c r="D16" s="115">
        <v>7.1035341893541455</v>
      </c>
      <c r="E16" s="115">
        <v>9.9449478650958039</v>
      </c>
      <c r="F16" s="115">
        <v>10.606769202488392</v>
      </c>
      <c r="G16" s="115">
        <v>11.03482297362965</v>
      </c>
      <c r="H16" s="115">
        <v>13.296143092120522</v>
      </c>
      <c r="I16" s="115">
        <v>13.791361598494056</v>
      </c>
      <c r="J16" s="115">
        <v>14.432021394250855</v>
      </c>
      <c r="K16" s="115">
        <v>14.210366133837599</v>
      </c>
      <c r="L16" s="115">
        <v>14.764325009154691</v>
      </c>
      <c r="M16" s="115">
        <v>14.615394882424809</v>
      </c>
      <c r="N16" s="115">
        <v>13.313416243054187</v>
      </c>
      <c r="O16" s="115">
        <v>12.421194899659122</v>
      </c>
      <c r="P16" s="115">
        <v>12.543967458533652</v>
      </c>
      <c r="Q16" s="115">
        <v>13.072426586840454</v>
      </c>
      <c r="R16" s="115">
        <v>13.530010044438203</v>
      </c>
      <c r="S16" s="115">
        <v>14.089708189999476</v>
      </c>
      <c r="T16" s="115">
        <v>14.664327069095272</v>
      </c>
      <c r="U16" s="115">
        <v>15.777975998417409</v>
      </c>
      <c r="V16" s="115">
        <v>14.267613733905579</v>
      </c>
      <c r="W16" s="115">
        <v>13.079194850274725</v>
      </c>
      <c r="X16" s="115">
        <v>14.87236400407332</v>
      </c>
      <c r="Y16" s="115">
        <v>15.587405259888177</v>
      </c>
      <c r="DA16" s="203" t="s">
        <v>1037</v>
      </c>
    </row>
    <row r="17" spans="1:105" ht="11.45" customHeight="1" x14ac:dyDescent="0.25">
      <c r="A17" s="109" t="s">
        <v>24</v>
      </c>
      <c r="B17" s="116">
        <f t="shared" ref="B17" si="15">SUM(B18:B19)</f>
        <v>32.480013552477743</v>
      </c>
      <c r="C17" s="116">
        <f t="shared" ref="C17:V17" si="16">SUM(C18:C19)</f>
        <v>29.619355986718944</v>
      </c>
      <c r="D17" s="116">
        <f t="shared" si="16"/>
        <v>30.555476018795005</v>
      </c>
      <c r="E17" s="116">
        <f t="shared" si="16"/>
        <v>30.422022983081053</v>
      </c>
      <c r="F17" s="116">
        <f t="shared" si="16"/>
        <v>27.12508535559347</v>
      </c>
      <c r="G17" s="116">
        <f t="shared" si="16"/>
        <v>26.494081149656289</v>
      </c>
      <c r="H17" s="116">
        <f t="shared" si="16"/>
        <v>28.105230812103819</v>
      </c>
      <c r="I17" s="116">
        <f t="shared" si="16"/>
        <v>27.322957994992109</v>
      </c>
      <c r="J17" s="116">
        <f t="shared" si="16"/>
        <v>28.943550145556756</v>
      </c>
      <c r="K17" s="116">
        <f t="shared" si="16"/>
        <v>27.069361825847963</v>
      </c>
      <c r="L17" s="116">
        <f t="shared" si="16"/>
        <v>26.338898557307036</v>
      </c>
      <c r="M17" s="116">
        <f t="shared" si="16"/>
        <v>22.781739550026657</v>
      </c>
      <c r="N17" s="116">
        <f t="shared" si="16"/>
        <v>22.381311733032121</v>
      </c>
      <c r="O17" s="116">
        <f t="shared" si="16"/>
        <v>18.767614740247382</v>
      </c>
      <c r="P17" s="116">
        <f t="shared" si="16"/>
        <v>19.192230624290321</v>
      </c>
      <c r="Q17" s="116">
        <f t="shared" si="16"/>
        <v>20.139724843615166</v>
      </c>
      <c r="R17" s="116">
        <f t="shared" si="16"/>
        <v>34.913499044155365</v>
      </c>
      <c r="S17" s="116">
        <f t="shared" si="16"/>
        <v>42.989870518562839</v>
      </c>
      <c r="T17" s="116">
        <f t="shared" si="16"/>
        <v>43.833720957804118</v>
      </c>
      <c r="U17" s="116">
        <f t="shared" si="16"/>
        <v>44.419792265293836</v>
      </c>
      <c r="V17" s="116">
        <f t="shared" si="16"/>
        <v>39.764717008096355</v>
      </c>
      <c r="W17" s="116">
        <f t="shared" ref="W17:Y17" si="17">SUM(W18:W19)</f>
        <v>43.590320298067056</v>
      </c>
      <c r="X17" s="116">
        <f t="shared" si="17"/>
        <v>42.396620752805518</v>
      </c>
      <c r="Y17" s="116">
        <f t="shared" si="17"/>
        <v>45.775745969682788</v>
      </c>
      <c r="DA17" s="176" t="s">
        <v>1038</v>
      </c>
    </row>
    <row r="18" spans="1:105" ht="11.45" customHeight="1" x14ac:dyDescent="0.25">
      <c r="A18" s="111" t="s">
        <v>92</v>
      </c>
      <c r="B18" s="87">
        <v>15.833402980227596</v>
      </c>
      <c r="C18" s="87">
        <v>13.533907571432076</v>
      </c>
      <c r="D18" s="87">
        <v>11.403526299416962</v>
      </c>
      <c r="E18" s="87">
        <v>10.160258431623994</v>
      </c>
      <c r="F18" s="87">
        <v>9.199207671295337</v>
      </c>
      <c r="G18" s="87">
        <v>8.4188888995149185</v>
      </c>
      <c r="H18" s="87">
        <v>8.2450872420151171</v>
      </c>
      <c r="I18" s="87">
        <v>8.1967048754745857</v>
      </c>
      <c r="J18" s="87">
        <v>8.4378759130905667</v>
      </c>
      <c r="K18" s="87">
        <v>7.0505637387212055</v>
      </c>
      <c r="L18" s="87">
        <v>6.3126998731358865</v>
      </c>
      <c r="M18" s="87">
        <v>5.6005434012085722</v>
      </c>
      <c r="N18" s="87">
        <v>4.3967201262606643</v>
      </c>
      <c r="O18" s="87">
        <v>3.9864366366787451</v>
      </c>
      <c r="P18" s="87">
        <v>4.1125146169753961</v>
      </c>
      <c r="Q18" s="87">
        <v>4.0869625806124041</v>
      </c>
      <c r="R18" s="87">
        <v>4.1073705186560927</v>
      </c>
      <c r="S18" s="87">
        <v>3.8928060183324886</v>
      </c>
      <c r="T18" s="87">
        <v>4.1425469189234105</v>
      </c>
      <c r="U18" s="87">
        <v>4.0376630070665156</v>
      </c>
      <c r="V18" s="87">
        <v>3.0999710655642345</v>
      </c>
      <c r="W18" s="87">
        <v>2.448835905452885</v>
      </c>
      <c r="X18" s="87">
        <v>2.4993134526746195</v>
      </c>
      <c r="Y18" s="87">
        <v>3.2991790426856737</v>
      </c>
      <c r="DA18" s="171" t="s">
        <v>1039</v>
      </c>
    </row>
    <row r="19" spans="1:105" ht="11.45" customHeight="1" x14ac:dyDescent="0.25">
      <c r="A19" s="111" t="s">
        <v>93</v>
      </c>
      <c r="B19" s="87">
        <v>16.646610572250147</v>
      </c>
      <c r="C19" s="87">
        <v>16.085448415286869</v>
      </c>
      <c r="D19" s="87">
        <v>19.151949719378045</v>
      </c>
      <c r="E19" s="87">
        <v>20.261764551457059</v>
      </c>
      <c r="F19" s="87">
        <v>17.925877684298133</v>
      </c>
      <c r="G19" s="87">
        <v>18.07519225014137</v>
      </c>
      <c r="H19" s="87">
        <v>19.860143570088702</v>
      </c>
      <c r="I19" s="87">
        <v>19.126253119517521</v>
      </c>
      <c r="J19" s="87">
        <v>20.505674232466191</v>
      </c>
      <c r="K19" s="87">
        <v>20.018798087126758</v>
      </c>
      <c r="L19" s="87">
        <v>20.026198684171149</v>
      </c>
      <c r="M19" s="87">
        <v>17.181196148818085</v>
      </c>
      <c r="N19" s="87">
        <v>17.984591606771456</v>
      </c>
      <c r="O19" s="87">
        <v>14.781178103568635</v>
      </c>
      <c r="P19" s="87">
        <v>15.079716007314925</v>
      </c>
      <c r="Q19" s="87">
        <v>16.052762263002762</v>
      </c>
      <c r="R19" s="87">
        <v>30.806128525499272</v>
      </c>
      <c r="S19" s="87">
        <v>39.097064500230353</v>
      </c>
      <c r="T19" s="87">
        <v>39.69117403888071</v>
      </c>
      <c r="U19" s="87">
        <v>40.382129258227323</v>
      </c>
      <c r="V19" s="87">
        <v>36.664745942532122</v>
      </c>
      <c r="W19" s="87">
        <v>41.141484392614174</v>
      </c>
      <c r="X19" s="87">
        <v>39.897307300130898</v>
      </c>
      <c r="Y19" s="87">
        <v>42.476566926997116</v>
      </c>
      <c r="DA19" s="171" t="s">
        <v>1040</v>
      </c>
    </row>
    <row r="20" spans="1:105" ht="11.45" customHeight="1" x14ac:dyDescent="0.25">
      <c r="A20" s="112" t="s">
        <v>25</v>
      </c>
      <c r="B20" s="117">
        <v>0</v>
      </c>
      <c r="C20" s="117">
        <v>0</v>
      </c>
      <c r="D20" s="117">
        <v>0</v>
      </c>
      <c r="E20" s="117">
        <v>0</v>
      </c>
      <c r="F20" s="117">
        <v>2.4558367346938774</v>
      </c>
      <c r="G20" s="117">
        <v>2.76</v>
      </c>
      <c r="H20" s="117">
        <v>2.9249999999999998</v>
      </c>
      <c r="I20" s="117">
        <v>3.0630000000000002</v>
      </c>
      <c r="J20" s="117">
        <v>3.1230000000000002</v>
      </c>
      <c r="K20" s="117">
        <v>3.1219999999999999</v>
      </c>
      <c r="L20" s="117">
        <v>3.1440000000000001</v>
      </c>
      <c r="M20" s="117">
        <v>3.1329999999999996</v>
      </c>
      <c r="N20" s="117">
        <v>3.121</v>
      </c>
      <c r="O20" s="117">
        <v>3.11</v>
      </c>
      <c r="P20" s="117">
        <v>3.0979999999999999</v>
      </c>
      <c r="Q20" s="117">
        <v>3.0870000000000002</v>
      </c>
      <c r="R20" s="117">
        <v>3.1840000000000002</v>
      </c>
      <c r="S20" s="117">
        <v>3.1779999999999999</v>
      </c>
      <c r="T20" s="117">
        <v>3.0750000000000002</v>
      </c>
      <c r="U20" s="117">
        <v>3.1190000000000002</v>
      </c>
      <c r="V20" s="117">
        <v>1.8089999999999999</v>
      </c>
      <c r="W20" s="117">
        <v>2.2103349198531386</v>
      </c>
      <c r="X20" s="117">
        <v>2.7893542356944563</v>
      </c>
      <c r="Y20" s="117">
        <v>2.6999194053908839</v>
      </c>
      <c r="DA20" s="204" t="s">
        <v>1041</v>
      </c>
    </row>
    <row r="21" spans="1:105" ht="11.45" customHeight="1" x14ac:dyDescent="0.25">
      <c r="A21" s="27" t="s">
        <v>34</v>
      </c>
      <c r="B21" s="29">
        <f t="shared" ref="B21" si="18">SUM(B22:B23)</f>
        <v>4.0013061304902262</v>
      </c>
      <c r="C21" s="29">
        <f t="shared" ref="C21:V21" si="19">SUM(C22:C23)</f>
        <v>3.9851312625161546</v>
      </c>
      <c r="D21" s="29">
        <f t="shared" si="19"/>
        <v>4.0762864236638903</v>
      </c>
      <c r="E21" s="29">
        <f t="shared" si="19"/>
        <v>3.7854246985344471</v>
      </c>
      <c r="F21" s="29">
        <f t="shared" si="19"/>
        <v>4.2396935163228688</v>
      </c>
      <c r="G21" s="29">
        <f t="shared" si="19"/>
        <v>4.385142603610098</v>
      </c>
      <c r="H21" s="29">
        <f t="shared" si="19"/>
        <v>4.4237498057963576</v>
      </c>
      <c r="I21" s="29">
        <f t="shared" si="19"/>
        <v>4.5014530267008617</v>
      </c>
      <c r="J21" s="29">
        <f t="shared" si="19"/>
        <v>4.5981048625087615</v>
      </c>
      <c r="K21" s="29">
        <f t="shared" si="19"/>
        <v>4.0714252995547113</v>
      </c>
      <c r="L21" s="29">
        <f t="shared" si="19"/>
        <v>4.2298554537474011</v>
      </c>
      <c r="M21" s="29">
        <f t="shared" si="19"/>
        <v>3.9328190944783783</v>
      </c>
      <c r="N21" s="29">
        <f t="shared" si="19"/>
        <v>4.1097560142123895</v>
      </c>
      <c r="O21" s="29">
        <f t="shared" si="19"/>
        <v>3.6057081294804907</v>
      </c>
      <c r="P21" s="29">
        <f t="shared" si="19"/>
        <v>3.9716692116180865</v>
      </c>
      <c r="Q21" s="29">
        <f t="shared" si="19"/>
        <v>4.362134495066611</v>
      </c>
      <c r="R21" s="29">
        <f t="shared" si="19"/>
        <v>4.8678041809804071</v>
      </c>
      <c r="S21" s="29">
        <f t="shared" si="19"/>
        <v>4.7370851624367223</v>
      </c>
      <c r="T21" s="29">
        <f t="shared" si="19"/>
        <v>4.9154995672890722</v>
      </c>
      <c r="U21" s="29">
        <f t="shared" si="19"/>
        <v>4.3388253089102449</v>
      </c>
      <c r="V21" s="29">
        <f t="shared" si="19"/>
        <v>4.7533712792073537</v>
      </c>
      <c r="W21" s="29">
        <f t="shared" ref="W21:Y21" si="20">SUM(W22:W23)</f>
        <v>5.0384309854928739</v>
      </c>
      <c r="X21" s="29">
        <f t="shared" si="20"/>
        <v>4.2317633643327488</v>
      </c>
      <c r="Y21" s="29">
        <f t="shared" si="20"/>
        <v>5.4866767747043879</v>
      </c>
      <c r="DA21" s="173" t="s">
        <v>1042</v>
      </c>
    </row>
    <row r="22" spans="1:105" ht="11.45" customHeight="1" x14ac:dyDescent="0.25">
      <c r="A22" s="83" t="s">
        <v>92</v>
      </c>
      <c r="B22" s="87">
        <v>2.0535916739335152</v>
      </c>
      <c r="C22" s="87">
        <v>1.566482228285984</v>
      </c>
      <c r="D22" s="87">
        <v>1.3662766337549739</v>
      </c>
      <c r="E22" s="87">
        <v>1.1216000582200703</v>
      </c>
      <c r="F22" s="87">
        <v>1.1047909313109856</v>
      </c>
      <c r="G22" s="87">
        <v>1.1339095398497872</v>
      </c>
      <c r="H22" s="87">
        <v>1.0557839678473535</v>
      </c>
      <c r="I22" s="87">
        <v>1.2130531960827089</v>
      </c>
      <c r="J22" s="87">
        <v>1.0497463907458948</v>
      </c>
      <c r="K22" s="87">
        <v>0.75238827921003737</v>
      </c>
      <c r="L22" s="87">
        <v>0.75551126546120473</v>
      </c>
      <c r="M22" s="87">
        <v>0.74796092812966464</v>
      </c>
      <c r="N22" s="87">
        <v>0.64955119300177777</v>
      </c>
      <c r="O22" s="87">
        <v>0.6793804723856095</v>
      </c>
      <c r="P22" s="87">
        <v>0.71390381358924204</v>
      </c>
      <c r="Q22" s="87">
        <v>0.78799761502046972</v>
      </c>
      <c r="R22" s="87">
        <v>0.58088695249042677</v>
      </c>
      <c r="S22" s="87">
        <v>0.91443507585107509</v>
      </c>
      <c r="T22" s="87">
        <v>0.77606632454502056</v>
      </c>
      <c r="U22" s="87">
        <v>0.89024539830467042</v>
      </c>
      <c r="V22" s="87">
        <v>0.99862028485397836</v>
      </c>
      <c r="W22" s="87">
        <v>1.2540339357590511</v>
      </c>
      <c r="X22" s="87">
        <v>0.92510070036266467</v>
      </c>
      <c r="Y22" s="87">
        <v>0.90751938431403434</v>
      </c>
      <c r="DA22" s="171" t="s">
        <v>1043</v>
      </c>
    </row>
    <row r="23" spans="1:105" ht="11.45" customHeight="1" x14ac:dyDescent="0.25">
      <c r="A23" s="85" t="s">
        <v>93</v>
      </c>
      <c r="B23" s="88">
        <v>1.947714456556711</v>
      </c>
      <c r="C23" s="88">
        <v>2.4186490342301705</v>
      </c>
      <c r="D23" s="88">
        <v>2.7100097899089164</v>
      </c>
      <c r="E23" s="88">
        <v>2.6638246403143766</v>
      </c>
      <c r="F23" s="88">
        <v>3.1349025850118832</v>
      </c>
      <c r="G23" s="88">
        <v>3.2512330637603108</v>
      </c>
      <c r="H23" s="88">
        <v>3.3679658379490043</v>
      </c>
      <c r="I23" s="88">
        <v>3.2883998306181526</v>
      </c>
      <c r="J23" s="88">
        <v>3.5483584717628665</v>
      </c>
      <c r="K23" s="88">
        <v>3.3190370203446742</v>
      </c>
      <c r="L23" s="88">
        <v>3.4743441882861963</v>
      </c>
      <c r="M23" s="88">
        <v>3.1848581663487137</v>
      </c>
      <c r="N23" s="88">
        <v>3.4602048212106116</v>
      </c>
      <c r="O23" s="88">
        <v>2.9263276570948813</v>
      </c>
      <c r="P23" s="88">
        <v>3.2577653980288446</v>
      </c>
      <c r="Q23" s="88">
        <v>3.5741368800461411</v>
      </c>
      <c r="R23" s="88">
        <v>4.2869172284899806</v>
      </c>
      <c r="S23" s="88">
        <v>3.8226500865856474</v>
      </c>
      <c r="T23" s="88">
        <v>4.1394332427440519</v>
      </c>
      <c r="U23" s="88">
        <v>3.4485799106055746</v>
      </c>
      <c r="V23" s="88">
        <v>3.7547509943533752</v>
      </c>
      <c r="W23" s="88">
        <v>3.7843970497338226</v>
      </c>
      <c r="X23" s="88">
        <v>3.306662663970084</v>
      </c>
      <c r="Y23" s="88">
        <v>4.5791573903903533</v>
      </c>
      <c r="DA23" s="178" t="s">
        <v>1044</v>
      </c>
    </row>
    <row r="24" spans="1:105" x14ac:dyDescent="0.25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14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DA24" s="171"/>
    </row>
    <row r="25" spans="1:105" ht="11.45" customHeight="1" x14ac:dyDescent="0.25">
      <c r="A25" s="53" t="s">
        <v>97</v>
      </c>
      <c r="B25" s="62">
        <f t="shared" ref="B25" si="21">B26+B32</f>
        <v>298.76926399999996</v>
      </c>
      <c r="C25" s="62">
        <f t="shared" ref="C25:V25" si="22">C26+C32</f>
        <v>287.561666</v>
      </c>
      <c r="D25" s="62">
        <f t="shared" si="22"/>
        <v>298.46648299999998</v>
      </c>
      <c r="E25" s="62">
        <f t="shared" si="22"/>
        <v>319.88296000000003</v>
      </c>
      <c r="F25" s="62">
        <f t="shared" si="22"/>
        <v>311.03218499999997</v>
      </c>
      <c r="G25" s="62">
        <f t="shared" si="22"/>
        <v>305.00282900000002</v>
      </c>
      <c r="H25" s="62">
        <f t="shared" si="22"/>
        <v>336.86098599999997</v>
      </c>
      <c r="I25" s="62">
        <f t="shared" si="22"/>
        <v>336.84300300000001</v>
      </c>
      <c r="J25" s="62">
        <f t="shared" si="22"/>
        <v>354.08772199999999</v>
      </c>
      <c r="K25" s="62">
        <f t="shared" si="22"/>
        <v>337.57743299999998</v>
      </c>
      <c r="L25" s="62">
        <f t="shared" si="22"/>
        <v>337.94974000000002</v>
      </c>
      <c r="M25" s="62">
        <f t="shared" si="22"/>
        <v>319.73877199999998</v>
      </c>
      <c r="N25" s="62">
        <f t="shared" si="22"/>
        <v>303.38849099999999</v>
      </c>
      <c r="O25" s="62">
        <f t="shared" si="22"/>
        <v>282.50788799999998</v>
      </c>
      <c r="P25" s="62">
        <f t="shared" si="22"/>
        <v>268.99165699999998</v>
      </c>
      <c r="Q25" s="62">
        <f t="shared" si="22"/>
        <v>281.90241700000001</v>
      </c>
      <c r="R25" s="62">
        <f t="shared" si="22"/>
        <v>387.180091</v>
      </c>
      <c r="S25" s="62">
        <f t="shared" si="22"/>
        <v>446.79585700000001</v>
      </c>
      <c r="T25" s="62">
        <f t="shared" si="22"/>
        <v>457.18992700000001</v>
      </c>
      <c r="U25" s="62">
        <f t="shared" si="22"/>
        <v>470.81818900000002</v>
      </c>
      <c r="V25" s="62">
        <f t="shared" si="22"/>
        <v>446.83855899999998</v>
      </c>
      <c r="W25" s="62">
        <f t="shared" ref="W25:Y25" si="23">W26+W32</f>
        <v>453.86013400000007</v>
      </c>
      <c r="X25" s="62">
        <f t="shared" si="23"/>
        <v>448.114509</v>
      </c>
      <c r="Y25" s="62">
        <f t="shared" si="23"/>
        <v>481.38426500000003</v>
      </c>
      <c r="DA25" s="172" t="s">
        <v>1045</v>
      </c>
    </row>
    <row r="26" spans="1:105" ht="11.45" customHeight="1" x14ac:dyDescent="0.25">
      <c r="A26" s="27" t="s">
        <v>33</v>
      </c>
      <c r="B26" s="29">
        <f t="shared" ref="B26" si="24">SUM(B27,B28,B31)</f>
        <v>278.76273199999997</v>
      </c>
      <c r="C26" s="29">
        <f t="shared" ref="C26:V26" si="25">SUM(C27,C28,C31)</f>
        <v>266.22725600000001</v>
      </c>
      <c r="D26" s="29">
        <f t="shared" si="25"/>
        <v>276.702065</v>
      </c>
      <c r="E26" s="29">
        <f t="shared" si="25"/>
        <v>299.376262</v>
      </c>
      <c r="F26" s="29">
        <f t="shared" si="25"/>
        <v>289.19689299999999</v>
      </c>
      <c r="G26" s="29">
        <f t="shared" si="25"/>
        <v>283.07711499999999</v>
      </c>
      <c r="H26" s="29">
        <f t="shared" si="25"/>
        <v>314.74223599999999</v>
      </c>
      <c r="I26" s="29">
        <f t="shared" si="25"/>
        <v>314.33573699999999</v>
      </c>
      <c r="J26" s="29">
        <f t="shared" si="25"/>
        <v>331.09719699999999</v>
      </c>
      <c r="K26" s="29">
        <f t="shared" si="25"/>
        <v>316.58756</v>
      </c>
      <c r="L26" s="29">
        <f t="shared" si="25"/>
        <v>316.80046200000004</v>
      </c>
      <c r="M26" s="29">
        <f t="shared" si="25"/>
        <v>299.60110299999997</v>
      </c>
      <c r="N26" s="29">
        <f t="shared" si="25"/>
        <v>282.83970999999997</v>
      </c>
      <c r="O26" s="29">
        <f t="shared" si="25"/>
        <v>262.783817</v>
      </c>
      <c r="P26" s="29">
        <f t="shared" si="25"/>
        <v>249.13330999999999</v>
      </c>
      <c r="Q26" s="29">
        <f t="shared" si="25"/>
        <v>260.09174300000001</v>
      </c>
      <c r="R26" s="29">
        <f t="shared" si="25"/>
        <v>362.83231000000001</v>
      </c>
      <c r="S26" s="29">
        <f t="shared" si="25"/>
        <v>421.76295099999999</v>
      </c>
      <c r="T26" s="29">
        <f t="shared" si="25"/>
        <v>432.61242800000002</v>
      </c>
      <c r="U26" s="29">
        <f t="shared" si="25"/>
        <v>446.64365200000003</v>
      </c>
      <c r="V26" s="29">
        <f t="shared" si="25"/>
        <v>423.07170199999996</v>
      </c>
      <c r="W26" s="29">
        <f t="shared" ref="W26:Y26" si="26">SUM(W27,W28,W31)</f>
        <v>428.66797800000006</v>
      </c>
      <c r="X26" s="29">
        <f t="shared" si="26"/>
        <v>424.92300499999999</v>
      </c>
      <c r="Y26" s="29">
        <f t="shared" si="26"/>
        <v>453.95088100000004</v>
      </c>
      <c r="DA26" s="173" t="s">
        <v>1046</v>
      </c>
    </row>
    <row r="27" spans="1:105" ht="11.45" customHeight="1" x14ac:dyDescent="0.25">
      <c r="A27" s="107" t="s">
        <v>23</v>
      </c>
      <c r="B27" s="115">
        <v>62.229307999999996</v>
      </c>
      <c r="C27" s="115">
        <v>63.990514999999995</v>
      </c>
      <c r="D27" s="115">
        <v>64.577584000000002</v>
      </c>
      <c r="E27" s="115">
        <v>90.408616999999992</v>
      </c>
      <c r="F27" s="115">
        <v>96.425174999999996</v>
      </c>
      <c r="G27" s="115">
        <v>100.31657299999999</v>
      </c>
      <c r="H27" s="115">
        <v>120.87402899999999</v>
      </c>
      <c r="I27" s="115">
        <v>125.376015</v>
      </c>
      <c r="J27" s="115">
        <v>131.20019500000001</v>
      </c>
      <c r="K27" s="115">
        <v>129.185147</v>
      </c>
      <c r="L27" s="115">
        <v>134.221137</v>
      </c>
      <c r="M27" s="115">
        <v>132.86722699999999</v>
      </c>
      <c r="N27" s="115">
        <v>126.64429699999999</v>
      </c>
      <c r="O27" s="115">
        <v>120.421367</v>
      </c>
      <c r="P27" s="115">
        <v>114.198437</v>
      </c>
      <c r="Q27" s="115">
        <v>118.840242</v>
      </c>
      <c r="R27" s="115">
        <v>123.000092</v>
      </c>
      <c r="S27" s="115">
        <v>128.088257</v>
      </c>
      <c r="T27" s="115">
        <v>133.31206499999999</v>
      </c>
      <c r="U27" s="115">
        <v>143.43614600000001</v>
      </c>
      <c r="V27" s="115">
        <v>137.21321599999999</v>
      </c>
      <c r="W27" s="115">
        <v>130.990286</v>
      </c>
      <c r="X27" s="115">
        <v>135.20330999999999</v>
      </c>
      <c r="Y27" s="115">
        <v>141.70368500000001</v>
      </c>
      <c r="DA27" s="203" t="s">
        <v>1047</v>
      </c>
    </row>
    <row r="28" spans="1:105" ht="11.45" customHeight="1" x14ac:dyDescent="0.25">
      <c r="A28" s="109" t="s">
        <v>24</v>
      </c>
      <c r="B28" s="116">
        <f t="shared" ref="B28" si="27">SUM(B29:B30)</f>
        <v>216.533424</v>
      </c>
      <c r="C28" s="116">
        <f t="shared" ref="C28:V28" si="28">SUM(C29:C30)</f>
        <v>202.23674099999999</v>
      </c>
      <c r="D28" s="116">
        <f t="shared" si="28"/>
        <v>212.124481</v>
      </c>
      <c r="E28" s="116">
        <f t="shared" si="28"/>
        <v>208.967645</v>
      </c>
      <c r="F28" s="116">
        <f t="shared" si="28"/>
        <v>187.314303</v>
      </c>
      <c r="G28" s="116">
        <f t="shared" si="28"/>
        <v>176.627208</v>
      </c>
      <c r="H28" s="116">
        <f t="shared" si="28"/>
        <v>187.36820699999998</v>
      </c>
      <c r="I28" s="116">
        <f t="shared" si="28"/>
        <v>182.15305499999999</v>
      </c>
      <c r="J28" s="116">
        <f t="shared" si="28"/>
        <v>192.95700199999999</v>
      </c>
      <c r="K28" s="116">
        <f t="shared" si="28"/>
        <v>180.462413</v>
      </c>
      <c r="L28" s="116">
        <f t="shared" si="28"/>
        <v>175.592658</v>
      </c>
      <c r="M28" s="116">
        <f t="shared" si="28"/>
        <v>159.747209</v>
      </c>
      <c r="N28" s="116">
        <f t="shared" si="28"/>
        <v>149.20874599999999</v>
      </c>
      <c r="O28" s="116">
        <f t="shared" si="28"/>
        <v>135.37578300000001</v>
      </c>
      <c r="P28" s="116">
        <f t="shared" si="28"/>
        <v>127.948206</v>
      </c>
      <c r="Q28" s="116">
        <f t="shared" si="28"/>
        <v>134.26483400000001</v>
      </c>
      <c r="R28" s="116">
        <f t="shared" si="28"/>
        <v>232.75666200000001</v>
      </c>
      <c r="S28" s="116">
        <f t="shared" si="28"/>
        <v>286.59913799999998</v>
      </c>
      <c r="T28" s="116">
        <f t="shared" si="28"/>
        <v>292.224807</v>
      </c>
      <c r="U28" s="116">
        <f t="shared" si="28"/>
        <v>296.13195000000002</v>
      </c>
      <c r="V28" s="116">
        <f t="shared" si="28"/>
        <v>278.78292999999996</v>
      </c>
      <c r="W28" s="116">
        <f t="shared" ref="W28:Y28" si="29">SUM(W29:W30)</f>
        <v>290.60213600000003</v>
      </c>
      <c r="X28" s="116">
        <f t="shared" si="29"/>
        <v>282.644139</v>
      </c>
      <c r="Y28" s="116">
        <f t="shared" si="29"/>
        <v>305.17164000000002</v>
      </c>
      <c r="DA28" s="176" t="s">
        <v>1048</v>
      </c>
    </row>
    <row r="29" spans="1:105" ht="11.45" customHeight="1" x14ac:dyDescent="0.25">
      <c r="A29" s="111" t="s">
        <v>92</v>
      </c>
      <c r="B29" s="87">
        <v>105.55602</v>
      </c>
      <c r="C29" s="87">
        <v>95.000417999999996</v>
      </c>
      <c r="D29" s="87">
        <v>84.444816000000003</v>
      </c>
      <c r="E29" s="87">
        <v>73.889213999999996</v>
      </c>
      <c r="F29" s="87">
        <v>63.333612000000002</v>
      </c>
      <c r="G29" s="87">
        <v>56.125926</v>
      </c>
      <c r="H29" s="87">
        <v>54.967248999999995</v>
      </c>
      <c r="I29" s="87">
        <v>54.6447</v>
      </c>
      <c r="J29" s="87">
        <v>56.252506999999994</v>
      </c>
      <c r="K29" s="87">
        <v>47.003758999999995</v>
      </c>
      <c r="L29" s="87">
        <v>42.084665999999999</v>
      </c>
      <c r="M29" s="87">
        <v>37.336956999999998</v>
      </c>
      <c r="N29" s="87">
        <v>29.311468000000001</v>
      </c>
      <c r="O29" s="87">
        <v>26.576245</v>
      </c>
      <c r="P29" s="87">
        <v>27.416765000000002</v>
      </c>
      <c r="Q29" s="87">
        <v>27.246418000000002</v>
      </c>
      <c r="R29" s="87">
        <v>27.382471000000002</v>
      </c>
      <c r="S29" s="87">
        <v>25.952041000000001</v>
      </c>
      <c r="T29" s="87">
        <v>27.616980000000002</v>
      </c>
      <c r="U29" s="87">
        <v>26.917754000000002</v>
      </c>
      <c r="V29" s="87">
        <v>20.666474000000001</v>
      </c>
      <c r="W29" s="87">
        <v>16.325573000000002</v>
      </c>
      <c r="X29" s="87">
        <v>16.662090000000003</v>
      </c>
      <c r="Y29" s="87">
        <v>21.994527000000001</v>
      </c>
      <c r="DA29" s="171" t="s">
        <v>1049</v>
      </c>
    </row>
    <row r="30" spans="1:105" ht="11.45" customHeight="1" x14ac:dyDescent="0.25">
      <c r="A30" s="111" t="s">
        <v>93</v>
      </c>
      <c r="B30" s="87">
        <v>110.97740399999999</v>
      </c>
      <c r="C30" s="87">
        <v>107.236323</v>
      </c>
      <c r="D30" s="87">
        <v>127.679665</v>
      </c>
      <c r="E30" s="87">
        <v>135.07843099999999</v>
      </c>
      <c r="F30" s="87">
        <v>123.98069099999999</v>
      </c>
      <c r="G30" s="87">
        <v>120.501282</v>
      </c>
      <c r="H30" s="87">
        <v>132.400958</v>
      </c>
      <c r="I30" s="87">
        <v>127.50835499999999</v>
      </c>
      <c r="J30" s="87">
        <v>136.70449500000001</v>
      </c>
      <c r="K30" s="87">
        <v>133.458654</v>
      </c>
      <c r="L30" s="87">
        <v>133.507992</v>
      </c>
      <c r="M30" s="87">
        <v>122.410252</v>
      </c>
      <c r="N30" s="87">
        <v>119.897278</v>
      </c>
      <c r="O30" s="87">
        <v>108.799538</v>
      </c>
      <c r="P30" s="87">
        <v>100.531441</v>
      </c>
      <c r="Q30" s="87">
        <v>107.018416</v>
      </c>
      <c r="R30" s="87">
        <v>205.374191</v>
      </c>
      <c r="S30" s="87">
        <v>260.64709699999997</v>
      </c>
      <c r="T30" s="87">
        <v>264.60782699999999</v>
      </c>
      <c r="U30" s="87">
        <v>269.21419600000002</v>
      </c>
      <c r="V30" s="87">
        <v>258.11645599999997</v>
      </c>
      <c r="W30" s="87">
        <v>274.27656300000001</v>
      </c>
      <c r="X30" s="87">
        <v>265.98204900000002</v>
      </c>
      <c r="Y30" s="87">
        <v>283.17711300000002</v>
      </c>
      <c r="DA30" s="171" t="s">
        <v>1050</v>
      </c>
    </row>
    <row r="31" spans="1:105" ht="11.45" customHeight="1" x14ac:dyDescent="0.25">
      <c r="A31" s="112" t="s">
        <v>25</v>
      </c>
      <c r="B31" s="117">
        <v>0</v>
      </c>
      <c r="C31" s="117">
        <v>0</v>
      </c>
      <c r="D31" s="117">
        <v>0</v>
      </c>
      <c r="E31" s="117">
        <v>0</v>
      </c>
      <c r="F31" s="117">
        <v>5.4574150000000001</v>
      </c>
      <c r="G31" s="117">
        <v>6.1333340000000005</v>
      </c>
      <c r="H31" s="117">
        <v>6.5</v>
      </c>
      <c r="I31" s="117">
        <v>6.806667</v>
      </c>
      <c r="J31" s="117">
        <v>6.94</v>
      </c>
      <c r="K31" s="117">
        <v>6.94</v>
      </c>
      <c r="L31" s="117">
        <v>6.9866669999999997</v>
      </c>
      <c r="M31" s="117">
        <v>6.9866669999999997</v>
      </c>
      <c r="N31" s="117">
        <v>6.9866669999999997</v>
      </c>
      <c r="O31" s="117">
        <v>6.9866669999999997</v>
      </c>
      <c r="P31" s="117">
        <v>6.9866669999999997</v>
      </c>
      <c r="Q31" s="117">
        <v>6.9866669999999997</v>
      </c>
      <c r="R31" s="117">
        <v>7.0755559999999997</v>
      </c>
      <c r="S31" s="117">
        <v>7.0755559999999997</v>
      </c>
      <c r="T31" s="117">
        <v>7.0755559999999997</v>
      </c>
      <c r="U31" s="117">
        <v>7.0755559999999997</v>
      </c>
      <c r="V31" s="117">
        <v>7.0755559999999997</v>
      </c>
      <c r="W31" s="117">
        <v>7.0755559999999997</v>
      </c>
      <c r="X31" s="117">
        <v>7.0755559999999997</v>
      </c>
      <c r="Y31" s="117">
        <v>7.0755559999999997</v>
      </c>
      <c r="DA31" s="204" t="s">
        <v>1051</v>
      </c>
    </row>
    <row r="32" spans="1:105" ht="11.45" customHeight="1" x14ac:dyDescent="0.25">
      <c r="A32" s="27" t="s">
        <v>34</v>
      </c>
      <c r="B32" s="29">
        <f t="shared" ref="B32" si="30">SUM(B33:B34)</f>
        <v>20.006532</v>
      </c>
      <c r="C32" s="29">
        <f t="shared" ref="C32:V32" si="31">SUM(C33:C34)</f>
        <v>21.334409999999998</v>
      </c>
      <c r="D32" s="29">
        <f t="shared" si="31"/>
        <v>21.764417999999999</v>
      </c>
      <c r="E32" s="29">
        <f t="shared" si="31"/>
        <v>20.506698</v>
      </c>
      <c r="F32" s="29">
        <f t="shared" si="31"/>
        <v>21.835291999999999</v>
      </c>
      <c r="G32" s="29">
        <f t="shared" si="31"/>
        <v>21.925713999999999</v>
      </c>
      <c r="H32" s="29">
        <f t="shared" si="31"/>
        <v>22.118750000000002</v>
      </c>
      <c r="I32" s="29">
        <f t="shared" si="31"/>
        <v>22.507266000000001</v>
      </c>
      <c r="J32" s="29">
        <f t="shared" si="31"/>
        <v>22.990525000000002</v>
      </c>
      <c r="K32" s="29">
        <f t="shared" si="31"/>
        <v>20.989873000000003</v>
      </c>
      <c r="L32" s="29">
        <f t="shared" si="31"/>
        <v>21.149278000000002</v>
      </c>
      <c r="M32" s="29">
        <f t="shared" si="31"/>
        <v>20.137669000000002</v>
      </c>
      <c r="N32" s="29">
        <f t="shared" si="31"/>
        <v>20.548781000000002</v>
      </c>
      <c r="O32" s="29">
        <f t="shared" si="31"/>
        <v>19.724071000000002</v>
      </c>
      <c r="P32" s="29">
        <f t="shared" si="31"/>
        <v>19.858347000000002</v>
      </c>
      <c r="Q32" s="29">
        <f t="shared" si="31"/>
        <v>21.810674000000002</v>
      </c>
      <c r="R32" s="29">
        <f t="shared" si="31"/>
        <v>24.347781000000001</v>
      </c>
      <c r="S32" s="29">
        <f t="shared" si="31"/>
        <v>25.032906000000001</v>
      </c>
      <c r="T32" s="29">
        <f t="shared" si="31"/>
        <v>24.577499</v>
      </c>
      <c r="U32" s="29">
        <f t="shared" si="31"/>
        <v>24.174537000000001</v>
      </c>
      <c r="V32" s="29">
        <f t="shared" si="31"/>
        <v>23.766857000000002</v>
      </c>
      <c r="W32" s="29">
        <f t="shared" ref="W32:Y32" si="32">SUM(W33:W34)</f>
        <v>25.192156000000001</v>
      </c>
      <c r="X32" s="29">
        <f t="shared" si="32"/>
        <v>23.191504000000002</v>
      </c>
      <c r="Y32" s="29">
        <f t="shared" si="32"/>
        <v>27.433384000000004</v>
      </c>
      <c r="DA32" s="173" t="s">
        <v>1052</v>
      </c>
    </row>
    <row r="33" spans="1:105" ht="11.45" customHeight="1" x14ac:dyDescent="0.25">
      <c r="A33" s="83" t="s">
        <v>92</v>
      </c>
      <c r="B33" s="87">
        <v>10.267958999999999</v>
      </c>
      <c r="C33" s="87">
        <v>9.2411639999999995</v>
      </c>
      <c r="D33" s="87">
        <v>8.2143689999999996</v>
      </c>
      <c r="E33" s="87">
        <v>7.1875740000000006</v>
      </c>
      <c r="F33" s="87">
        <v>6.1607789999999998</v>
      </c>
      <c r="G33" s="87">
        <v>5.6695479999999998</v>
      </c>
      <c r="H33" s="87">
        <v>5.2789200000000003</v>
      </c>
      <c r="I33" s="87">
        <v>6.0652660000000003</v>
      </c>
      <c r="J33" s="87">
        <v>5.2487320000000004</v>
      </c>
      <c r="K33" s="87">
        <v>4.2219370000000005</v>
      </c>
      <c r="L33" s="87">
        <v>3.7775570000000003</v>
      </c>
      <c r="M33" s="87">
        <v>3.739805</v>
      </c>
      <c r="N33" s="87">
        <v>3.2477560000000003</v>
      </c>
      <c r="O33" s="87">
        <v>3.396903</v>
      </c>
      <c r="P33" s="87">
        <v>3.5695200000000002</v>
      </c>
      <c r="Q33" s="87">
        <v>3.9399890000000002</v>
      </c>
      <c r="R33" s="87">
        <v>2.9131940000000003</v>
      </c>
      <c r="S33" s="87">
        <v>4.5721759999999998</v>
      </c>
      <c r="T33" s="87">
        <v>3.8803320000000001</v>
      </c>
      <c r="U33" s="87">
        <v>4.4512270000000003</v>
      </c>
      <c r="V33" s="87">
        <v>4.9931020000000004</v>
      </c>
      <c r="W33" s="87">
        <v>6.2701700000000002</v>
      </c>
      <c r="X33" s="87">
        <v>5.2433750000000003</v>
      </c>
      <c r="Y33" s="87">
        <v>4.5375969999999999</v>
      </c>
      <c r="DA33" s="171" t="s">
        <v>1053</v>
      </c>
    </row>
    <row r="34" spans="1:105" ht="11.45" customHeight="1" x14ac:dyDescent="0.25">
      <c r="A34" s="85" t="s">
        <v>93</v>
      </c>
      <c r="B34" s="88">
        <v>9.7385729999999988</v>
      </c>
      <c r="C34" s="88">
        <v>12.093245999999999</v>
      </c>
      <c r="D34" s="88">
        <v>13.550049</v>
      </c>
      <c r="E34" s="88">
        <v>13.319123999999999</v>
      </c>
      <c r="F34" s="88">
        <v>15.674512999999999</v>
      </c>
      <c r="G34" s="88">
        <v>16.256166</v>
      </c>
      <c r="H34" s="88">
        <v>16.839830000000003</v>
      </c>
      <c r="I34" s="88">
        <v>16.442</v>
      </c>
      <c r="J34" s="88">
        <v>17.741793000000001</v>
      </c>
      <c r="K34" s="88">
        <v>16.767936000000002</v>
      </c>
      <c r="L34" s="88">
        <v>17.371721000000001</v>
      </c>
      <c r="M34" s="88">
        <v>16.397864000000002</v>
      </c>
      <c r="N34" s="88">
        <v>17.301025000000003</v>
      </c>
      <c r="O34" s="88">
        <v>16.327168</v>
      </c>
      <c r="P34" s="88">
        <v>16.288827000000001</v>
      </c>
      <c r="Q34" s="88">
        <v>17.870685000000002</v>
      </c>
      <c r="R34" s="88">
        <v>21.434587000000001</v>
      </c>
      <c r="S34" s="88">
        <v>20.460730000000002</v>
      </c>
      <c r="T34" s="88">
        <v>20.697167</v>
      </c>
      <c r="U34" s="88">
        <v>19.723310000000001</v>
      </c>
      <c r="V34" s="88">
        <v>18.773755000000001</v>
      </c>
      <c r="W34" s="88">
        <v>18.921986</v>
      </c>
      <c r="X34" s="88">
        <v>17.948129000000002</v>
      </c>
      <c r="Y34" s="88">
        <v>22.895787000000002</v>
      </c>
      <c r="DA34" s="178" t="s">
        <v>1054</v>
      </c>
    </row>
    <row r="35" spans="1:105" x14ac:dyDescent="0.2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14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DA35" s="171"/>
    </row>
    <row r="36" spans="1:105" ht="11.45" customHeight="1" x14ac:dyDescent="0.25">
      <c r="A36" s="53" t="s">
        <v>98</v>
      </c>
      <c r="B36" s="54"/>
      <c r="C36" s="54">
        <f t="shared" ref="C36" si="33">C37+C43</f>
        <v>6.6520069999999993</v>
      </c>
      <c r="D36" s="54">
        <f t="shared" ref="D36:V36" si="34">D37+D43</f>
        <v>28.087236000000019</v>
      </c>
      <c r="E36" s="54">
        <f t="shared" si="34"/>
        <v>38.598895999999996</v>
      </c>
      <c r="F36" s="54">
        <f t="shared" si="34"/>
        <v>16.365489000000011</v>
      </c>
      <c r="G36" s="54">
        <f t="shared" si="34"/>
        <v>7.6850970000000043</v>
      </c>
      <c r="H36" s="54">
        <f t="shared" si="34"/>
        <v>41.015488000000005</v>
      </c>
      <c r="I36" s="54">
        <f t="shared" si="34"/>
        <v>10.947075000000009</v>
      </c>
      <c r="J36" s="54">
        <f t="shared" si="34"/>
        <v>26.827956000000015</v>
      </c>
      <c r="K36" s="54">
        <f t="shared" si="34"/>
        <v>0.11796999999998548</v>
      </c>
      <c r="L36" s="54">
        <f t="shared" si="34"/>
        <v>11.335801999999997</v>
      </c>
      <c r="M36" s="54">
        <f t="shared" si="34"/>
        <v>1.1110029999999793</v>
      </c>
      <c r="N36" s="54">
        <f t="shared" si="34"/>
        <v>1.8571910000000038</v>
      </c>
      <c r="O36" s="54">
        <f t="shared" si="34"/>
        <v>0.95025199999999899</v>
      </c>
      <c r="P36" s="54">
        <f t="shared" si="34"/>
        <v>4.9142330000000038</v>
      </c>
      <c r="Q36" s="54">
        <f t="shared" si="34"/>
        <v>22.047110000000018</v>
      </c>
      <c r="R36" s="54">
        <f t="shared" si="34"/>
        <v>115.07117199999999</v>
      </c>
      <c r="S36" s="54">
        <f t="shared" si="34"/>
        <v>69.322863999999967</v>
      </c>
      <c r="T36" s="54">
        <f t="shared" si="34"/>
        <v>19.852616999999999</v>
      </c>
      <c r="U36" s="54">
        <f t="shared" si="34"/>
        <v>23.335360000000044</v>
      </c>
      <c r="V36" s="54">
        <f t="shared" si="34"/>
        <v>0.91152199999999972</v>
      </c>
      <c r="W36" s="54">
        <f t="shared" ref="W36:Y36" si="35">W37+W43</f>
        <v>21.422057000000041</v>
      </c>
      <c r="X36" s="54">
        <f t="shared" si="35"/>
        <v>9.849239999999984</v>
      </c>
      <c r="Y36" s="54">
        <f t="shared" si="35"/>
        <v>42.742237000000017</v>
      </c>
      <c r="DA36" s="172" t="s">
        <v>1055</v>
      </c>
    </row>
    <row r="37" spans="1:105" ht="11.45" customHeight="1" x14ac:dyDescent="0.25">
      <c r="A37" s="27" t="s">
        <v>33</v>
      </c>
      <c r="B37" s="28"/>
      <c r="C37" s="28">
        <f t="shared" ref="C37" si="36">SUM(C38,C39,C42)</f>
        <v>3.8942249999999987</v>
      </c>
      <c r="D37" s="28">
        <f t="shared" ref="D37:V37" si="37">SUM(D38,D39,D42)</f>
        <v>26.227324000000017</v>
      </c>
      <c r="E37" s="28">
        <f t="shared" si="37"/>
        <v>38.426711999999995</v>
      </c>
      <c r="F37" s="28">
        <f t="shared" si="37"/>
        <v>13.606991000000011</v>
      </c>
      <c r="G37" s="28">
        <f t="shared" si="37"/>
        <v>6.7003350000000026</v>
      </c>
      <c r="H37" s="28">
        <f t="shared" si="37"/>
        <v>40.028715000000005</v>
      </c>
      <c r="I37" s="28">
        <f t="shared" si="37"/>
        <v>9.785803000000012</v>
      </c>
      <c r="J37" s="28">
        <f t="shared" si="37"/>
        <v>25.125054000000013</v>
      </c>
      <c r="K37" s="28">
        <f t="shared" si="37"/>
        <v>0.11796999999998548</v>
      </c>
      <c r="L37" s="28">
        <f t="shared" si="37"/>
        <v>10.328907999999998</v>
      </c>
      <c r="M37" s="28">
        <f t="shared" si="37"/>
        <v>0.77910799999997948</v>
      </c>
      <c r="N37" s="28">
        <f t="shared" si="37"/>
        <v>0.55092100000000244</v>
      </c>
      <c r="O37" s="28">
        <f t="shared" si="37"/>
        <v>0.43145799999999923</v>
      </c>
      <c r="P37" s="28">
        <f t="shared" si="37"/>
        <v>4.007201000000002</v>
      </c>
      <c r="Q37" s="28">
        <f t="shared" si="37"/>
        <v>19.322027000000016</v>
      </c>
      <c r="R37" s="28">
        <f t="shared" si="37"/>
        <v>111.10416099999999</v>
      </c>
      <c r="S37" s="28">
        <f t="shared" si="37"/>
        <v>67.294234999999972</v>
      </c>
      <c r="T37" s="28">
        <f t="shared" si="37"/>
        <v>19.213070999999999</v>
      </c>
      <c r="U37" s="28">
        <f t="shared" si="37"/>
        <v>22.394818000000043</v>
      </c>
      <c r="V37" s="28">
        <f t="shared" si="37"/>
        <v>0</v>
      </c>
      <c r="W37" s="28">
        <f t="shared" ref="W37:Y37" si="38">SUM(W38,W39,W42)</f>
        <v>19.224002000000041</v>
      </c>
      <c r="X37" s="28">
        <f t="shared" si="38"/>
        <v>9.849239999999984</v>
      </c>
      <c r="Y37" s="28">
        <f t="shared" si="38"/>
        <v>37.391470000000012</v>
      </c>
      <c r="DA37" s="173" t="s">
        <v>1056</v>
      </c>
    </row>
    <row r="38" spans="1:105" ht="11.45" customHeight="1" x14ac:dyDescent="0.25">
      <c r="A38" s="107" t="s">
        <v>23</v>
      </c>
      <c r="B38" s="108"/>
      <c r="C38" s="108">
        <v>3.8942249999999987</v>
      </c>
      <c r="D38" s="108">
        <v>2.7200870000000137</v>
      </c>
      <c r="E38" s="108">
        <v>27.964050999999998</v>
      </c>
      <c r="F38" s="108">
        <v>8.1495760000000104</v>
      </c>
      <c r="G38" s="108">
        <v>6.0244160000000022</v>
      </c>
      <c r="H38" s="108">
        <v>22.690474000000009</v>
      </c>
      <c r="I38" s="108">
        <v>6.6350040000000092</v>
      </c>
      <c r="J38" s="108">
        <v>7.9571980000000053</v>
      </c>
      <c r="K38" s="108">
        <v>0.11796999999998548</v>
      </c>
      <c r="L38" s="108">
        <v>7.1690079999999909</v>
      </c>
      <c r="M38" s="108">
        <v>0.77910799999997948</v>
      </c>
      <c r="N38" s="108">
        <v>0</v>
      </c>
      <c r="O38" s="108">
        <v>0</v>
      </c>
      <c r="P38" s="108">
        <v>0</v>
      </c>
      <c r="Q38" s="108">
        <v>6.774823000000012</v>
      </c>
      <c r="R38" s="108">
        <v>6.2928679999999986</v>
      </c>
      <c r="S38" s="108">
        <v>7.2211829999999964</v>
      </c>
      <c r="T38" s="108">
        <v>7.3568259999999839</v>
      </c>
      <c r="U38" s="108">
        <v>12.257099000000011</v>
      </c>
      <c r="V38" s="108">
        <v>0</v>
      </c>
      <c r="W38" s="108">
        <v>0</v>
      </c>
      <c r="X38" s="108">
        <v>6.3460419999999829</v>
      </c>
      <c r="Y38" s="108">
        <v>8.6333930000000123</v>
      </c>
      <c r="DA38" s="203" t="s">
        <v>1057</v>
      </c>
    </row>
    <row r="39" spans="1:105" ht="11.45" customHeight="1" x14ac:dyDescent="0.25">
      <c r="A39" s="109" t="s">
        <v>24</v>
      </c>
      <c r="B39" s="110"/>
      <c r="C39" s="110">
        <f t="shared" ref="C39" si="39">SUM(C40:C41)</f>
        <v>0</v>
      </c>
      <c r="D39" s="110">
        <f t="shared" ref="D39:V39" si="40">SUM(D40:D41)</f>
        <v>23.507237000000003</v>
      </c>
      <c r="E39" s="110">
        <f t="shared" si="40"/>
        <v>10.462660999999997</v>
      </c>
      <c r="F39" s="110">
        <f t="shared" si="40"/>
        <v>0</v>
      </c>
      <c r="G39" s="110">
        <f t="shared" si="40"/>
        <v>0</v>
      </c>
      <c r="H39" s="110">
        <f t="shared" si="40"/>
        <v>16.971574999999994</v>
      </c>
      <c r="I39" s="110">
        <f t="shared" si="40"/>
        <v>2.8441320000000019</v>
      </c>
      <c r="J39" s="110">
        <f t="shared" si="40"/>
        <v>17.034523000000007</v>
      </c>
      <c r="K39" s="110">
        <f t="shared" si="40"/>
        <v>0</v>
      </c>
      <c r="L39" s="110">
        <f t="shared" si="40"/>
        <v>3.1132330000000081</v>
      </c>
      <c r="M39" s="110">
        <f t="shared" si="40"/>
        <v>0</v>
      </c>
      <c r="N39" s="110">
        <f t="shared" si="40"/>
        <v>0.55092100000000244</v>
      </c>
      <c r="O39" s="110">
        <f t="shared" si="40"/>
        <v>0.43145799999999923</v>
      </c>
      <c r="P39" s="110">
        <f t="shared" si="40"/>
        <v>4.007201000000002</v>
      </c>
      <c r="Q39" s="110">
        <f t="shared" si="40"/>
        <v>12.547204000000004</v>
      </c>
      <c r="R39" s="110">
        <f t="shared" si="40"/>
        <v>104.722404</v>
      </c>
      <c r="S39" s="110">
        <f t="shared" si="40"/>
        <v>60.073051999999976</v>
      </c>
      <c r="T39" s="110">
        <f t="shared" si="40"/>
        <v>11.856245000000015</v>
      </c>
      <c r="U39" s="110">
        <f t="shared" si="40"/>
        <v>10.137719000000033</v>
      </c>
      <c r="V39" s="110">
        <f t="shared" si="40"/>
        <v>0</v>
      </c>
      <c r="W39" s="110">
        <f t="shared" ref="W39:Y39" si="41">SUM(W40:W41)</f>
        <v>19.224002000000041</v>
      </c>
      <c r="X39" s="110">
        <f t="shared" si="41"/>
        <v>3.5031980000000011</v>
      </c>
      <c r="Y39" s="110">
        <f t="shared" si="41"/>
        <v>28.758077000000004</v>
      </c>
      <c r="DA39" s="176" t="s">
        <v>1058</v>
      </c>
    </row>
    <row r="40" spans="1:105" ht="11.45" customHeight="1" x14ac:dyDescent="0.25">
      <c r="A40" s="111" t="s">
        <v>92</v>
      </c>
      <c r="B40" s="84"/>
      <c r="C40" s="84">
        <v>0</v>
      </c>
      <c r="D40" s="84">
        <v>0</v>
      </c>
      <c r="E40" s="84">
        <v>0</v>
      </c>
      <c r="F40" s="84">
        <v>0</v>
      </c>
      <c r="G40" s="84">
        <v>0</v>
      </c>
      <c r="H40" s="84">
        <v>2.0080039999999926</v>
      </c>
      <c r="I40" s="84">
        <v>2.8441320000000019</v>
      </c>
      <c r="J40" s="84">
        <v>4.774487999999991</v>
      </c>
      <c r="K40" s="84">
        <v>0</v>
      </c>
      <c r="L40" s="84">
        <v>0</v>
      </c>
      <c r="M40" s="84">
        <v>0</v>
      </c>
      <c r="N40" s="84">
        <v>0</v>
      </c>
      <c r="O40" s="84">
        <v>0.43145799999999923</v>
      </c>
      <c r="P40" s="84">
        <v>4.007201000000002</v>
      </c>
      <c r="Q40" s="84">
        <v>2.9963340000000009</v>
      </c>
      <c r="R40" s="84">
        <v>3.3027340000000009</v>
      </c>
      <c r="S40" s="84">
        <v>1.7362509999999993</v>
      </c>
      <c r="T40" s="84">
        <v>4.8316200000000009</v>
      </c>
      <c r="U40" s="84">
        <v>2.4674550000000011</v>
      </c>
      <c r="V40" s="84">
        <v>0</v>
      </c>
      <c r="W40" s="84">
        <v>0</v>
      </c>
      <c r="X40" s="84">
        <v>3.5031980000000011</v>
      </c>
      <c r="Y40" s="84">
        <v>8.4991179999999993</v>
      </c>
      <c r="DA40" s="171" t="s">
        <v>1059</v>
      </c>
    </row>
    <row r="41" spans="1:105" ht="11.45" customHeight="1" x14ac:dyDescent="0.25">
      <c r="A41" s="111" t="s">
        <v>93</v>
      </c>
      <c r="B41" s="84"/>
      <c r="C41" s="84">
        <v>0</v>
      </c>
      <c r="D41" s="84">
        <v>23.507237000000003</v>
      </c>
      <c r="E41" s="84">
        <v>10.462660999999997</v>
      </c>
      <c r="F41" s="84">
        <v>0</v>
      </c>
      <c r="G41" s="84">
        <v>0</v>
      </c>
      <c r="H41" s="84">
        <v>14.963571000000002</v>
      </c>
      <c r="I41" s="84">
        <v>0</v>
      </c>
      <c r="J41" s="84">
        <v>12.260035000000016</v>
      </c>
      <c r="K41" s="84">
        <v>0</v>
      </c>
      <c r="L41" s="84">
        <v>3.1132330000000081</v>
      </c>
      <c r="M41" s="84">
        <v>0</v>
      </c>
      <c r="N41" s="84">
        <v>0.55092100000000244</v>
      </c>
      <c r="O41" s="84">
        <v>0</v>
      </c>
      <c r="P41" s="84">
        <v>0</v>
      </c>
      <c r="Q41" s="84">
        <v>9.5508700000000033</v>
      </c>
      <c r="R41" s="84">
        <v>101.41967</v>
      </c>
      <c r="S41" s="84">
        <v>58.33680099999998</v>
      </c>
      <c r="T41" s="84">
        <v>7.0246250000000146</v>
      </c>
      <c r="U41" s="84">
        <v>7.6702640000000315</v>
      </c>
      <c r="V41" s="84">
        <v>0</v>
      </c>
      <c r="W41" s="84">
        <v>19.224002000000041</v>
      </c>
      <c r="X41" s="84">
        <v>0</v>
      </c>
      <c r="Y41" s="84">
        <v>20.258959000000004</v>
      </c>
      <c r="DA41" s="171" t="s">
        <v>1060</v>
      </c>
    </row>
    <row r="42" spans="1:105" ht="11.45" customHeight="1" x14ac:dyDescent="0.25">
      <c r="A42" s="112" t="s">
        <v>25</v>
      </c>
      <c r="B42" s="113"/>
      <c r="C42" s="113">
        <v>0</v>
      </c>
      <c r="D42" s="113">
        <v>0</v>
      </c>
      <c r="E42" s="113">
        <v>0</v>
      </c>
      <c r="F42" s="113">
        <v>5.4574150000000001</v>
      </c>
      <c r="G42" s="113">
        <v>0.67591900000000038</v>
      </c>
      <c r="H42" s="113">
        <v>0.36666599999999949</v>
      </c>
      <c r="I42" s="113">
        <v>0.30666700000000002</v>
      </c>
      <c r="J42" s="113">
        <v>0.13333300000000037</v>
      </c>
      <c r="K42" s="113">
        <v>0</v>
      </c>
      <c r="L42" s="113">
        <v>4.6666999999999348E-2</v>
      </c>
      <c r="M42" s="113">
        <v>0</v>
      </c>
      <c r="N42" s="113">
        <v>0</v>
      </c>
      <c r="O42" s="113">
        <v>0</v>
      </c>
      <c r="P42" s="113">
        <v>0</v>
      </c>
      <c r="Q42" s="113">
        <v>0</v>
      </c>
      <c r="R42" s="113">
        <v>8.8888999999999996E-2</v>
      </c>
      <c r="S42" s="113">
        <v>0</v>
      </c>
      <c r="T42" s="113">
        <v>0</v>
      </c>
      <c r="U42" s="113">
        <v>0</v>
      </c>
      <c r="V42" s="113">
        <v>0</v>
      </c>
      <c r="W42" s="113">
        <v>0</v>
      </c>
      <c r="X42" s="113">
        <v>0</v>
      </c>
      <c r="Y42" s="113">
        <v>0</v>
      </c>
      <c r="DA42" s="204" t="s">
        <v>1061</v>
      </c>
    </row>
    <row r="43" spans="1:105" ht="11.45" customHeight="1" x14ac:dyDescent="0.25">
      <c r="A43" s="27" t="s">
        <v>34</v>
      </c>
      <c r="B43" s="28"/>
      <c r="C43" s="28">
        <f t="shared" ref="C43" si="42">SUM(C44:C45)</f>
        <v>2.7577820000000006</v>
      </c>
      <c r="D43" s="28">
        <f t="shared" ref="D43:V43" si="43">SUM(D44:D45)</f>
        <v>1.8599120000000013</v>
      </c>
      <c r="E43" s="28">
        <f t="shared" si="43"/>
        <v>0.17218399999999967</v>
      </c>
      <c r="F43" s="28">
        <f t="shared" si="43"/>
        <v>2.7584979999999995</v>
      </c>
      <c r="G43" s="28">
        <f t="shared" si="43"/>
        <v>0.98476200000000169</v>
      </c>
      <c r="H43" s="28">
        <f t="shared" si="43"/>
        <v>0.98677300000000301</v>
      </c>
      <c r="I43" s="28">
        <f t="shared" si="43"/>
        <v>1.1612719999999976</v>
      </c>
      <c r="J43" s="28">
        <f t="shared" si="43"/>
        <v>1.7029020000000017</v>
      </c>
      <c r="K43" s="28">
        <f t="shared" si="43"/>
        <v>0</v>
      </c>
      <c r="L43" s="28">
        <f t="shared" si="43"/>
        <v>1.0068939999999991</v>
      </c>
      <c r="M43" s="28">
        <f t="shared" si="43"/>
        <v>0.33189499999999983</v>
      </c>
      <c r="N43" s="28">
        <f t="shared" si="43"/>
        <v>1.3062700000000014</v>
      </c>
      <c r="O43" s="28">
        <f t="shared" si="43"/>
        <v>0.51879399999999976</v>
      </c>
      <c r="P43" s="28">
        <f t="shared" si="43"/>
        <v>0.90703200000000184</v>
      </c>
      <c r="Q43" s="28">
        <f t="shared" si="43"/>
        <v>2.725083000000001</v>
      </c>
      <c r="R43" s="28">
        <f t="shared" si="43"/>
        <v>3.9670109999999994</v>
      </c>
      <c r="S43" s="28">
        <f t="shared" si="43"/>
        <v>2.0286289999999991</v>
      </c>
      <c r="T43" s="28">
        <f t="shared" si="43"/>
        <v>0.63954599999999928</v>
      </c>
      <c r="U43" s="28">
        <f t="shared" si="43"/>
        <v>0.94054199999999977</v>
      </c>
      <c r="V43" s="28">
        <f t="shared" si="43"/>
        <v>0.91152199999999972</v>
      </c>
      <c r="W43" s="28">
        <f t="shared" ref="W43:Y43" si="44">SUM(W44:W45)</f>
        <v>2.1980549999999992</v>
      </c>
      <c r="X43" s="28">
        <f t="shared" si="44"/>
        <v>0</v>
      </c>
      <c r="Y43" s="28">
        <f t="shared" si="44"/>
        <v>5.3507670000000012</v>
      </c>
      <c r="DA43" s="173" t="s">
        <v>1062</v>
      </c>
    </row>
    <row r="44" spans="1:105" ht="11.45" customHeight="1" x14ac:dyDescent="0.25">
      <c r="A44" s="83" t="s">
        <v>92</v>
      </c>
      <c r="B44" s="84"/>
      <c r="C44" s="84">
        <v>0</v>
      </c>
      <c r="D44" s="84">
        <v>0</v>
      </c>
      <c r="E44" s="84">
        <v>0</v>
      </c>
      <c r="F44" s="84">
        <v>0</v>
      </c>
      <c r="G44" s="84">
        <v>0</v>
      </c>
      <c r="H44" s="84">
        <v>0</v>
      </c>
      <c r="I44" s="84">
        <v>1.1559929999999996</v>
      </c>
      <c r="J44" s="84">
        <v>0</v>
      </c>
      <c r="K44" s="84">
        <v>0</v>
      </c>
      <c r="L44" s="84">
        <v>0</v>
      </c>
      <c r="M44" s="84">
        <v>0.33189499999999983</v>
      </c>
      <c r="N44" s="84">
        <v>0</v>
      </c>
      <c r="O44" s="84">
        <v>0.51879399999999976</v>
      </c>
      <c r="P44" s="84">
        <v>0.5422640000000003</v>
      </c>
      <c r="Q44" s="84">
        <v>0.740116</v>
      </c>
      <c r="R44" s="84">
        <v>0</v>
      </c>
      <c r="S44" s="84">
        <v>2.0286289999999991</v>
      </c>
      <c r="T44" s="84">
        <v>0</v>
      </c>
      <c r="U44" s="84">
        <v>0.94054199999999977</v>
      </c>
      <c r="V44" s="84">
        <v>0.91152199999999972</v>
      </c>
      <c r="W44" s="84">
        <v>1.6467149999999995</v>
      </c>
      <c r="X44" s="84">
        <v>0</v>
      </c>
      <c r="Y44" s="84">
        <v>0</v>
      </c>
      <c r="DA44" s="171" t="s">
        <v>1063</v>
      </c>
    </row>
    <row r="45" spans="1:105" ht="11.45" customHeight="1" x14ac:dyDescent="0.25">
      <c r="A45" s="85" t="s">
        <v>93</v>
      </c>
      <c r="B45" s="86"/>
      <c r="C45" s="86">
        <v>2.7577820000000006</v>
      </c>
      <c r="D45" s="86">
        <v>1.8599120000000013</v>
      </c>
      <c r="E45" s="86">
        <v>0.17218399999999967</v>
      </c>
      <c r="F45" s="86">
        <v>2.7584979999999995</v>
      </c>
      <c r="G45" s="86">
        <v>0.98476200000000169</v>
      </c>
      <c r="H45" s="86">
        <v>0.98677300000000301</v>
      </c>
      <c r="I45" s="86">
        <v>5.2789999999980353E-3</v>
      </c>
      <c r="J45" s="86">
        <v>1.7029020000000017</v>
      </c>
      <c r="K45" s="86">
        <v>0</v>
      </c>
      <c r="L45" s="86">
        <v>1.0068939999999991</v>
      </c>
      <c r="M45" s="86">
        <v>0</v>
      </c>
      <c r="N45" s="86">
        <v>1.3062700000000014</v>
      </c>
      <c r="O45" s="86">
        <v>0</v>
      </c>
      <c r="P45" s="86">
        <v>0.36476800000000154</v>
      </c>
      <c r="Q45" s="86">
        <v>1.984967000000001</v>
      </c>
      <c r="R45" s="86">
        <v>3.9670109999999994</v>
      </c>
      <c r="S45" s="86">
        <v>0</v>
      </c>
      <c r="T45" s="86">
        <v>0.63954599999999928</v>
      </c>
      <c r="U45" s="86">
        <v>0</v>
      </c>
      <c r="V45" s="86">
        <v>0</v>
      </c>
      <c r="W45" s="86">
        <v>0.55133999999999972</v>
      </c>
      <c r="X45" s="86">
        <v>0</v>
      </c>
      <c r="Y45" s="86">
        <v>5.3507670000000012</v>
      </c>
      <c r="DA45" s="178" t="s">
        <v>1064</v>
      </c>
    </row>
    <row r="46" spans="1:105" x14ac:dyDescent="0.25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DA46" s="171"/>
    </row>
    <row r="47" spans="1:105" ht="11.45" customHeight="1" x14ac:dyDescent="0.25">
      <c r="A47" s="68" t="s">
        <v>36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DA47" s="179"/>
    </row>
    <row r="48" spans="1:105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DA48" s="208"/>
    </row>
    <row r="49" spans="1:105" ht="11.45" customHeight="1" x14ac:dyDescent="0.25">
      <c r="A49" s="53" t="s">
        <v>99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DA49" s="172"/>
    </row>
    <row r="50" spans="1:105" ht="11.45" customHeight="1" x14ac:dyDescent="0.25">
      <c r="A50" s="27" t="s">
        <v>100</v>
      </c>
      <c r="B50" s="29">
        <f t="shared" ref="B50:J50" si="45">IF(B4=0,0,B4/B15)</f>
        <v>116.00692839326163</v>
      </c>
      <c r="C50" s="29">
        <f t="shared" si="45"/>
        <v>123.76456195433522</v>
      </c>
      <c r="D50" s="29">
        <f t="shared" si="45"/>
        <v>118.82946405828906</v>
      </c>
      <c r="E50" s="29">
        <f t="shared" si="45"/>
        <v>112.04704997586605</v>
      </c>
      <c r="F50" s="29">
        <f t="shared" si="45"/>
        <v>114.43802448106121</v>
      </c>
      <c r="G50" s="29">
        <f t="shared" si="45"/>
        <v>115.5830892235299</v>
      </c>
      <c r="H50" s="29">
        <f t="shared" si="45"/>
        <v>109.72699933699012</v>
      </c>
      <c r="I50" s="29">
        <f t="shared" si="45"/>
        <v>114.0152921532767</v>
      </c>
      <c r="J50" s="29">
        <f t="shared" si="45"/>
        <v>114.14890445518323</v>
      </c>
      <c r="K50" s="29">
        <f t="shared" ref="K50:V50" si="46">IF(K4=0,0,K4/K15)</f>
        <v>119.43643285268116</v>
      </c>
      <c r="L50" s="29">
        <f t="shared" si="46"/>
        <v>118.52117663660587</v>
      </c>
      <c r="M50" s="29">
        <f t="shared" si="46"/>
        <v>132.86410408963175</v>
      </c>
      <c r="N50" s="29">
        <f t="shared" si="46"/>
        <v>124.46163583422516</v>
      </c>
      <c r="O50" s="29">
        <f t="shared" si="46"/>
        <v>133.83251629407025</v>
      </c>
      <c r="P50" s="29">
        <f t="shared" si="46"/>
        <v>138.32846068518893</v>
      </c>
      <c r="Q50" s="29">
        <f t="shared" si="46"/>
        <v>136.79801880530275</v>
      </c>
      <c r="R50" s="29">
        <f t="shared" si="46"/>
        <v>103.18721731970983</v>
      </c>
      <c r="S50" s="29">
        <f t="shared" si="46"/>
        <v>93.549676585312227</v>
      </c>
      <c r="T50" s="29">
        <f t="shared" si="46"/>
        <v>93.320051290781436</v>
      </c>
      <c r="U50" s="29">
        <f t="shared" si="46"/>
        <v>100.23670149377261</v>
      </c>
      <c r="V50" s="29">
        <f t="shared" si="46"/>
        <v>57.815599254185273</v>
      </c>
      <c r="W50" s="29">
        <f t="shared" ref="W50:Y50" si="47">IF(W4=0,0,W4/W15)</f>
        <v>60.490201586364023</v>
      </c>
      <c r="X50" s="29">
        <f t="shared" si="47"/>
        <v>91.907586733002574</v>
      </c>
      <c r="Y50" s="29">
        <f t="shared" si="47"/>
        <v>96.37377569957745</v>
      </c>
      <c r="DA50" s="173" t="s">
        <v>1065</v>
      </c>
    </row>
    <row r="51" spans="1:105" ht="11.45" customHeight="1" x14ac:dyDescent="0.25">
      <c r="A51" s="107" t="s">
        <v>23</v>
      </c>
      <c r="B51" s="115">
        <f t="shared" ref="B51:J51" si="48">IF(B5=0,0,B5/B16)</f>
        <v>77.42624802514058</v>
      </c>
      <c r="C51" s="115">
        <f t="shared" si="48"/>
        <v>77.42624802514058</v>
      </c>
      <c r="D51" s="115">
        <f t="shared" si="48"/>
        <v>77.42624802514058</v>
      </c>
      <c r="E51" s="115">
        <f t="shared" si="48"/>
        <v>77.42624802514058</v>
      </c>
      <c r="F51" s="115">
        <f t="shared" si="48"/>
        <v>79.854664868289049</v>
      </c>
      <c r="G51" s="115">
        <f t="shared" si="48"/>
        <v>76.821893928504352</v>
      </c>
      <c r="H51" s="115">
        <f t="shared" si="48"/>
        <v>74.292220921222182</v>
      </c>
      <c r="I51" s="115">
        <f t="shared" si="48"/>
        <v>76.126638584738615</v>
      </c>
      <c r="J51" s="115">
        <f t="shared" si="48"/>
        <v>75.85638699483286</v>
      </c>
      <c r="K51" s="115">
        <f t="shared" ref="K51:V51" si="49">IF(K5=0,0,K5/K16)</f>
        <v>76.717516616553837</v>
      </c>
      <c r="L51" s="115">
        <f t="shared" si="49"/>
        <v>76.75481265126129</v>
      </c>
      <c r="M51" s="115">
        <f t="shared" si="49"/>
        <v>78.547313243002691</v>
      </c>
      <c r="N51" s="115">
        <f t="shared" si="49"/>
        <v>77.22052561350354</v>
      </c>
      <c r="O51" s="115">
        <f t="shared" si="49"/>
        <v>75.781437100373665</v>
      </c>
      <c r="P51" s="115">
        <f t="shared" si="49"/>
        <v>77.053851039963376</v>
      </c>
      <c r="Q51" s="115">
        <f t="shared" si="49"/>
        <v>77.158742739880765</v>
      </c>
      <c r="R51" s="115">
        <f t="shared" si="49"/>
        <v>78.440370444238468</v>
      </c>
      <c r="S51" s="115">
        <f t="shared" si="49"/>
        <v>79.56708434853978</v>
      </c>
      <c r="T51" s="115">
        <f t="shared" si="49"/>
        <v>80.194610667024236</v>
      </c>
      <c r="U51" s="115">
        <f t="shared" si="49"/>
        <v>81.864999676102869</v>
      </c>
      <c r="V51" s="115">
        <f t="shared" si="49"/>
        <v>46.644099876246635</v>
      </c>
      <c r="W51" s="115">
        <f t="shared" ref="W51:Y51" si="50">IF(W5=0,0,W5/W16)</f>
        <v>49.670794528025112</v>
      </c>
      <c r="X51" s="115">
        <f t="shared" si="50"/>
        <v>74.017620850222769</v>
      </c>
      <c r="Y51" s="115">
        <f t="shared" si="50"/>
        <v>86.287613465799438</v>
      </c>
      <c r="DA51" s="203" t="s">
        <v>1066</v>
      </c>
    </row>
    <row r="52" spans="1:105" ht="11.45" customHeight="1" x14ac:dyDescent="0.25">
      <c r="A52" s="109" t="s">
        <v>24</v>
      </c>
      <c r="B52" s="116">
        <f t="shared" ref="B52:J52" si="51">IF(B6=0,0,B6/B17)</f>
        <v>124.13787923719687</v>
      </c>
      <c r="C52" s="116">
        <f t="shared" si="51"/>
        <v>134.77673187053688</v>
      </c>
      <c r="D52" s="116">
        <f t="shared" si="51"/>
        <v>128.45487982532788</v>
      </c>
      <c r="E52" s="116">
        <f t="shared" si="51"/>
        <v>123.36457710544755</v>
      </c>
      <c r="F52" s="116">
        <f t="shared" si="51"/>
        <v>122.24846324091683</v>
      </c>
      <c r="G52" s="116">
        <f t="shared" si="51"/>
        <v>125.27326315836613</v>
      </c>
      <c r="H52" s="116">
        <f t="shared" si="51"/>
        <v>119.83534390863407</v>
      </c>
      <c r="I52" s="116">
        <f t="shared" si="51"/>
        <v>127.40201850173086</v>
      </c>
      <c r="J52" s="116">
        <f t="shared" si="51"/>
        <v>127.42044363780855</v>
      </c>
      <c r="K52" s="116">
        <f t="shared" ref="K52:V52" si="52">IF(K6=0,0,K6/K17)</f>
        <v>136.09482276313682</v>
      </c>
      <c r="L52" s="116">
        <f t="shared" si="52"/>
        <v>136.36639338525285</v>
      </c>
      <c r="M52" s="116">
        <f t="shared" si="52"/>
        <v>165.5273071540135</v>
      </c>
      <c r="N52" s="116">
        <f t="shared" si="52"/>
        <v>149.27632660015573</v>
      </c>
      <c r="O52" s="116">
        <f t="shared" si="52"/>
        <v>169.6539514513729</v>
      </c>
      <c r="P52" s="116">
        <f t="shared" si="52"/>
        <v>172.67404007774334</v>
      </c>
      <c r="Q52" s="116">
        <f t="shared" si="52"/>
        <v>168.22474121706222</v>
      </c>
      <c r="R52" s="116">
        <f t="shared" si="52"/>
        <v>104.59822418203993</v>
      </c>
      <c r="S52" s="116">
        <f t="shared" si="52"/>
        <v>89.858377180549397</v>
      </c>
      <c r="T52" s="116">
        <f t="shared" si="52"/>
        <v>89.177918611174732</v>
      </c>
      <c r="U52" s="116">
        <f t="shared" si="52"/>
        <v>98.131931233856378</v>
      </c>
      <c r="V52" s="116">
        <f t="shared" si="52"/>
        <v>58.846137381628061</v>
      </c>
      <c r="W52" s="116">
        <f t="shared" ref="W52:Y52" si="53">IF(W6=0,0,W6/W17)</f>
        <v>60.609786345551477</v>
      </c>
      <c r="X52" s="116">
        <f t="shared" si="53"/>
        <v>91.233686348552723</v>
      </c>
      <c r="Y52" s="116">
        <f t="shared" si="53"/>
        <v>92.385168399022064</v>
      </c>
      <c r="DA52" s="176" t="s">
        <v>1067</v>
      </c>
    </row>
    <row r="53" spans="1:105" ht="11.45" customHeight="1" x14ac:dyDescent="0.25">
      <c r="A53" s="111" t="s">
        <v>92</v>
      </c>
      <c r="B53" s="87">
        <f t="shared" ref="B53:J53" si="54">IF(B7=0,0,B7/B18)</f>
        <v>106.89136254497043</v>
      </c>
      <c r="C53" s="87">
        <f t="shared" si="54"/>
        <v>112.30531094345274</v>
      </c>
      <c r="D53" s="87">
        <f t="shared" si="54"/>
        <v>113.54371899681504</v>
      </c>
      <c r="E53" s="87">
        <f t="shared" si="54"/>
        <v>99.941895416239277</v>
      </c>
      <c r="F53" s="87">
        <f t="shared" si="54"/>
        <v>103.18611998897447</v>
      </c>
      <c r="G53" s="87">
        <f t="shared" si="54"/>
        <v>106.44410879694651</v>
      </c>
      <c r="H53" s="87">
        <f t="shared" si="54"/>
        <v>104.09656843012459</v>
      </c>
      <c r="I53" s="87">
        <f t="shared" si="54"/>
        <v>112.94654588768222</v>
      </c>
      <c r="J53" s="87">
        <f t="shared" si="54"/>
        <v>111.30575937590702</v>
      </c>
      <c r="K53" s="87">
        <f t="shared" ref="K53:V53" si="55">IF(K7=0,0,K7/K18)</f>
        <v>118.48020743483225</v>
      </c>
      <c r="L53" s="87">
        <f t="shared" si="55"/>
        <v>121.9451221148372</v>
      </c>
      <c r="M53" s="87">
        <f t="shared" si="55"/>
        <v>155.28711522143425</v>
      </c>
      <c r="N53" s="87">
        <f t="shared" si="55"/>
        <v>142.67702931293351</v>
      </c>
      <c r="O53" s="87">
        <f t="shared" si="55"/>
        <v>172.81544970012314</v>
      </c>
      <c r="P53" s="87">
        <f t="shared" si="55"/>
        <v>173.16628031603588</v>
      </c>
      <c r="Q53" s="87">
        <f t="shared" si="55"/>
        <v>174.53284770399461</v>
      </c>
      <c r="R53" s="87">
        <f t="shared" si="55"/>
        <v>134.5971950059147</v>
      </c>
      <c r="S53" s="87">
        <f t="shared" si="55"/>
        <v>146.82134293510404</v>
      </c>
      <c r="T53" s="87">
        <f t="shared" si="55"/>
        <v>117.78288845479138</v>
      </c>
      <c r="U53" s="87">
        <f t="shared" si="55"/>
        <v>132.4945100375904</v>
      </c>
      <c r="V53" s="87">
        <f t="shared" si="55"/>
        <v>97.167130830538198</v>
      </c>
      <c r="W53" s="87">
        <f t="shared" ref="W53:Y53" si="56">IF(W7=0,0,W7/W18)</f>
        <v>132.45974726642956</v>
      </c>
      <c r="X53" s="87">
        <f t="shared" si="56"/>
        <v>187.59752320832874</v>
      </c>
      <c r="Y53" s="87">
        <f t="shared" si="56"/>
        <v>153.63609211047705</v>
      </c>
      <c r="DA53" s="171" t="s">
        <v>1068</v>
      </c>
    </row>
    <row r="54" spans="1:105" ht="11.45" customHeight="1" x14ac:dyDescent="0.25">
      <c r="A54" s="111" t="s">
        <v>93</v>
      </c>
      <c r="B54" s="87">
        <f t="shared" ref="B54:J54" si="57">IF(B8=0,0,B8/B19)</f>
        <v>140.54188217869969</v>
      </c>
      <c r="C54" s="87">
        <f t="shared" si="57"/>
        <v>153.68364238829858</v>
      </c>
      <c r="D54" s="87">
        <f t="shared" si="57"/>
        <v>137.33333957246967</v>
      </c>
      <c r="E54" s="87">
        <f t="shared" si="57"/>
        <v>135.10987690496128</v>
      </c>
      <c r="F54" s="87">
        <f t="shared" si="57"/>
        <v>132.03088267746892</v>
      </c>
      <c r="G54" s="87">
        <f t="shared" si="57"/>
        <v>134.04332526596937</v>
      </c>
      <c r="H54" s="87">
        <f t="shared" si="57"/>
        <v>126.36941434195366</v>
      </c>
      <c r="I54" s="87">
        <f t="shared" si="57"/>
        <v>133.59702397993146</v>
      </c>
      <c r="J54" s="87">
        <f t="shared" si="57"/>
        <v>134.05147193949074</v>
      </c>
      <c r="K54" s="87">
        <f t="shared" ref="K54:V54" si="58">IF(K8=0,0,K8/K19)</f>
        <v>142.29864017339034</v>
      </c>
      <c r="L54" s="87">
        <f t="shared" si="58"/>
        <v>140.91229641732289</v>
      </c>
      <c r="M54" s="87">
        <f t="shared" si="58"/>
        <v>168.8652958981244</v>
      </c>
      <c r="N54" s="87">
        <f t="shared" si="58"/>
        <v>150.88966672131713</v>
      </c>
      <c r="O54" s="87">
        <f t="shared" si="58"/>
        <v>168.80130544729218</v>
      </c>
      <c r="P54" s="87">
        <f t="shared" si="58"/>
        <v>172.53979715340316</v>
      </c>
      <c r="Q54" s="87">
        <f t="shared" si="58"/>
        <v>166.61872508449733</v>
      </c>
      <c r="R54" s="87">
        <f t="shared" si="58"/>
        <v>100.59847172207026</v>
      </c>
      <c r="S54" s="87">
        <f t="shared" si="58"/>
        <v>84.186703904155678</v>
      </c>
      <c r="T54" s="87">
        <f t="shared" si="58"/>
        <v>86.192432982165798</v>
      </c>
      <c r="U54" s="87">
        <f t="shared" si="58"/>
        <v>94.696141298758349</v>
      </c>
      <c r="V54" s="87">
        <f t="shared" si="58"/>
        <v>55.60613208931008</v>
      </c>
      <c r="W54" s="87">
        <f t="shared" ref="W54:Y54" si="59">IF(W8=0,0,W8/W19)</f>
        <v>56.333111191360395</v>
      </c>
      <c r="X54" s="87">
        <f t="shared" si="59"/>
        <v>85.19710267629597</v>
      </c>
      <c r="Y54" s="87">
        <f t="shared" si="59"/>
        <v>87.627774417505748</v>
      </c>
      <c r="DA54" s="171" t="s">
        <v>1069</v>
      </c>
    </row>
    <row r="55" spans="1:105" ht="11.45" customHeight="1" x14ac:dyDescent="0.25">
      <c r="A55" s="112" t="s">
        <v>25</v>
      </c>
      <c r="B55" s="117">
        <f t="shared" ref="B55:J55" si="60">IF(B9=0,0,B9/B20)</f>
        <v>0</v>
      </c>
      <c r="C55" s="117">
        <f t="shared" si="60"/>
        <v>0</v>
      </c>
      <c r="D55" s="117">
        <f t="shared" si="60"/>
        <v>0</v>
      </c>
      <c r="E55" s="117">
        <f t="shared" si="60"/>
        <v>0</v>
      </c>
      <c r="F55" s="117">
        <f t="shared" si="60"/>
        <v>177.53623188405797</v>
      </c>
      <c r="G55" s="117">
        <f t="shared" si="60"/>
        <v>177.536231884058</v>
      </c>
      <c r="H55" s="117">
        <f t="shared" si="60"/>
        <v>173.67521367521368</v>
      </c>
      <c r="I55" s="117">
        <f t="shared" si="60"/>
        <v>165.19751877244531</v>
      </c>
      <c r="J55" s="117">
        <f t="shared" si="60"/>
        <v>168.10758885686838</v>
      </c>
      <c r="K55" s="117">
        <f t="shared" ref="K55:V55" si="61">IF(K9=0,0,K9/K20)</f>
        <v>169.44266495836004</v>
      </c>
      <c r="L55" s="117">
        <f t="shared" si="61"/>
        <v>165.15884160305345</v>
      </c>
      <c r="M55" s="117">
        <f t="shared" si="61"/>
        <v>148.73922757740186</v>
      </c>
      <c r="N55" s="117">
        <f t="shared" si="61"/>
        <v>148.02947773149631</v>
      </c>
      <c r="O55" s="117">
        <f t="shared" si="61"/>
        <v>149.51768488745981</v>
      </c>
      <c r="P55" s="117">
        <f t="shared" si="61"/>
        <v>173.66042608134282</v>
      </c>
      <c r="Q55" s="117">
        <f t="shared" si="61"/>
        <v>184.3213475866537</v>
      </c>
      <c r="R55" s="117">
        <f t="shared" si="61"/>
        <v>192.87374371859295</v>
      </c>
      <c r="S55" s="117">
        <f t="shared" si="61"/>
        <v>205.47514159848961</v>
      </c>
      <c r="T55" s="117">
        <f t="shared" si="61"/>
        <v>214.95934959349592</v>
      </c>
      <c r="U55" s="117">
        <f t="shared" si="61"/>
        <v>223.14844501442769</v>
      </c>
      <c r="V55" s="117">
        <f t="shared" si="61"/>
        <v>123.27252625760089</v>
      </c>
      <c r="W55" s="117">
        <f t="shared" ref="W55:Y55" si="62">IF(W9=0,0,W9/W20)</f>
        <v>122.15343366060544</v>
      </c>
      <c r="X55" s="117">
        <f t="shared" si="62"/>
        <v>197.53676064123829</v>
      </c>
      <c r="Y55" s="117">
        <f t="shared" si="62"/>
        <v>222.22885572139302</v>
      </c>
      <c r="DA55" s="204" t="s">
        <v>1070</v>
      </c>
    </row>
    <row r="56" spans="1:105" ht="11.45" customHeight="1" x14ac:dyDescent="0.25">
      <c r="A56" s="27" t="s">
        <v>101</v>
      </c>
      <c r="B56" s="29">
        <f t="shared" ref="B56:J56" si="63">IF(B10=0,0,B10/B21)</f>
        <v>545.57185299204946</v>
      </c>
      <c r="C56" s="29">
        <f t="shared" si="63"/>
        <v>536.49424803390229</v>
      </c>
      <c r="D56" s="29">
        <f t="shared" si="63"/>
        <v>537.98967297024842</v>
      </c>
      <c r="E56" s="29">
        <f t="shared" si="63"/>
        <v>547.62679622251528</v>
      </c>
      <c r="F56" s="29">
        <f t="shared" si="63"/>
        <v>538.24645371517397</v>
      </c>
      <c r="G56" s="29">
        <f t="shared" si="63"/>
        <v>552.31955239176762</v>
      </c>
      <c r="H56" s="29">
        <f t="shared" si="63"/>
        <v>549.30773815825114</v>
      </c>
      <c r="I56" s="29">
        <f t="shared" si="63"/>
        <v>574.48116967140561</v>
      </c>
      <c r="J56" s="29">
        <f t="shared" si="63"/>
        <v>554.35882308461441</v>
      </c>
      <c r="K56" s="29">
        <f t="shared" ref="K56:V56" si="64">IF(K10=0,0,K10/K21)</f>
        <v>533.96534138493678</v>
      </c>
      <c r="L56" s="29">
        <f t="shared" si="64"/>
        <v>546.82719664824936</v>
      </c>
      <c r="M56" s="29">
        <f t="shared" si="64"/>
        <v>590.41617328904215</v>
      </c>
      <c r="N56" s="29">
        <f t="shared" si="64"/>
        <v>589.08606535952003</v>
      </c>
      <c r="O56" s="29">
        <f t="shared" si="64"/>
        <v>635.1040954415638</v>
      </c>
      <c r="P56" s="29">
        <f t="shared" si="64"/>
        <v>612.84056408322363</v>
      </c>
      <c r="Q56" s="29">
        <f t="shared" si="64"/>
        <v>616.21208677541097</v>
      </c>
      <c r="R56" s="29">
        <f t="shared" si="64"/>
        <v>569.8668017170113</v>
      </c>
      <c r="S56" s="29">
        <f t="shared" si="64"/>
        <v>580.73686785586631</v>
      </c>
      <c r="T56" s="29">
        <f t="shared" si="64"/>
        <v>562.50640695812615</v>
      </c>
      <c r="U56" s="29">
        <f t="shared" si="64"/>
        <v>571.12232541631954</v>
      </c>
      <c r="V56" s="29">
        <f t="shared" si="64"/>
        <v>484.28785903378224</v>
      </c>
      <c r="W56" s="29">
        <f t="shared" ref="W56:Y56" si="65">IF(W10=0,0,W10/W21)</f>
        <v>373.33050813158951</v>
      </c>
      <c r="X56" s="29">
        <f t="shared" si="65"/>
        <v>517.51475955823264</v>
      </c>
      <c r="Y56" s="29">
        <f t="shared" si="65"/>
        <v>412.45367513414828</v>
      </c>
      <c r="DA56" s="173" t="s">
        <v>1071</v>
      </c>
    </row>
    <row r="57" spans="1:105" ht="11.45" customHeight="1" x14ac:dyDescent="0.25">
      <c r="A57" s="83" t="s">
        <v>92</v>
      </c>
      <c r="B57" s="87">
        <f t="shared" ref="B57:J57" si="66">IF(B11=0,0,B11/B22)</f>
        <v>569.65527071943563</v>
      </c>
      <c r="C57" s="87">
        <f t="shared" si="66"/>
        <v>660.14112054751899</v>
      </c>
      <c r="D57" s="87">
        <f t="shared" si="66"/>
        <v>675.26736124529293</v>
      </c>
      <c r="E57" s="87">
        <f t="shared" si="66"/>
        <v>699.55480640721589</v>
      </c>
      <c r="F57" s="87">
        <f t="shared" si="66"/>
        <v>712.21213665757136</v>
      </c>
      <c r="G57" s="87">
        <f t="shared" si="66"/>
        <v>697.31866915249782</v>
      </c>
      <c r="H57" s="87">
        <f t="shared" si="66"/>
        <v>697.75813676664768</v>
      </c>
      <c r="I57" s="87">
        <f t="shared" si="66"/>
        <v>654.28904895468179</v>
      </c>
      <c r="J57" s="87">
        <f t="shared" si="66"/>
        <v>722.15138574123091</v>
      </c>
      <c r="K57" s="87">
        <f t="shared" ref="K57:V57" si="67">IF(K11=0,0,K11/K22)</f>
        <v>750.99034295864237</v>
      </c>
      <c r="L57" s="87">
        <f t="shared" si="67"/>
        <v>742.35499316501534</v>
      </c>
      <c r="M57" s="87">
        <f t="shared" si="67"/>
        <v>785.20947048046446</v>
      </c>
      <c r="N57" s="87">
        <f t="shared" si="67"/>
        <v>800.46080346728388</v>
      </c>
      <c r="O57" s="87">
        <f t="shared" si="67"/>
        <v>826.80006031082087</v>
      </c>
      <c r="P57" s="87">
        <f t="shared" si="67"/>
        <v>830.37436357409695</v>
      </c>
      <c r="Q57" s="87">
        <f t="shared" si="67"/>
        <v>821.11489961609448</v>
      </c>
      <c r="R57" s="87">
        <f t="shared" si="67"/>
        <v>821.15566974130115</v>
      </c>
      <c r="S57" s="87">
        <f t="shared" si="67"/>
        <v>789.33912741617371</v>
      </c>
      <c r="T57" s="87">
        <f t="shared" si="67"/>
        <v>865.78446061695377</v>
      </c>
      <c r="U57" s="87">
        <f t="shared" si="67"/>
        <v>869.16248007363527</v>
      </c>
      <c r="V57" s="87">
        <f t="shared" si="67"/>
        <v>602.24257368238511</v>
      </c>
      <c r="W57" s="87">
        <f t="shared" ref="W57:Y57" si="68">IF(W11=0,0,W11/W22)</f>
        <v>513.10446367216252</v>
      </c>
      <c r="X57" s="87">
        <f t="shared" si="68"/>
        <v>1006.6638397037892</v>
      </c>
      <c r="Y57" s="87">
        <f t="shared" si="68"/>
        <v>843.25401116138721</v>
      </c>
      <c r="DA57" s="171" t="s">
        <v>1072</v>
      </c>
    </row>
    <row r="58" spans="1:105" ht="11.45" customHeight="1" x14ac:dyDescent="0.25">
      <c r="A58" s="85" t="s">
        <v>93</v>
      </c>
      <c r="B58" s="88">
        <f t="shared" ref="B58:J58" si="69">IF(B12=0,0,B12/B23)</f>
        <v>520.17926736003801</v>
      </c>
      <c r="C58" s="88">
        <f t="shared" si="69"/>
        <v>456.41209240301191</v>
      </c>
      <c r="D58" s="88">
        <f t="shared" si="69"/>
        <v>468.77984999304209</v>
      </c>
      <c r="E58" s="88">
        <f t="shared" si="69"/>
        <v>483.65769612127548</v>
      </c>
      <c r="F58" s="88">
        <f t="shared" si="69"/>
        <v>476.93810244678696</v>
      </c>
      <c r="G58" s="88">
        <f t="shared" si="69"/>
        <v>501.74923690210386</v>
      </c>
      <c r="H58" s="88">
        <f t="shared" si="69"/>
        <v>502.77177003609847</v>
      </c>
      <c r="I58" s="88">
        <f t="shared" si="69"/>
        <v>545.04095314549659</v>
      </c>
      <c r="J58" s="88">
        <f t="shared" si="69"/>
        <v>504.71907038080172</v>
      </c>
      <c r="K58" s="88">
        <f t="shared" ref="K58:V58" si="70">IF(K12=0,0,K12/K23)</f>
        <v>484.76821990702121</v>
      </c>
      <c r="L58" s="88">
        <f t="shared" si="70"/>
        <v>504.30882628146918</v>
      </c>
      <c r="M58" s="88">
        <f t="shared" si="70"/>
        <v>544.66915167904392</v>
      </c>
      <c r="N58" s="88">
        <f t="shared" si="70"/>
        <v>549.406705205256</v>
      </c>
      <c r="O58" s="88">
        <f t="shared" si="70"/>
        <v>590.5996822561375</v>
      </c>
      <c r="P58" s="88">
        <f t="shared" si="70"/>
        <v>565.17040062238709</v>
      </c>
      <c r="Q58" s="88">
        <f t="shared" si="70"/>
        <v>571.03672465347688</v>
      </c>
      <c r="R58" s="88">
        <f t="shared" si="70"/>
        <v>535.81659338284771</v>
      </c>
      <c r="S58" s="88">
        <f t="shared" si="70"/>
        <v>530.83608731800803</v>
      </c>
      <c r="T58" s="88">
        <f t="shared" si="70"/>
        <v>505.64744327493605</v>
      </c>
      <c r="U58" s="88">
        <f t="shared" si="70"/>
        <v>494.18373530921207</v>
      </c>
      <c r="V58" s="88">
        <f t="shared" si="70"/>
        <v>452.91641232016519</v>
      </c>
      <c r="W58" s="88">
        <f t="shared" ref="W58:Y58" si="71">IF(W12=0,0,W12/W23)</f>
        <v>327.0136758120305</v>
      </c>
      <c r="X58" s="88">
        <f t="shared" si="71"/>
        <v>380.66615944094485</v>
      </c>
      <c r="Y58" s="88">
        <f t="shared" si="71"/>
        <v>327.07559738251388</v>
      </c>
      <c r="DA58" s="178" t="s">
        <v>1073</v>
      </c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DA59" s="171"/>
    </row>
    <row r="60" spans="1:105" ht="11.45" customHeight="1" x14ac:dyDescent="0.25">
      <c r="A60" s="53" t="s">
        <v>102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DA60" s="172"/>
    </row>
    <row r="61" spans="1:105" ht="11.45" customHeight="1" x14ac:dyDescent="0.25">
      <c r="A61" s="27" t="s">
        <v>103</v>
      </c>
      <c r="B61" s="29">
        <f t="shared" ref="B61" si="72">IF(B26=0,0,(B62*B27+B64*B29+B65*B30+B66*B31)/(B27+B29+B30+B31))</f>
        <v>337.85871663791852</v>
      </c>
      <c r="C61" s="29">
        <f t="shared" ref="C61" si="73">IF(C26=0,0,(C62*C27+C64*C29+C65*C30+C66*C31)/(C27+C29+C30+C31))</f>
        <v>339.22883958958732</v>
      </c>
      <c r="D61" s="29">
        <f t="shared" ref="D61" si="74">IF(D26=0,0,(D62*D27+D64*D29+D65*D30+D66*D31)/(D27+D29+D30+D31))</f>
        <v>338.67064750673256</v>
      </c>
      <c r="E61" s="29">
        <f t="shared" ref="E61" si="75">IF(E26=0,0,(E62*E27+E64*E29+E65*E30+E66*E31)/(E27+E29+E30+E31))</f>
        <v>344.15919455898614</v>
      </c>
      <c r="F61" s="29">
        <f t="shared" ref="F61" si="76">IF(F26=0,0,(F62*F27+F64*F29+F65*F30+F66*F31)/(F27+F29+F30+F31))</f>
        <v>351.20294103574628</v>
      </c>
      <c r="G61" s="29">
        <f t="shared" ref="G61" si="77">IF(G26=0,0,(G62*G27+G64*G29+G65*G30+G66*G31)/(G27+G29+G30+G31))</f>
        <v>353.55031366629544</v>
      </c>
      <c r="H61" s="29">
        <f t="shared" ref="H61" si="78">IF(H26=0,0,(H62*H27+H64*H29+H65*H30+H66*H31)/(H27+H29+H30+H31))</f>
        <v>355.67974372527493</v>
      </c>
      <c r="I61" s="29">
        <f t="shared" ref="I61" si="79">IF(I26=0,0,(I62*I27+I64*I29+I65*I30+I66*I31)/(I27+I29+I30+I31))</f>
        <v>357.10580728528487</v>
      </c>
      <c r="J61" s="29">
        <f t="shared" ref="J61" si="80">IF(J26=0,0,(J62*J27+J64*J29+J65*J30+J66*J31)/(J27+J29+J30+J31))</f>
        <v>356.73125508217453</v>
      </c>
      <c r="K61" s="29">
        <f t="shared" ref="K61" si="81">IF(K26=0,0,(K62*K27+K64*K29+K65*K30+K66*K31)/(K27+K29+K30+K31))</f>
        <v>357.90550633132898</v>
      </c>
      <c r="L61" s="29">
        <f t="shared" ref="L61" si="82">IF(L26=0,0,(L62*L27+L64*L29+L65*L30+L66*L31)/(L27+L29+L30+L31))</f>
        <v>359.18709891275341</v>
      </c>
      <c r="M61" s="29">
        <f t="shared" ref="M61" si="83">IF(M26=0,0,(M62*M27+M64*M29+M65*M30+M66*M31)/(M27+M29+M30+M31))</f>
        <v>361.07521006022455</v>
      </c>
      <c r="N61" s="29">
        <f t="shared" ref="N61" si="84">IF(N26=0,0,(N62*N27+N64*N29+N65*N30+N66*N31)/(N27+N29+N30+N31))</f>
        <v>361.74924320209493</v>
      </c>
      <c r="O61" s="29">
        <f t="shared" ref="O61" si="85">IF(O26=0,0,(O62*O27+O64*O29+O65*O30+O66*O31)/(O27+O29+O30+O31))</f>
        <v>363.04111862413504</v>
      </c>
      <c r="P61" s="29">
        <f t="shared" ref="P61" si="86">IF(P26=0,0,(P62*P27+P64*P29+P65*P30+P66*P31)/(P27+P29+P30+P31))</f>
        <v>363.40116157088744</v>
      </c>
      <c r="Q61" s="29">
        <f t="shared" ref="Q61" si="87">IF(Q26=0,0,(Q62*Q27+Q64*Q29+Q65*Q30+Q66*Q31)/(Q27+Q29+Q30+Q31))</f>
        <v>363.00028640278668</v>
      </c>
      <c r="R61" s="29">
        <f t="shared" ref="R61" si="88">IF(R26=0,0,(R62*R27+R64*R29+R65*R30+R66*R31)/(R27+R29+R30+R31))</f>
        <v>351.8002021374557</v>
      </c>
      <c r="S61" s="29">
        <f t="shared" ref="S61" si="89">IF(S26=0,0,(S62*S27+S64*S29+S65*S30+S66*S31)/(S27+S29+S30+S31))</f>
        <v>348.32205619691803</v>
      </c>
      <c r="T61" s="29">
        <f t="shared" ref="T61" si="90">IF(T26=0,0,(T62*T27+T64*T29+T65*T30+T66*T31)/(T27+T29+T30+T31))</f>
        <v>348.57777040099268</v>
      </c>
      <c r="U61" s="29">
        <f t="shared" ref="U61" si="91">IF(U26=0,0,(U62*U27+U64*U29+U65*U30+U66*U31)/(U27+U29+U30+U31))</f>
        <v>349.49336694031859</v>
      </c>
      <c r="V61" s="29">
        <f t="shared" ref="V61" si="92">IF(V26=0,0,(V62*V27+V64*V29+V65*V30+V66*V31)/(V27+V29+V30+V31))</f>
        <v>349.95991142891427</v>
      </c>
      <c r="W61" s="29">
        <f t="shared" ref="W61:Y61" si="93">IF(W26=0,0,(W62*W27+W64*W29+W65*W30+W66*W31)/(W27+W29+W30+W31))</f>
        <v>348.40743173029819</v>
      </c>
      <c r="X61" s="29">
        <f t="shared" si="93"/>
        <v>349.450978395486</v>
      </c>
      <c r="Y61" s="29">
        <f t="shared" si="93"/>
        <v>348.71330090005921</v>
      </c>
      <c r="DA61" s="173" t="s">
        <v>1074</v>
      </c>
    </row>
    <row r="62" spans="1:105" ht="11.45" customHeight="1" x14ac:dyDescent="0.25">
      <c r="A62" s="107" t="s">
        <v>23</v>
      </c>
      <c r="B62" s="115">
        <v>400</v>
      </c>
      <c r="C62" s="115">
        <v>400</v>
      </c>
      <c r="D62" s="115">
        <v>400</v>
      </c>
      <c r="E62" s="115">
        <v>400</v>
      </c>
      <c r="F62" s="115">
        <v>400</v>
      </c>
      <c r="G62" s="115">
        <v>400</v>
      </c>
      <c r="H62" s="115">
        <v>400</v>
      </c>
      <c r="I62" s="115">
        <v>400</v>
      </c>
      <c r="J62" s="115">
        <v>400</v>
      </c>
      <c r="K62" s="115">
        <v>400</v>
      </c>
      <c r="L62" s="115">
        <v>400</v>
      </c>
      <c r="M62" s="115">
        <v>400</v>
      </c>
      <c r="N62" s="115">
        <v>400</v>
      </c>
      <c r="O62" s="115">
        <v>400</v>
      </c>
      <c r="P62" s="115">
        <v>400</v>
      </c>
      <c r="Q62" s="115">
        <v>400</v>
      </c>
      <c r="R62" s="115">
        <v>400</v>
      </c>
      <c r="S62" s="115">
        <v>400</v>
      </c>
      <c r="T62" s="115">
        <v>400</v>
      </c>
      <c r="U62" s="115">
        <v>400</v>
      </c>
      <c r="V62" s="115">
        <v>400</v>
      </c>
      <c r="W62" s="115">
        <v>400</v>
      </c>
      <c r="X62" s="115">
        <v>400</v>
      </c>
      <c r="Y62" s="115">
        <v>400</v>
      </c>
      <c r="DA62" s="203" t="s">
        <v>1075</v>
      </c>
    </row>
    <row r="63" spans="1:105" ht="11.45" customHeight="1" x14ac:dyDescent="0.25">
      <c r="A63" s="109" t="s">
        <v>24</v>
      </c>
      <c r="B63" s="116">
        <f t="shared" ref="B63" si="94">IF(B28=0,0,(B64*B29+B65*B30)/(B29+B30))</f>
        <v>320</v>
      </c>
      <c r="C63" s="116">
        <f t="shared" ref="C63" si="95">IF(C28=0,0,(C64*C29+C65*C30)/(C29+C30))</f>
        <v>320</v>
      </c>
      <c r="D63" s="116">
        <f t="shared" ref="D63" si="96">IF(D28=0,0,(D64*D29+D65*D30)/(D29+D30))</f>
        <v>320</v>
      </c>
      <c r="E63" s="116">
        <f t="shared" ref="E63" si="97">IF(E28=0,0,(E64*E29+E65*E30)/(E29+E30))</f>
        <v>320</v>
      </c>
      <c r="F63" s="116">
        <f t="shared" ref="F63" si="98">IF(F28=0,0,(F64*F29+F65*F30)/(F29+F30))</f>
        <v>320.00000000000006</v>
      </c>
      <c r="G63" s="116">
        <f t="shared" ref="G63" si="99">IF(G28=0,0,(G64*G29+G65*G30)/(G29+G30))</f>
        <v>320</v>
      </c>
      <c r="H63" s="116">
        <f t="shared" ref="H63" si="100">IF(H28=0,0,(H64*H29+H65*H30)/(H29+H30))</f>
        <v>320</v>
      </c>
      <c r="I63" s="116">
        <f t="shared" ref="I63" si="101">IF(I28=0,0,(I64*I29+I65*I30)/(I29+I30))</f>
        <v>320</v>
      </c>
      <c r="J63" s="116">
        <f t="shared" ref="J63" si="102">IF(J28=0,0,(J64*J29+J65*J30)/(J29+J30))</f>
        <v>320</v>
      </c>
      <c r="K63" s="116">
        <f t="shared" ref="K63" si="103">IF(K28=0,0,(K64*K29+K65*K30)/(K29+K30))</f>
        <v>320</v>
      </c>
      <c r="L63" s="116">
        <f t="shared" ref="L63" si="104">IF(L28=0,0,(L64*L29+L65*L30)/(L29+L30))</f>
        <v>320</v>
      </c>
      <c r="M63" s="116">
        <f t="shared" ref="M63" si="105">IF(M28=0,0,(M64*M29+M65*M30)/(M29+M30))</f>
        <v>319.99999999999994</v>
      </c>
      <c r="N63" s="116">
        <f t="shared" ref="N63" si="106">IF(N28=0,0,(N64*N29+N65*N30)/(N29+N30))</f>
        <v>320.00000000000006</v>
      </c>
      <c r="O63" s="116">
        <f t="shared" ref="O63" si="107">IF(O28=0,0,(O64*O29+O65*O30)/(O29+O30))</f>
        <v>320</v>
      </c>
      <c r="P63" s="116">
        <f t="shared" ref="P63" si="108">IF(P28=0,0,(P64*P29+P65*P30)/(P29+P30))</f>
        <v>320</v>
      </c>
      <c r="Q63" s="116">
        <f t="shared" ref="Q63" si="109">IF(Q28=0,0,(Q64*Q29+Q65*Q30)/(Q29+Q30))</f>
        <v>320</v>
      </c>
      <c r="R63" s="116">
        <f t="shared" ref="R63" si="110">IF(R28=0,0,(R64*R29+R65*R30)/(R29+R30))</f>
        <v>319.99999999999994</v>
      </c>
      <c r="S63" s="116">
        <f t="shared" ref="S63" si="111">IF(S28=0,0,(S64*S29+S65*S30)/(S29+S30))</f>
        <v>320</v>
      </c>
      <c r="T63" s="116">
        <f t="shared" ref="T63" si="112">IF(T28=0,0,(T64*T29+T65*T30)/(T29+T30))</f>
        <v>320</v>
      </c>
      <c r="U63" s="116">
        <f t="shared" ref="U63" si="113">IF(U28=0,0,(U64*U29+U65*U30)/(U29+U30))</f>
        <v>320</v>
      </c>
      <c r="V63" s="116">
        <f t="shared" ref="V63" si="114">IF(V28=0,0,(V64*V29+V65*V30)/(V29+V30))</f>
        <v>320</v>
      </c>
      <c r="W63" s="116">
        <f t="shared" ref="W63:Y63" si="115">IF(W28=0,0,(W64*W29+W65*W30)/(W29+W30))</f>
        <v>319.99999999999994</v>
      </c>
      <c r="X63" s="116">
        <f t="shared" si="115"/>
        <v>320</v>
      </c>
      <c r="Y63" s="116">
        <f t="shared" si="115"/>
        <v>320</v>
      </c>
      <c r="DA63" s="176" t="s">
        <v>1076</v>
      </c>
    </row>
    <row r="64" spans="1:105" ht="11.45" customHeight="1" x14ac:dyDescent="0.25">
      <c r="A64" s="111" t="s">
        <v>92</v>
      </c>
      <c r="B64" s="87">
        <v>320</v>
      </c>
      <c r="C64" s="87">
        <v>320</v>
      </c>
      <c r="D64" s="87">
        <v>320</v>
      </c>
      <c r="E64" s="87">
        <v>320</v>
      </c>
      <c r="F64" s="87">
        <v>320</v>
      </c>
      <c r="G64" s="87">
        <v>320</v>
      </c>
      <c r="H64" s="87">
        <v>320</v>
      </c>
      <c r="I64" s="87">
        <v>320</v>
      </c>
      <c r="J64" s="87">
        <v>320</v>
      </c>
      <c r="K64" s="87">
        <v>320</v>
      </c>
      <c r="L64" s="87">
        <v>320</v>
      </c>
      <c r="M64" s="87">
        <v>320</v>
      </c>
      <c r="N64" s="87">
        <v>320</v>
      </c>
      <c r="O64" s="87">
        <v>320</v>
      </c>
      <c r="P64" s="87">
        <v>320</v>
      </c>
      <c r="Q64" s="87">
        <v>320</v>
      </c>
      <c r="R64" s="87">
        <v>320</v>
      </c>
      <c r="S64" s="87">
        <v>320</v>
      </c>
      <c r="T64" s="87">
        <v>320</v>
      </c>
      <c r="U64" s="87">
        <v>320</v>
      </c>
      <c r="V64" s="87">
        <v>320</v>
      </c>
      <c r="W64" s="87">
        <v>320</v>
      </c>
      <c r="X64" s="87">
        <v>320</v>
      </c>
      <c r="Y64" s="87">
        <v>320</v>
      </c>
      <c r="DA64" s="171" t="s">
        <v>1077</v>
      </c>
    </row>
    <row r="65" spans="1:105" ht="11.45" customHeight="1" x14ac:dyDescent="0.25">
      <c r="A65" s="111" t="s">
        <v>93</v>
      </c>
      <c r="B65" s="87">
        <v>320</v>
      </c>
      <c r="C65" s="87">
        <v>320</v>
      </c>
      <c r="D65" s="87">
        <v>320</v>
      </c>
      <c r="E65" s="87">
        <v>320</v>
      </c>
      <c r="F65" s="87">
        <v>320</v>
      </c>
      <c r="G65" s="87">
        <v>320</v>
      </c>
      <c r="H65" s="87">
        <v>320</v>
      </c>
      <c r="I65" s="87">
        <v>320</v>
      </c>
      <c r="J65" s="87">
        <v>320</v>
      </c>
      <c r="K65" s="87">
        <v>320</v>
      </c>
      <c r="L65" s="87">
        <v>320</v>
      </c>
      <c r="M65" s="87">
        <v>320</v>
      </c>
      <c r="N65" s="87">
        <v>320</v>
      </c>
      <c r="O65" s="87">
        <v>320</v>
      </c>
      <c r="P65" s="87">
        <v>320</v>
      </c>
      <c r="Q65" s="87">
        <v>320</v>
      </c>
      <c r="R65" s="87">
        <v>320</v>
      </c>
      <c r="S65" s="87">
        <v>320</v>
      </c>
      <c r="T65" s="87">
        <v>320</v>
      </c>
      <c r="U65" s="87">
        <v>320</v>
      </c>
      <c r="V65" s="87">
        <v>320</v>
      </c>
      <c r="W65" s="87">
        <v>320</v>
      </c>
      <c r="X65" s="87">
        <v>320</v>
      </c>
      <c r="Y65" s="87">
        <v>320</v>
      </c>
      <c r="DA65" s="171" t="s">
        <v>1078</v>
      </c>
    </row>
    <row r="66" spans="1:105" ht="11.45" customHeight="1" x14ac:dyDescent="0.25">
      <c r="A66" s="112" t="s">
        <v>25</v>
      </c>
      <c r="B66" s="117">
        <v>0</v>
      </c>
      <c r="C66" s="117">
        <v>0</v>
      </c>
      <c r="D66" s="117">
        <v>0</v>
      </c>
      <c r="E66" s="117">
        <v>0</v>
      </c>
      <c r="F66" s="117">
        <v>560</v>
      </c>
      <c r="G66" s="117">
        <v>560</v>
      </c>
      <c r="H66" s="117">
        <v>560</v>
      </c>
      <c r="I66" s="117">
        <v>560</v>
      </c>
      <c r="J66" s="117">
        <v>560</v>
      </c>
      <c r="K66" s="117">
        <v>560</v>
      </c>
      <c r="L66" s="117">
        <v>560</v>
      </c>
      <c r="M66" s="117">
        <v>560</v>
      </c>
      <c r="N66" s="117">
        <v>560</v>
      </c>
      <c r="O66" s="117">
        <v>560</v>
      </c>
      <c r="P66" s="117">
        <v>560</v>
      </c>
      <c r="Q66" s="117">
        <v>560</v>
      </c>
      <c r="R66" s="117">
        <v>560</v>
      </c>
      <c r="S66" s="117">
        <v>560</v>
      </c>
      <c r="T66" s="117">
        <v>560</v>
      </c>
      <c r="U66" s="117">
        <v>560</v>
      </c>
      <c r="V66" s="117">
        <v>560</v>
      </c>
      <c r="W66" s="117">
        <v>560</v>
      </c>
      <c r="X66" s="117">
        <v>560</v>
      </c>
      <c r="Y66" s="117">
        <v>560</v>
      </c>
      <c r="DA66" s="204" t="s">
        <v>1079</v>
      </c>
    </row>
    <row r="67" spans="1:105" ht="11.45" customHeight="1" x14ac:dyDescent="0.25">
      <c r="A67" s="27" t="s">
        <v>80</v>
      </c>
      <c r="B67" s="29">
        <f t="shared" ref="B67" si="116">IF(B32=0,0,(B68*B33+B69*B34)/(B33+B34))</f>
        <v>2100</v>
      </c>
      <c r="C67" s="29">
        <f t="shared" ref="C67" si="117">IF(C32=0,0,(C68*C33+C69*C34)/(C33+C34))</f>
        <v>2100</v>
      </c>
      <c r="D67" s="29">
        <f t="shared" ref="D67" si="118">IF(D32=0,0,(D68*D33+D69*D34)/(D33+D34))</f>
        <v>2100</v>
      </c>
      <c r="E67" s="29">
        <f t="shared" ref="E67" si="119">IF(E32=0,0,(E68*E33+E69*E34)/(E33+E34))</f>
        <v>2100</v>
      </c>
      <c r="F67" s="29">
        <f t="shared" ref="F67" si="120">IF(F32=0,0,(F68*F33+F69*F34)/(F33+F34))</f>
        <v>2100</v>
      </c>
      <c r="G67" s="29">
        <f t="shared" ref="G67" si="121">IF(G32=0,0,(G68*G33+G69*G34)/(G33+G34))</f>
        <v>2100</v>
      </c>
      <c r="H67" s="29">
        <f t="shared" ref="H67" si="122">IF(H32=0,0,(H68*H33+H69*H34)/(H33+H34))</f>
        <v>2100</v>
      </c>
      <c r="I67" s="29">
        <f t="shared" ref="I67" si="123">IF(I32=0,0,(I68*I33+I69*I34)/(I33+I34))</f>
        <v>2100</v>
      </c>
      <c r="J67" s="29">
        <f t="shared" ref="J67" si="124">IF(J32=0,0,(J68*J33+J69*J34)/(J33+J34))</f>
        <v>2100</v>
      </c>
      <c r="K67" s="29">
        <f t="shared" ref="K67" si="125">IF(K32=0,0,(K68*K33+K69*K34)/(K33+K34))</f>
        <v>2100</v>
      </c>
      <c r="L67" s="29">
        <f t="shared" ref="L67" si="126">IF(L32=0,0,(L68*L33+L69*L34)/(L33+L34))</f>
        <v>2100</v>
      </c>
      <c r="M67" s="29">
        <f t="shared" ref="M67" si="127">IF(M32=0,0,(M68*M33+M69*M34)/(M33+M34))</f>
        <v>2100</v>
      </c>
      <c r="N67" s="29">
        <f t="shared" ref="N67" si="128">IF(N32=0,0,(N68*N33+N69*N34)/(N33+N34))</f>
        <v>2100</v>
      </c>
      <c r="O67" s="29">
        <f t="shared" ref="O67" si="129">IF(O32=0,0,(O68*O33+O69*O34)/(O33+O34))</f>
        <v>2099.9999999999995</v>
      </c>
      <c r="P67" s="29">
        <f t="shared" ref="P67" si="130">IF(P32=0,0,(P68*P33+P69*P34)/(P33+P34))</f>
        <v>2100</v>
      </c>
      <c r="Q67" s="29">
        <f t="shared" ref="Q67" si="131">IF(Q32=0,0,(Q68*Q33+Q69*Q34)/(Q33+Q34))</f>
        <v>2100</v>
      </c>
      <c r="R67" s="29">
        <f t="shared" ref="R67" si="132">IF(R32=0,0,(R68*R33+R69*R34)/(R33+R34))</f>
        <v>2100</v>
      </c>
      <c r="S67" s="29">
        <f t="shared" ref="S67" si="133">IF(S32=0,0,(S68*S33+S69*S34)/(S33+S34))</f>
        <v>2100</v>
      </c>
      <c r="T67" s="29">
        <f t="shared" ref="T67" si="134">IF(T32=0,0,(T68*T33+T69*T34)/(T33+T34))</f>
        <v>2100</v>
      </c>
      <c r="U67" s="29">
        <f t="shared" ref="U67" si="135">IF(U32=0,0,(U68*U33+U69*U34)/(U33+U34))</f>
        <v>2100</v>
      </c>
      <c r="V67" s="29">
        <f t="shared" ref="V67" si="136">IF(V32=0,0,(V68*V33+V69*V34)/(V33+V34))</f>
        <v>2100.0000000000005</v>
      </c>
      <c r="W67" s="29">
        <f t="shared" ref="W67:Y67" si="137">IF(W32=0,0,(W68*W33+W69*W34)/(W33+W34))</f>
        <v>2100</v>
      </c>
      <c r="X67" s="29">
        <f t="shared" si="137"/>
        <v>2100</v>
      </c>
      <c r="Y67" s="29">
        <f t="shared" si="137"/>
        <v>2100</v>
      </c>
      <c r="DA67" s="173" t="s">
        <v>1080</v>
      </c>
    </row>
    <row r="68" spans="1:105" ht="11.45" customHeight="1" x14ac:dyDescent="0.25">
      <c r="A68" s="83" t="s">
        <v>92</v>
      </c>
      <c r="B68" s="87">
        <v>2100</v>
      </c>
      <c r="C68" s="87">
        <v>2100</v>
      </c>
      <c r="D68" s="87">
        <v>2100</v>
      </c>
      <c r="E68" s="87">
        <v>2100</v>
      </c>
      <c r="F68" s="87">
        <v>2100</v>
      </c>
      <c r="G68" s="87">
        <v>2100</v>
      </c>
      <c r="H68" s="87">
        <v>2100</v>
      </c>
      <c r="I68" s="87">
        <v>2100</v>
      </c>
      <c r="J68" s="87">
        <v>2100</v>
      </c>
      <c r="K68" s="87">
        <v>2100</v>
      </c>
      <c r="L68" s="87">
        <v>2100</v>
      </c>
      <c r="M68" s="87">
        <v>2100</v>
      </c>
      <c r="N68" s="87">
        <v>2100</v>
      </c>
      <c r="O68" s="87">
        <v>2100</v>
      </c>
      <c r="P68" s="87">
        <v>2100</v>
      </c>
      <c r="Q68" s="87">
        <v>2100</v>
      </c>
      <c r="R68" s="87">
        <v>2100</v>
      </c>
      <c r="S68" s="87">
        <v>2100</v>
      </c>
      <c r="T68" s="87">
        <v>2100</v>
      </c>
      <c r="U68" s="87">
        <v>2100</v>
      </c>
      <c r="V68" s="87">
        <v>2100</v>
      </c>
      <c r="W68" s="87">
        <v>2100</v>
      </c>
      <c r="X68" s="87">
        <v>2100</v>
      </c>
      <c r="Y68" s="87">
        <v>2100</v>
      </c>
      <c r="DA68" s="171" t="s">
        <v>1081</v>
      </c>
    </row>
    <row r="69" spans="1:105" ht="11.45" customHeight="1" x14ac:dyDescent="0.25">
      <c r="A69" s="85" t="s">
        <v>93</v>
      </c>
      <c r="B69" s="88">
        <v>2100</v>
      </c>
      <c r="C69" s="88">
        <v>2100</v>
      </c>
      <c r="D69" s="88">
        <v>2100</v>
      </c>
      <c r="E69" s="88">
        <v>2100</v>
      </c>
      <c r="F69" s="88">
        <v>2100</v>
      </c>
      <c r="G69" s="88">
        <v>2100</v>
      </c>
      <c r="H69" s="88">
        <v>2100</v>
      </c>
      <c r="I69" s="88">
        <v>2100</v>
      </c>
      <c r="J69" s="88">
        <v>2100</v>
      </c>
      <c r="K69" s="88">
        <v>2100</v>
      </c>
      <c r="L69" s="88">
        <v>2100</v>
      </c>
      <c r="M69" s="88">
        <v>2100</v>
      </c>
      <c r="N69" s="88">
        <v>2100</v>
      </c>
      <c r="O69" s="88">
        <v>2100</v>
      </c>
      <c r="P69" s="88">
        <v>2100</v>
      </c>
      <c r="Q69" s="88">
        <v>2100</v>
      </c>
      <c r="R69" s="88">
        <v>2100</v>
      </c>
      <c r="S69" s="88">
        <v>2100</v>
      </c>
      <c r="T69" s="88">
        <v>2100</v>
      </c>
      <c r="U69" s="88">
        <v>2100</v>
      </c>
      <c r="V69" s="88">
        <v>2100</v>
      </c>
      <c r="W69" s="88">
        <v>2100</v>
      </c>
      <c r="X69" s="88">
        <v>2100</v>
      </c>
      <c r="Y69" s="88">
        <v>2100</v>
      </c>
      <c r="DA69" s="178" t="s">
        <v>1082</v>
      </c>
    </row>
    <row r="70" spans="1:105" x14ac:dyDescent="0.25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14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DA70" s="171"/>
    </row>
    <row r="71" spans="1:105" ht="11.45" customHeight="1" x14ac:dyDescent="0.25">
      <c r="A71" s="53" t="s">
        <v>104</v>
      </c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DA71" s="172"/>
    </row>
    <row r="72" spans="1:105" ht="11.45" customHeight="1" x14ac:dyDescent="0.25">
      <c r="A72" s="27" t="s">
        <v>33</v>
      </c>
      <c r="B72" s="30">
        <f>IF(B50=0,0,B50/B61)</f>
        <v>0.34335928801146093</v>
      </c>
      <c r="C72" s="30">
        <f t="shared" ref="C72:J72" si="138">IF(C50=0,0,C50/C61)</f>
        <v>0.36484092008235669</v>
      </c>
      <c r="D72" s="30">
        <f t="shared" si="138"/>
        <v>0.35087027746012978</v>
      </c>
      <c r="E72" s="30">
        <f t="shared" si="138"/>
        <v>0.32556750407161378</v>
      </c>
      <c r="F72" s="30">
        <f t="shared" si="138"/>
        <v>0.32584586035517688</v>
      </c>
      <c r="G72" s="30">
        <f t="shared" si="138"/>
        <v>0.32692118987235574</v>
      </c>
      <c r="H72" s="30">
        <f t="shared" si="138"/>
        <v>0.30849943319162604</v>
      </c>
      <c r="I72" s="30">
        <f t="shared" si="138"/>
        <v>0.31927593958782113</v>
      </c>
      <c r="J72" s="30">
        <f t="shared" si="138"/>
        <v>0.31998571145353821</v>
      </c>
      <c r="K72" s="30">
        <f t="shared" ref="K72:V72" si="139">IF(K50=0,0,K50/K61)</f>
        <v>0.33370940301240731</v>
      </c>
      <c r="L72" s="30">
        <f t="shared" si="139"/>
        <v>0.32997058356317716</v>
      </c>
      <c r="M72" s="30">
        <f t="shared" si="139"/>
        <v>0.36796794791719722</v>
      </c>
      <c r="N72" s="30">
        <f t="shared" si="139"/>
        <v>0.34405499990139132</v>
      </c>
      <c r="O72" s="30">
        <f t="shared" si="139"/>
        <v>0.3686428600740132</v>
      </c>
      <c r="P72" s="30">
        <f t="shared" si="139"/>
        <v>0.38064947312559888</v>
      </c>
      <c r="Q72" s="30">
        <f t="shared" si="139"/>
        <v>0.37685374896236601</v>
      </c>
      <c r="R72" s="30">
        <f t="shared" si="139"/>
        <v>0.29331198985324181</v>
      </c>
      <c r="S72" s="30">
        <f t="shared" si="139"/>
        <v>0.26857235974866173</v>
      </c>
      <c r="T72" s="30">
        <f t="shared" si="139"/>
        <v>0.26771658784617575</v>
      </c>
      <c r="U72" s="30">
        <f t="shared" si="139"/>
        <v>0.28680573360034495</v>
      </c>
      <c r="V72" s="30">
        <f t="shared" si="139"/>
        <v>0.16520634897328543</v>
      </c>
      <c r="W72" s="30">
        <f t="shared" ref="W72:Y72" si="140">IF(W50=0,0,W50/W61)</f>
        <v>0.17361914838024875</v>
      </c>
      <c r="X72" s="30">
        <f t="shared" si="140"/>
        <v>0.26300566435669703</v>
      </c>
      <c r="Y72" s="30">
        <f t="shared" si="140"/>
        <v>0.27636965797068364</v>
      </c>
      <c r="DA72" s="173"/>
    </row>
    <row r="73" spans="1:105" ht="11.45" customHeight="1" x14ac:dyDescent="0.25">
      <c r="A73" s="107" t="s">
        <v>23</v>
      </c>
      <c r="B73" s="118">
        <f t="shared" ref="B73:J80" si="141">IF(B51=0,0,B51/B62)</f>
        <v>0.19356562006285144</v>
      </c>
      <c r="C73" s="118">
        <f t="shared" si="141"/>
        <v>0.19356562006285144</v>
      </c>
      <c r="D73" s="118">
        <f t="shared" si="141"/>
        <v>0.19356562006285144</v>
      </c>
      <c r="E73" s="118">
        <f t="shared" si="141"/>
        <v>0.19356562006285144</v>
      </c>
      <c r="F73" s="118">
        <f t="shared" si="141"/>
        <v>0.19963666217072262</v>
      </c>
      <c r="G73" s="118">
        <f t="shared" si="141"/>
        <v>0.19205473482126087</v>
      </c>
      <c r="H73" s="118">
        <f t="shared" si="141"/>
        <v>0.18573055230305546</v>
      </c>
      <c r="I73" s="118">
        <f t="shared" si="141"/>
        <v>0.19031659646184654</v>
      </c>
      <c r="J73" s="118">
        <f t="shared" si="141"/>
        <v>0.18964096748708215</v>
      </c>
      <c r="K73" s="118">
        <f t="shared" ref="K73:V73" si="142">IF(K51=0,0,K51/K62)</f>
        <v>0.1917937915413846</v>
      </c>
      <c r="L73" s="118">
        <f t="shared" si="142"/>
        <v>0.19188703162815324</v>
      </c>
      <c r="M73" s="118">
        <f t="shared" si="142"/>
        <v>0.19636828310750673</v>
      </c>
      <c r="N73" s="118">
        <f t="shared" si="142"/>
        <v>0.19305131403375886</v>
      </c>
      <c r="O73" s="118">
        <f t="shared" si="142"/>
        <v>0.18945359275093415</v>
      </c>
      <c r="P73" s="118">
        <f t="shared" si="142"/>
        <v>0.19263462759990843</v>
      </c>
      <c r="Q73" s="118">
        <f t="shared" si="142"/>
        <v>0.19289685684970193</v>
      </c>
      <c r="R73" s="118">
        <f t="shared" si="142"/>
        <v>0.19610092611059618</v>
      </c>
      <c r="S73" s="118">
        <f t="shared" si="142"/>
        <v>0.19891771087134946</v>
      </c>
      <c r="T73" s="118">
        <f t="shared" si="142"/>
        <v>0.20048652666756059</v>
      </c>
      <c r="U73" s="118">
        <f t="shared" si="142"/>
        <v>0.20466249919025717</v>
      </c>
      <c r="V73" s="118">
        <f t="shared" si="142"/>
        <v>0.11661024969061659</v>
      </c>
      <c r="W73" s="118">
        <f t="shared" ref="W73:Y73" si="143">IF(W51=0,0,W51/W62)</f>
        <v>0.12417698632006278</v>
      </c>
      <c r="X73" s="118">
        <f t="shared" si="143"/>
        <v>0.18504405212555691</v>
      </c>
      <c r="Y73" s="118">
        <f t="shared" si="143"/>
        <v>0.2157190336644986</v>
      </c>
      <c r="DA73" s="203"/>
    </row>
    <row r="74" spans="1:105" ht="11.45" customHeight="1" x14ac:dyDescent="0.25">
      <c r="A74" s="109" t="s">
        <v>24</v>
      </c>
      <c r="B74" s="119">
        <f t="shared" si="141"/>
        <v>0.38793087261624021</v>
      </c>
      <c r="C74" s="119">
        <f t="shared" si="141"/>
        <v>0.42117728709542773</v>
      </c>
      <c r="D74" s="119">
        <f t="shared" si="141"/>
        <v>0.40142149945414962</v>
      </c>
      <c r="E74" s="119">
        <f t="shared" si="141"/>
        <v>0.38551430345452359</v>
      </c>
      <c r="F74" s="119">
        <f t="shared" si="141"/>
        <v>0.38202644762786503</v>
      </c>
      <c r="G74" s="119">
        <f t="shared" si="141"/>
        <v>0.39147894736989419</v>
      </c>
      <c r="H74" s="119">
        <f t="shared" si="141"/>
        <v>0.3744854497144815</v>
      </c>
      <c r="I74" s="119">
        <f t="shared" si="141"/>
        <v>0.39813130781790895</v>
      </c>
      <c r="J74" s="119">
        <f t="shared" si="141"/>
        <v>0.3981888863681517</v>
      </c>
      <c r="K74" s="119">
        <f t="shared" ref="K74:V74" si="144">IF(K52=0,0,K52/K63)</f>
        <v>0.42529632113480254</v>
      </c>
      <c r="L74" s="119">
        <f t="shared" si="144"/>
        <v>0.42614497932891515</v>
      </c>
      <c r="M74" s="119">
        <f t="shared" si="144"/>
        <v>0.51727283485629227</v>
      </c>
      <c r="N74" s="119">
        <f t="shared" si="144"/>
        <v>0.46648852062548657</v>
      </c>
      <c r="O74" s="119">
        <f t="shared" si="144"/>
        <v>0.5301685982855403</v>
      </c>
      <c r="P74" s="119">
        <f t="shared" si="144"/>
        <v>0.53960637524294797</v>
      </c>
      <c r="Q74" s="119">
        <f t="shared" si="144"/>
        <v>0.52570231630331943</v>
      </c>
      <c r="R74" s="119">
        <f t="shared" si="144"/>
        <v>0.32686945056887484</v>
      </c>
      <c r="S74" s="119">
        <f t="shared" si="144"/>
        <v>0.28080742868921688</v>
      </c>
      <c r="T74" s="119">
        <f t="shared" si="144"/>
        <v>0.27868099565992105</v>
      </c>
      <c r="U74" s="119">
        <f t="shared" si="144"/>
        <v>0.30666228510580118</v>
      </c>
      <c r="V74" s="119">
        <f t="shared" si="144"/>
        <v>0.1838941793175877</v>
      </c>
      <c r="W74" s="119">
        <f t="shared" ref="W74:Y74" si="145">IF(W52=0,0,W52/W63)</f>
        <v>0.18940558232984839</v>
      </c>
      <c r="X74" s="119">
        <f t="shared" si="145"/>
        <v>0.28510526983922724</v>
      </c>
      <c r="Y74" s="119">
        <f t="shared" si="145"/>
        <v>0.28870365124694397</v>
      </c>
      <c r="DA74" s="176"/>
    </row>
    <row r="75" spans="1:105" ht="11.45" customHeight="1" x14ac:dyDescent="0.25">
      <c r="A75" s="111" t="s">
        <v>92</v>
      </c>
      <c r="B75" s="120">
        <f t="shared" si="141"/>
        <v>0.33403550795303261</v>
      </c>
      <c r="C75" s="120">
        <f t="shared" si="141"/>
        <v>0.35095409669828981</v>
      </c>
      <c r="D75" s="120">
        <f t="shared" si="141"/>
        <v>0.35482412186504703</v>
      </c>
      <c r="E75" s="120">
        <f t="shared" si="141"/>
        <v>0.31231842317574776</v>
      </c>
      <c r="F75" s="120">
        <f t="shared" si="141"/>
        <v>0.32245662496554522</v>
      </c>
      <c r="G75" s="120">
        <f t="shared" si="141"/>
        <v>0.33263783999045782</v>
      </c>
      <c r="H75" s="120">
        <f t="shared" si="141"/>
        <v>0.32530177634413937</v>
      </c>
      <c r="I75" s="120">
        <f t="shared" si="141"/>
        <v>0.35295795589900691</v>
      </c>
      <c r="J75" s="120">
        <f t="shared" si="141"/>
        <v>0.34783049804970945</v>
      </c>
      <c r="K75" s="120">
        <f t="shared" ref="K75:V75" si="146">IF(K53=0,0,K53/K64)</f>
        <v>0.37025064823385079</v>
      </c>
      <c r="L75" s="120">
        <f t="shared" si="146"/>
        <v>0.38107850660886627</v>
      </c>
      <c r="M75" s="120">
        <f t="shared" si="146"/>
        <v>0.48527223506698203</v>
      </c>
      <c r="N75" s="120">
        <f t="shared" si="146"/>
        <v>0.44586571660291724</v>
      </c>
      <c r="O75" s="120">
        <f t="shared" si="146"/>
        <v>0.54004828031288477</v>
      </c>
      <c r="P75" s="120">
        <f t="shared" si="146"/>
        <v>0.54114462598761215</v>
      </c>
      <c r="Q75" s="120">
        <f t="shared" si="146"/>
        <v>0.54541514907498312</v>
      </c>
      <c r="R75" s="120">
        <f t="shared" si="146"/>
        <v>0.42061623439348345</v>
      </c>
      <c r="S75" s="120">
        <f t="shared" si="146"/>
        <v>0.45881669667220015</v>
      </c>
      <c r="T75" s="120">
        <f t="shared" si="146"/>
        <v>0.36807152642122304</v>
      </c>
      <c r="U75" s="120">
        <f t="shared" si="146"/>
        <v>0.41404534386746999</v>
      </c>
      <c r="V75" s="120">
        <f t="shared" si="146"/>
        <v>0.30364728384543188</v>
      </c>
      <c r="W75" s="120">
        <f t="shared" ref="W75:Y75" si="147">IF(W53=0,0,W53/W64)</f>
        <v>0.41393671020759237</v>
      </c>
      <c r="X75" s="120">
        <f t="shared" si="147"/>
        <v>0.58624226002602731</v>
      </c>
      <c r="Y75" s="120">
        <f t="shared" si="147"/>
        <v>0.48011278784524081</v>
      </c>
      <c r="DA75" s="171"/>
    </row>
    <row r="76" spans="1:105" ht="11.45" customHeight="1" x14ac:dyDescent="0.25">
      <c r="A76" s="111" t="s">
        <v>93</v>
      </c>
      <c r="B76" s="120">
        <f t="shared" si="141"/>
        <v>0.43919338180843653</v>
      </c>
      <c r="C76" s="120">
        <f t="shared" si="141"/>
        <v>0.48026138246343308</v>
      </c>
      <c r="D76" s="120">
        <f t="shared" si="141"/>
        <v>0.42916668616396769</v>
      </c>
      <c r="E76" s="120">
        <f t="shared" si="141"/>
        <v>0.422218365328004</v>
      </c>
      <c r="F76" s="120">
        <f t="shared" si="141"/>
        <v>0.41259650836709039</v>
      </c>
      <c r="G76" s="120">
        <f t="shared" si="141"/>
        <v>0.41888539145615428</v>
      </c>
      <c r="H76" s="120">
        <f t="shared" si="141"/>
        <v>0.39490441981860519</v>
      </c>
      <c r="I76" s="120">
        <f t="shared" si="141"/>
        <v>0.41749069993728583</v>
      </c>
      <c r="J76" s="120">
        <f t="shared" si="141"/>
        <v>0.41891084981090854</v>
      </c>
      <c r="K76" s="120">
        <f t="shared" ref="K76:V76" si="148">IF(K54=0,0,K54/K65)</f>
        <v>0.44468325054184482</v>
      </c>
      <c r="L76" s="120">
        <f t="shared" si="148"/>
        <v>0.44035092630413403</v>
      </c>
      <c r="M76" s="120">
        <f t="shared" si="148"/>
        <v>0.52770404968163875</v>
      </c>
      <c r="N76" s="120">
        <f t="shared" si="148"/>
        <v>0.47153020850411603</v>
      </c>
      <c r="O76" s="120">
        <f t="shared" si="148"/>
        <v>0.52750407952278811</v>
      </c>
      <c r="P76" s="120">
        <f t="shared" si="148"/>
        <v>0.53918686610438482</v>
      </c>
      <c r="Q76" s="120">
        <f t="shared" si="148"/>
        <v>0.52068351588905415</v>
      </c>
      <c r="R76" s="120">
        <f t="shared" si="148"/>
        <v>0.31437022413146953</v>
      </c>
      <c r="S76" s="120">
        <f t="shared" si="148"/>
        <v>0.26308344970048647</v>
      </c>
      <c r="T76" s="120">
        <f t="shared" si="148"/>
        <v>0.26935135306926811</v>
      </c>
      <c r="U76" s="120">
        <f t="shared" si="148"/>
        <v>0.29592544155861983</v>
      </c>
      <c r="V76" s="120">
        <f t="shared" si="148"/>
        <v>0.17376916277909399</v>
      </c>
      <c r="W76" s="120">
        <f t="shared" ref="W76:Y76" si="149">IF(W54=0,0,W54/W65)</f>
        <v>0.17604097247300124</v>
      </c>
      <c r="X76" s="120">
        <f t="shared" si="149"/>
        <v>0.26624094586342489</v>
      </c>
      <c r="Y76" s="120">
        <f t="shared" si="149"/>
        <v>0.27383679505470548</v>
      </c>
      <c r="DA76" s="171"/>
    </row>
    <row r="77" spans="1:105" ht="11.45" customHeight="1" x14ac:dyDescent="0.25">
      <c r="A77" s="112" t="s">
        <v>25</v>
      </c>
      <c r="B77" s="121">
        <f t="shared" si="141"/>
        <v>0</v>
      </c>
      <c r="C77" s="121">
        <f t="shared" si="141"/>
        <v>0</v>
      </c>
      <c r="D77" s="121">
        <f t="shared" si="141"/>
        <v>0</v>
      </c>
      <c r="E77" s="121">
        <f t="shared" si="141"/>
        <v>0</v>
      </c>
      <c r="F77" s="121">
        <f t="shared" si="141"/>
        <v>0.3170289855072464</v>
      </c>
      <c r="G77" s="121">
        <f t="shared" si="141"/>
        <v>0.3170289855072464</v>
      </c>
      <c r="H77" s="121">
        <f t="shared" si="141"/>
        <v>0.31013431013431014</v>
      </c>
      <c r="I77" s="121">
        <f t="shared" si="141"/>
        <v>0.29499556923650949</v>
      </c>
      <c r="J77" s="121">
        <f t="shared" si="141"/>
        <v>0.30019212295869352</v>
      </c>
      <c r="K77" s="121">
        <f t="shared" ref="K77:V77" si="150">IF(K55=0,0,K55/K66)</f>
        <v>0.30257618742564291</v>
      </c>
      <c r="L77" s="121">
        <f t="shared" si="150"/>
        <v>0.29492650286259542</v>
      </c>
      <c r="M77" s="121">
        <f t="shared" si="150"/>
        <v>0.26560576353107473</v>
      </c>
      <c r="N77" s="121">
        <f t="shared" si="150"/>
        <v>0.26433835309195769</v>
      </c>
      <c r="O77" s="121">
        <f t="shared" si="150"/>
        <v>0.26699586587046392</v>
      </c>
      <c r="P77" s="121">
        <f t="shared" si="150"/>
        <v>0.31010790371668362</v>
      </c>
      <c r="Q77" s="121">
        <f t="shared" si="150"/>
        <v>0.32914526354759588</v>
      </c>
      <c r="R77" s="121">
        <f t="shared" si="150"/>
        <v>0.3444173994974874</v>
      </c>
      <c r="S77" s="121">
        <f t="shared" si="150"/>
        <v>0.36691989571158862</v>
      </c>
      <c r="T77" s="121">
        <f t="shared" si="150"/>
        <v>0.38385598141695698</v>
      </c>
      <c r="U77" s="121">
        <f t="shared" si="150"/>
        <v>0.39847936609719231</v>
      </c>
      <c r="V77" s="121">
        <f t="shared" si="150"/>
        <v>0.22012951117428731</v>
      </c>
      <c r="W77" s="121">
        <f t="shared" ref="W77:Y77" si="151">IF(W55=0,0,W55/W66)</f>
        <v>0.21813113153679545</v>
      </c>
      <c r="X77" s="121">
        <f t="shared" si="151"/>
        <v>0.35274421543078266</v>
      </c>
      <c r="Y77" s="121">
        <f t="shared" si="151"/>
        <v>0.39683724235963042</v>
      </c>
      <c r="DA77" s="204"/>
    </row>
    <row r="78" spans="1:105" ht="11.45" customHeight="1" x14ac:dyDescent="0.25">
      <c r="A78" s="27" t="s">
        <v>34</v>
      </c>
      <c r="B78" s="30">
        <f t="shared" si="141"/>
        <v>0.25979612047240452</v>
      </c>
      <c r="C78" s="30">
        <f t="shared" si="141"/>
        <v>0.25547345144471539</v>
      </c>
      <c r="D78" s="30">
        <f t="shared" si="141"/>
        <v>0.25618555855726116</v>
      </c>
      <c r="E78" s="30">
        <f t="shared" si="141"/>
        <v>0.26077466486786444</v>
      </c>
      <c r="F78" s="30">
        <f t="shared" si="141"/>
        <v>0.2563078351024638</v>
      </c>
      <c r="G78" s="30">
        <f t="shared" si="141"/>
        <v>0.26300931066274646</v>
      </c>
      <c r="H78" s="30">
        <f t="shared" si="141"/>
        <v>0.261575113408691</v>
      </c>
      <c r="I78" s="30">
        <f t="shared" si="141"/>
        <v>0.27356246174828841</v>
      </c>
      <c r="J78" s="30">
        <f t="shared" si="141"/>
        <v>0.26398039194505446</v>
      </c>
      <c r="K78" s="30">
        <f t="shared" ref="K78:V78" si="152">IF(K56=0,0,K56/K67)</f>
        <v>0.25426921018330323</v>
      </c>
      <c r="L78" s="30">
        <f t="shared" si="152"/>
        <v>0.26039390316583305</v>
      </c>
      <c r="M78" s="30">
        <f t="shared" si="152"/>
        <v>0.28115055870906769</v>
      </c>
      <c r="N78" s="30">
        <f t="shared" si="152"/>
        <v>0.28051717398072384</v>
      </c>
      <c r="O78" s="30">
        <f t="shared" si="152"/>
        <v>0.30243052163883999</v>
      </c>
      <c r="P78" s="30">
        <f t="shared" si="152"/>
        <v>0.29182884003963028</v>
      </c>
      <c r="Q78" s="30">
        <f t="shared" si="152"/>
        <v>0.29343432703590999</v>
      </c>
      <c r="R78" s="30">
        <f t="shared" si="152"/>
        <v>0.27136514367476727</v>
      </c>
      <c r="S78" s="30">
        <f t="shared" si="152"/>
        <v>0.27654136564565063</v>
      </c>
      <c r="T78" s="30">
        <f t="shared" si="152"/>
        <v>0.26786019378958387</v>
      </c>
      <c r="U78" s="30">
        <f t="shared" si="152"/>
        <v>0.27196301210300933</v>
      </c>
      <c r="V78" s="30">
        <f t="shared" si="152"/>
        <v>0.23061326620656292</v>
      </c>
      <c r="W78" s="30">
        <f t="shared" ref="W78:Y78" si="153">IF(W56=0,0,W56/W67)</f>
        <v>0.17777643244361405</v>
      </c>
      <c r="X78" s="30">
        <f t="shared" si="153"/>
        <v>0.24643559978963459</v>
      </c>
      <c r="Y78" s="30">
        <f t="shared" si="153"/>
        <v>0.19640651196864203</v>
      </c>
      <c r="DA78" s="173"/>
    </row>
    <row r="79" spans="1:105" ht="11.45" customHeight="1" x14ac:dyDescent="0.25">
      <c r="A79" s="83" t="s">
        <v>92</v>
      </c>
      <c r="B79" s="120">
        <f t="shared" si="141"/>
        <v>0.2712644146283027</v>
      </c>
      <c r="C79" s="120">
        <f t="shared" si="141"/>
        <v>0.3143529145464376</v>
      </c>
      <c r="D79" s="120">
        <f t="shared" si="141"/>
        <v>0.32155588630728232</v>
      </c>
      <c r="E79" s="120">
        <f t="shared" si="141"/>
        <v>0.33312133638438851</v>
      </c>
      <c r="F79" s="120">
        <f t="shared" si="141"/>
        <v>0.33914863650360544</v>
      </c>
      <c r="G79" s="120">
        <f t="shared" si="141"/>
        <v>0.33205650912023704</v>
      </c>
      <c r="H79" s="120">
        <f t="shared" si="141"/>
        <v>0.33226577941268937</v>
      </c>
      <c r="I79" s="120">
        <f t="shared" si="141"/>
        <v>0.31156621378794369</v>
      </c>
      <c r="J79" s="120">
        <f t="shared" si="141"/>
        <v>0.34388161225772901</v>
      </c>
      <c r="K79" s="120">
        <f t="shared" ref="K79:V79" si="154">IF(K57=0,0,K57/K68)</f>
        <v>0.35761444902792494</v>
      </c>
      <c r="L79" s="120">
        <f t="shared" si="154"/>
        <v>0.35350237769762638</v>
      </c>
      <c r="M79" s="120">
        <f t="shared" si="154"/>
        <v>0.37390927165736404</v>
      </c>
      <c r="N79" s="120">
        <f t="shared" si="154"/>
        <v>0.38117181117489707</v>
      </c>
      <c r="O79" s="120">
        <f t="shared" si="154"/>
        <v>0.39371431443372423</v>
      </c>
      <c r="P79" s="120">
        <f t="shared" si="154"/>
        <v>0.39541636360671284</v>
      </c>
      <c r="Q79" s="120">
        <f t="shared" si="154"/>
        <v>0.39100709505528308</v>
      </c>
      <c r="R79" s="120">
        <f t="shared" si="154"/>
        <v>0.39102650940061962</v>
      </c>
      <c r="S79" s="120">
        <f t="shared" si="154"/>
        <v>0.37587577496008273</v>
      </c>
      <c r="T79" s="120">
        <f t="shared" si="154"/>
        <v>0.41227831457950181</v>
      </c>
      <c r="U79" s="120">
        <f t="shared" si="154"/>
        <v>0.41388689527315964</v>
      </c>
      <c r="V79" s="120">
        <f t="shared" si="154"/>
        <v>0.28678217794399291</v>
      </c>
      <c r="W79" s="120">
        <f t="shared" ref="W79:Y79" si="155">IF(W57=0,0,W57/W68)</f>
        <v>0.24433545889150596</v>
      </c>
      <c r="X79" s="120">
        <f t="shared" si="155"/>
        <v>0.47936373319228059</v>
      </c>
      <c r="Y79" s="120">
        <f t="shared" si="155"/>
        <v>0.40154952912447012</v>
      </c>
      <c r="DA79" s="171"/>
    </row>
    <row r="80" spans="1:105" ht="11.45" customHeight="1" x14ac:dyDescent="0.25">
      <c r="A80" s="85" t="s">
        <v>93</v>
      </c>
      <c r="B80" s="122">
        <f t="shared" si="141"/>
        <v>0.24770441302858953</v>
      </c>
      <c r="C80" s="122">
        <f t="shared" si="141"/>
        <v>0.21733909162048187</v>
      </c>
      <c r="D80" s="122">
        <f t="shared" si="141"/>
        <v>0.2232284999966867</v>
      </c>
      <c r="E80" s="122">
        <f t="shared" si="141"/>
        <v>0.23031318862917879</v>
      </c>
      <c r="F80" s="122">
        <f t="shared" si="141"/>
        <v>0.22711338211751761</v>
      </c>
      <c r="G80" s="122">
        <f t="shared" si="141"/>
        <v>0.23892820804862089</v>
      </c>
      <c r="H80" s="122">
        <f t="shared" si="141"/>
        <v>0.23941512858861833</v>
      </c>
      <c r="I80" s="122">
        <f t="shared" si="141"/>
        <v>0.25954331102166506</v>
      </c>
      <c r="J80" s="122">
        <f t="shared" si="141"/>
        <v>0.24034241446704843</v>
      </c>
      <c r="K80" s="122">
        <f t="shared" ref="K80:V80" si="156">IF(K58=0,0,K58/K69)</f>
        <v>0.2308420094795339</v>
      </c>
      <c r="L80" s="122">
        <f t="shared" si="156"/>
        <v>0.24014706013403295</v>
      </c>
      <c r="M80" s="122">
        <f t="shared" si="156"/>
        <v>0.25936626270430663</v>
      </c>
      <c r="N80" s="122">
        <f t="shared" si="156"/>
        <v>0.26162224057393141</v>
      </c>
      <c r="O80" s="122">
        <f t="shared" si="156"/>
        <v>0.28123794393149404</v>
      </c>
      <c r="P80" s="122">
        <f t="shared" si="156"/>
        <v>0.26912876220113668</v>
      </c>
      <c r="Q80" s="122">
        <f t="shared" si="156"/>
        <v>0.27192224983498897</v>
      </c>
      <c r="R80" s="122">
        <f t="shared" si="156"/>
        <v>0.25515075875373699</v>
      </c>
      <c r="S80" s="122">
        <f t="shared" si="156"/>
        <v>0.25277908919905145</v>
      </c>
      <c r="T80" s="122">
        <f t="shared" si="156"/>
        <v>0.24078449679758859</v>
      </c>
      <c r="U80" s="122">
        <f t="shared" si="156"/>
        <v>0.23532558824248193</v>
      </c>
      <c r="V80" s="122">
        <f t="shared" si="156"/>
        <v>0.21567448205722153</v>
      </c>
      <c r="W80" s="122">
        <f t="shared" ref="W80:Y80" si="157">IF(W58=0,0,W58/W69)</f>
        <v>0.1557207980057288</v>
      </c>
      <c r="X80" s="122">
        <f t="shared" si="157"/>
        <v>0.18126959973378326</v>
      </c>
      <c r="Y80" s="122">
        <f t="shared" si="157"/>
        <v>0.15575028446786376</v>
      </c>
      <c r="DA80" s="178"/>
    </row>
    <row r="81" spans="1:105" x14ac:dyDescent="0.25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DA81" s="171"/>
    </row>
    <row r="82" spans="1:105" ht="11.45" customHeight="1" x14ac:dyDescent="0.25">
      <c r="A82" s="53" t="s">
        <v>105</v>
      </c>
      <c r="B82" s="54">
        <f t="shared" ref="B82:J82" si="158">IF(B14=0,0,B14/B25*1000000)</f>
        <v>145016.73618663731</v>
      </c>
      <c r="C82" s="54">
        <f t="shared" si="158"/>
        <v>141338.18467670743</v>
      </c>
      <c r="D82" s="54">
        <f t="shared" si="158"/>
        <v>139832.44018663577</v>
      </c>
      <c r="E82" s="54">
        <f t="shared" si="158"/>
        <v>138026.71935607729</v>
      </c>
      <c r="F82" s="54">
        <f t="shared" si="158"/>
        <v>142838.54517852745</v>
      </c>
      <c r="G82" s="54">
        <f t="shared" si="158"/>
        <v>146470.92577261321</v>
      </c>
      <c r="H82" s="54">
        <f t="shared" si="158"/>
        <v>144718.817957805</v>
      </c>
      <c r="I82" s="54">
        <f t="shared" si="158"/>
        <v>144514.72106186819</v>
      </c>
      <c r="J82" s="54">
        <f t="shared" si="158"/>
        <v>144305.13465337374</v>
      </c>
      <c r="K82" s="54">
        <f t="shared" ref="K82:V82" si="159">IF(K14=0,0,K14/K25*1000000)</f>
        <v>143591.21351349415</v>
      </c>
      <c r="L82" s="54">
        <f t="shared" si="159"/>
        <v>143444.64067411068</v>
      </c>
      <c r="M82" s="54">
        <f t="shared" si="159"/>
        <v>139060.2498683827</v>
      </c>
      <c r="N82" s="54">
        <f t="shared" si="159"/>
        <v>141486.85683102824</v>
      </c>
      <c r="O82" s="54">
        <f t="shared" si="159"/>
        <v>134171.53778512191</v>
      </c>
      <c r="P82" s="54">
        <f t="shared" si="159"/>
        <v>144264.2040546338</v>
      </c>
      <c r="Q82" s="54">
        <f t="shared" si="159"/>
        <v>144238.86945787427</v>
      </c>
      <c r="R82" s="54">
        <f t="shared" si="159"/>
        <v>145914.81995796622</v>
      </c>
      <c r="S82" s="54">
        <f t="shared" si="159"/>
        <v>145468.36738237488</v>
      </c>
      <c r="T82" s="54">
        <f t="shared" si="159"/>
        <v>145428.72374830005</v>
      </c>
      <c r="U82" s="54">
        <f t="shared" si="159"/>
        <v>143697.91812062188</v>
      </c>
      <c r="V82" s="54">
        <f t="shared" si="159"/>
        <v>135607.59428822994</v>
      </c>
      <c r="W82" s="54">
        <f t="shared" ref="W82:Y82" si="160">IF(W14=0,0,W14/W25*1000000)</f>
        <v>140832.55228952933</v>
      </c>
      <c r="X82" s="54">
        <f t="shared" si="160"/>
        <v>143468.02227041041</v>
      </c>
      <c r="Y82" s="54">
        <f t="shared" si="160"/>
        <v>144478.64723967711</v>
      </c>
      <c r="DA82" s="172" t="s">
        <v>1083</v>
      </c>
    </row>
    <row r="83" spans="1:105" ht="11.45" customHeight="1" x14ac:dyDescent="0.25">
      <c r="A83" s="27" t="s">
        <v>33</v>
      </c>
      <c r="B83" s="28">
        <f t="shared" ref="B83:J91" si="161">IF(B15=0,0,B15/B26*1000000)</f>
        <v>141070.64142158558</v>
      </c>
      <c r="C83" s="28">
        <f t="shared" si="161"/>
        <v>137695.56559803741</v>
      </c>
      <c r="D83" s="28">
        <f t="shared" si="161"/>
        <v>136099.49101084282</v>
      </c>
      <c r="E83" s="28">
        <f t="shared" si="161"/>
        <v>134836.91251438251</v>
      </c>
      <c r="F83" s="28">
        <f t="shared" si="161"/>
        <v>138963.08108944914</v>
      </c>
      <c r="G83" s="28">
        <f t="shared" si="161"/>
        <v>142324.83654952445</v>
      </c>
      <c r="H83" s="28">
        <f t="shared" si="161"/>
        <v>140833.89146483771</v>
      </c>
      <c r="I83" s="28">
        <f t="shared" si="161"/>
        <v>140541.82962176576</v>
      </c>
      <c r="J83" s="28">
        <f t="shared" si="161"/>
        <v>140437.82901553105</v>
      </c>
      <c r="K83" s="28">
        <f t="shared" ref="K83:V83" si="162">IF(K15=0,0,K15/K26*1000000)</f>
        <v>140251.01921151154</v>
      </c>
      <c r="L83" s="28">
        <f t="shared" si="162"/>
        <v>139669.06262422598</v>
      </c>
      <c r="M83" s="28">
        <f t="shared" si="162"/>
        <v>135280.3244935032</v>
      </c>
      <c r="N83" s="28">
        <f t="shared" si="162"/>
        <v>137235.77914885539</v>
      </c>
      <c r="O83" s="28">
        <f t="shared" si="162"/>
        <v>130521.01164930755</v>
      </c>
      <c r="P83" s="28">
        <f t="shared" si="162"/>
        <v>139821.51998391535</v>
      </c>
      <c r="Q83" s="28">
        <f t="shared" si="162"/>
        <v>139562.87505234499</v>
      </c>
      <c r="R83" s="28">
        <f t="shared" si="162"/>
        <v>142290.27477898417</v>
      </c>
      <c r="S83" s="28">
        <f t="shared" si="162"/>
        <v>142870.72528701631</v>
      </c>
      <c r="T83" s="28">
        <f t="shared" si="162"/>
        <v>142328.43081174587</v>
      </c>
      <c r="U83" s="28">
        <f t="shared" si="162"/>
        <v>141761.26310133081</v>
      </c>
      <c r="V83" s="28">
        <f t="shared" si="162"/>
        <v>131990.22879105713</v>
      </c>
      <c r="W83" s="28">
        <f t="shared" ref="W83:Y83" si="163">IF(W15=0,0,W15/W26*1000000)</f>
        <v>137355.37313261806</v>
      </c>
      <c r="X83" s="28">
        <f t="shared" si="163"/>
        <v>141339.34450683199</v>
      </c>
      <c r="Y83" s="28">
        <f t="shared" si="163"/>
        <v>141123.35346467109</v>
      </c>
      <c r="DA83" s="173" t="s">
        <v>1084</v>
      </c>
    </row>
    <row r="84" spans="1:105" ht="11.45" customHeight="1" x14ac:dyDescent="0.25">
      <c r="A84" s="107" t="s">
        <v>23</v>
      </c>
      <c r="B84" s="108">
        <f t="shared" si="161"/>
        <v>109999.99960140667</v>
      </c>
      <c r="C84" s="108">
        <f t="shared" si="161"/>
        <v>109999.99930950021</v>
      </c>
      <c r="D84" s="108">
        <f t="shared" si="161"/>
        <v>109999.9992157363</v>
      </c>
      <c r="E84" s="108">
        <f t="shared" si="161"/>
        <v>109999.99994575522</v>
      </c>
      <c r="F84" s="108">
        <f t="shared" si="161"/>
        <v>109999.99950726969</v>
      </c>
      <c r="G84" s="108">
        <f t="shared" si="161"/>
        <v>109999.99943807541</v>
      </c>
      <c r="H84" s="108">
        <f t="shared" si="161"/>
        <v>109999.99919023566</v>
      </c>
      <c r="I84" s="108">
        <f t="shared" si="161"/>
        <v>109999.99958918823</v>
      </c>
      <c r="J84" s="108">
        <f t="shared" si="161"/>
        <v>109999.99957508336</v>
      </c>
      <c r="K84" s="108">
        <f t="shared" ref="K84:V84" si="164">IF(K16=0,0,K16/K27*1000000)</f>
        <v>109999.99972007307</v>
      </c>
      <c r="L84" s="108">
        <f t="shared" si="164"/>
        <v>109999.99954667863</v>
      </c>
      <c r="M84" s="108">
        <f t="shared" si="164"/>
        <v>109999.99934088193</v>
      </c>
      <c r="N84" s="108">
        <f t="shared" si="164"/>
        <v>105124.48296865818</v>
      </c>
      <c r="O84" s="108">
        <f t="shared" si="164"/>
        <v>103147.76529367185</v>
      </c>
      <c r="P84" s="108">
        <f t="shared" si="164"/>
        <v>109843.60021086498</v>
      </c>
      <c r="Q84" s="108">
        <f t="shared" si="164"/>
        <v>109999.99972097375</v>
      </c>
      <c r="R84" s="108">
        <f t="shared" si="164"/>
        <v>109999.99938567691</v>
      </c>
      <c r="S84" s="108">
        <f t="shared" si="164"/>
        <v>109999.99937542655</v>
      </c>
      <c r="T84" s="108">
        <f t="shared" si="164"/>
        <v>109999.99939311775</v>
      </c>
      <c r="U84" s="108">
        <f t="shared" si="164"/>
        <v>109999.99957066198</v>
      </c>
      <c r="V84" s="108">
        <f t="shared" si="164"/>
        <v>103981.3375841696</v>
      </c>
      <c r="W84" s="108">
        <f t="shared" ref="W84:Y84" si="165">IF(W16=0,0,W16/W27*1000000)</f>
        <v>99848.586102596382</v>
      </c>
      <c r="X84" s="108">
        <f t="shared" si="165"/>
        <v>109999.99929050052</v>
      </c>
      <c r="Y84" s="108">
        <f t="shared" si="165"/>
        <v>109999.99936408272</v>
      </c>
      <c r="DA84" s="203" t="s">
        <v>1085</v>
      </c>
    </row>
    <row r="85" spans="1:105" ht="11.45" customHeight="1" x14ac:dyDescent="0.25">
      <c r="A85" s="109" t="s">
        <v>24</v>
      </c>
      <c r="B85" s="110">
        <f t="shared" si="161"/>
        <v>149999.99978053157</v>
      </c>
      <c r="C85" s="110">
        <f t="shared" si="161"/>
        <v>146458.82761094804</v>
      </c>
      <c r="D85" s="110">
        <f t="shared" si="161"/>
        <v>144045.02429304708</v>
      </c>
      <c r="E85" s="110">
        <f t="shared" si="161"/>
        <v>145582.45599734376</v>
      </c>
      <c r="F85" s="110">
        <f t="shared" si="161"/>
        <v>144810.53993828475</v>
      </c>
      <c r="G85" s="110">
        <f t="shared" si="161"/>
        <v>149999.99971497193</v>
      </c>
      <c r="H85" s="110">
        <f t="shared" si="161"/>
        <v>149999.99873032793</v>
      </c>
      <c r="I85" s="110">
        <f t="shared" si="161"/>
        <v>149999.99860003506</v>
      </c>
      <c r="J85" s="110">
        <f t="shared" si="161"/>
        <v>149999.99919959763</v>
      </c>
      <c r="K85" s="110">
        <f t="shared" ref="K85:V85" si="166">IF(K17=0,0,K17/K28*1000000)</f>
        <v>149999.99931203382</v>
      </c>
      <c r="L85" s="110">
        <f t="shared" si="166"/>
        <v>149999.99918736372</v>
      </c>
      <c r="M85" s="110">
        <f t="shared" si="166"/>
        <v>142611.18984574344</v>
      </c>
      <c r="N85" s="110">
        <f t="shared" si="166"/>
        <v>149999.99888097795</v>
      </c>
      <c r="O85" s="110">
        <f t="shared" si="166"/>
        <v>138633.47139604267</v>
      </c>
      <c r="P85" s="110">
        <f t="shared" si="166"/>
        <v>149999.99784514619</v>
      </c>
      <c r="Q85" s="110">
        <f t="shared" si="166"/>
        <v>149999.99809045432</v>
      </c>
      <c r="R85" s="110">
        <f t="shared" si="166"/>
        <v>149999.99890080639</v>
      </c>
      <c r="S85" s="110">
        <f t="shared" si="166"/>
        <v>149999.99936693054</v>
      </c>
      <c r="T85" s="110">
        <f t="shared" si="166"/>
        <v>149999.99968450359</v>
      </c>
      <c r="U85" s="110">
        <f t="shared" si="166"/>
        <v>149999.99920742708</v>
      </c>
      <c r="V85" s="110">
        <f t="shared" si="166"/>
        <v>142636.84296630486</v>
      </c>
      <c r="W85" s="110">
        <f t="shared" ref="W85:Y85" si="167">IF(W17=0,0,W17/W28*1000000)</f>
        <v>149999.9996492354</v>
      </c>
      <c r="X85" s="110">
        <f t="shared" si="167"/>
        <v>149999.99965612422</v>
      </c>
      <c r="Y85" s="110">
        <f t="shared" si="167"/>
        <v>149999.99990065521</v>
      </c>
      <c r="DA85" s="176" t="s">
        <v>1086</v>
      </c>
    </row>
    <row r="86" spans="1:105" ht="11.45" customHeight="1" x14ac:dyDescent="0.25">
      <c r="A86" s="111" t="s">
        <v>92</v>
      </c>
      <c r="B86" s="84">
        <f t="shared" si="161"/>
        <v>149999.99981268329</v>
      </c>
      <c r="C86" s="84">
        <f t="shared" si="161"/>
        <v>142461.55813158711</v>
      </c>
      <c r="D86" s="84">
        <f t="shared" si="161"/>
        <v>135041.16462776071</v>
      </c>
      <c r="E86" s="84">
        <f t="shared" si="161"/>
        <v>137506.65194007877</v>
      </c>
      <c r="F86" s="84">
        <f t="shared" si="161"/>
        <v>145250.00834146861</v>
      </c>
      <c r="G86" s="84">
        <f t="shared" si="161"/>
        <v>149999.99999135727</v>
      </c>
      <c r="H86" s="84">
        <f t="shared" si="161"/>
        <v>149999.99803546868</v>
      </c>
      <c r="I86" s="84">
        <f t="shared" si="161"/>
        <v>149999.99772118038</v>
      </c>
      <c r="J86" s="84">
        <f t="shared" si="161"/>
        <v>149999.99756616299</v>
      </c>
      <c r="K86" s="84">
        <f t="shared" ref="K86:V86" si="168">IF(K18=0,0,K18/K29*1000000)</f>
        <v>149999.99763255543</v>
      </c>
      <c r="L86" s="84">
        <f t="shared" si="168"/>
        <v>149999.99936166505</v>
      </c>
      <c r="M86" s="84">
        <f t="shared" si="168"/>
        <v>149999.99601490214</v>
      </c>
      <c r="N86" s="84">
        <f t="shared" si="168"/>
        <v>149999.99748428378</v>
      </c>
      <c r="O86" s="84">
        <f t="shared" si="168"/>
        <v>149999.99573599451</v>
      </c>
      <c r="P86" s="84">
        <f t="shared" si="168"/>
        <v>149999.99514805616</v>
      </c>
      <c r="Q86" s="84">
        <f t="shared" si="168"/>
        <v>149999.99561822784</v>
      </c>
      <c r="R86" s="84">
        <f t="shared" si="168"/>
        <v>149999.99520335809</v>
      </c>
      <c r="S86" s="84">
        <f t="shared" si="168"/>
        <v>149999.99492650648</v>
      </c>
      <c r="T86" s="84">
        <f t="shared" si="168"/>
        <v>149999.99706424851</v>
      </c>
      <c r="U86" s="84">
        <f t="shared" si="168"/>
        <v>149999.99654750226</v>
      </c>
      <c r="V86" s="84">
        <f t="shared" si="168"/>
        <v>149999.99833373775</v>
      </c>
      <c r="W86" s="84">
        <f t="shared" ref="W86:Y86" si="169">IF(W18=0,0,W18/W29*1000000)</f>
        <v>149999.99727132914</v>
      </c>
      <c r="X86" s="84">
        <f t="shared" si="169"/>
        <v>149999.9971596972</v>
      </c>
      <c r="Y86" s="84">
        <f t="shared" si="169"/>
        <v>149999.9996674479</v>
      </c>
      <c r="DA86" s="171" t="s">
        <v>1087</v>
      </c>
    </row>
    <row r="87" spans="1:105" ht="11.45" customHeight="1" x14ac:dyDescent="0.25">
      <c r="A87" s="111" t="s">
        <v>93</v>
      </c>
      <c r="B87" s="84">
        <f t="shared" si="161"/>
        <v>149999.99974995042</v>
      </c>
      <c r="C87" s="84">
        <f t="shared" si="161"/>
        <v>149999.99967629317</v>
      </c>
      <c r="D87" s="84">
        <f t="shared" si="161"/>
        <v>149999.99976016575</v>
      </c>
      <c r="E87" s="84">
        <f t="shared" si="161"/>
        <v>149999.99927047614</v>
      </c>
      <c r="F87" s="84">
        <f t="shared" si="161"/>
        <v>144586.04432441929</v>
      </c>
      <c r="G87" s="84">
        <f t="shared" si="161"/>
        <v>149999.99958623984</v>
      </c>
      <c r="H87" s="84">
        <f t="shared" si="161"/>
        <v>149999.99901880397</v>
      </c>
      <c r="I87" s="84">
        <f t="shared" si="161"/>
        <v>149999.99897667507</v>
      </c>
      <c r="J87" s="84">
        <f t="shared" si="161"/>
        <v>149999.99987173933</v>
      </c>
      <c r="K87" s="84">
        <f t="shared" ref="K87:V87" si="170">IF(K19=0,0,K19/K30*1000000)</f>
        <v>149999.99990354135</v>
      </c>
      <c r="L87" s="84">
        <f t="shared" si="170"/>
        <v>149999.99913242011</v>
      </c>
      <c r="M87" s="84">
        <f t="shared" si="170"/>
        <v>140357.49349505533</v>
      </c>
      <c r="N87" s="84">
        <f t="shared" si="170"/>
        <v>149999.99922242985</v>
      </c>
      <c r="O87" s="84">
        <f t="shared" si="170"/>
        <v>135856.99328584131</v>
      </c>
      <c r="P87" s="84">
        <f t="shared" si="170"/>
        <v>149999.99858069204</v>
      </c>
      <c r="Q87" s="84">
        <f t="shared" si="170"/>
        <v>149999.9987198723</v>
      </c>
      <c r="R87" s="84">
        <f t="shared" si="170"/>
        <v>149999.99939378593</v>
      </c>
      <c r="S87" s="84">
        <f t="shared" si="170"/>
        <v>149999.99980905355</v>
      </c>
      <c r="T87" s="84">
        <f t="shared" si="170"/>
        <v>149999.99995797826</v>
      </c>
      <c r="U87" s="84">
        <f t="shared" si="170"/>
        <v>149999.99947338336</v>
      </c>
      <c r="V87" s="84">
        <f t="shared" si="170"/>
        <v>142047.30109316288</v>
      </c>
      <c r="W87" s="84">
        <f t="shared" ref="W87:Y87" si="171">IF(W19=0,0,W19/W30*1000000)</f>
        <v>149999.99979077387</v>
      </c>
      <c r="X87" s="84">
        <f t="shared" si="171"/>
        <v>149999.99981250949</v>
      </c>
      <c r="Y87" s="84">
        <f t="shared" si="171"/>
        <v>149999.99991876856</v>
      </c>
      <c r="DA87" s="171" t="s">
        <v>1088</v>
      </c>
    </row>
    <row r="88" spans="1:105" ht="11.45" customHeight="1" x14ac:dyDescent="0.25">
      <c r="A88" s="112" t="s">
        <v>25</v>
      </c>
      <c r="B88" s="113">
        <f t="shared" si="161"/>
        <v>0</v>
      </c>
      <c r="C88" s="113">
        <f t="shared" si="161"/>
        <v>0</v>
      </c>
      <c r="D88" s="113">
        <f t="shared" si="161"/>
        <v>0</v>
      </c>
      <c r="E88" s="113">
        <f t="shared" si="161"/>
        <v>0</v>
      </c>
      <c r="F88" s="113">
        <f t="shared" si="161"/>
        <v>449999.99719535297</v>
      </c>
      <c r="G88" s="113">
        <f t="shared" si="161"/>
        <v>449999.95108696178</v>
      </c>
      <c r="H88" s="113">
        <f t="shared" si="161"/>
        <v>449999.99999999994</v>
      </c>
      <c r="I88" s="113">
        <f t="shared" si="161"/>
        <v>449999.97796278266</v>
      </c>
      <c r="J88" s="113">
        <f t="shared" si="161"/>
        <v>450000</v>
      </c>
      <c r="K88" s="113">
        <f t="shared" ref="K88:V88" si="172">IF(K20=0,0,K20/K31*1000000)</f>
        <v>449855.90778097976</v>
      </c>
      <c r="L88" s="113">
        <f t="shared" si="172"/>
        <v>449999.97853053542</v>
      </c>
      <c r="M88" s="113">
        <f t="shared" si="172"/>
        <v>448425.5511247351</v>
      </c>
      <c r="N88" s="113">
        <f t="shared" si="172"/>
        <v>446707.99395477131</v>
      </c>
      <c r="O88" s="113">
        <f t="shared" si="172"/>
        <v>445133.56654897105</v>
      </c>
      <c r="P88" s="113">
        <f t="shared" si="172"/>
        <v>443416.00937900716</v>
      </c>
      <c r="Q88" s="113">
        <f t="shared" si="172"/>
        <v>441841.58197320701</v>
      </c>
      <c r="R88" s="113">
        <f t="shared" si="172"/>
        <v>449999.97173367016</v>
      </c>
      <c r="S88" s="113">
        <f t="shared" si="172"/>
        <v>449151.98183718708</v>
      </c>
      <c r="T88" s="113">
        <f t="shared" si="172"/>
        <v>434594.82194756152</v>
      </c>
      <c r="U88" s="113">
        <f t="shared" si="172"/>
        <v>440813.41452177049</v>
      </c>
      <c r="V88" s="113">
        <f t="shared" si="172"/>
        <v>255668.95378963862</v>
      </c>
      <c r="W88" s="113">
        <f t="shared" ref="W88:Y88" si="173">IF(W20=0,0,W20/W31*1000000)</f>
        <v>312390.27997985441</v>
      </c>
      <c r="X88" s="113">
        <f t="shared" si="173"/>
        <v>394224.03493018163</v>
      </c>
      <c r="Y88" s="113">
        <f t="shared" si="173"/>
        <v>381584.06284833082</v>
      </c>
      <c r="DA88" s="204" t="s">
        <v>1089</v>
      </c>
    </row>
    <row r="89" spans="1:105" ht="11.45" customHeight="1" x14ac:dyDescent="0.25">
      <c r="A89" s="27" t="s">
        <v>34</v>
      </c>
      <c r="B89" s="28">
        <f t="shared" si="161"/>
        <v>199999.98652891096</v>
      </c>
      <c r="C89" s="28">
        <f t="shared" si="161"/>
        <v>186793.60069090989</v>
      </c>
      <c r="D89" s="28">
        <f t="shared" si="161"/>
        <v>187291.31298911324</v>
      </c>
      <c r="E89" s="28">
        <f t="shared" si="161"/>
        <v>184594.55045051363</v>
      </c>
      <c r="F89" s="28">
        <f t="shared" si="161"/>
        <v>194167.01715382916</v>
      </c>
      <c r="G89" s="28">
        <f t="shared" si="161"/>
        <v>199999.99104294155</v>
      </c>
      <c r="H89" s="28">
        <f t="shared" si="161"/>
        <v>199999.99121995398</v>
      </c>
      <c r="I89" s="28">
        <f t="shared" si="161"/>
        <v>199999.99230030255</v>
      </c>
      <c r="J89" s="28">
        <f t="shared" si="161"/>
        <v>199999.99401965641</v>
      </c>
      <c r="K89" s="28">
        <f t="shared" ref="K89:V89" si="174">IF(K21=0,0,K21/K32*1000000)</f>
        <v>193970.93539130563</v>
      </c>
      <c r="L89" s="28">
        <f t="shared" si="174"/>
        <v>199999.99308474743</v>
      </c>
      <c r="M89" s="28">
        <f t="shared" si="174"/>
        <v>195296.64006685073</v>
      </c>
      <c r="N89" s="28">
        <f t="shared" si="174"/>
        <v>199999.99095870403</v>
      </c>
      <c r="O89" s="28">
        <f t="shared" si="174"/>
        <v>182807.5010214925</v>
      </c>
      <c r="P89" s="28">
        <f t="shared" si="174"/>
        <v>199999.99051371627</v>
      </c>
      <c r="Q89" s="28">
        <f t="shared" si="174"/>
        <v>199999.98601907538</v>
      </c>
      <c r="R89" s="28">
        <f t="shared" si="174"/>
        <v>199928.04194273008</v>
      </c>
      <c r="S89" s="28">
        <f t="shared" si="174"/>
        <v>189234.32870465468</v>
      </c>
      <c r="T89" s="28">
        <f t="shared" si="174"/>
        <v>199999.99053154563</v>
      </c>
      <c r="U89" s="28">
        <f t="shared" si="174"/>
        <v>179479.14820086295</v>
      </c>
      <c r="V89" s="28">
        <f t="shared" si="174"/>
        <v>199999.99491760114</v>
      </c>
      <c r="W89" s="28">
        <f t="shared" ref="W89:Y89" si="175">IF(W21=0,0,W21/W32*1000000)</f>
        <v>199999.99148516203</v>
      </c>
      <c r="X89" s="28">
        <f t="shared" si="175"/>
        <v>182470.41521467295</v>
      </c>
      <c r="Y89" s="28">
        <f t="shared" si="175"/>
        <v>199999.9990779259</v>
      </c>
      <c r="DA89" s="173" t="s">
        <v>1090</v>
      </c>
    </row>
    <row r="90" spans="1:105" ht="11.45" customHeight="1" x14ac:dyDescent="0.25">
      <c r="A90" s="83" t="s">
        <v>92</v>
      </c>
      <c r="B90" s="84">
        <f t="shared" si="161"/>
        <v>199999.98772234243</v>
      </c>
      <c r="C90" s="84">
        <f t="shared" si="161"/>
        <v>169511.35466116434</v>
      </c>
      <c r="D90" s="84">
        <f t="shared" si="161"/>
        <v>166327.64290902612</v>
      </c>
      <c r="E90" s="84">
        <f t="shared" si="161"/>
        <v>156047.09714572263</v>
      </c>
      <c r="F90" s="84">
        <f t="shared" si="161"/>
        <v>179326.49934545383</v>
      </c>
      <c r="G90" s="84">
        <f t="shared" si="161"/>
        <v>199999.98939065111</v>
      </c>
      <c r="H90" s="84">
        <f t="shared" si="161"/>
        <v>199999.99390923779</v>
      </c>
      <c r="I90" s="84">
        <f t="shared" si="161"/>
        <v>199999.99935414357</v>
      </c>
      <c r="J90" s="84">
        <f t="shared" si="161"/>
        <v>199999.99823688745</v>
      </c>
      <c r="K90" s="84">
        <f t="shared" ref="K90:V90" si="176">IF(K22=0,0,K22/K33*1000000)</f>
        <v>178209.26252808538</v>
      </c>
      <c r="L90" s="84">
        <f t="shared" si="176"/>
        <v>199999.96438470806</v>
      </c>
      <c r="M90" s="84">
        <f t="shared" si="176"/>
        <v>199999.98078233079</v>
      </c>
      <c r="N90" s="84">
        <f t="shared" si="176"/>
        <v>199999.99784521302</v>
      </c>
      <c r="O90" s="84">
        <f t="shared" si="176"/>
        <v>199999.96243213583</v>
      </c>
      <c r="P90" s="84">
        <f t="shared" si="176"/>
        <v>199999.94777707983</v>
      </c>
      <c r="Q90" s="84">
        <f t="shared" si="176"/>
        <v>199999.95305074955</v>
      </c>
      <c r="R90" s="84">
        <f t="shared" si="176"/>
        <v>199398.6505843506</v>
      </c>
      <c r="S90" s="84">
        <f t="shared" si="176"/>
        <v>199999.97284686222</v>
      </c>
      <c r="T90" s="84">
        <f t="shared" si="176"/>
        <v>199999.98055450423</v>
      </c>
      <c r="U90" s="84">
        <f t="shared" si="176"/>
        <v>199999.99961913205</v>
      </c>
      <c r="V90" s="84">
        <f t="shared" si="176"/>
        <v>199999.97693898066</v>
      </c>
      <c r="W90" s="84">
        <f t="shared" ref="W90:Y90" si="177">IF(W22=0,0,W22/W33*1000000)</f>
        <v>199999.98975451241</v>
      </c>
      <c r="X90" s="84">
        <f t="shared" si="177"/>
        <v>176432.29796889686</v>
      </c>
      <c r="Y90" s="84">
        <f t="shared" si="177"/>
        <v>199999.99654311177</v>
      </c>
      <c r="DA90" s="171" t="s">
        <v>1091</v>
      </c>
    </row>
    <row r="91" spans="1:105" ht="11.45" customHeight="1" x14ac:dyDescent="0.25">
      <c r="A91" s="85" t="s">
        <v>93</v>
      </c>
      <c r="B91" s="86">
        <f t="shared" si="161"/>
        <v>199999.98527060499</v>
      </c>
      <c r="C91" s="86">
        <f t="shared" si="161"/>
        <v>199999.98629236277</v>
      </c>
      <c r="D91" s="86">
        <f t="shared" si="161"/>
        <v>199999.99925527329</v>
      </c>
      <c r="E91" s="86">
        <f t="shared" si="161"/>
        <v>199999.98801080137</v>
      </c>
      <c r="F91" s="86">
        <f t="shared" si="161"/>
        <v>199999.99904379059</v>
      </c>
      <c r="G91" s="86">
        <f t="shared" si="161"/>
        <v>199999.99161919919</v>
      </c>
      <c r="H91" s="86">
        <f t="shared" si="161"/>
        <v>199999.99037692207</v>
      </c>
      <c r="I91" s="86">
        <f t="shared" si="161"/>
        <v>199999.98969822115</v>
      </c>
      <c r="J91" s="86">
        <f t="shared" si="161"/>
        <v>199999.99277203079</v>
      </c>
      <c r="K91" s="86">
        <f t="shared" ref="K91:V91" si="178">IF(K23=0,0,K23/K34*1000000)</f>
        <v>197939.50909310923</v>
      </c>
      <c r="L91" s="86">
        <f t="shared" si="178"/>
        <v>199999.99932569699</v>
      </c>
      <c r="M91" s="86">
        <f t="shared" si="178"/>
        <v>194223.96516697013</v>
      </c>
      <c r="N91" s="86">
        <f t="shared" si="178"/>
        <v>199999.98966596552</v>
      </c>
      <c r="O91" s="86">
        <f t="shared" si="178"/>
        <v>179230.571835537</v>
      </c>
      <c r="P91" s="86">
        <f t="shared" si="178"/>
        <v>199999.99987898726</v>
      </c>
      <c r="Q91" s="86">
        <f t="shared" si="178"/>
        <v>199999.99328767424</v>
      </c>
      <c r="R91" s="86">
        <f t="shared" si="178"/>
        <v>199999.99199844533</v>
      </c>
      <c r="S91" s="86">
        <f t="shared" si="178"/>
        <v>186828.6266709764</v>
      </c>
      <c r="T91" s="86">
        <f t="shared" si="178"/>
        <v>199999.99240205443</v>
      </c>
      <c r="U91" s="86">
        <f t="shared" si="178"/>
        <v>174847.92920689145</v>
      </c>
      <c r="V91" s="86">
        <f t="shared" si="178"/>
        <v>199999.99969922772</v>
      </c>
      <c r="W91" s="86">
        <f t="shared" ref="W91:Y91" si="179">IF(W23=0,0,W23/W34*1000000)</f>
        <v>199999.99205864663</v>
      </c>
      <c r="X91" s="86">
        <f t="shared" si="179"/>
        <v>184234.39367803093</v>
      </c>
      <c r="Y91" s="86">
        <f t="shared" si="179"/>
        <v>199999.99958028755</v>
      </c>
      <c r="DA91" s="178" t="s">
        <v>1092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DA92" s="171"/>
    </row>
    <row r="93" spans="1:105" ht="11.45" customHeight="1" x14ac:dyDescent="0.25">
      <c r="A93" s="53" t="s">
        <v>106</v>
      </c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DA93" s="172"/>
    </row>
    <row r="94" spans="1:105" ht="11.45" customHeight="1" x14ac:dyDescent="0.25">
      <c r="A94" s="27" t="s">
        <v>107</v>
      </c>
      <c r="B94" s="28">
        <f t="shared" ref="B94:J102" si="180">IF(B4=0,0,B4/B26*1000000)</f>
        <v>16365171.797785368</v>
      </c>
      <c r="C94" s="28">
        <f t="shared" si="180"/>
        <v>17041831.359295532</v>
      </c>
      <c r="D94" s="28">
        <f t="shared" si="180"/>
        <v>16172629.575424384</v>
      </c>
      <c r="E94" s="28">
        <f t="shared" si="180"/>
        <v>15108078.275090495</v>
      </c>
      <c r="F94" s="28">
        <f t="shared" si="180"/>
        <v>15902660.47567807</v>
      </c>
      <c r="G94" s="28">
        <f t="shared" si="180"/>
        <v>16450344.281627996</v>
      </c>
      <c r="H94" s="28">
        <f t="shared" si="180"/>
        <v>15453280.315387987</v>
      </c>
      <c r="I94" s="28">
        <f t="shared" si="180"/>
        <v>16023917.764081659</v>
      </c>
      <c r="J94" s="28">
        <f t="shared" si="180"/>
        <v>16030824.326187216</v>
      </c>
      <c r="K94" s="28">
        <f t="shared" ref="K94:V94" si="181">IF(K4=0,0,K4/K26*1000000)</f>
        <v>16751081.438575791</v>
      </c>
      <c r="L94" s="28">
        <f t="shared" si="181"/>
        <v>16553741.641955053</v>
      </c>
      <c r="M94" s="28">
        <f t="shared" si="181"/>
        <v>17973899.114783969</v>
      </c>
      <c r="N94" s="28">
        <f t="shared" si="181"/>
        <v>17080589.567850992</v>
      </c>
      <c r="O94" s="28">
        <f t="shared" si="181"/>
        <v>17467955.418274481</v>
      </c>
      <c r="P94" s="28">
        <f t="shared" si="181"/>
        <v>19341295.630038392</v>
      </c>
      <c r="Q94" s="28">
        <f t="shared" si="181"/>
        <v>19091924.805932805</v>
      </c>
      <c r="R94" s="28">
        <f t="shared" si="181"/>
        <v>14682537.506100267</v>
      </c>
      <c r="S94" s="28">
        <f t="shared" si="181"/>
        <v>13365510.144109363</v>
      </c>
      <c r="T94" s="28">
        <f t="shared" si="181"/>
        <v>13282096.46348856</v>
      </c>
      <c r="U94" s="28">
        <f t="shared" si="181"/>
        <v>14209681.412868259</v>
      </c>
      <c r="V94" s="28">
        <f t="shared" si="181"/>
        <v>7631094.1732519856</v>
      </c>
      <c r="W94" s="28">
        <f t="shared" ref="W94:Y94" si="182">IF(W4=0,0,W4/W26*1000000)</f>
        <v>8308654.2097623153</v>
      </c>
      <c r="X94" s="28">
        <f t="shared" si="182"/>
        <v>12990158.064047392</v>
      </c>
      <c r="Y94" s="28">
        <f t="shared" si="182"/>
        <v>13600590.412776398</v>
      </c>
      <c r="DA94" s="173" t="s">
        <v>1093</v>
      </c>
    </row>
    <row r="95" spans="1:105" ht="11.45" customHeight="1" x14ac:dyDescent="0.25">
      <c r="A95" s="107" t="s">
        <v>23</v>
      </c>
      <c r="B95" s="108">
        <f t="shared" si="180"/>
        <v>8516887.2519038785</v>
      </c>
      <c r="C95" s="108">
        <f t="shared" si="180"/>
        <v>8516887.2293026559</v>
      </c>
      <c r="D95" s="108">
        <f t="shared" si="180"/>
        <v>8516887.2220428679</v>
      </c>
      <c r="E95" s="108">
        <f t="shared" si="180"/>
        <v>8516887.2785654943</v>
      </c>
      <c r="F95" s="108">
        <f t="shared" si="180"/>
        <v>8784013.096164979</v>
      </c>
      <c r="G95" s="108">
        <f t="shared" si="180"/>
        <v>8450408.2889673691</v>
      </c>
      <c r="H95" s="108">
        <f t="shared" si="180"/>
        <v>8172144.2411752483</v>
      </c>
      <c r="I95" s="108">
        <f t="shared" si="180"/>
        <v>8373930.2130475277</v>
      </c>
      <c r="J95" s="108">
        <f t="shared" si="180"/>
        <v>8344202.5371989748</v>
      </c>
      <c r="K95" s="108">
        <f t="shared" ref="K95:V95" si="183">IF(K5=0,0,K5/K27*1000000)</f>
        <v>8438926.806345623</v>
      </c>
      <c r="L95" s="108">
        <f t="shared" si="183"/>
        <v>8443029.3568441458</v>
      </c>
      <c r="M95" s="108">
        <f t="shared" si="183"/>
        <v>8640204.4049583431</v>
      </c>
      <c r="N95" s="108">
        <f t="shared" si="183"/>
        <v>8117767.8296875851</v>
      </c>
      <c r="O95" s="108">
        <f t="shared" si="183"/>
        <v>7816685.8876465</v>
      </c>
      <c r="P95" s="108">
        <f t="shared" si="183"/>
        <v>8463872.4083412811</v>
      </c>
      <c r="Q95" s="108">
        <f t="shared" si="183"/>
        <v>8487461.6798575688</v>
      </c>
      <c r="R95" s="108">
        <f t="shared" si="183"/>
        <v>8628440.7006785013</v>
      </c>
      <c r="S95" s="108">
        <f t="shared" si="183"/>
        <v>8752379.2286438867</v>
      </c>
      <c r="T95" s="108">
        <f t="shared" si="183"/>
        <v>8821407.1247039791</v>
      </c>
      <c r="U95" s="108">
        <f t="shared" si="183"/>
        <v>9005149.9292235579</v>
      </c>
      <c r="V95" s="108">
        <f t="shared" si="183"/>
        <v>4850115.8955417238</v>
      </c>
      <c r="W95" s="108">
        <f t="shared" ref="W95:Y95" si="184">IF(W5=0,0,W5/W27*1000000)</f>
        <v>4959558.6042158883</v>
      </c>
      <c r="X95" s="108">
        <f t="shared" si="184"/>
        <v>8141938.2410090417</v>
      </c>
      <c r="Y95" s="108">
        <f t="shared" si="184"/>
        <v>9491637.4263661522</v>
      </c>
      <c r="DA95" s="203" t="s">
        <v>1094</v>
      </c>
    </row>
    <row r="96" spans="1:105" ht="11.45" customHeight="1" x14ac:dyDescent="0.25">
      <c r="A96" s="109" t="s">
        <v>24</v>
      </c>
      <c r="B96" s="110">
        <f t="shared" si="180"/>
        <v>18620681.858335182</v>
      </c>
      <c r="C96" s="110">
        <f t="shared" si="180"/>
        <v>19739242.138993923</v>
      </c>
      <c r="D96" s="110">
        <f t="shared" si="180"/>
        <v>18503286.284999795</v>
      </c>
      <c r="E96" s="110">
        <f t="shared" si="180"/>
        <v>17959718.11808474</v>
      </c>
      <c r="F96" s="110">
        <f t="shared" si="180"/>
        <v>17702865.968542725</v>
      </c>
      <c r="G96" s="110">
        <f t="shared" si="180"/>
        <v>18790989.438048527</v>
      </c>
      <c r="H96" s="110">
        <f t="shared" si="180"/>
        <v>17975301.434143521</v>
      </c>
      <c r="I96" s="110">
        <f t="shared" si="180"/>
        <v>19110302.596901271</v>
      </c>
      <c r="J96" s="110">
        <f t="shared" si="180"/>
        <v>19113066.443683658</v>
      </c>
      <c r="K96" s="110">
        <f t="shared" ref="K96:V96" si="185">IF(K6=0,0,K6/K28*1000000)</f>
        <v>20414223.320841886</v>
      </c>
      <c r="L96" s="110">
        <f t="shared" si="185"/>
        <v>20454958.896971647</v>
      </c>
      <c r="M96" s="110">
        <f t="shared" si="185"/>
        <v>23606046.22519571</v>
      </c>
      <c r="N96" s="110">
        <f t="shared" si="185"/>
        <v>22391448.822979856</v>
      </c>
      <c r="O96" s="110">
        <f t="shared" si="185"/>
        <v>23519716.225759521</v>
      </c>
      <c r="P96" s="110">
        <f t="shared" si="185"/>
        <v>25901105.639574185</v>
      </c>
      <c r="Q96" s="110">
        <f t="shared" si="185"/>
        <v>25233710.861326504</v>
      </c>
      <c r="R96" s="110">
        <f t="shared" si="185"/>
        <v>15689733.512332289</v>
      </c>
      <c r="S96" s="110">
        <f t="shared" si="185"/>
        <v>13478756.520195816</v>
      </c>
      <c r="T96" s="110">
        <f t="shared" si="185"/>
        <v>13376687.763540898</v>
      </c>
      <c r="U96" s="110">
        <f t="shared" si="185"/>
        <v>14719789.607301744</v>
      </c>
      <c r="V96" s="110">
        <f t="shared" si="185"/>
        <v>8393627.256876884</v>
      </c>
      <c r="W96" s="110">
        <f t="shared" ref="W96:Y96" si="186">IF(W6=0,0,W6/W28*1000000)</f>
        <v>9091467.9305729512</v>
      </c>
      <c r="X96" s="110">
        <f t="shared" si="186"/>
        <v>13685052.920909852</v>
      </c>
      <c r="Y96" s="110">
        <f t="shared" si="186"/>
        <v>13857775.250675324</v>
      </c>
      <c r="DA96" s="176" t="s">
        <v>1095</v>
      </c>
    </row>
    <row r="97" spans="1:105" ht="11.45" customHeight="1" x14ac:dyDescent="0.25">
      <c r="A97" s="111" t="s">
        <v>92</v>
      </c>
      <c r="B97" s="84">
        <f t="shared" si="180"/>
        <v>16033704.361723028</v>
      </c>
      <c r="C97" s="84">
        <f t="shared" si="180"/>
        <v>15999189.58345666</v>
      </c>
      <c r="D97" s="84">
        <f t="shared" si="180"/>
        <v>15333076.0494971</v>
      </c>
      <c r="E97" s="84">
        <f t="shared" si="180"/>
        <v>13742675.427232567</v>
      </c>
      <c r="F97" s="84">
        <f t="shared" si="180"/>
        <v>14987784.789122323</v>
      </c>
      <c r="G97" s="84">
        <f t="shared" si="180"/>
        <v>15966616.31862201</v>
      </c>
      <c r="H97" s="84">
        <f t="shared" si="180"/>
        <v>15614485.06001772</v>
      </c>
      <c r="I97" s="84">
        <f t="shared" si="180"/>
        <v>16941981.625767529</v>
      </c>
      <c r="J97" s="84">
        <f t="shared" si="180"/>
        <v>16695863.635485977</v>
      </c>
      <c r="K97" s="84">
        <f t="shared" ref="K97:V97" si="187">IF(K7=0,0,K7/K29*1000000)</f>
        <v>17772030.834729511</v>
      </c>
      <c r="L97" s="84">
        <f t="shared" si="187"/>
        <v>18291768.239383746</v>
      </c>
      <c r="M97" s="84">
        <f t="shared" si="187"/>
        <v>23293066.664380785</v>
      </c>
      <c r="N97" s="84">
        <f t="shared" si="187"/>
        <v>21401554.038005106</v>
      </c>
      <c r="O97" s="84">
        <f t="shared" si="187"/>
        <v>25922316.718132444</v>
      </c>
      <c r="P97" s="84">
        <f t="shared" si="187"/>
        <v>25974941.207212314</v>
      </c>
      <c r="Q97" s="84">
        <f t="shared" si="187"/>
        <v>26179926.390836015</v>
      </c>
      <c r="R97" s="84">
        <f t="shared" si="187"/>
        <v>20189578.605272658</v>
      </c>
      <c r="S97" s="84">
        <f t="shared" si="187"/>
        <v>22023200.695368476</v>
      </c>
      <c r="T97" s="84">
        <f t="shared" si="187"/>
        <v>17667432.922437418</v>
      </c>
      <c r="U97" s="84">
        <f t="shared" si="187"/>
        <v>19874176.048201561</v>
      </c>
      <c r="V97" s="84">
        <f t="shared" si="187"/>
        <v>14575069.462674806</v>
      </c>
      <c r="W97" s="84">
        <f t="shared" ref="W97:Y97" si="188">IF(W7=0,0,W7/W29*1000000)</f>
        <v>19868961.728525382</v>
      </c>
      <c r="X97" s="84">
        <f t="shared" si="188"/>
        <v>28139627.94841554</v>
      </c>
      <c r="Y97" s="84">
        <f t="shared" si="188"/>
        <v>23045413.765479553</v>
      </c>
      <c r="DA97" s="171" t="s">
        <v>1096</v>
      </c>
    </row>
    <row r="98" spans="1:105" ht="11.45" customHeight="1" x14ac:dyDescent="0.25">
      <c r="A98" s="111" t="s">
        <v>93</v>
      </c>
      <c r="B98" s="84">
        <f t="shared" si="180"/>
        <v>21081282.291662514</v>
      </c>
      <c r="C98" s="84">
        <f t="shared" si="180"/>
        <v>23052546.308496337</v>
      </c>
      <c r="D98" s="84">
        <f t="shared" si="180"/>
        <v>20600000.902933214</v>
      </c>
      <c r="E98" s="84">
        <f t="shared" si="180"/>
        <v>20266481.437178314</v>
      </c>
      <c r="F98" s="84">
        <f t="shared" si="180"/>
        <v>19089823.054996729</v>
      </c>
      <c r="G98" s="84">
        <f t="shared" si="180"/>
        <v>20106498.734433617</v>
      </c>
      <c r="H98" s="84">
        <f t="shared" si="180"/>
        <v>18955412.027299877</v>
      </c>
      <c r="I98" s="84">
        <f t="shared" si="180"/>
        <v>20039553.460276555</v>
      </c>
      <c r="J98" s="84">
        <f t="shared" si="180"/>
        <v>20107720.773730081</v>
      </c>
      <c r="K98" s="84">
        <f t="shared" ref="K98:V98" si="189">IF(K8=0,0,K8/K30*1000000)</f>
        <v>21344796.012282617</v>
      </c>
      <c r="L98" s="84">
        <f t="shared" si="189"/>
        <v>21136844.340345755</v>
      </c>
      <c r="M98" s="84">
        <f t="shared" si="189"/>
        <v>23701509.670561589</v>
      </c>
      <c r="N98" s="84">
        <f t="shared" si="189"/>
        <v>22633449.890870269</v>
      </c>
      <c r="O98" s="84">
        <f t="shared" si="189"/>
        <v>22932837.82079402</v>
      </c>
      <c r="P98" s="84">
        <f t="shared" si="189"/>
        <v>25880969.328123368</v>
      </c>
      <c r="Q98" s="84">
        <f t="shared" si="189"/>
        <v>24992808.549381353</v>
      </c>
      <c r="R98" s="84">
        <f t="shared" si="189"/>
        <v>15089770.697326329</v>
      </c>
      <c r="S98" s="84">
        <f t="shared" si="189"/>
        <v>12628005.569548197</v>
      </c>
      <c r="T98" s="84">
        <f t="shared" si="189"/>
        <v>12928864.94370291</v>
      </c>
      <c r="U98" s="84">
        <f t="shared" si="189"/>
        <v>14204421.144945187</v>
      </c>
      <c r="V98" s="84">
        <f t="shared" si="189"/>
        <v>7898700.9875164153</v>
      </c>
      <c r="W98" s="84">
        <f t="shared" ref="W98:Y98" si="190">IF(W8=0,0,W8/W30*1000000)</f>
        <v>8449966.6669177003</v>
      </c>
      <c r="X98" s="84">
        <f t="shared" si="190"/>
        <v>12779565.385470748</v>
      </c>
      <c r="Y98" s="84">
        <f t="shared" si="190"/>
        <v>13144166.15550773</v>
      </c>
      <c r="DA98" s="171" t="s">
        <v>1097</v>
      </c>
    </row>
    <row r="99" spans="1:105" ht="11.45" customHeight="1" x14ac:dyDescent="0.25">
      <c r="A99" s="112" t="s">
        <v>25</v>
      </c>
      <c r="B99" s="113">
        <f t="shared" si="180"/>
        <v>0</v>
      </c>
      <c r="C99" s="113">
        <f t="shared" si="180"/>
        <v>0</v>
      </c>
      <c r="D99" s="113">
        <f t="shared" si="180"/>
        <v>0</v>
      </c>
      <c r="E99" s="113">
        <f t="shared" si="180"/>
        <v>0</v>
      </c>
      <c r="F99" s="113">
        <f t="shared" si="180"/>
        <v>79891303.849899635</v>
      </c>
      <c r="G99" s="113">
        <f t="shared" si="180"/>
        <v>79891295.663989589</v>
      </c>
      <c r="H99" s="113">
        <f t="shared" si="180"/>
        <v>78153846.15384616</v>
      </c>
      <c r="I99" s="113">
        <f t="shared" si="180"/>
        <v>74338879.807106763</v>
      </c>
      <c r="J99" s="113">
        <f t="shared" si="180"/>
        <v>75648414.985590771</v>
      </c>
      <c r="K99" s="113">
        <f t="shared" ref="K99:V99" si="191">IF(K9=0,0,K9/K31*1000000)</f>
        <v>76224783.861671463</v>
      </c>
      <c r="L99" s="113">
        <f t="shared" si="191"/>
        <v>74321475.175502151</v>
      </c>
      <c r="M99" s="113">
        <f t="shared" si="191"/>
        <v>66698470.100263834</v>
      </c>
      <c r="N99" s="113">
        <f t="shared" si="191"/>
        <v>66125951.043609209</v>
      </c>
      <c r="O99" s="113">
        <f t="shared" si="191"/>
        <v>66555340.336100176</v>
      </c>
      <c r="P99" s="113">
        <f t="shared" si="191"/>
        <v>77003813.120047078</v>
      </c>
      <c r="Q99" s="113">
        <f t="shared" si="191"/>
        <v>81440835.809120432</v>
      </c>
      <c r="R99" s="113">
        <f t="shared" si="191"/>
        <v>86793179.221533969</v>
      </c>
      <c r="S99" s="113">
        <f t="shared" si="191"/>
        <v>92289567.067238256</v>
      </c>
      <c r="T99" s="113">
        <f t="shared" si="191"/>
        <v>93420220.262548983</v>
      </c>
      <c r="U99" s="113">
        <f t="shared" si="191"/>
        <v>98366827.992033422</v>
      </c>
      <c r="V99" s="113">
        <f t="shared" si="191"/>
        <v>31516957.81928657</v>
      </c>
      <c r="W99" s="113">
        <f t="shared" ref="W99:Y99" si="192">IF(W9=0,0,W9/W31*1000000)</f>
        <v>38159545.341737099</v>
      </c>
      <c r="X99" s="113">
        <f t="shared" si="192"/>
        <v>77873738.827026457</v>
      </c>
      <c r="Y99" s="113">
        <f t="shared" si="192"/>
        <v>84798989.648304671</v>
      </c>
      <c r="DA99" s="204" t="s">
        <v>1098</v>
      </c>
    </row>
    <row r="100" spans="1:105" ht="11.45" customHeight="1" x14ac:dyDescent="0.25">
      <c r="A100" s="27" t="s">
        <v>108</v>
      </c>
      <c r="B100" s="28">
        <f t="shared" si="180"/>
        <v>109114363.24896289</v>
      </c>
      <c r="C100" s="28">
        <f t="shared" si="180"/>
        <v>100213692.3402147</v>
      </c>
      <c r="D100" s="28">
        <f t="shared" si="180"/>
        <v>100760792.22518149</v>
      </c>
      <c r="E100" s="28">
        <f t="shared" si="180"/>
        <v>101088922.26335025</v>
      </c>
      <c r="F100" s="28">
        <f t="shared" si="180"/>
        <v>104509708.4115019</v>
      </c>
      <c r="G100" s="28">
        <f t="shared" si="180"/>
        <v>110463905.53119503</v>
      </c>
      <c r="H100" s="28">
        <f t="shared" si="180"/>
        <v>109861542.80870301</v>
      </c>
      <c r="I100" s="28">
        <f t="shared" si="180"/>
        <v>114896229.51094992</v>
      </c>
      <c r="J100" s="28">
        <f t="shared" si="180"/>
        <v>110871761.30166665</v>
      </c>
      <c r="K100" s="28">
        <f t="shared" ref="K100:V100" si="193">IF(K10=0,0,K10/K32*1000000)</f>
        <v>103573756.73497404</v>
      </c>
      <c r="L100" s="28">
        <f t="shared" si="193"/>
        <v>109365435.54820168</v>
      </c>
      <c r="M100" s="28">
        <f t="shared" si="193"/>
        <v>115306294.88447742</v>
      </c>
      <c r="N100" s="28">
        <f t="shared" si="193"/>
        <v>117817207.74580252</v>
      </c>
      <c r="O100" s="28">
        <f t="shared" si="193"/>
        <v>116101792.57618773</v>
      </c>
      <c r="P100" s="28">
        <f t="shared" si="193"/>
        <v>122568107.00306524</v>
      </c>
      <c r="Q100" s="28">
        <f t="shared" si="193"/>
        <v>123242408.73986745</v>
      </c>
      <c r="R100" s="28">
        <f t="shared" si="193"/>
        <v>113932353.83544809</v>
      </c>
      <c r="S100" s="28">
        <f t="shared" si="193"/>
        <v>109895351.34274861</v>
      </c>
      <c r="T100" s="28">
        <f t="shared" si="193"/>
        <v>112501276.065559</v>
      </c>
      <c r="U100" s="28">
        <f t="shared" si="193"/>
        <v>102504548.48421708</v>
      </c>
      <c r="V100" s="28">
        <f t="shared" si="193"/>
        <v>96857569.345412388</v>
      </c>
      <c r="W100" s="28">
        <f t="shared" ref="W100:Y100" si="194">IF(W10=0,0,W10/W32*1000000)</f>
        <v>74666098.44746913</v>
      </c>
      <c r="X100" s="28">
        <f t="shared" si="194"/>
        <v>94431133.056312338</v>
      </c>
      <c r="Y100" s="28">
        <f t="shared" si="194"/>
        <v>82490734.6465168</v>
      </c>
      <c r="DA100" s="173" t="s">
        <v>1099</v>
      </c>
    </row>
    <row r="101" spans="1:105" ht="11.45" customHeight="1" x14ac:dyDescent="0.25">
      <c r="A101" s="83" t="s">
        <v>92</v>
      </c>
      <c r="B101" s="84">
        <f t="shared" si="180"/>
        <v>113931047.14985476</v>
      </c>
      <c r="C101" s="84">
        <f t="shared" si="180"/>
        <v>111901415.61154893</v>
      </c>
      <c r="D101" s="84">
        <f t="shared" si="180"/>
        <v>112315628.52932741</v>
      </c>
      <c r="E101" s="84">
        <f t="shared" si="180"/>
        <v>109163496.83418401</v>
      </c>
      <c r="F101" s="84">
        <f t="shared" si="180"/>
        <v>127718509.25814824</v>
      </c>
      <c r="G101" s="84">
        <f t="shared" si="180"/>
        <v>139463726.43240252</v>
      </c>
      <c r="H101" s="84">
        <f t="shared" si="180"/>
        <v>139551623.10345066</v>
      </c>
      <c r="I101" s="84">
        <f t="shared" si="180"/>
        <v>130857809.36835954</v>
      </c>
      <c r="J101" s="84">
        <f t="shared" si="180"/>
        <v>144430275.87501201</v>
      </c>
      <c r="K101" s="84">
        <f t="shared" ref="K101:V101" si="195">IF(K11=0,0,K11/K33*1000000)</f>
        <v>133833435.1843736</v>
      </c>
      <c r="L101" s="84">
        <f t="shared" si="195"/>
        <v>148470972.19381329</v>
      </c>
      <c r="M101" s="84">
        <f t="shared" si="195"/>
        <v>157041879.00619704</v>
      </c>
      <c r="N101" s="84">
        <f t="shared" si="195"/>
        <v>160092158.96863428</v>
      </c>
      <c r="O101" s="84">
        <f t="shared" si="195"/>
        <v>165359981.00105181</v>
      </c>
      <c r="P101" s="84">
        <f t="shared" si="195"/>
        <v>166074829.35024527</v>
      </c>
      <c r="Q101" s="84">
        <f t="shared" si="195"/>
        <v>164222941.37248984</v>
      </c>
      <c r="R101" s="84">
        <f t="shared" si="195"/>
        <v>163737332.46610412</v>
      </c>
      <c r="S101" s="84">
        <f t="shared" si="195"/>
        <v>157867804.05020067</v>
      </c>
      <c r="T101" s="84">
        <f t="shared" si="195"/>
        <v>173156875.2877827</v>
      </c>
      <c r="U101" s="84">
        <f t="shared" si="195"/>
        <v>173832495.68369094</v>
      </c>
      <c r="V101" s="84">
        <f t="shared" si="195"/>
        <v>120448500.84814939</v>
      </c>
      <c r="W101" s="84">
        <f t="shared" ref="W101:Y101" si="196">IF(W11=0,0,W11/W33*1000000)</f>
        <v>102620887.4774271</v>
      </c>
      <c r="X101" s="84">
        <f t="shared" si="196"/>
        <v>177608014.52113277</v>
      </c>
      <c r="Y101" s="84">
        <f t="shared" si="196"/>
        <v>168650799.31724259</v>
      </c>
      <c r="DA101" s="171" t="s">
        <v>1100</v>
      </c>
    </row>
    <row r="102" spans="1:105" ht="11.45" customHeight="1" x14ac:dyDescent="0.25">
      <c r="A102" s="85" t="s">
        <v>93</v>
      </c>
      <c r="B102" s="86">
        <f t="shared" si="180"/>
        <v>104035845.81008169</v>
      </c>
      <c r="C102" s="86">
        <f t="shared" si="180"/>
        <v>91282412.224270985</v>
      </c>
      <c r="D102" s="86">
        <f t="shared" si="180"/>
        <v>93755969.649495542</v>
      </c>
      <c r="E102" s="86">
        <f t="shared" si="180"/>
        <v>96731533.425586924</v>
      </c>
      <c r="F102" s="86">
        <f t="shared" si="180"/>
        <v>95387620.033304706</v>
      </c>
      <c r="G102" s="86">
        <f t="shared" si="180"/>
        <v>100349843.17536037</v>
      </c>
      <c r="H102" s="86">
        <f t="shared" si="180"/>
        <v>100554349.16900776</v>
      </c>
      <c r="I102" s="86">
        <f t="shared" si="180"/>
        <v>109008185.01420797</v>
      </c>
      <c r="J102" s="86">
        <f t="shared" si="180"/>
        <v>100943810.42806645</v>
      </c>
      <c r="K102" s="86">
        <f t="shared" ref="K102:V102" si="197">IF(K12=0,0,K12/K34*1000000)</f>
        <v>95954783.472336203</v>
      </c>
      <c r="L102" s="86">
        <f t="shared" si="197"/>
        <v>100861764.91623686</v>
      </c>
      <c r="M102" s="86">
        <f t="shared" si="197"/>
        <v>105787802.34323379</v>
      </c>
      <c r="N102" s="86">
        <f t="shared" si="197"/>
        <v>109881335.36346336</v>
      </c>
      <c r="O102" s="86">
        <f t="shared" si="197"/>
        <v>105853518.77665399</v>
      </c>
      <c r="P102" s="86">
        <f t="shared" si="197"/>
        <v>113034080.0560846</v>
      </c>
      <c r="Q102" s="86">
        <f t="shared" si="197"/>
        <v>114207341.09771085</v>
      </c>
      <c r="R102" s="86">
        <f t="shared" si="197"/>
        <v>107163314.38920377</v>
      </c>
      <c r="S102" s="86">
        <f t="shared" si="197"/>
        <v>99175377.181017965</v>
      </c>
      <c r="T102" s="86">
        <f t="shared" si="197"/>
        <v>101129484.81310546</v>
      </c>
      <c r="U102" s="86">
        <f t="shared" si="197"/>
        <v>86407002.766542301</v>
      </c>
      <c r="V102" s="86">
        <f t="shared" si="197"/>
        <v>90583282.327808335</v>
      </c>
      <c r="W102" s="86">
        <f t="shared" ref="W102:Y102" si="198">IF(W12=0,0,W12/W34*1000000)</f>
        <v>65402732.56547495</v>
      </c>
      <c r="X102" s="86">
        <f t="shared" si="198"/>
        <v>70131799.078347132</v>
      </c>
      <c r="Y102" s="86">
        <f t="shared" si="198"/>
        <v>65415119.339225069</v>
      </c>
      <c r="DA102" s="178" t="s">
        <v>1101</v>
      </c>
    </row>
    <row r="103" spans="1:105" x14ac:dyDescent="0.25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DA103" s="171"/>
    </row>
    <row r="104" spans="1:105" ht="11.45" customHeight="1" x14ac:dyDescent="0.25">
      <c r="A104" s="53" t="s">
        <v>37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DA104" s="172"/>
    </row>
    <row r="105" spans="1:105" ht="11.45" customHeight="1" x14ac:dyDescent="0.25">
      <c r="A105" s="27" t="s">
        <v>38</v>
      </c>
      <c r="B105" s="31">
        <f t="shared" ref="B105:J110" si="199">IF(B4=0,0,B4/B$4)</f>
        <v>1</v>
      </c>
      <c r="C105" s="31">
        <f t="shared" si="199"/>
        <v>1</v>
      </c>
      <c r="D105" s="31">
        <f t="shared" si="199"/>
        <v>1</v>
      </c>
      <c r="E105" s="31">
        <f t="shared" si="199"/>
        <v>1</v>
      </c>
      <c r="F105" s="31">
        <f t="shared" si="199"/>
        <v>1</v>
      </c>
      <c r="G105" s="31">
        <f t="shared" si="199"/>
        <v>1</v>
      </c>
      <c r="H105" s="31">
        <f t="shared" si="199"/>
        <v>1</v>
      </c>
      <c r="I105" s="31">
        <f t="shared" si="199"/>
        <v>1</v>
      </c>
      <c r="J105" s="31">
        <f t="shared" si="199"/>
        <v>1</v>
      </c>
      <c r="K105" s="31">
        <f t="shared" ref="K105:V105" si="200">IF(K4=0,0,K4/K$4)</f>
        <v>1</v>
      </c>
      <c r="L105" s="31">
        <f t="shared" si="200"/>
        <v>1</v>
      </c>
      <c r="M105" s="31">
        <f t="shared" si="200"/>
        <v>1</v>
      </c>
      <c r="N105" s="31">
        <f t="shared" si="200"/>
        <v>1</v>
      </c>
      <c r="O105" s="31">
        <f t="shared" si="200"/>
        <v>1</v>
      </c>
      <c r="P105" s="31">
        <f t="shared" si="200"/>
        <v>1</v>
      </c>
      <c r="Q105" s="31">
        <f t="shared" si="200"/>
        <v>1</v>
      </c>
      <c r="R105" s="31">
        <f t="shared" si="200"/>
        <v>1</v>
      </c>
      <c r="S105" s="31">
        <f t="shared" si="200"/>
        <v>1</v>
      </c>
      <c r="T105" s="31">
        <f t="shared" si="200"/>
        <v>1</v>
      </c>
      <c r="U105" s="31">
        <f t="shared" si="200"/>
        <v>1</v>
      </c>
      <c r="V105" s="31">
        <f t="shared" si="200"/>
        <v>1</v>
      </c>
      <c r="W105" s="31">
        <f t="shared" ref="W105:Y105" si="201">IF(W4=0,0,W4/W$4)</f>
        <v>1</v>
      </c>
      <c r="X105" s="31">
        <f t="shared" si="201"/>
        <v>1</v>
      </c>
      <c r="Y105" s="31">
        <f t="shared" si="201"/>
        <v>1</v>
      </c>
      <c r="DA105" s="173"/>
    </row>
    <row r="106" spans="1:105" ht="11.45" customHeight="1" x14ac:dyDescent="0.25">
      <c r="A106" s="107" t="s">
        <v>23</v>
      </c>
      <c r="B106" s="123">
        <f t="shared" si="199"/>
        <v>0.11617711530030689</v>
      </c>
      <c r="C106" s="123">
        <f t="shared" si="199"/>
        <v>0.12012342957901698</v>
      </c>
      <c r="D106" s="123">
        <f t="shared" si="199"/>
        <v>0.12290502793296089</v>
      </c>
      <c r="E106" s="123">
        <f t="shared" si="199"/>
        <v>0.17024099049303559</v>
      </c>
      <c r="F106" s="123">
        <f t="shared" si="199"/>
        <v>0.18417047184170471</v>
      </c>
      <c r="G106" s="123">
        <f t="shared" si="199"/>
        <v>0.18204159326014296</v>
      </c>
      <c r="H106" s="123">
        <f t="shared" si="199"/>
        <v>0.20309223241087215</v>
      </c>
      <c r="I106" s="123">
        <f t="shared" si="199"/>
        <v>0.20844012873022838</v>
      </c>
      <c r="J106" s="123">
        <f t="shared" si="199"/>
        <v>0.20625664946104394</v>
      </c>
      <c r="K106" s="123">
        <f t="shared" ref="K106:V106" si="202">IF(K5=0,0,K5/K$4)</f>
        <v>0.20557159623350801</v>
      </c>
      <c r="L106" s="123">
        <f t="shared" si="202"/>
        <v>0.21609127588343233</v>
      </c>
      <c r="M106" s="123">
        <f t="shared" si="202"/>
        <v>0.21318477251624884</v>
      </c>
      <c r="N106" s="123">
        <f t="shared" si="202"/>
        <v>0.21280362586417209</v>
      </c>
      <c r="O106" s="123">
        <f t="shared" si="202"/>
        <v>0.20506215721164819</v>
      </c>
      <c r="P106" s="123">
        <f t="shared" si="202"/>
        <v>0.20059121384994402</v>
      </c>
      <c r="Q106" s="123">
        <f t="shared" si="202"/>
        <v>0.20312579294723032</v>
      </c>
      <c r="R106" s="123">
        <f t="shared" si="202"/>
        <v>0.1992189663091935</v>
      </c>
      <c r="S106" s="123">
        <f t="shared" si="202"/>
        <v>0.19887558747201783</v>
      </c>
      <c r="T106" s="123">
        <f t="shared" si="202"/>
        <v>0.20466411416637662</v>
      </c>
      <c r="U106" s="123">
        <f t="shared" si="202"/>
        <v>0.2035185729069634</v>
      </c>
      <c r="V106" s="123">
        <f t="shared" si="202"/>
        <v>0.20613287904599659</v>
      </c>
      <c r="W106" s="123">
        <f t="shared" ref="W106:Y106" si="203">IF(W5=0,0,W5/W$4)</f>
        <v>0.18240233329795652</v>
      </c>
      <c r="X106" s="123">
        <f t="shared" si="203"/>
        <v>0.19942998110263438</v>
      </c>
      <c r="Y106" s="123">
        <f t="shared" si="203"/>
        <v>0.21784904437965663</v>
      </c>
      <c r="DA106" s="203"/>
    </row>
    <row r="107" spans="1:105" ht="11.45" customHeight="1" x14ac:dyDescent="0.25">
      <c r="A107" s="109" t="s">
        <v>24</v>
      </c>
      <c r="B107" s="124">
        <f t="shared" si="199"/>
        <v>0.88382288469969317</v>
      </c>
      <c r="C107" s="124">
        <f t="shared" si="199"/>
        <v>0.879876570420983</v>
      </c>
      <c r="D107" s="124">
        <f t="shared" si="199"/>
        <v>0.87709497206703912</v>
      </c>
      <c r="E107" s="124">
        <f t="shared" si="199"/>
        <v>0.82975900950696435</v>
      </c>
      <c r="F107" s="124">
        <f t="shared" si="199"/>
        <v>0.72102631006740592</v>
      </c>
      <c r="G107" s="124">
        <f t="shared" si="199"/>
        <v>0.71273403832228543</v>
      </c>
      <c r="H107" s="124">
        <f t="shared" si="199"/>
        <v>0.69246268349849904</v>
      </c>
      <c r="I107" s="124">
        <f t="shared" si="199"/>
        <v>0.69110105640583763</v>
      </c>
      <c r="J107" s="124">
        <f t="shared" si="199"/>
        <v>0.69483158717960358</v>
      </c>
      <c r="K107" s="124">
        <f t="shared" ref="K107:V107" si="204">IF(K6=0,0,K6/K$4)</f>
        <v>0.69467700913262675</v>
      </c>
      <c r="L107" s="124">
        <f t="shared" si="204"/>
        <v>0.68489340614728589</v>
      </c>
      <c r="M107" s="124">
        <f t="shared" si="204"/>
        <v>0.70027855153203344</v>
      </c>
      <c r="N107" s="124">
        <f t="shared" si="204"/>
        <v>0.69156536576066296</v>
      </c>
      <c r="O107" s="124">
        <f t="shared" si="204"/>
        <v>0.6936371859243935</v>
      </c>
      <c r="P107" s="124">
        <f t="shared" si="204"/>
        <v>0.6877571955610815</v>
      </c>
      <c r="Q107" s="124">
        <f t="shared" si="204"/>
        <v>0.68228703904341259</v>
      </c>
      <c r="R107" s="124">
        <f t="shared" si="204"/>
        <v>0.68550498104198776</v>
      </c>
      <c r="S107" s="124">
        <f t="shared" si="204"/>
        <v>0.68528423507431246</v>
      </c>
      <c r="T107" s="124">
        <f t="shared" si="204"/>
        <v>0.68029933867037939</v>
      </c>
      <c r="U107" s="124">
        <f t="shared" si="204"/>
        <v>0.68681751546954439</v>
      </c>
      <c r="V107" s="124">
        <f t="shared" si="204"/>
        <v>0.72479479634505184</v>
      </c>
      <c r="W107" s="124">
        <f t="shared" ref="W107:Y107" si="205">IF(W6=0,0,W6/W$4)</f>
        <v>0.74179019073722485</v>
      </c>
      <c r="X107" s="124">
        <f t="shared" si="205"/>
        <v>0.70074786899638153</v>
      </c>
      <c r="Y107" s="124">
        <f t="shared" si="205"/>
        <v>0.6849692257855523</v>
      </c>
      <c r="DA107" s="176"/>
    </row>
    <row r="108" spans="1:105" ht="11.45" customHeight="1" x14ac:dyDescent="0.25">
      <c r="A108" s="111" t="s">
        <v>92</v>
      </c>
      <c r="B108" s="125">
        <f t="shared" si="199"/>
        <v>0.37098948230603318</v>
      </c>
      <c r="C108" s="125">
        <f t="shared" si="199"/>
        <v>0.33500764780463493</v>
      </c>
      <c r="D108" s="125">
        <f t="shared" si="199"/>
        <v>0.28934051077403117</v>
      </c>
      <c r="E108" s="125">
        <f t="shared" si="199"/>
        <v>0.22450486083911753</v>
      </c>
      <c r="F108" s="125">
        <f t="shared" si="199"/>
        <v>0.20639933606735705</v>
      </c>
      <c r="G108" s="125">
        <f t="shared" si="199"/>
        <v>0.19244057957783364</v>
      </c>
      <c r="H108" s="125">
        <f t="shared" si="199"/>
        <v>0.176463935256543</v>
      </c>
      <c r="I108" s="125">
        <f t="shared" si="199"/>
        <v>0.1838018109082348</v>
      </c>
      <c r="J108" s="125">
        <f t="shared" si="199"/>
        <v>0.17694545516013632</v>
      </c>
      <c r="K108" s="125">
        <f t="shared" ref="K108:V108" si="206">IF(K7=0,0,K7/K$4)</f>
        <v>0.15751900260224702</v>
      </c>
      <c r="L108" s="125">
        <f t="shared" si="206"/>
        <v>0.14679038038620193</v>
      </c>
      <c r="M108" s="125">
        <f t="shared" si="206"/>
        <v>0.16150273508748722</v>
      </c>
      <c r="N108" s="125">
        <f t="shared" si="206"/>
        <v>0.12984930795549754</v>
      </c>
      <c r="O108" s="125">
        <f t="shared" si="206"/>
        <v>0.15008135424571395</v>
      </c>
      <c r="P108" s="125">
        <f t="shared" si="206"/>
        <v>0.14779284914457996</v>
      </c>
      <c r="Q108" s="125">
        <f t="shared" si="206"/>
        <v>0.14364865231271734</v>
      </c>
      <c r="R108" s="125">
        <f t="shared" si="206"/>
        <v>0.10377501819610635</v>
      </c>
      <c r="S108" s="125">
        <f t="shared" si="206"/>
        <v>0.10139066885150429</v>
      </c>
      <c r="T108" s="125">
        <f t="shared" si="206"/>
        <v>8.4914921975338634E-2</v>
      </c>
      <c r="U108" s="125">
        <f t="shared" si="206"/>
        <v>8.4291240534898629E-2</v>
      </c>
      <c r="V108" s="125">
        <f t="shared" si="206"/>
        <v>9.3298836641958455E-2</v>
      </c>
      <c r="W108" s="125">
        <f t="shared" ref="W108:Y108" si="207">IF(W7=0,0,W7/W$4)</f>
        <v>9.1073468993127168E-2</v>
      </c>
      <c r="X108" s="125">
        <f t="shared" si="207"/>
        <v>8.4942130045799563E-2</v>
      </c>
      <c r="Y108" s="125">
        <f t="shared" si="207"/>
        <v>8.2097987575479703E-2</v>
      </c>
      <c r="DA108" s="171"/>
    </row>
    <row r="109" spans="1:105" ht="11.45" customHeight="1" x14ac:dyDescent="0.25">
      <c r="A109" s="111" t="s">
        <v>93</v>
      </c>
      <c r="B109" s="125">
        <f t="shared" si="199"/>
        <v>0.51283340239365993</v>
      </c>
      <c r="C109" s="125">
        <f t="shared" si="199"/>
        <v>0.54486892261634812</v>
      </c>
      <c r="D109" s="125">
        <f t="shared" si="199"/>
        <v>0.5877544612930079</v>
      </c>
      <c r="E109" s="125">
        <f t="shared" si="199"/>
        <v>0.60525414866784688</v>
      </c>
      <c r="F109" s="125">
        <f t="shared" si="199"/>
        <v>0.51462697400004898</v>
      </c>
      <c r="G109" s="125">
        <f t="shared" si="199"/>
        <v>0.52029345874445176</v>
      </c>
      <c r="H109" s="125">
        <f t="shared" si="199"/>
        <v>0.51599874824195602</v>
      </c>
      <c r="I109" s="125">
        <f t="shared" si="199"/>
        <v>0.50729924549760286</v>
      </c>
      <c r="J109" s="125">
        <f t="shared" si="199"/>
        <v>0.5178861320194672</v>
      </c>
      <c r="K109" s="125">
        <f t="shared" ref="K109:V109" si="208">IF(K8=0,0,K8/K$4)</f>
        <v>0.53715800653037971</v>
      </c>
      <c r="L109" s="125">
        <f t="shared" si="208"/>
        <v>0.53810302576108393</v>
      </c>
      <c r="M109" s="125">
        <f t="shared" si="208"/>
        <v>0.5387758164445462</v>
      </c>
      <c r="N109" s="125">
        <f t="shared" si="208"/>
        <v>0.56171605780516543</v>
      </c>
      <c r="O109" s="125">
        <f t="shared" si="208"/>
        <v>0.5435558316786796</v>
      </c>
      <c r="P109" s="125">
        <f t="shared" si="208"/>
        <v>0.53996434641650148</v>
      </c>
      <c r="Q109" s="125">
        <f t="shared" si="208"/>
        <v>0.53863838673069531</v>
      </c>
      <c r="R109" s="125">
        <f t="shared" si="208"/>
        <v>0.58172996284588141</v>
      </c>
      <c r="S109" s="125">
        <f t="shared" si="208"/>
        <v>0.58389356622280819</v>
      </c>
      <c r="T109" s="125">
        <f t="shared" si="208"/>
        <v>0.59538441669504083</v>
      </c>
      <c r="U109" s="125">
        <f t="shared" si="208"/>
        <v>0.60252627493464572</v>
      </c>
      <c r="V109" s="125">
        <f t="shared" si="208"/>
        <v>0.63149595970309336</v>
      </c>
      <c r="W109" s="125">
        <f t="shared" ref="W109:Y109" si="209">IF(W8=0,0,W8/W$4)</f>
        <v>0.65071672174409767</v>
      </c>
      <c r="X109" s="125">
        <f t="shared" si="209"/>
        <v>0.61580573895058199</v>
      </c>
      <c r="Y109" s="125">
        <f t="shared" si="209"/>
        <v>0.6028712382100726</v>
      </c>
      <c r="DA109" s="171"/>
    </row>
    <row r="110" spans="1:105" ht="11.45" customHeight="1" x14ac:dyDescent="0.25">
      <c r="A110" s="112" t="s">
        <v>25</v>
      </c>
      <c r="B110" s="126">
        <f t="shared" si="199"/>
        <v>0</v>
      </c>
      <c r="C110" s="126">
        <f t="shared" si="199"/>
        <v>0</v>
      </c>
      <c r="D110" s="126">
        <f t="shared" si="199"/>
        <v>0</v>
      </c>
      <c r="E110" s="126">
        <f t="shared" si="199"/>
        <v>0</v>
      </c>
      <c r="F110" s="126">
        <f t="shared" si="199"/>
        <v>9.4803218090889319E-2</v>
      </c>
      <c r="G110" s="126">
        <f t="shared" si="199"/>
        <v>0.10522436841757152</v>
      </c>
      <c r="H110" s="126">
        <f t="shared" si="199"/>
        <v>0.10444508409062872</v>
      </c>
      <c r="I110" s="126">
        <f t="shared" si="199"/>
        <v>0.10045881486393389</v>
      </c>
      <c r="J110" s="126">
        <f t="shared" si="199"/>
        <v>9.8911763359352464E-2</v>
      </c>
      <c r="K110" s="126">
        <f t="shared" ref="K110:V110" si="210">IF(K9=0,0,K9/K$4)</f>
        <v>9.9751394633865231E-2</v>
      </c>
      <c r="L110" s="126">
        <f t="shared" si="210"/>
        <v>9.9015317969281688E-2</v>
      </c>
      <c r="M110" s="126">
        <f t="shared" si="210"/>
        <v>8.653667595171774E-2</v>
      </c>
      <c r="N110" s="126">
        <f t="shared" si="210"/>
        <v>9.5631008375165014E-2</v>
      </c>
      <c r="O110" s="126">
        <f t="shared" si="210"/>
        <v>0.10130065686395823</v>
      </c>
      <c r="P110" s="126">
        <f t="shared" si="210"/>
        <v>0.1116515905889746</v>
      </c>
      <c r="Q110" s="126">
        <f t="shared" si="210"/>
        <v>0.11458716800935707</v>
      </c>
      <c r="R110" s="126">
        <f t="shared" si="210"/>
        <v>0.11527605264881888</v>
      </c>
      <c r="S110" s="126">
        <f t="shared" si="210"/>
        <v>0.11584017745366969</v>
      </c>
      <c r="T110" s="126">
        <f t="shared" si="210"/>
        <v>0.11503654716324399</v>
      </c>
      <c r="U110" s="126">
        <f t="shared" si="210"/>
        <v>0.10966391162349229</v>
      </c>
      <c r="V110" s="126">
        <f t="shared" si="210"/>
        <v>6.9072324608951519E-2</v>
      </c>
      <c r="W110" s="126">
        <f t="shared" ref="W110:Y110" si="211">IF(W9=0,0,W9/W$4)</f>
        <v>7.5807475964818599E-2</v>
      </c>
      <c r="X110" s="126">
        <f t="shared" si="211"/>
        <v>9.9822149900984036E-2</v>
      </c>
      <c r="Y110" s="126">
        <f t="shared" si="211"/>
        <v>9.7181729834791064E-2</v>
      </c>
      <c r="DA110" s="204"/>
    </row>
    <row r="111" spans="1:105" ht="11.45" customHeight="1" x14ac:dyDescent="0.25">
      <c r="A111" s="27" t="s">
        <v>39</v>
      </c>
      <c r="B111" s="31">
        <f t="shared" ref="B111:J113" si="212">IF(B10=0,0,B10/B$10)</f>
        <v>1</v>
      </c>
      <c r="C111" s="31">
        <f t="shared" si="212"/>
        <v>1</v>
      </c>
      <c r="D111" s="31">
        <f t="shared" si="212"/>
        <v>1</v>
      </c>
      <c r="E111" s="31">
        <f t="shared" si="212"/>
        <v>1</v>
      </c>
      <c r="F111" s="31">
        <f t="shared" si="212"/>
        <v>1</v>
      </c>
      <c r="G111" s="31">
        <f t="shared" si="212"/>
        <v>1</v>
      </c>
      <c r="H111" s="31">
        <f t="shared" si="212"/>
        <v>1</v>
      </c>
      <c r="I111" s="31">
        <f t="shared" si="212"/>
        <v>1</v>
      </c>
      <c r="J111" s="31">
        <f t="shared" si="212"/>
        <v>1</v>
      </c>
      <c r="K111" s="31">
        <f t="shared" ref="K111:V111" si="213">IF(K10=0,0,K10/K$10)</f>
        <v>1</v>
      </c>
      <c r="L111" s="31">
        <f t="shared" si="213"/>
        <v>1</v>
      </c>
      <c r="M111" s="31">
        <f t="shared" si="213"/>
        <v>1</v>
      </c>
      <c r="N111" s="31">
        <f t="shared" si="213"/>
        <v>1</v>
      </c>
      <c r="O111" s="31">
        <f t="shared" si="213"/>
        <v>1</v>
      </c>
      <c r="P111" s="31">
        <f t="shared" si="213"/>
        <v>1</v>
      </c>
      <c r="Q111" s="31">
        <f t="shared" si="213"/>
        <v>1</v>
      </c>
      <c r="R111" s="31">
        <f t="shared" si="213"/>
        <v>1</v>
      </c>
      <c r="S111" s="31">
        <f t="shared" si="213"/>
        <v>1</v>
      </c>
      <c r="T111" s="31">
        <f t="shared" si="213"/>
        <v>1</v>
      </c>
      <c r="U111" s="31">
        <f t="shared" si="213"/>
        <v>1</v>
      </c>
      <c r="V111" s="31">
        <f t="shared" si="213"/>
        <v>1</v>
      </c>
      <c r="W111" s="31">
        <f t="shared" ref="W111:Y111" si="214">IF(W10=0,0,W10/W$10)</f>
        <v>1</v>
      </c>
      <c r="X111" s="31">
        <f t="shared" si="214"/>
        <v>1</v>
      </c>
      <c r="Y111" s="31">
        <f t="shared" si="214"/>
        <v>1</v>
      </c>
      <c r="DA111" s="173"/>
    </row>
    <row r="112" spans="1:105" ht="11.45" customHeight="1" x14ac:dyDescent="0.25">
      <c r="A112" s="83" t="s">
        <v>92</v>
      </c>
      <c r="B112" s="125">
        <f t="shared" si="212"/>
        <v>0.53588608381208225</v>
      </c>
      <c r="C112" s="125">
        <f t="shared" si="212"/>
        <v>0.48367602128086246</v>
      </c>
      <c r="D112" s="125">
        <f t="shared" si="212"/>
        <v>0.42070315422107735</v>
      </c>
      <c r="E112" s="125">
        <f t="shared" si="212"/>
        <v>0.37849527814494127</v>
      </c>
      <c r="F112" s="125">
        <f t="shared" si="212"/>
        <v>0.34480521899601457</v>
      </c>
      <c r="G112" s="125">
        <f t="shared" si="212"/>
        <v>0.32646419953235956</v>
      </c>
      <c r="H112" s="125">
        <f t="shared" si="212"/>
        <v>0.30316125688611839</v>
      </c>
      <c r="I112" s="125">
        <f t="shared" si="212"/>
        <v>0.30691702320046121</v>
      </c>
      <c r="J112" s="125">
        <f t="shared" si="212"/>
        <v>0.29740125961318303</v>
      </c>
      <c r="K112" s="125">
        <f t="shared" ref="K112:V112" si="215">IF(K11=0,0,K11/K$10)</f>
        <v>0.25990631639466821</v>
      </c>
      <c r="L112" s="125">
        <f t="shared" si="215"/>
        <v>0.24248057082038252</v>
      </c>
      <c r="M112" s="125">
        <f t="shared" si="215"/>
        <v>0.25293109574365663</v>
      </c>
      <c r="N112" s="125">
        <f t="shared" si="215"/>
        <v>0.21476260629629734</v>
      </c>
      <c r="O112" s="125">
        <f t="shared" si="215"/>
        <v>0.24528900242026896</v>
      </c>
      <c r="P112" s="125">
        <f t="shared" si="215"/>
        <v>0.24355276288508118</v>
      </c>
      <c r="Q112" s="125">
        <f t="shared" si="215"/>
        <v>0.24071301434347281</v>
      </c>
      <c r="R112" s="125">
        <f t="shared" si="215"/>
        <v>0.17195335779245124</v>
      </c>
      <c r="S112" s="125">
        <f t="shared" si="215"/>
        <v>0.2623770937299274</v>
      </c>
      <c r="T112" s="125">
        <f t="shared" si="215"/>
        <v>0.24300403768506054</v>
      </c>
      <c r="U112" s="125">
        <f t="shared" si="215"/>
        <v>0.31225500333520118</v>
      </c>
      <c r="V112" s="125">
        <f t="shared" si="215"/>
        <v>0.26125614703818267</v>
      </c>
      <c r="W112" s="125">
        <f t="shared" ref="W112:Y112" si="216">IF(W11=0,0,W11/W$10)</f>
        <v>0.34207889953978682</v>
      </c>
      <c r="X112" s="125">
        <f t="shared" si="216"/>
        <v>0.42523535303184684</v>
      </c>
      <c r="Y112" s="125">
        <f t="shared" si="216"/>
        <v>0.33816586877133098</v>
      </c>
      <c r="DA112" s="171"/>
    </row>
    <row r="113" spans="1:105" ht="11.45" customHeight="1" x14ac:dyDescent="0.25">
      <c r="A113" s="85" t="s">
        <v>93</v>
      </c>
      <c r="B113" s="127">
        <f t="shared" si="212"/>
        <v>0.46411391618791781</v>
      </c>
      <c r="C113" s="127">
        <f t="shared" si="212"/>
        <v>0.5163239787191376</v>
      </c>
      <c r="D113" s="127">
        <f t="shared" si="212"/>
        <v>0.5792968457789226</v>
      </c>
      <c r="E113" s="127">
        <f t="shared" si="212"/>
        <v>0.62150472185505867</v>
      </c>
      <c r="F113" s="127">
        <f t="shared" si="212"/>
        <v>0.65519478100398543</v>
      </c>
      <c r="G113" s="127">
        <f t="shared" si="212"/>
        <v>0.6735358004676405</v>
      </c>
      <c r="H113" s="127">
        <f t="shared" si="212"/>
        <v>0.69683874311388161</v>
      </c>
      <c r="I113" s="127">
        <f t="shared" si="212"/>
        <v>0.69308297679953879</v>
      </c>
      <c r="J113" s="127">
        <f t="shared" si="212"/>
        <v>0.70259874038681691</v>
      </c>
      <c r="K113" s="127">
        <f t="shared" ref="K113:V113" si="217">IF(K12=0,0,K12/K$10)</f>
        <v>0.74009368360533179</v>
      </c>
      <c r="L113" s="127">
        <f t="shared" si="217"/>
        <v>0.75751942917961756</v>
      </c>
      <c r="M113" s="127">
        <f t="shared" si="217"/>
        <v>0.74706890425634342</v>
      </c>
      <c r="N113" s="127">
        <f t="shared" si="217"/>
        <v>0.7852373937037026</v>
      </c>
      <c r="O113" s="127">
        <f t="shared" si="217"/>
        <v>0.75471099757973104</v>
      </c>
      <c r="P113" s="127">
        <f t="shared" si="217"/>
        <v>0.7564472371149189</v>
      </c>
      <c r="Q113" s="127">
        <f t="shared" si="217"/>
        <v>0.75928698565652719</v>
      </c>
      <c r="R113" s="127">
        <f t="shared" si="217"/>
        <v>0.82804664220754876</v>
      </c>
      <c r="S113" s="127">
        <f t="shared" si="217"/>
        <v>0.73762290627007265</v>
      </c>
      <c r="T113" s="127">
        <f t="shared" si="217"/>
        <v>0.75699596231493937</v>
      </c>
      <c r="U113" s="127">
        <f t="shared" si="217"/>
        <v>0.68774499666479882</v>
      </c>
      <c r="V113" s="127">
        <f t="shared" si="217"/>
        <v>0.73874385296181733</v>
      </c>
      <c r="W113" s="127">
        <f t="shared" ref="W113:Y113" si="218">IF(W12=0,0,W12/W$10)</f>
        <v>0.65792110046021313</v>
      </c>
      <c r="X113" s="127">
        <f t="shared" si="218"/>
        <v>0.5747646469681531</v>
      </c>
      <c r="Y113" s="127">
        <f t="shared" si="218"/>
        <v>0.66183413122866908</v>
      </c>
      <c r="DA113" s="178"/>
    </row>
    <row r="114" spans="1:105" ht="11.45" customHeight="1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DA114" s="171"/>
    </row>
    <row r="115" spans="1:105" ht="11.45" customHeight="1" x14ac:dyDescent="0.25">
      <c r="A115" s="53" t="s">
        <v>66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DA115" s="172"/>
    </row>
    <row r="116" spans="1:105" ht="11.45" customHeight="1" x14ac:dyDescent="0.25">
      <c r="A116" s="27" t="s">
        <v>33</v>
      </c>
      <c r="B116" s="31">
        <f t="shared" ref="B116:J121" si="219">IF(B15=0,0,B15/B$15)</f>
        <v>1</v>
      </c>
      <c r="C116" s="31">
        <f t="shared" si="219"/>
        <v>1</v>
      </c>
      <c r="D116" s="31">
        <f t="shared" si="219"/>
        <v>1</v>
      </c>
      <c r="E116" s="31">
        <f t="shared" si="219"/>
        <v>1</v>
      </c>
      <c r="F116" s="31">
        <f t="shared" si="219"/>
        <v>1</v>
      </c>
      <c r="G116" s="31">
        <f t="shared" si="219"/>
        <v>1</v>
      </c>
      <c r="H116" s="31">
        <f t="shared" si="219"/>
        <v>1</v>
      </c>
      <c r="I116" s="31">
        <f t="shared" si="219"/>
        <v>1</v>
      </c>
      <c r="J116" s="31">
        <f t="shared" si="219"/>
        <v>1</v>
      </c>
      <c r="K116" s="31">
        <f t="shared" ref="K116:V116" si="220">IF(K15=0,0,K15/K$15)</f>
        <v>1</v>
      </c>
      <c r="L116" s="31">
        <f t="shared" si="220"/>
        <v>1</v>
      </c>
      <c r="M116" s="31">
        <f t="shared" si="220"/>
        <v>1</v>
      </c>
      <c r="N116" s="31">
        <f t="shared" si="220"/>
        <v>1</v>
      </c>
      <c r="O116" s="31">
        <f t="shared" si="220"/>
        <v>1</v>
      </c>
      <c r="P116" s="31">
        <f t="shared" si="220"/>
        <v>1</v>
      </c>
      <c r="Q116" s="31">
        <f t="shared" si="220"/>
        <v>1</v>
      </c>
      <c r="R116" s="31">
        <f t="shared" si="220"/>
        <v>1</v>
      </c>
      <c r="S116" s="31">
        <f t="shared" si="220"/>
        <v>1</v>
      </c>
      <c r="T116" s="31">
        <f t="shared" si="220"/>
        <v>1</v>
      </c>
      <c r="U116" s="31">
        <f t="shared" si="220"/>
        <v>1</v>
      </c>
      <c r="V116" s="31">
        <f t="shared" si="220"/>
        <v>1</v>
      </c>
      <c r="W116" s="31">
        <f t="shared" ref="W116:Y116" si="221">IF(W15=0,0,W15/W$15)</f>
        <v>1</v>
      </c>
      <c r="X116" s="31">
        <f t="shared" si="221"/>
        <v>1</v>
      </c>
      <c r="Y116" s="31">
        <f t="shared" si="221"/>
        <v>1</v>
      </c>
      <c r="DA116" s="173"/>
    </row>
    <row r="117" spans="1:105" ht="11.45" customHeight="1" x14ac:dyDescent="0.25">
      <c r="A117" s="107" t="s">
        <v>23</v>
      </c>
      <c r="B117" s="123">
        <f t="shared" si="219"/>
        <v>0.17406694292098795</v>
      </c>
      <c r="C117" s="123">
        <f t="shared" si="219"/>
        <v>0.19201529224911035</v>
      </c>
      <c r="D117" s="123">
        <f t="shared" si="219"/>
        <v>0.1886277453945667</v>
      </c>
      <c r="E117" s="123">
        <f t="shared" si="219"/>
        <v>0.24636349114476497</v>
      </c>
      <c r="F117" s="123">
        <f t="shared" si="219"/>
        <v>0.26393079227208799</v>
      </c>
      <c r="G117" s="123">
        <f t="shared" si="219"/>
        <v>0.2738923585477176</v>
      </c>
      <c r="H117" s="123">
        <f t="shared" si="219"/>
        <v>0.29996008969399113</v>
      </c>
      <c r="I117" s="123">
        <f t="shared" si="219"/>
        <v>0.31218194597137933</v>
      </c>
      <c r="J117" s="123">
        <f t="shared" si="219"/>
        <v>0.31037558609505983</v>
      </c>
      <c r="K117" s="123">
        <f t="shared" ref="K117:V117" si="222">IF(K16=0,0,K16/K$15)</f>
        <v>0.32004083594989519</v>
      </c>
      <c r="L117" s="123">
        <f t="shared" si="222"/>
        <v>0.33367799873313803</v>
      </c>
      <c r="M117" s="123">
        <f t="shared" si="222"/>
        <v>0.36060563546324254</v>
      </c>
      <c r="N117" s="123">
        <f t="shared" si="222"/>
        <v>0.34299025001556971</v>
      </c>
      <c r="O117" s="123">
        <f t="shared" si="222"/>
        <v>0.36214653015850207</v>
      </c>
      <c r="P117" s="123">
        <f t="shared" si="222"/>
        <v>0.36010495860155378</v>
      </c>
      <c r="Q117" s="123">
        <f t="shared" si="222"/>
        <v>0.3601303631542323</v>
      </c>
      <c r="R117" s="123">
        <f t="shared" si="222"/>
        <v>0.26206978185254892</v>
      </c>
      <c r="S117" s="123">
        <f t="shared" si="222"/>
        <v>0.23382466557683632</v>
      </c>
      <c r="T117" s="123">
        <f t="shared" si="222"/>
        <v>0.23816146088283421</v>
      </c>
      <c r="U117" s="123">
        <f t="shared" si="222"/>
        <v>0.24919111368260158</v>
      </c>
      <c r="V117" s="123">
        <f t="shared" si="222"/>
        <v>0.25550275296670122</v>
      </c>
      <c r="W117" s="123">
        <f t="shared" ref="W117:Y117" si="223">IF(W16=0,0,W16/W$15)</f>
        <v>0.22213363035276651</v>
      </c>
      <c r="X117" s="123">
        <f t="shared" si="223"/>
        <v>0.24763195675312319</v>
      </c>
      <c r="Y117" s="123">
        <f t="shared" si="223"/>
        <v>0.24331342699301539</v>
      </c>
      <c r="DA117" s="203"/>
    </row>
    <row r="118" spans="1:105" ht="11.45" customHeight="1" x14ac:dyDescent="0.25">
      <c r="A118" s="109" t="s">
        <v>24</v>
      </c>
      <c r="B118" s="124">
        <f t="shared" si="219"/>
        <v>0.8259330570790121</v>
      </c>
      <c r="C118" s="124">
        <f t="shared" si="219"/>
        <v>0.80798470775088971</v>
      </c>
      <c r="D118" s="124">
        <f t="shared" si="219"/>
        <v>0.81137225460543339</v>
      </c>
      <c r="E118" s="124">
        <f t="shared" si="219"/>
        <v>0.75363650885523503</v>
      </c>
      <c r="F118" s="124">
        <f t="shared" si="219"/>
        <v>0.6749600308706849</v>
      </c>
      <c r="G118" s="124">
        <f t="shared" si="219"/>
        <v>0.65760242742227881</v>
      </c>
      <c r="H118" s="124">
        <f t="shared" si="219"/>
        <v>0.63405210795790734</v>
      </c>
      <c r="I118" s="124">
        <f t="shared" si="219"/>
        <v>0.61848383393140061</v>
      </c>
      <c r="J118" s="124">
        <f t="shared" si="219"/>
        <v>0.62246106035274806</v>
      </c>
      <c r="K118" s="124">
        <f t="shared" ref="K118:V118" si="224">IF(K17=0,0,K17/K$15)</f>
        <v>0.60964658516050374</v>
      </c>
      <c r="L118" s="124">
        <f t="shared" si="224"/>
        <v>0.59526669549660183</v>
      </c>
      <c r="M118" s="124">
        <f t="shared" si="224"/>
        <v>0.56209385606641082</v>
      </c>
      <c r="N118" s="124">
        <f t="shared" si="224"/>
        <v>0.5766041988654923</v>
      </c>
      <c r="O118" s="124">
        <f t="shared" si="224"/>
        <v>0.54717976913144384</v>
      </c>
      <c r="P118" s="124">
        <f t="shared" si="224"/>
        <v>0.5509594502120494</v>
      </c>
      <c r="Q118" s="124">
        <f t="shared" si="224"/>
        <v>0.55482632651069597</v>
      </c>
      <c r="R118" s="124">
        <f t="shared" si="224"/>
        <v>0.67625767077476628</v>
      </c>
      <c r="S118" s="124">
        <f t="shared" si="224"/>
        <v>0.71343508053127569</v>
      </c>
      <c r="T118" s="124">
        <f t="shared" si="224"/>
        <v>0.71189785730039701</v>
      </c>
      <c r="U118" s="124">
        <f t="shared" si="224"/>
        <v>0.70154863369348819</v>
      </c>
      <c r="V118" s="124">
        <f t="shared" si="224"/>
        <v>0.71210188725296086</v>
      </c>
      <c r="W118" s="124">
        <f t="shared" ref="W118:Y118" si="225">IF(W17=0,0,W17/W$15)</f>
        <v>0.74032661848799786</v>
      </c>
      <c r="X118" s="124">
        <f t="shared" si="225"/>
        <v>0.70592396433155125</v>
      </c>
      <c r="Y118" s="124">
        <f t="shared" si="225"/>
        <v>0.71454186500859174</v>
      </c>
      <c r="DA118" s="176"/>
    </row>
    <row r="119" spans="1:105" ht="11.45" customHeight="1" x14ac:dyDescent="0.25">
      <c r="A119" s="111" t="s">
        <v>92</v>
      </c>
      <c r="B119" s="125">
        <f t="shared" si="219"/>
        <v>0.40262701572751386</v>
      </c>
      <c r="C119" s="125">
        <f t="shared" si="219"/>
        <v>0.36919068593977333</v>
      </c>
      <c r="D119" s="125">
        <f t="shared" si="219"/>
        <v>0.30281003766130099</v>
      </c>
      <c r="E119" s="125">
        <f t="shared" si="219"/>
        <v>0.25169732130353484</v>
      </c>
      <c r="F119" s="125">
        <f t="shared" si="219"/>
        <v>0.2289060997377825</v>
      </c>
      <c r="G119" s="125">
        <f t="shared" si="219"/>
        <v>0.20896296592612007</v>
      </c>
      <c r="H119" s="125">
        <f t="shared" si="219"/>
        <v>0.18600861103211858</v>
      </c>
      <c r="I119" s="125">
        <f t="shared" si="219"/>
        <v>0.18554101857920707</v>
      </c>
      <c r="J119" s="125">
        <f t="shared" si="219"/>
        <v>0.18146527159155565</v>
      </c>
      <c r="K119" s="125">
        <f t="shared" ref="K119:V119" si="226">IF(K18=0,0,K18/K$15)</f>
        <v>0.15879030079916592</v>
      </c>
      <c r="L119" s="125">
        <f t="shared" si="226"/>
        <v>0.14266883578929804</v>
      </c>
      <c r="M119" s="125">
        <f t="shared" si="226"/>
        <v>0.13818220639121187</v>
      </c>
      <c r="N119" s="125">
        <f t="shared" si="226"/>
        <v>0.11327161322259387</v>
      </c>
      <c r="O119" s="125">
        <f t="shared" si="226"/>
        <v>0.11622667604302352</v>
      </c>
      <c r="P119" s="125">
        <f t="shared" si="226"/>
        <v>0.1180596897105891</v>
      </c>
      <c r="Q119" s="125">
        <f t="shared" si="226"/>
        <v>0.11259113283798064</v>
      </c>
      <c r="R119" s="125">
        <f t="shared" si="226"/>
        <v>7.9557789852068669E-2</v>
      </c>
      <c r="S119" s="125">
        <f t="shared" si="226"/>
        <v>6.4602762038617048E-2</v>
      </c>
      <c r="T119" s="125">
        <f t="shared" si="226"/>
        <v>6.7278574825687651E-2</v>
      </c>
      <c r="U119" s="125">
        <f t="shared" si="226"/>
        <v>6.3769252881793442E-2</v>
      </c>
      <c r="V119" s="125">
        <f t="shared" si="226"/>
        <v>5.5513918174456091E-2</v>
      </c>
      <c r="W119" s="125">
        <f t="shared" ref="W119:Y119" si="227">IF(W18=0,0,W18/W$15)</f>
        <v>4.1590389625935385E-2</v>
      </c>
      <c r="X119" s="125">
        <f t="shared" si="227"/>
        <v>4.1614761490218373E-2</v>
      </c>
      <c r="Y119" s="125">
        <f t="shared" si="227"/>
        <v>5.1498921453277585E-2</v>
      </c>
      <c r="DA119" s="171"/>
    </row>
    <row r="120" spans="1:105" ht="11.45" customHeight="1" x14ac:dyDescent="0.25">
      <c r="A120" s="111" t="s">
        <v>93</v>
      </c>
      <c r="B120" s="125">
        <f t="shared" si="219"/>
        <v>0.42330604135149824</v>
      </c>
      <c r="C120" s="125">
        <f t="shared" si="219"/>
        <v>0.43879402181111637</v>
      </c>
      <c r="D120" s="125">
        <f t="shared" si="219"/>
        <v>0.50856221694413239</v>
      </c>
      <c r="E120" s="125">
        <f t="shared" si="219"/>
        <v>0.50193918755170019</v>
      </c>
      <c r="F120" s="125">
        <f t="shared" si="219"/>
        <v>0.44605393113290243</v>
      </c>
      <c r="G120" s="125">
        <f t="shared" si="219"/>
        <v>0.44863946149615869</v>
      </c>
      <c r="H120" s="125">
        <f t="shared" si="219"/>
        <v>0.44804349692578876</v>
      </c>
      <c r="I120" s="125">
        <f t="shared" si="219"/>
        <v>0.43294281535219348</v>
      </c>
      <c r="J120" s="125">
        <f t="shared" si="219"/>
        <v>0.44099578876119244</v>
      </c>
      <c r="K120" s="125">
        <f t="shared" ref="K120:V120" si="228">IF(K19=0,0,K19/K$15)</f>
        <v>0.45085628436133784</v>
      </c>
      <c r="L120" s="125">
        <f t="shared" si="228"/>
        <v>0.45259785970730376</v>
      </c>
      <c r="M120" s="125">
        <f t="shared" si="228"/>
        <v>0.42391164967519895</v>
      </c>
      <c r="N120" s="125">
        <f t="shared" si="228"/>
        <v>0.46333258564289836</v>
      </c>
      <c r="O120" s="125">
        <f t="shared" si="228"/>
        <v>0.43095309308842034</v>
      </c>
      <c r="P120" s="125">
        <f t="shared" si="228"/>
        <v>0.43289976050146028</v>
      </c>
      <c r="Q120" s="125">
        <f t="shared" si="228"/>
        <v>0.4422351936727153</v>
      </c>
      <c r="R120" s="125">
        <f t="shared" si="228"/>
        <v>0.59669988092269766</v>
      </c>
      <c r="S120" s="125">
        <f t="shared" si="228"/>
        <v>0.64883231849265866</v>
      </c>
      <c r="T120" s="125">
        <f t="shared" si="228"/>
        <v>0.64461928247470945</v>
      </c>
      <c r="U120" s="125">
        <f t="shared" si="228"/>
        <v>0.63777938081169472</v>
      </c>
      <c r="V120" s="125">
        <f t="shared" si="228"/>
        <v>0.65658796907850481</v>
      </c>
      <c r="W120" s="125">
        <f t="shared" ref="W120:Y120" si="229">IF(W19=0,0,W19/W$15)</f>
        <v>0.69873622886206255</v>
      </c>
      <c r="X120" s="125">
        <f t="shared" si="229"/>
        <v>0.66430920284133277</v>
      </c>
      <c r="Y120" s="125">
        <f t="shared" si="229"/>
        <v>0.66304294355531423</v>
      </c>
      <c r="DA120" s="171"/>
    </row>
    <row r="121" spans="1:105" ht="11.45" customHeight="1" x14ac:dyDescent="0.25">
      <c r="A121" s="112" t="s">
        <v>25</v>
      </c>
      <c r="B121" s="126">
        <f t="shared" si="219"/>
        <v>0</v>
      </c>
      <c r="C121" s="126">
        <f t="shared" si="219"/>
        <v>0</v>
      </c>
      <c r="D121" s="126">
        <f t="shared" si="219"/>
        <v>0</v>
      </c>
      <c r="E121" s="126">
        <f t="shared" si="219"/>
        <v>0</v>
      </c>
      <c r="F121" s="126">
        <f t="shared" si="219"/>
        <v>6.1109176857227082E-2</v>
      </c>
      <c r="G121" s="126">
        <f t="shared" si="219"/>
        <v>6.8505214030003647E-2</v>
      </c>
      <c r="H121" s="126">
        <f t="shared" si="219"/>
        <v>6.598780234810149E-2</v>
      </c>
      <c r="I121" s="126">
        <f t="shared" si="219"/>
        <v>6.9334220097220012E-2</v>
      </c>
      <c r="J121" s="126">
        <f t="shared" si="219"/>
        <v>6.7163353552192204E-2</v>
      </c>
      <c r="K121" s="126">
        <f t="shared" ref="K121:V121" si="230">IF(K20=0,0,K20/K$15)</f>
        <v>7.0312578889601143E-2</v>
      </c>
      <c r="L121" s="126">
        <f t="shared" si="230"/>
        <v>7.1055305770260174E-2</v>
      </c>
      <c r="M121" s="126">
        <f t="shared" si="230"/>
        <v>7.7300508470346557E-2</v>
      </c>
      <c r="N121" s="126">
        <f t="shared" si="230"/>
        <v>8.0405551118938018E-2</v>
      </c>
      <c r="O121" s="126">
        <f t="shared" si="230"/>
        <v>9.0673700710054081E-2</v>
      </c>
      <c r="P121" s="126">
        <f t="shared" si="230"/>
        <v>8.8935591186396795E-2</v>
      </c>
      <c r="Q121" s="126">
        <f t="shared" si="230"/>
        <v>8.5043310335071717E-2</v>
      </c>
      <c r="R121" s="126">
        <f t="shared" si="230"/>
        <v>6.1672547372684766E-2</v>
      </c>
      <c r="S121" s="126">
        <f t="shared" si="230"/>
        <v>5.2740253891887981E-2</v>
      </c>
      <c r="T121" s="126">
        <f t="shared" si="230"/>
        <v>4.9940681816768695E-2</v>
      </c>
      <c r="U121" s="126">
        <f t="shared" si="230"/>
        <v>4.9260252623910268E-2</v>
      </c>
      <c r="V121" s="126">
        <f t="shared" si="230"/>
        <v>3.239535978033798E-2</v>
      </c>
      <c r="W121" s="126">
        <f t="shared" ref="W121:Y121" si="231">IF(W20=0,0,W20/W$15)</f>
        <v>3.75397511592356E-2</v>
      </c>
      <c r="X121" s="126">
        <f t="shared" si="231"/>
        <v>4.6444078915325697E-2</v>
      </c>
      <c r="Y121" s="126">
        <f t="shared" si="231"/>
        <v>4.2144707998392872E-2</v>
      </c>
      <c r="DA121" s="204"/>
    </row>
    <row r="122" spans="1:105" ht="11.45" customHeight="1" x14ac:dyDescent="0.25">
      <c r="A122" s="27" t="s">
        <v>34</v>
      </c>
      <c r="B122" s="31">
        <f t="shared" ref="B122:J124" si="232">IF(B21=0,0,B21/B$21)</f>
        <v>1</v>
      </c>
      <c r="C122" s="31">
        <f t="shared" si="232"/>
        <v>1</v>
      </c>
      <c r="D122" s="31">
        <f t="shared" si="232"/>
        <v>1</v>
      </c>
      <c r="E122" s="31">
        <f t="shared" si="232"/>
        <v>1</v>
      </c>
      <c r="F122" s="31">
        <f t="shared" si="232"/>
        <v>1</v>
      </c>
      <c r="G122" s="31">
        <f t="shared" si="232"/>
        <v>1</v>
      </c>
      <c r="H122" s="31">
        <f t="shared" si="232"/>
        <v>1</v>
      </c>
      <c r="I122" s="31">
        <f t="shared" si="232"/>
        <v>1</v>
      </c>
      <c r="J122" s="31">
        <f t="shared" si="232"/>
        <v>1</v>
      </c>
      <c r="K122" s="31">
        <f t="shared" ref="K122:V122" si="233">IF(K21=0,0,K21/K$21)</f>
        <v>1</v>
      </c>
      <c r="L122" s="31">
        <f t="shared" si="233"/>
        <v>1</v>
      </c>
      <c r="M122" s="31">
        <f t="shared" si="233"/>
        <v>1</v>
      </c>
      <c r="N122" s="31">
        <f t="shared" si="233"/>
        <v>1</v>
      </c>
      <c r="O122" s="31">
        <f t="shared" si="233"/>
        <v>1</v>
      </c>
      <c r="P122" s="31">
        <f t="shared" si="233"/>
        <v>1</v>
      </c>
      <c r="Q122" s="31">
        <f t="shared" si="233"/>
        <v>1</v>
      </c>
      <c r="R122" s="31">
        <f t="shared" si="233"/>
        <v>1</v>
      </c>
      <c r="S122" s="31">
        <f t="shared" si="233"/>
        <v>1</v>
      </c>
      <c r="T122" s="31">
        <f t="shared" si="233"/>
        <v>1</v>
      </c>
      <c r="U122" s="31">
        <f t="shared" si="233"/>
        <v>1</v>
      </c>
      <c r="V122" s="31">
        <f t="shared" si="233"/>
        <v>1</v>
      </c>
      <c r="W122" s="31">
        <f t="shared" ref="W122:Y122" si="234">IF(W21=0,0,W21/W$21)</f>
        <v>1</v>
      </c>
      <c r="X122" s="31">
        <f t="shared" si="234"/>
        <v>1</v>
      </c>
      <c r="Y122" s="31">
        <f t="shared" si="234"/>
        <v>1</v>
      </c>
      <c r="DA122" s="173"/>
    </row>
    <row r="123" spans="1:105" ht="11.45" customHeight="1" x14ac:dyDescent="0.25">
      <c r="A123" s="83" t="s">
        <v>92</v>
      </c>
      <c r="B123" s="125">
        <f t="shared" si="232"/>
        <v>0.51323033203708313</v>
      </c>
      <c r="C123" s="125">
        <f t="shared" si="232"/>
        <v>0.39308171427631461</v>
      </c>
      <c r="D123" s="125">
        <f t="shared" si="232"/>
        <v>0.33517679862322403</v>
      </c>
      <c r="E123" s="125">
        <f t="shared" si="232"/>
        <v>0.29629437844961104</v>
      </c>
      <c r="F123" s="125">
        <f t="shared" si="232"/>
        <v>0.26058273482682837</v>
      </c>
      <c r="G123" s="125">
        <f t="shared" si="232"/>
        <v>0.25857985528595778</v>
      </c>
      <c r="H123" s="125">
        <f t="shared" si="232"/>
        <v>0.23866267628064755</v>
      </c>
      <c r="I123" s="125">
        <f t="shared" si="232"/>
        <v>0.26948036309328366</v>
      </c>
      <c r="J123" s="125">
        <f t="shared" si="232"/>
        <v>0.22829979353127347</v>
      </c>
      <c r="K123" s="125">
        <f t="shared" ref="K123:V123" si="235">IF(K22=0,0,K22/K$21)</f>
        <v>0.18479726971592123</v>
      </c>
      <c r="L123" s="125">
        <f t="shared" si="235"/>
        <v>0.17861396771652482</v>
      </c>
      <c r="M123" s="125">
        <f t="shared" si="235"/>
        <v>0.19018442246168685</v>
      </c>
      <c r="N123" s="125">
        <f t="shared" si="235"/>
        <v>0.15805103533044174</v>
      </c>
      <c r="O123" s="125">
        <f t="shared" si="235"/>
        <v>0.18841804383193225</v>
      </c>
      <c r="P123" s="125">
        <f t="shared" si="235"/>
        <v>0.17974906155349038</v>
      </c>
      <c r="Q123" s="125">
        <f t="shared" si="235"/>
        <v>0.180644960835495</v>
      </c>
      <c r="R123" s="125">
        <f t="shared" si="235"/>
        <v>0.11933244043794555</v>
      </c>
      <c r="S123" s="125">
        <f t="shared" si="235"/>
        <v>0.19303749974819881</v>
      </c>
      <c r="T123" s="125">
        <f t="shared" si="235"/>
        <v>0.15788147550850581</v>
      </c>
      <c r="U123" s="125">
        <f t="shared" si="235"/>
        <v>0.20518120341845883</v>
      </c>
      <c r="V123" s="125">
        <f t="shared" si="235"/>
        <v>0.21008674185040788</v>
      </c>
      <c r="W123" s="125">
        <f t="shared" ref="W123:Y123" si="236">IF(W22=0,0,W22/W$21)</f>
        <v>0.24889374080339374</v>
      </c>
      <c r="X123" s="125">
        <f t="shared" si="236"/>
        <v>0.21860879749558768</v>
      </c>
      <c r="Y123" s="125">
        <f t="shared" si="236"/>
        <v>0.16540420031630709</v>
      </c>
      <c r="DA123" s="171"/>
    </row>
    <row r="124" spans="1:105" ht="11.45" customHeight="1" x14ac:dyDescent="0.25">
      <c r="A124" s="85" t="s">
        <v>93</v>
      </c>
      <c r="B124" s="127">
        <f t="shared" si="232"/>
        <v>0.48676966796291687</v>
      </c>
      <c r="C124" s="127">
        <f t="shared" si="232"/>
        <v>0.60691828572368534</v>
      </c>
      <c r="D124" s="127">
        <f t="shared" si="232"/>
        <v>0.66482320137677597</v>
      </c>
      <c r="E124" s="127">
        <f t="shared" si="232"/>
        <v>0.70370562155038885</v>
      </c>
      <c r="F124" s="127">
        <f t="shared" si="232"/>
        <v>0.73941726517317163</v>
      </c>
      <c r="G124" s="127">
        <f t="shared" si="232"/>
        <v>0.74142014471404227</v>
      </c>
      <c r="H124" s="127">
        <f t="shared" si="232"/>
        <v>0.76133732371935248</v>
      </c>
      <c r="I124" s="127">
        <f t="shared" si="232"/>
        <v>0.73051963690671629</v>
      </c>
      <c r="J124" s="127">
        <f t="shared" si="232"/>
        <v>0.7717002064687265</v>
      </c>
      <c r="K124" s="127">
        <f t="shared" ref="K124:V124" si="237">IF(K23=0,0,K23/K$21)</f>
        <v>0.81520273028407886</v>
      </c>
      <c r="L124" s="127">
        <f t="shared" si="237"/>
        <v>0.82138603228347518</v>
      </c>
      <c r="M124" s="127">
        <f t="shared" si="237"/>
        <v>0.80981557753831312</v>
      </c>
      <c r="N124" s="127">
        <f t="shared" si="237"/>
        <v>0.84194896466955826</v>
      </c>
      <c r="O124" s="127">
        <f t="shared" si="237"/>
        <v>0.81158195616806783</v>
      </c>
      <c r="P124" s="127">
        <f t="shared" si="237"/>
        <v>0.82025093844650965</v>
      </c>
      <c r="Q124" s="127">
        <f t="shared" si="237"/>
        <v>0.81935503916450492</v>
      </c>
      <c r="R124" s="127">
        <f t="shared" si="237"/>
        <v>0.88066755956205445</v>
      </c>
      <c r="S124" s="127">
        <f t="shared" si="237"/>
        <v>0.80696250025180127</v>
      </c>
      <c r="T124" s="127">
        <f t="shared" si="237"/>
        <v>0.84211852449149427</v>
      </c>
      <c r="U124" s="127">
        <f t="shared" si="237"/>
        <v>0.7948187965815412</v>
      </c>
      <c r="V124" s="127">
        <f t="shared" si="237"/>
        <v>0.78991325814959212</v>
      </c>
      <c r="W124" s="127">
        <f t="shared" ref="W124:Y124" si="238">IF(W23=0,0,W23/W$21)</f>
        <v>0.75110625919660623</v>
      </c>
      <c r="X124" s="127">
        <f t="shared" si="238"/>
        <v>0.7813912025044123</v>
      </c>
      <c r="Y124" s="127">
        <f t="shared" si="238"/>
        <v>0.83459579968369291</v>
      </c>
      <c r="DA124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Y6 B17:Y17 B28:Y28 C39:Y39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DA65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1102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133" t="s">
        <v>45</v>
      </c>
      <c r="B4" s="146">
        <f>SUM(B5,B8)</f>
        <v>88.909888220120379</v>
      </c>
      <c r="C4" s="146">
        <f t="shared" ref="C4:V4" si="0">SUM(C5,C8)</f>
        <v>74.249097162510736</v>
      </c>
      <c r="D4" s="146">
        <f t="shared" si="0"/>
        <v>71.561822871883066</v>
      </c>
      <c r="E4" s="146">
        <f t="shared" si="0"/>
        <v>68.450816852966454</v>
      </c>
      <c r="F4" s="146">
        <f t="shared" si="0"/>
        <v>67.839638865004304</v>
      </c>
      <c r="G4" s="146">
        <f t="shared" si="0"/>
        <v>66.457695614789344</v>
      </c>
      <c r="H4" s="146">
        <f t="shared" si="0"/>
        <v>68.329062768701633</v>
      </c>
      <c r="I4" s="146">
        <f t="shared" si="0"/>
        <v>67.469217540842635</v>
      </c>
      <c r="J4" s="146">
        <f t="shared" si="0"/>
        <v>66.786070507308693</v>
      </c>
      <c r="K4" s="146">
        <f t="shared" si="0"/>
        <v>60.017196904557181</v>
      </c>
      <c r="L4" s="146">
        <f t="shared" si="0"/>
        <v>57.275236457437657</v>
      </c>
      <c r="M4" s="146">
        <f t="shared" si="0"/>
        <v>47.998452278589852</v>
      </c>
      <c r="N4" s="146">
        <f t="shared" si="0"/>
        <v>44.573430782459155</v>
      </c>
      <c r="O4" s="146">
        <f t="shared" si="0"/>
        <v>35.377815993121231</v>
      </c>
      <c r="P4" s="146">
        <f t="shared" si="0"/>
        <v>35.635769561478931</v>
      </c>
      <c r="Q4" s="146">
        <f t="shared" si="0"/>
        <v>36.065692175408422</v>
      </c>
      <c r="R4" s="146">
        <f t="shared" si="0"/>
        <v>45.729234737747198</v>
      </c>
      <c r="S4" s="146">
        <f t="shared" si="0"/>
        <v>51.140670679277726</v>
      </c>
      <c r="T4" s="146">
        <f t="shared" si="0"/>
        <v>51.037575236457428</v>
      </c>
      <c r="U4" s="146">
        <f t="shared" si="0"/>
        <v>50.987532244196046</v>
      </c>
      <c r="V4" s="146">
        <f t="shared" si="0"/>
        <v>44.453568357695616</v>
      </c>
      <c r="W4" s="146">
        <f t="shared" ref="W4:Y4" si="1">SUM(W5,W8)</f>
        <v>47.385640584694755</v>
      </c>
      <c r="X4" s="146">
        <f t="shared" si="1"/>
        <v>46.419432502149611</v>
      </c>
      <c r="Y4" s="146">
        <f t="shared" si="1"/>
        <v>50.473430782459161</v>
      </c>
      <c r="DA4" s="206" t="s">
        <v>1103</v>
      </c>
    </row>
    <row r="5" spans="1:105" ht="11.45" customHeight="1" x14ac:dyDescent="0.25">
      <c r="A5" s="92" t="s">
        <v>150</v>
      </c>
      <c r="B5" s="101">
        <f>SUM(B6:B7)</f>
        <v>57.955460017196913</v>
      </c>
      <c r="C5" s="101">
        <f t="shared" ref="C5:V5" si="2">SUM(C6:C7)</f>
        <v>43.466638005159069</v>
      </c>
      <c r="D5" s="101">
        <f t="shared" si="2"/>
        <v>36.222184006878763</v>
      </c>
      <c r="E5" s="101">
        <f t="shared" si="2"/>
        <v>31.0475494411006</v>
      </c>
      <c r="F5" s="101">
        <f t="shared" si="2"/>
        <v>27.942820292347381</v>
      </c>
      <c r="G5" s="101">
        <f t="shared" si="2"/>
        <v>25.873000859845231</v>
      </c>
      <c r="H5" s="101">
        <f t="shared" si="2"/>
        <v>24.648925193465171</v>
      </c>
      <c r="I5" s="101">
        <f t="shared" si="2"/>
        <v>24.648925193465171</v>
      </c>
      <c r="J5" s="101">
        <f t="shared" si="2"/>
        <v>23.62184006878762</v>
      </c>
      <c r="K5" s="101">
        <f t="shared" si="2"/>
        <v>18.486672398968189</v>
      </c>
      <c r="L5" s="101">
        <f t="shared" si="2"/>
        <v>16.432588134135859</v>
      </c>
      <c r="M5" s="101">
        <f t="shared" si="2"/>
        <v>14.378503869303531</v>
      </c>
      <c r="N5" s="101">
        <f t="shared" si="2"/>
        <v>11.297420464316421</v>
      </c>
      <c r="O5" s="101">
        <f t="shared" si="2"/>
        <v>10.27033533963886</v>
      </c>
      <c r="P5" s="101">
        <f t="shared" si="2"/>
        <v>10.27033533963886</v>
      </c>
      <c r="Q5" s="101">
        <f t="shared" si="2"/>
        <v>10.27033533963886</v>
      </c>
      <c r="R5" s="101">
        <f t="shared" si="2"/>
        <v>9.2433361994840926</v>
      </c>
      <c r="S5" s="101">
        <f t="shared" si="2"/>
        <v>10.085382631126395</v>
      </c>
      <c r="T5" s="101">
        <f t="shared" si="2"/>
        <v>9.819518486672397</v>
      </c>
      <c r="U5" s="101">
        <f t="shared" si="2"/>
        <v>10.012553740326741</v>
      </c>
      <c r="V5" s="101">
        <f t="shared" si="2"/>
        <v>8.8705073086844362</v>
      </c>
      <c r="W5" s="101">
        <f t="shared" ref="W5:Y5" si="3">SUM(W6:W7)</f>
        <v>8.7863284608770424</v>
      </c>
      <c r="X5" s="101">
        <f t="shared" si="3"/>
        <v>7.554858125537403</v>
      </c>
      <c r="Y5" s="101">
        <f t="shared" si="3"/>
        <v>8.7288048151332767</v>
      </c>
      <c r="DA5" s="175"/>
    </row>
    <row r="6" spans="1:105" ht="11.45" customHeight="1" x14ac:dyDescent="0.25">
      <c r="A6" s="164" t="s">
        <v>175</v>
      </c>
      <c r="B6" s="165">
        <v>57.955460017196913</v>
      </c>
      <c r="C6" s="165">
        <v>43.466638005159069</v>
      </c>
      <c r="D6" s="165">
        <v>36.222184006878763</v>
      </c>
      <c r="E6" s="165">
        <v>31.0475494411006</v>
      </c>
      <c r="F6" s="165">
        <v>27.942820292347381</v>
      </c>
      <c r="G6" s="165">
        <v>25.873000859845231</v>
      </c>
      <c r="H6" s="165">
        <v>24.648925193465171</v>
      </c>
      <c r="I6" s="165">
        <v>24.648925193465171</v>
      </c>
      <c r="J6" s="165">
        <v>23.62184006878762</v>
      </c>
      <c r="K6" s="165">
        <v>18.486672398968189</v>
      </c>
      <c r="L6" s="165">
        <v>16.432588134135859</v>
      </c>
      <c r="M6" s="165">
        <v>14.378503869303531</v>
      </c>
      <c r="N6" s="165">
        <v>11.297420464316421</v>
      </c>
      <c r="O6" s="165">
        <v>10.27033533963886</v>
      </c>
      <c r="P6" s="165">
        <v>10.27033533963886</v>
      </c>
      <c r="Q6" s="165">
        <v>10.27033533963886</v>
      </c>
      <c r="R6" s="165">
        <v>9.2433361994840926</v>
      </c>
      <c r="S6" s="165">
        <v>10.07833190025795</v>
      </c>
      <c r="T6" s="165">
        <v>9.819518486672397</v>
      </c>
      <c r="U6" s="165">
        <v>10.012553740326741</v>
      </c>
      <c r="V6" s="165">
        <v>8.8705073086844362</v>
      </c>
      <c r="W6" s="165">
        <v>8.7863284608770424</v>
      </c>
      <c r="X6" s="165">
        <v>7.554858125537403</v>
      </c>
      <c r="Y6" s="165">
        <v>8.7288048151332767</v>
      </c>
      <c r="DA6" s="207" t="s">
        <v>1104</v>
      </c>
    </row>
    <row r="7" spans="1:105" ht="11.45" customHeight="1" x14ac:dyDescent="0.25">
      <c r="A7" s="166" t="s">
        <v>176</v>
      </c>
      <c r="B7" s="167">
        <v>0</v>
      </c>
      <c r="C7" s="167">
        <v>0</v>
      </c>
      <c r="D7" s="167">
        <v>0</v>
      </c>
      <c r="E7" s="167">
        <v>0</v>
      </c>
      <c r="F7" s="167">
        <v>0</v>
      </c>
      <c r="G7" s="167">
        <v>0</v>
      </c>
      <c r="H7" s="167">
        <v>0</v>
      </c>
      <c r="I7" s="167">
        <v>0</v>
      </c>
      <c r="J7" s="167">
        <v>0</v>
      </c>
      <c r="K7" s="167">
        <v>0</v>
      </c>
      <c r="L7" s="167">
        <v>0</v>
      </c>
      <c r="M7" s="167">
        <v>0</v>
      </c>
      <c r="N7" s="167">
        <v>0</v>
      </c>
      <c r="O7" s="167">
        <v>0</v>
      </c>
      <c r="P7" s="167">
        <v>0</v>
      </c>
      <c r="Q7" s="167">
        <v>0</v>
      </c>
      <c r="R7" s="167">
        <v>0</v>
      </c>
      <c r="S7" s="167">
        <v>7.0507308684436797E-3</v>
      </c>
      <c r="T7" s="167">
        <v>0</v>
      </c>
      <c r="U7" s="167">
        <v>0</v>
      </c>
      <c r="V7" s="167">
        <v>0</v>
      </c>
      <c r="W7" s="167">
        <v>0</v>
      </c>
      <c r="X7" s="167">
        <v>0</v>
      </c>
      <c r="Y7" s="167">
        <v>0</v>
      </c>
      <c r="DA7" s="177" t="s">
        <v>1105</v>
      </c>
    </row>
    <row r="8" spans="1:105" ht="11.45" customHeight="1" x14ac:dyDescent="0.25">
      <c r="A8" s="85" t="s">
        <v>91</v>
      </c>
      <c r="B8" s="88">
        <v>30.95442820292347</v>
      </c>
      <c r="C8" s="88">
        <v>30.782459157351671</v>
      </c>
      <c r="D8" s="88">
        <v>35.339638865004297</v>
      </c>
      <c r="E8" s="88">
        <v>37.403267411865862</v>
      </c>
      <c r="F8" s="88">
        <v>39.896818572656919</v>
      </c>
      <c r="G8" s="88">
        <v>40.58469475494411</v>
      </c>
      <c r="H8" s="88">
        <v>43.680137575236458</v>
      </c>
      <c r="I8" s="88">
        <v>42.820292347377467</v>
      </c>
      <c r="J8" s="88">
        <v>43.164230438521074</v>
      </c>
      <c r="K8" s="88">
        <v>41.530524505588993</v>
      </c>
      <c r="L8" s="88">
        <v>40.842648323301802</v>
      </c>
      <c r="M8" s="88">
        <v>33.619948409286323</v>
      </c>
      <c r="N8" s="88">
        <v>33.276010318142731</v>
      </c>
      <c r="O8" s="88">
        <v>25.107480653482369</v>
      </c>
      <c r="P8" s="88">
        <v>25.365434221840069</v>
      </c>
      <c r="Q8" s="88">
        <v>25.79535683576956</v>
      </c>
      <c r="R8" s="88">
        <v>36.485898538263108</v>
      </c>
      <c r="S8" s="88">
        <v>41.055288048151333</v>
      </c>
      <c r="T8" s="88">
        <v>41.218056749785028</v>
      </c>
      <c r="U8" s="88">
        <v>40.974978503869302</v>
      </c>
      <c r="V8" s="88">
        <v>35.583061049011178</v>
      </c>
      <c r="W8" s="88">
        <v>38.599312123817711</v>
      </c>
      <c r="X8" s="88">
        <v>38.864574376612211</v>
      </c>
      <c r="Y8" s="88">
        <v>41.744625967325881</v>
      </c>
      <c r="DA8" s="178" t="s">
        <v>1106</v>
      </c>
    </row>
    <row r="9" spans="1:105" x14ac:dyDescent="0.25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DA9" s="171"/>
    </row>
    <row r="10" spans="1:105" ht="11.45" customHeight="1" x14ac:dyDescent="0.25">
      <c r="A10" s="53" t="s">
        <v>61</v>
      </c>
      <c r="B10" s="62">
        <f t="shared" ref="B10" si="4">SUM(B11,B17)</f>
        <v>88.909888220120393</v>
      </c>
      <c r="C10" s="62">
        <f t="shared" ref="C10:V10" si="5">SUM(C11,C17)</f>
        <v>74.249097162510751</v>
      </c>
      <c r="D10" s="62">
        <f t="shared" si="5"/>
        <v>71.561822871883052</v>
      </c>
      <c r="E10" s="62">
        <f t="shared" si="5"/>
        <v>68.450816852966454</v>
      </c>
      <c r="F10" s="62">
        <f t="shared" si="5"/>
        <v>67.839638865004304</v>
      </c>
      <c r="G10" s="62">
        <f t="shared" si="5"/>
        <v>66.457695614789344</v>
      </c>
      <c r="H10" s="62">
        <f t="shared" si="5"/>
        <v>68.329062768701633</v>
      </c>
      <c r="I10" s="62">
        <f t="shared" si="5"/>
        <v>67.469217540842635</v>
      </c>
      <c r="J10" s="62">
        <f t="shared" si="5"/>
        <v>66.786070507308693</v>
      </c>
      <c r="K10" s="62">
        <f t="shared" si="5"/>
        <v>60.017196904557181</v>
      </c>
      <c r="L10" s="62">
        <f t="shared" si="5"/>
        <v>57.275236457437657</v>
      </c>
      <c r="M10" s="62">
        <f t="shared" si="5"/>
        <v>47.998452278589866</v>
      </c>
      <c r="N10" s="62">
        <f t="shared" si="5"/>
        <v>44.573430782459148</v>
      </c>
      <c r="O10" s="62">
        <f t="shared" si="5"/>
        <v>35.377815993121231</v>
      </c>
      <c r="P10" s="62">
        <f t="shared" si="5"/>
        <v>35.635769561478931</v>
      </c>
      <c r="Q10" s="62">
        <f t="shared" si="5"/>
        <v>36.065692175408422</v>
      </c>
      <c r="R10" s="62">
        <f t="shared" si="5"/>
        <v>45.729234737747205</v>
      </c>
      <c r="S10" s="62">
        <f t="shared" si="5"/>
        <v>51.140670679277726</v>
      </c>
      <c r="T10" s="62">
        <f t="shared" si="5"/>
        <v>51.037575236457428</v>
      </c>
      <c r="U10" s="62">
        <f t="shared" si="5"/>
        <v>50.987532244196039</v>
      </c>
      <c r="V10" s="62">
        <f t="shared" si="5"/>
        <v>44.453568357695609</v>
      </c>
      <c r="W10" s="62">
        <f t="shared" ref="W10:Y10" si="6">SUM(W11,W17)</f>
        <v>47.385640584694762</v>
      </c>
      <c r="X10" s="62">
        <f t="shared" si="6"/>
        <v>46.419432502149618</v>
      </c>
      <c r="Y10" s="62">
        <f t="shared" si="6"/>
        <v>50.473430782459154</v>
      </c>
      <c r="DA10" s="172" t="s">
        <v>1107</v>
      </c>
    </row>
    <row r="11" spans="1:105" ht="11.45" customHeight="1" x14ac:dyDescent="0.25">
      <c r="A11" s="27" t="s">
        <v>33</v>
      </c>
      <c r="B11" s="29">
        <f t="shared" ref="B11" si="7">SUM(B12,B13,B16)</f>
        <v>73.969615702222285</v>
      </c>
      <c r="C11" s="29">
        <f t="shared" ref="C11:V11" si="8">SUM(C12,C13,C16)</f>
        <v>61.079667660283839</v>
      </c>
      <c r="D11" s="29">
        <f t="shared" si="8"/>
        <v>59.04095442789972</v>
      </c>
      <c r="E11" s="29">
        <f t="shared" si="8"/>
        <v>57.475851738445783</v>
      </c>
      <c r="F11" s="29">
        <f t="shared" si="8"/>
        <v>56.173322739184307</v>
      </c>
      <c r="G11" s="29">
        <f t="shared" si="8"/>
        <v>54.606429915708731</v>
      </c>
      <c r="H11" s="29">
        <f t="shared" si="8"/>
        <v>56.764897933719531</v>
      </c>
      <c r="I11" s="29">
        <f t="shared" si="8"/>
        <v>55.550917079095719</v>
      </c>
      <c r="J11" s="29">
        <f t="shared" si="8"/>
        <v>55.599048828597113</v>
      </c>
      <c r="K11" s="29">
        <f t="shared" si="8"/>
        <v>50.880138166968699</v>
      </c>
      <c r="L11" s="29">
        <f t="shared" si="8"/>
        <v>48.150264152844578</v>
      </c>
      <c r="M11" s="29">
        <f t="shared" si="8"/>
        <v>39.884526821197554</v>
      </c>
      <c r="N11" s="29">
        <f t="shared" si="8"/>
        <v>36.779973983518381</v>
      </c>
      <c r="O11" s="29">
        <f t="shared" si="8"/>
        <v>28.874258234439051</v>
      </c>
      <c r="P11" s="29">
        <f t="shared" si="8"/>
        <v>28.848259346441786</v>
      </c>
      <c r="Q11" s="29">
        <f t="shared" si="8"/>
        <v>28.847323910784649</v>
      </c>
      <c r="R11" s="29">
        <f t="shared" si="8"/>
        <v>38.705551536933022</v>
      </c>
      <c r="S11" s="29">
        <f t="shared" si="8"/>
        <v>43.359119576257122</v>
      </c>
      <c r="T11" s="29">
        <f t="shared" si="8"/>
        <v>43.546232372895219</v>
      </c>
      <c r="U11" s="29">
        <f t="shared" si="8"/>
        <v>43.829928257782761</v>
      </c>
      <c r="V11" s="29">
        <f t="shared" si="8"/>
        <v>36.58887504376353</v>
      </c>
      <c r="W11" s="29">
        <f t="shared" ref="W11:Y11" si="9">SUM(W12,W13,W16)</f>
        <v>38.52652708118957</v>
      </c>
      <c r="X11" s="29">
        <f t="shared" si="9"/>
        <v>39.366548446695091</v>
      </c>
      <c r="Y11" s="29">
        <f t="shared" si="9"/>
        <v>42.177357847096239</v>
      </c>
      <c r="DA11" s="173" t="s">
        <v>395</v>
      </c>
    </row>
    <row r="12" spans="1:105" ht="11.45" customHeight="1" x14ac:dyDescent="0.25">
      <c r="A12" s="107" t="s">
        <v>23</v>
      </c>
      <c r="B12" s="115">
        <v>2.672965645635824</v>
      </c>
      <c r="C12" s="115">
        <v>2.7169924796445253</v>
      </c>
      <c r="D12" s="115">
        <v>2.7260122793438901</v>
      </c>
      <c r="E12" s="115">
        <v>3.7820635733366323</v>
      </c>
      <c r="F12" s="115">
        <v>4.0020139831417367</v>
      </c>
      <c r="G12" s="115">
        <v>4.096738985119349</v>
      </c>
      <c r="H12" s="115">
        <v>4.8937157974613257</v>
      </c>
      <c r="I12" s="115">
        <v>5.0151762709158838</v>
      </c>
      <c r="J12" s="115">
        <v>5.1860909232480479</v>
      </c>
      <c r="K12" s="115">
        <v>5.0544575808178509</v>
      </c>
      <c r="L12" s="115">
        <v>5.2106863586056225</v>
      </c>
      <c r="M12" s="115">
        <v>5.128190219995294</v>
      </c>
      <c r="N12" s="115">
        <v>4.6227479158631706</v>
      </c>
      <c r="O12" s="115">
        <v>4.2772042659931913</v>
      </c>
      <c r="P12" s="115">
        <v>4.2964510349929181</v>
      </c>
      <c r="Q12" s="115">
        <v>4.4592059792544632</v>
      </c>
      <c r="R12" s="115">
        <v>4.6011799831621598</v>
      </c>
      <c r="S12" s="115">
        <v>4.7805232732640386</v>
      </c>
      <c r="T12" s="115">
        <v>4.9669218668442072</v>
      </c>
      <c r="U12" s="115">
        <v>5.3372223331197066</v>
      </c>
      <c r="V12" s="115">
        <v>4.8216364017391227</v>
      </c>
      <c r="W12" s="115">
        <v>4.4168073451688068</v>
      </c>
      <c r="X12" s="115">
        <v>5.0196183961578873</v>
      </c>
      <c r="Y12" s="115">
        <v>5.2588037028969543</v>
      </c>
      <c r="DA12" s="203" t="s">
        <v>396</v>
      </c>
    </row>
    <row r="13" spans="1:105" ht="11.45" customHeight="1" x14ac:dyDescent="0.25">
      <c r="A13" s="109" t="s">
        <v>24</v>
      </c>
      <c r="B13" s="116">
        <f t="shared" ref="B13" si="10">SUM(B14:B15)</f>
        <v>71.296650056586458</v>
      </c>
      <c r="C13" s="116">
        <f t="shared" ref="C13:V13" si="11">SUM(C14:C15)</f>
        <v>58.362675180639314</v>
      </c>
      <c r="D13" s="116">
        <f t="shared" si="11"/>
        <v>56.314942148555829</v>
      </c>
      <c r="E13" s="116">
        <f t="shared" si="11"/>
        <v>53.693788165109154</v>
      </c>
      <c r="F13" s="116">
        <f t="shared" si="11"/>
        <v>46.72135435576773</v>
      </c>
      <c r="G13" s="116">
        <f t="shared" si="11"/>
        <v>44.465031921253214</v>
      </c>
      <c r="H13" s="116">
        <f t="shared" si="11"/>
        <v>45.550278116834093</v>
      </c>
      <c r="I13" s="116">
        <f t="shared" si="11"/>
        <v>43.986190617936828</v>
      </c>
      <c r="J13" s="116">
        <f t="shared" si="11"/>
        <v>43.832413507051839</v>
      </c>
      <c r="K13" s="116">
        <f t="shared" si="11"/>
        <v>39.308635830545356</v>
      </c>
      <c r="L13" s="116">
        <f t="shared" si="11"/>
        <v>36.436027776963208</v>
      </c>
      <c r="M13" s="116">
        <f t="shared" si="11"/>
        <v>28.33295907664975</v>
      </c>
      <c r="N13" s="116">
        <f t="shared" si="11"/>
        <v>25.83769103680708</v>
      </c>
      <c r="O13" s="116">
        <f t="shared" si="11"/>
        <v>18.369613545635815</v>
      </c>
      <c r="P13" s="116">
        <f t="shared" si="11"/>
        <v>18.3964321441292</v>
      </c>
      <c r="Q13" s="116">
        <f t="shared" si="11"/>
        <v>18.330350838322293</v>
      </c>
      <c r="R13" s="116">
        <f t="shared" si="11"/>
        <v>27.901842738308808</v>
      </c>
      <c r="S13" s="116">
        <f t="shared" si="11"/>
        <v>32.415505820399794</v>
      </c>
      <c r="T13" s="116">
        <f t="shared" si="11"/>
        <v>32.630083535759738</v>
      </c>
      <c r="U13" s="116">
        <f t="shared" si="11"/>
        <v>32.469067873682285</v>
      </c>
      <c r="V13" s="116">
        <f t="shared" si="11"/>
        <v>28.278221390485839</v>
      </c>
      <c r="W13" s="116">
        <f t="shared" ref="W13:Y13" si="12">SUM(W14:W15)</f>
        <v>29.850908148633799</v>
      </c>
      <c r="X13" s="116">
        <f t="shared" si="12"/>
        <v>28.976508740562998</v>
      </c>
      <c r="Y13" s="116">
        <f t="shared" si="12"/>
        <v>31.723246797249573</v>
      </c>
      <c r="DA13" s="176" t="s">
        <v>397</v>
      </c>
    </row>
    <row r="14" spans="1:105" ht="11.45" customHeight="1" x14ac:dyDescent="0.25">
      <c r="A14" s="111" t="s">
        <v>95</v>
      </c>
      <c r="B14" s="87">
        <v>46.961691508349851</v>
      </c>
      <c r="C14" s="87">
        <v>35.223411858001391</v>
      </c>
      <c r="D14" s="87">
        <v>29.106607108502075</v>
      </c>
      <c r="E14" s="87">
        <v>25.265768887347402</v>
      </c>
      <c r="F14" s="87">
        <v>22.274670231604095</v>
      </c>
      <c r="G14" s="87">
        <v>20.071104467280694</v>
      </c>
      <c r="H14" s="87">
        <v>19.283844241216993</v>
      </c>
      <c r="I14" s="87">
        <v>18.630586012521576</v>
      </c>
      <c r="J14" s="87">
        <v>18.539557134214633</v>
      </c>
      <c r="K14" s="87">
        <v>14.931188173561971</v>
      </c>
      <c r="L14" s="87">
        <v>12.93760364067435</v>
      </c>
      <c r="M14" s="87">
        <v>11.00271031455534</v>
      </c>
      <c r="N14" s="87">
        <v>8.4323291400092675</v>
      </c>
      <c r="O14" s="87">
        <v>7.3214430416914125</v>
      </c>
      <c r="P14" s="87">
        <v>7.2355435992529085</v>
      </c>
      <c r="Q14" s="87">
        <v>6.9842109726583645</v>
      </c>
      <c r="R14" s="87">
        <v>6.8674467929720091</v>
      </c>
      <c r="S14" s="87">
        <v>6.4029518344074008</v>
      </c>
      <c r="T14" s="87">
        <v>6.7305328065106051</v>
      </c>
      <c r="U14" s="87">
        <v>6.4999569692520014</v>
      </c>
      <c r="V14" s="87">
        <v>4.9560634218304838</v>
      </c>
      <c r="W14" s="87">
        <v>3.8948254687660855</v>
      </c>
      <c r="X14" s="87">
        <v>3.959687111944957</v>
      </c>
      <c r="Y14" s="87">
        <v>5.2117058716074549</v>
      </c>
      <c r="DA14" s="171" t="s">
        <v>1108</v>
      </c>
    </row>
    <row r="15" spans="1:105" ht="11.45" customHeight="1" x14ac:dyDescent="0.25">
      <c r="A15" s="111" t="s">
        <v>93</v>
      </c>
      <c r="B15" s="87">
        <v>24.334958548236603</v>
      </c>
      <c r="C15" s="87">
        <v>23.13926332263792</v>
      </c>
      <c r="D15" s="87">
        <v>27.208335040053758</v>
      </c>
      <c r="E15" s="87">
        <v>28.428019277761756</v>
      </c>
      <c r="F15" s="87">
        <v>24.446684124163639</v>
      </c>
      <c r="G15" s="87">
        <v>24.393927453972523</v>
      </c>
      <c r="H15" s="87">
        <v>26.266433875617096</v>
      </c>
      <c r="I15" s="87">
        <v>25.355604605415252</v>
      </c>
      <c r="J15" s="87">
        <v>25.292856372837203</v>
      </c>
      <c r="K15" s="87">
        <v>24.377447656983389</v>
      </c>
      <c r="L15" s="87">
        <v>23.498424136288858</v>
      </c>
      <c r="M15" s="87">
        <v>17.33024876209441</v>
      </c>
      <c r="N15" s="87">
        <v>17.405361896797814</v>
      </c>
      <c r="O15" s="87">
        <v>11.048170503944402</v>
      </c>
      <c r="P15" s="87">
        <v>11.16088854487629</v>
      </c>
      <c r="Q15" s="87">
        <v>11.346139865663927</v>
      </c>
      <c r="R15" s="87">
        <v>21.034395945336797</v>
      </c>
      <c r="S15" s="87">
        <v>26.012553985992394</v>
      </c>
      <c r="T15" s="87">
        <v>25.899550729249132</v>
      </c>
      <c r="U15" s="87">
        <v>25.969110904430284</v>
      </c>
      <c r="V15" s="87">
        <v>23.322157968655358</v>
      </c>
      <c r="W15" s="87">
        <v>25.956082679867713</v>
      </c>
      <c r="X15" s="87">
        <v>25.01682162861804</v>
      </c>
      <c r="Y15" s="87">
        <v>26.51154092564212</v>
      </c>
      <c r="DA15" s="171" t="s">
        <v>1109</v>
      </c>
    </row>
    <row r="16" spans="1:105" ht="11.45" customHeight="1" x14ac:dyDescent="0.25">
      <c r="A16" s="112" t="s">
        <v>25</v>
      </c>
      <c r="B16" s="117">
        <v>0</v>
      </c>
      <c r="C16" s="117">
        <v>0</v>
      </c>
      <c r="D16" s="117">
        <v>0</v>
      </c>
      <c r="E16" s="117">
        <v>0</v>
      </c>
      <c r="F16" s="117">
        <v>5.4499544002748408</v>
      </c>
      <c r="G16" s="117">
        <v>6.0446590093361632</v>
      </c>
      <c r="H16" s="117">
        <v>6.3209040194241135</v>
      </c>
      <c r="I16" s="117">
        <v>6.5495501902430053</v>
      </c>
      <c r="J16" s="117">
        <v>6.5805443982972305</v>
      </c>
      <c r="K16" s="117">
        <v>6.5170447556054905</v>
      </c>
      <c r="L16" s="117">
        <v>6.5035500172757486</v>
      </c>
      <c r="M16" s="117">
        <v>6.4233775245525031</v>
      </c>
      <c r="N16" s="117">
        <v>6.3195350308481322</v>
      </c>
      <c r="O16" s="117">
        <v>6.2274404228100453</v>
      </c>
      <c r="P16" s="117">
        <v>6.1553761673196679</v>
      </c>
      <c r="Q16" s="117">
        <v>6.0577670932078922</v>
      </c>
      <c r="R16" s="117">
        <v>6.2025288154620526</v>
      </c>
      <c r="S16" s="117">
        <v>6.1630904825932884</v>
      </c>
      <c r="T16" s="117">
        <v>5.9492269702912717</v>
      </c>
      <c r="U16" s="117">
        <v>6.0236380509807708</v>
      </c>
      <c r="V16" s="117">
        <v>3.4890172515385678</v>
      </c>
      <c r="W16" s="117">
        <v>4.2588115873869645</v>
      </c>
      <c r="X16" s="117">
        <v>5.3704213099742031</v>
      </c>
      <c r="Y16" s="117">
        <v>5.1953073469497095</v>
      </c>
      <c r="DA16" s="204" t="s">
        <v>398</v>
      </c>
    </row>
    <row r="17" spans="1:105" ht="11.45" customHeight="1" x14ac:dyDescent="0.25">
      <c r="A17" s="27" t="s">
        <v>34</v>
      </c>
      <c r="B17" s="29">
        <f t="shared" ref="B17:W17" si="13">SUM(B18:B19)</f>
        <v>14.940272517898105</v>
      </c>
      <c r="C17" s="29">
        <f t="shared" si="13"/>
        <v>13.169429502226906</v>
      </c>
      <c r="D17" s="29">
        <f t="shared" si="13"/>
        <v>12.520868443983334</v>
      </c>
      <c r="E17" s="29">
        <f t="shared" si="13"/>
        <v>10.974965114520675</v>
      </c>
      <c r="F17" s="29">
        <f t="shared" si="13"/>
        <v>11.666316125819993</v>
      </c>
      <c r="G17" s="29">
        <f t="shared" si="13"/>
        <v>11.851265699080614</v>
      </c>
      <c r="H17" s="29">
        <f t="shared" si="13"/>
        <v>11.564164834982105</v>
      </c>
      <c r="I17" s="29">
        <f t="shared" si="13"/>
        <v>11.918300461746922</v>
      </c>
      <c r="J17" s="29">
        <f t="shared" si="13"/>
        <v>11.187021678711581</v>
      </c>
      <c r="K17" s="29">
        <f t="shared" si="13"/>
        <v>9.1370587375884824</v>
      </c>
      <c r="L17" s="29">
        <f t="shared" si="13"/>
        <v>9.1249723045930811</v>
      </c>
      <c r="M17" s="29">
        <f t="shared" si="13"/>
        <v>8.113925457392309</v>
      </c>
      <c r="N17" s="29">
        <f t="shared" si="13"/>
        <v>7.7934567989407677</v>
      </c>
      <c r="O17" s="29">
        <f t="shared" si="13"/>
        <v>6.5035577586821827</v>
      </c>
      <c r="P17" s="29">
        <f t="shared" si="13"/>
        <v>6.7875102150371438</v>
      </c>
      <c r="Q17" s="29">
        <f t="shared" si="13"/>
        <v>7.2183682646237752</v>
      </c>
      <c r="R17" s="29">
        <f t="shared" si="13"/>
        <v>7.0236832008141841</v>
      </c>
      <c r="S17" s="29">
        <f t="shared" si="13"/>
        <v>7.7815511030206022</v>
      </c>
      <c r="T17" s="29">
        <f t="shared" si="13"/>
        <v>7.4913428635622061</v>
      </c>
      <c r="U17" s="29">
        <f t="shared" si="13"/>
        <v>7.157603986413279</v>
      </c>
      <c r="V17" s="29">
        <f t="shared" si="13"/>
        <v>7.8646933139320803</v>
      </c>
      <c r="W17" s="29">
        <f t="shared" si="13"/>
        <v>8.8591135035051902</v>
      </c>
      <c r="X17" s="29">
        <f t="shared" ref="X17:Y17" si="14">SUM(X18:X19)</f>
        <v>7.0528840554545287</v>
      </c>
      <c r="Y17" s="29">
        <f t="shared" si="14"/>
        <v>8.296072935362913</v>
      </c>
      <c r="DA17" s="173" t="s">
        <v>402</v>
      </c>
    </row>
    <row r="18" spans="1:105" ht="11.45" customHeight="1" x14ac:dyDescent="0.25">
      <c r="A18" s="83" t="s">
        <v>95</v>
      </c>
      <c r="B18" s="87">
        <v>10.993768508847062</v>
      </c>
      <c r="C18" s="87">
        <v>8.2432261471576798</v>
      </c>
      <c r="D18" s="87">
        <v>7.1155768983766876</v>
      </c>
      <c r="E18" s="87">
        <v>5.7817805537531974</v>
      </c>
      <c r="F18" s="87">
        <v>5.6681500607432875</v>
      </c>
      <c r="G18" s="87">
        <v>5.8018963925645375</v>
      </c>
      <c r="H18" s="87">
        <v>5.3650809522481779</v>
      </c>
      <c r="I18" s="87">
        <v>6.018339180943598</v>
      </c>
      <c r="J18" s="87">
        <v>5.0822829345729872</v>
      </c>
      <c r="K18" s="87">
        <v>3.5554842254062153</v>
      </c>
      <c r="L18" s="87">
        <v>3.4949844934615086</v>
      </c>
      <c r="M18" s="87">
        <v>3.3757935547481912</v>
      </c>
      <c r="N18" s="87">
        <v>2.8650913243071532</v>
      </c>
      <c r="O18" s="87">
        <v>2.9488922979474483</v>
      </c>
      <c r="P18" s="87">
        <v>3.0347917403859523</v>
      </c>
      <c r="Q18" s="87">
        <v>3.2861243669804958</v>
      </c>
      <c r="R18" s="87">
        <v>2.3758894065120835</v>
      </c>
      <c r="S18" s="87">
        <v>3.6824307967189944</v>
      </c>
      <c r="T18" s="87">
        <v>3.0889856801617923</v>
      </c>
      <c r="U18" s="87">
        <v>3.5125967710747394</v>
      </c>
      <c r="V18" s="87">
        <v>3.9144438868539528</v>
      </c>
      <c r="W18" s="87">
        <v>4.8915029921109578</v>
      </c>
      <c r="X18" s="87">
        <v>3.595171013592446</v>
      </c>
      <c r="Y18" s="87">
        <v>3.5170989435258213</v>
      </c>
      <c r="DA18" s="171" t="s">
        <v>1110</v>
      </c>
    </row>
    <row r="19" spans="1:105" ht="11.45" customHeight="1" x14ac:dyDescent="0.25">
      <c r="A19" s="85" t="s">
        <v>93</v>
      </c>
      <c r="B19" s="88">
        <v>3.9465040090510444</v>
      </c>
      <c r="C19" s="88">
        <v>4.9262033550692266</v>
      </c>
      <c r="D19" s="88">
        <v>5.4052915456066462</v>
      </c>
      <c r="E19" s="88">
        <v>5.1931845607674774</v>
      </c>
      <c r="F19" s="88">
        <v>5.9981660650767044</v>
      </c>
      <c r="G19" s="88">
        <v>6.0493693065160752</v>
      </c>
      <c r="H19" s="88">
        <v>6.1990838827339259</v>
      </c>
      <c r="I19" s="88">
        <v>5.8999612808033239</v>
      </c>
      <c r="J19" s="88">
        <v>6.1047387441385927</v>
      </c>
      <c r="K19" s="88">
        <v>5.5815745121822671</v>
      </c>
      <c r="L19" s="88">
        <v>5.6299878111315724</v>
      </c>
      <c r="M19" s="88">
        <v>4.7381319026441187</v>
      </c>
      <c r="N19" s="88">
        <v>4.9283654746336145</v>
      </c>
      <c r="O19" s="88">
        <v>3.5546654607347343</v>
      </c>
      <c r="P19" s="88">
        <v>3.7527184746511915</v>
      </c>
      <c r="Q19" s="88">
        <v>3.9322438976432794</v>
      </c>
      <c r="R19" s="88">
        <v>4.6477937943021006</v>
      </c>
      <c r="S19" s="88">
        <v>4.0991203063016073</v>
      </c>
      <c r="T19" s="88">
        <v>4.4023571834004143</v>
      </c>
      <c r="U19" s="88">
        <v>3.6450072153385396</v>
      </c>
      <c r="V19" s="88">
        <v>3.9502494270781274</v>
      </c>
      <c r="W19" s="88">
        <v>3.9676105113942324</v>
      </c>
      <c r="X19" s="88">
        <v>3.4577130418620827</v>
      </c>
      <c r="Y19" s="88">
        <v>4.7789739918370922</v>
      </c>
      <c r="DA19" s="178" t="s">
        <v>1111</v>
      </c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DA20" s="171"/>
    </row>
    <row r="21" spans="1:105" ht="11.45" customHeight="1" x14ac:dyDescent="0.25">
      <c r="A21" s="68" t="s">
        <v>36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DA21" s="179"/>
    </row>
    <row r="22" spans="1:105" x14ac:dyDescent="0.25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DA22" s="171"/>
    </row>
    <row r="23" spans="1:105" ht="11.45" customHeight="1" x14ac:dyDescent="0.25">
      <c r="A23" s="53" t="s">
        <v>62</v>
      </c>
      <c r="B23" s="62">
        <f>IF(B10=0,0,B10/TrRail_act!B14*100)</f>
        <v>205.2088187967382</v>
      </c>
      <c r="C23" s="62">
        <f>IF(C10=0,0,C10/TrRail_act!C14*100)</f>
        <v>182.68406936014557</v>
      </c>
      <c r="D23" s="62">
        <f>IF(D10=0,0,D10/TrRail_act!D14*100)</f>
        <v>171.46595004031798</v>
      </c>
      <c r="E23" s="62">
        <f>IF(E10=0,0,E10/TrRail_act!E14*100)</f>
        <v>155.03307579437785</v>
      </c>
      <c r="F23" s="62">
        <f>IF(F10=0,0,F10/TrRail_act!F14*100)</f>
        <v>152.6977992436569</v>
      </c>
      <c r="G23" s="62">
        <f>IF(G10=0,0,G10/TrRail_act!G14*100)</f>
        <v>148.76130658380328</v>
      </c>
      <c r="H23" s="62">
        <f>IF(H10=0,0,H10/TrRail_act!H14*100)</f>
        <v>140.16182435790711</v>
      </c>
      <c r="I23" s="62">
        <f>IF(I10=0,0,I10/TrRail_act!I14*100)</f>
        <v>138.60090119212092</v>
      </c>
      <c r="J23" s="62">
        <f>IF(J10=0,0,J10/TrRail_act!J14*100)</f>
        <v>130.70531237973256</v>
      </c>
      <c r="K23" s="62">
        <f>IF(K10=0,0,K10/TrRail_act!K14*100)</f>
        <v>123.81533461125991</v>
      </c>
      <c r="L23" s="62">
        <f>IF(L10=0,0,L10/TrRail_act!L14*100)</f>
        <v>118.1491080218772</v>
      </c>
      <c r="M23" s="62">
        <f>IF(M10=0,0,M10/TrRail_act!M14*100)</f>
        <v>107.95156072913304</v>
      </c>
      <c r="N23" s="62">
        <f>IF(N10=0,0,N10/TrRail_act!N14*100)</f>
        <v>103.83908727163774</v>
      </c>
      <c r="O23" s="62">
        <f>IF(O10=0,0,O10/TrRail_act!O14*100)</f>
        <v>93.334035294583245</v>
      </c>
      <c r="P23" s="62">
        <f>IF(P10=0,0,P10/TrRail_act!P14*100)</f>
        <v>91.830880343660908</v>
      </c>
      <c r="Q23" s="62">
        <f>IF(Q10=0,0,Q10/TrRail_act!Q14*100)</f>
        <v>88.697864207906775</v>
      </c>
      <c r="R23" s="62">
        <f>IF(R10=0,0,R10/TrRail_act!R14*100)</f>
        <v>80.943412986392033</v>
      </c>
      <c r="S23" s="62">
        <f>IF(S10=0,0,S10/TrRail_act!S14*100)</f>
        <v>78.684414432516164</v>
      </c>
      <c r="T23" s="62">
        <f>IF(T10=0,0,T10/TrRail_act!T14*100)</f>
        <v>76.761453036941433</v>
      </c>
      <c r="U23" s="62">
        <f>IF(U10=0,0,U10/TrRail_act!U14*100)</f>
        <v>75.363365468763561</v>
      </c>
      <c r="V23" s="62">
        <f>IF(V10=0,0,V10/TrRail_act!V14*100)</f>
        <v>73.36213707616885</v>
      </c>
      <c r="W23" s="62">
        <f>IF(W10=0,0,W10/TrRail_act!W14*100)</f>
        <v>74.134722967430037</v>
      </c>
      <c r="X23" s="62">
        <f>IF(X10=0,0,X10/TrRail_act!X14*100)</f>
        <v>72.203077612868739</v>
      </c>
      <c r="Y23" s="62">
        <f>IF(Y10=0,0,Y10/TrRail_act!Y14*100)</f>
        <v>72.571695314948343</v>
      </c>
      <c r="DA23" s="172" t="s">
        <v>1112</v>
      </c>
    </row>
    <row r="24" spans="1:105" ht="11.45" customHeight="1" x14ac:dyDescent="0.25">
      <c r="A24" s="27" t="s">
        <v>33</v>
      </c>
      <c r="B24" s="29">
        <f>IF(B11=0,0,B11/TrRail_act!B15*100)</f>
        <v>188.09706076380496</v>
      </c>
      <c r="C24" s="29">
        <f>IF(C11=0,0,C11/TrRail_act!C15*100)</f>
        <v>166.61887397600628</v>
      </c>
      <c r="D24" s="29">
        <f>IF(D11=0,0,D11/TrRail_act!D15*100)</f>
        <v>156.77776474094284</v>
      </c>
      <c r="E24" s="29">
        <f>IF(E11=0,0,E11/TrRail_act!E15*100)</f>
        <v>142.38336573387357</v>
      </c>
      <c r="F24" s="29">
        <f>IF(F11=0,0,F11/TrRail_act!F15*100)</f>
        <v>139.77743167665417</v>
      </c>
      <c r="G24" s="29">
        <f>IF(G11=0,0,G11/TrRail_act!G15*100)</f>
        <v>135.53714379673988</v>
      </c>
      <c r="H24" s="29">
        <f>IF(H11=0,0,H11/TrRail_act!H15*100)</f>
        <v>128.06122615933126</v>
      </c>
      <c r="I24" s="29">
        <f>IF(I11=0,0,I11/TrRail_act!I15*100)</f>
        <v>125.74533174549268</v>
      </c>
      <c r="J24" s="29">
        <f>IF(J11=0,0,J11/TrRail_act!J15*100)</f>
        <v>119.57152012938408</v>
      </c>
      <c r="K24" s="29">
        <f>IF(K11=0,0,K11/TrRail_act!K15*100)</f>
        <v>114.59044614922465</v>
      </c>
      <c r="L24" s="29">
        <f>IF(L11=0,0,L11/TrRail_act!L15*100)</f>
        <v>108.82098416982089</v>
      </c>
      <c r="M24" s="29">
        <f>IF(M11=0,0,M11/TrRail_act!M15*100)</f>
        <v>98.407092351667629</v>
      </c>
      <c r="N24" s="29">
        <f>IF(N11=0,0,N11/TrRail_act!N15*100)</f>
        <v>94.755337336911154</v>
      </c>
      <c r="O24" s="29">
        <f>IF(O11=0,0,O11/TrRail_act!O15*100)</f>
        <v>84.184432455766597</v>
      </c>
      <c r="P24" s="29">
        <f>IF(P11=0,0,P11/TrRail_act!P15*100)</f>
        <v>82.815913482062527</v>
      </c>
      <c r="Q24" s="29">
        <f>IF(Q11=0,0,Q11/TrRail_act!Q15*100)</f>
        <v>79.471069636578989</v>
      </c>
      <c r="R24" s="29">
        <f>IF(R11=0,0,R11/TrRail_act!R15*100)</f>
        <v>74.970790224478435</v>
      </c>
      <c r="S24" s="29">
        <f>IF(S11=0,0,S11/TrRail_act!S15*100)</f>
        <v>71.956292478934273</v>
      </c>
      <c r="T24" s="29">
        <f>IF(T11=0,0,T11/TrRail_act!T15*100)</f>
        <v>70.722879195246577</v>
      </c>
      <c r="U24" s="29">
        <f>IF(U11=0,0,U11/TrRail_act!U15*100)</f>
        <v>69.223255481444113</v>
      </c>
      <c r="V24" s="29">
        <f>IF(V11=0,0,V11/TrRail_act!V15*100)</f>
        <v>65.522928192401835</v>
      </c>
      <c r="W24" s="29">
        <f>IF(W11=0,0,W11/TrRail_act!W15*100)</f>
        <v>65.432447665148544</v>
      </c>
      <c r="X24" s="29">
        <f>IF(X11=0,0,X11/TrRail_act!X15*100)</f>
        <v>65.547181468943208</v>
      </c>
      <c r="Y24" s="29">
        <f>IF(Y11=0,0,Y11/TrRail_act!Y15*100)</f>
        <v>65.837240439858533</v>
      </c>
      <c r="DA24" s="173" t="s">
        <v>1113</v>
      </c>
    </row>
    <row r="25" spans="1:105" ht="11.45" customHeight="1" x14ac:dyDescent="0.25">
      <c r="A25" s="107" t="s">
        <v>23</v>
      </c>
      <c r="B25" s="115">
        <f>IF(B12=0,0,B12/TrRail_act!B16*100)</f>
        <v>39.048622838052708</v>
      </c>
      <c r="C25" s="115">
        <f>IF(C12=0,0,C12/TrRail_act!C16*100)</f>
        <v>38.599363965394261</v>
      </c>
      <c r="D25" s="115">
        <f>IF(D12=0,0,D12/TrRail_act!D16*100)</f>
        <v>38.375436883647062</v>
      </c>
      <c r="E25" s="115">
        <f>IF(E12=0,0,E12/TrRail_act!E16*100)</f>
        <v>38.029998996884615</v>
      </c>
      <c r="F25" s="115">
        <f>IF(F12=0,0,F12/TrRail_act!F16*100)</f>
        <v>37.730753886893737</v>
      </c>
      <c r="G25" s="115">
        <f>IF(G12=0,0,G12/TrRail_act!G16*100)</f>
        <v>37.125552398162498</v>
      </c>
      <c r="H25" s="115">
        <f>IF(H12=0,0,H12/TrRail_act!H16*100)</f>
        <v>36.805528968482662</v>
      </c>
      <c r="I25" s="115">
        <f>IF(I12=0,0,I12/TrRail_act!I16*100)</f>
        <v>36.364620237812595</v>
      </c>
      <c r="J25" s="115">
        <f>IF(J12=0,0,J12/TrRail_act!J16*100)</f>
        <v>35.934612218036072</v>
      </c>
      <c r="K25" s="115">
        <f>IF(K12=0,0,K12/TrRail_act!K16*100)</f>
        <v>35.568806132181358</v>
      </c>
      <c r="L25" s="115">
        <f>IF(L12=0,0,L12/TrRail_act!L16*100)</f>
        <v>35.292411643435855</v>
      </c>
      <c r="M25" s="115">
        <f>IF(M12=0,0,M12/TrRail_act!M16*100)</f>
        <v>35.087592646313006</v>
      </c>
      <c r="N25" s="115">
        <f>IF(N12=0,0,N12/TrRail_act!N16*100)</f>
        <v>34.72247717241568</v>
      </c>
      <c r="O25" s="115">
        <f>IF(O12=0,0,O12/TrRail_act!O16*100)</f>
        <v>34.434724682651677</v>
      </c>
      <c r="P25" s="115">
        <f>IF(P12=0,0,P12/TrRail_act!P16*100)</f>
        <v>34.251133456744149</v>
      </c>
      <c r="Q25" s="115">
        <f>IF(Q12=0,0,Q12/TrRail_act!Q16*100)</f>
        <v>34.111539656634115</v>
      </c>
      <c r="R25" s="115">
        <f>IF(R12=0,0,R12/TrRail_act!R16*100)</f>
        <v>34.007217792521686</v>
      </c>
      <c r="S25" s="115">
        <f>IF(S12=0,0,S12/TrRail_act!S16*100)</f>
        <v>33.929185819881887</v>
      </c>
      <c r="T25" s="115">
        <f>IF(T12=0,0,T12/TrRail_act!T16*100)</f>
        <v>33.870779364379288</v>
      </c>
      <c r="U25" s="115">
        <f>IF(U12=0,0,U12/TrRail_act!U16*100)</f>
        <v>33.827040513023029</v>
      </c>
      <c r="V25" s="115">
        <f>IF(V12=0,0,V12/TrRail_act!V16*100)</f>
        <v>33.794273462008427</v>
      </c>
      <c r="W25" s="115">
        <f>IF(W12=0,0,W12/TrRail_act!W16*100)</f>
        <v>33.769718975293294</v>
      </c>
      <c r="X25" s="115">
        <f>IF(X12=0,0,X12/TrRail_act!X16*100)</f>
        <v>33.751314819776383</v>
      </c>
      <c r="Y25" s="115">
        <f>IF(Y12=0,0,Y12/TrRail_act!Y16*100)</f>
        <v>33.737518305433987</v>
      </c>
      <c r="DA25" s="203" t="s">
        <v>1114</v>
      </c>
    </row>
    <row r="26" spans="1:105" ht="11.45" customHeight="1" x14ac:dyDescent="0.25">
      <c r="A26" s="109" t="s">
        <v>24</v>
      </c>
      <c r="B26" s="116">
        <f>IF(B13=0,0,B13/TrRail_act!B17*100)</f>
        <v>219.50929897671668</v>
      </c>
      <c r="C26" s="116">
        <f>IF(C13=0,0,C13/TrRail_act!C17*100)</f>
        <v>197.04235030231118</v>
      </c>
      <c r="D26" s="116">
        <f>IF(D13=0,0,D13/TrRail_act!D17*100)</f>
        <v>184.30392677867593</v>
      </c>
      <c r="E26" s="116">
        <f>IF(E13=0,0,E13/TrRail_act!E17*100)</f>
        <v>176.49644205111045</v>
      </c>
      <c r="F26" s="116">
        <f>IF(F13=0,0,F13/TrRail_act!F17*100)</f>
        <v>172.24408234399641</v>
      </c>
      <c r="G26" s="116">
        <f>IF(G13=0,0,G13/TrRail_act!G17*100)</f>
        <v>167.83005860850571</v>
      </c>
      <c r="H26" s="116">
        <f>IF(H13=0,0,H13/TrRail_act!H17*100)</f>
        <v>162.07046446748049</v>
      </c>
      <c r="I26" s="116">
        <f>IF(I13=0,0,I13/TrRail_act!I17*100)</f>
        <v>160.98619566007034</v>
      </c>
      <c r="J26" s="116">
        <f>IF(J13=0,0,J13/TrRail_act!J17*100)</f>
        <v>151.44104053103084</v>
      </c>
      <c r="K26" s="116">
        <f>IF(K13=0,0,K13/TrRail_act!K17*100)</f>
        <v>145.21449040224644</v>
      </c>
      <c r="L26" s="116">
        <f>IF(L13=0,0,L13/TrRail_act!L17*100)</f>
        <v>138.33542696437087</v>
      </c>
      <c r="M26" s="116">
        <f>IF(M13=0,0,M13/TrRail_act!M17*100)</f>
        <v>124.3669694951657</v>
      </c>
      <c r="N26" s="116">
        <f>IF(N13=0,0,N13/TrRail_act!N17*100)</f>
        <v>115.44314893158725</v>
      </c>
      <c r="O26" s="116">
        <f>IF(O13=0,0,O13/TrRail_act!O17*100)</f>
        <v>97.879319241576042</v>
      </c>
      <c r="P26" s="116">
        <f>IF(P13=0,0,P13/TrRail_act!P17*100)</f>
        <v>95.85353836278972</v>
      </c>
      <c r="Q26" s="116">
        <f>IF(Q13=0,0,Q13/TrRail_act!Q17*100)</f>
        <v>91.015895106101738</v>
      </c>
      <c r="R26" s="116">
        <f>IF(R13=0,0,R13/TrRail_act!R17*100)</f>
        <v>79.917062174207004</v>
      </c>
      <c r="S26" s="116">
        <f>IF(S13=0,0,S13/TrRail_act!S17*100)</f>
        <v>75.402659811229071</v>
      </c>
      <c r="T26" s="116">
        <f>IF(T13=0,0,T13/TrRail_act!T17*100)</f>
        <v>74.440596925756324</v>
      </c>
      <c r="U26" s="116">
        <f>IF(U13=0,0,U13/TrRail_act!U17*100)</f>
        <v>73.095947139426599</v>
      </c>
      <c r="V26" s="116">
        <f>IF(V13=0,0,V13/TrRail_act!V17*100)</f>
        <v>71.113850463787315</v>
      </c>
      <c r="W26" s="116">
        <f>IF(W13=0,0,W13/TrRail_act!W17*100)</f>
        <v>68.48058914115731</v>
      </c>
      <c r="X26" s="116">
        <f>IF(X13=0,0,X13/TrRail_act!X17*100)</f>
        <v>68.346269646138097</v>
      </c>
      <c r="Y26" s="116">
        <f>IF(Y13=0,0,Y13/TrRail_act!Y17*100)</f>
        <v>69.301430539788115</v>
      </c>
      <c r="DA26" s="176" t="s">
        <v>1115</v>
      </c>
    </row>
    <row r="27" spans="1:105" ht="11.45" customHeight="1" x14ac:dyDescent="0.25">
      <c r="A27" s="111" t="s">
        <v>92</v>
      </c>
      <c r="B27" s="87">
        <f>IF(B14=0,0,B14/TrRail_act!B18*100)</f>
        <v>296.59885223027908</v>
      </c>
      <c r="C27" s="87">
        <f>IF(C14=0,0,C14/TrRail_act!C18*100)</f>
        <v>260.26047297938112</v>
      </c>
      <c r="D27" s="87">
        <f>IF(D14=0,0,D14/TrRail_act!D18*100)</f>
        <v>255.24216232999996</v>
      </c>
      <c r="E27" s="87">
        <f>IF(E14=0,0,E14/TrRail_act!E18*100)</f>
        <v>248.6725023519798</v>
      </c>
      <c r="F27" s="87">
        <f>IF(F14=0,0,F14/TrRail_act!F18*100)</f>
        <v>242.13683425267871</v>
      </c>
      <c r="G27" s="87">
        <f>IF(G14=0,0,G14/TrRail_act!G18*100)</f>
        <v>238.40562224828926</v>
      </c>
      <c r="H27" s="87">
        <f>IF(H14=0,0,H14/TrRail_act!H18*100)</f>
        <v>233.882840474396</v>
      </c>
      <c r="I27" s="87">
        <f>IF(I14=0,0,I14/TrRail_act!I18*100)</f>
        <v>227.2936051201047</v>
      </c>
      <c r="J27" s="87">
        <f>IF(J14=0,0,J14/TrRail_act!J18*100)</f>
        <v>219.71829551857076</v>
      </c>
      <c r="K27" s="87">
        <f>IF(K14=0,0,K14/TrRail_act!K18*100)</f>
        <v>211.77296918203754</v>
      </c>
      <c r="L27" s="87">
        <f>IF(L14=0,0,L14/TrRail_act!L18*100)</f>
        <v>204.94564767337002</v>
      </c>
      <c r="M27" s="87">
        <f>IF(M14=0,0,M14/TrRail_act!M18*100)</f>
        <v>196.45790642709787</v>
      </c>
      <c r="N27" s="87">
        <f>IF(N14=0,0,N14/TrRail_act!N18*100)</f>
        <v>191.78680693466882</v>
      </c>
      <c r="O27" s="87">
        <f>IF(O14=0,0,O14/TrRail_act!O18*100)</f>
        <v>183.65883391517269</v>
      </c>
      <c r="P27" s="87">
        <f>IF(P14=0,0,P14/TrRail_act!P18*100)</f>
        <v>175.93964455193563</v>
      </c>
      <c r="Q27" s="87">
        <f>IF(Q14=0,0,Q14/TrRail_act!Q18*100)</f>
        <v>170.89001513715419</v>
      </c>
      <c r="R27" s="87">
        <f>IF(R14=0,0,R14/TrRail_act!R18*100)</f>
        <v>167.19813227901818</v>
      </c>
      <c r="S27" s="87">
        <f>IF(S14=0,0,S14/TrRail_act!S18*100)</f>
        <v>164.48165678571755</v>
      </c>
      <c r="T27" s="87">
        <f>IF(T14=0,0,T14/TrRail_act!T18*100)</f>
        <v>162.47330297612598</v>
      </c>
      <c r="U27" s="87">
        <f>IF(U14=0,0,U14/TrRail_act!U18*100)</f>
        <v>160.98314688165166</v>
      </c>
      <c r="V27" s="87">
        <f>IF(V14=0,0,V14/TrRail_act!V18*100)</f>
        <v>159.87450582634443</v>
      </c>
      <c r="W27" s="87">
        <f>IF(W14=0,0,W14/TrRail_act!W18*100)</f>
        <v>159.04803829825343</v>
      </c>
      <c r="X27" s="87">
        <f>IF(X14=0,0,X14/TrRail_act!X18*100)</f>
        <v>158.43099262749661</v>
      </c>
      <c r="Y27" s="87">
        <f>IF(Y14=0,0,Y14/TrRail_act!Y18*100)</f>
        <v>157.96977988090339</v>
      </c>
      <c r="DA27" s="171" t="s">
        <v>1116</v>
      </c>
    </row>
    <row r="28" spans="1:105" ht="11.45" customHeight="1" x14ac:dyDescent="0.25">
      <c r="A28" s="111" t="s">
        <v>93</v>
      </c>
      <c r="B28" s="87">
        <f>IF(B15=0,0,B15/TrRail_act!B19*100)</f>
        <v>146.18566610071909</v>
      </c>
      <c r="C28" s="87">
        <f>IF(C15=0,0,C15/TrRail_act!C19*100)</f>
        <v>143.85214962765619</v>
      </c>
      <c r="D28" s="87">
        <f>IF(D15=0,0,D15/TrRail_act!D19*100)</f>
        <v>142.06561440856447</v>
      </c>
      <c r="E28" s="87">
        <f>IF(E15=0,0,E15/TrRail_act!E19*100)</f>
        <v>140.30376873428551</v>
      </c>
      <c r="F28" s="87">
        <f>IF(F15=0,0,F15/TrRail_act!F19*100)</f>
        <v>136.37649745639678</v>
      </c>
      <c r="G28" s="87">
        <f>IF(G15=0,0,G15/TrRail_act!G19*100)</f>
        <v>134.95805254177441</v>
      </c>
      <c r="H28" s="87">
        <f>IF(H15=0,0,H15/TrRail_act!H19*100)</f>
        <v>132.25701910421679</v>
      </c>
      <c r="I28" s="87">
        <f>IF(I15=0,0,I15/TrRail_act!I19*100)</f>
        <v>132.5696384282447</v>
      </c>
      <c r="J28" s="87">
        <f>IF(J15=0,0,J15/TrRail_act!J19*100)</f>
        <v>123.34564611775394</v>
      </c>
      <c r="K28" s="87">
        <f>IF(K15=0,0,K15/TrRail_act!K19*100)</f>
        <v>121.77278351520762</v>
      </c>
      <c r="L28" s="87">
        <f>IF(L15=0,0,L15/TrRail_act!L19*100)</f>
        <v>117.33841507755629</v>
      </c>
      <c r="M28" s="87">
        <f>IF(M15=0,0,M15/TrRail_act!M19*100)</f>
        <v>100.86753338932446</v>
      </c>
      <c r="N28" s="87">
        <f>IF(N15=0,0,N15/TrRail_act!N19*100)</f>
        <v>96.779300177405446</v>
      </c>
      <c r="O28" s="87">
        <f>IF(O15=0,0,O15/TrRail_act!O19*100)</f>
        <v>74.744857456774909</v>
      </c>
      <c r="P28" s="87">
        <f>IF(P15=0,0,P15/TrRail_act!P19*100)</f>
        <v>74.012591082367365</v>
      </c>
      <c r="Q28" s="87">
        <f>IF(Q15=0,0,Q15/TrRail_act!Q19*100)</f>
        <v>70.680295887852793</v>
      </c>
      <c r="R28" s="87">
        <f>IF(R15=0,0,R15/TrRail_act!R19*100)</f>
        <v>68.279907122785389</v>
      </c>
      <c r="S28" s="87">
        <f>IF(S15=0,0,S15/TrRail_act!S19*100)</f>
        <v>66.533266163343626</v>
      </c>
      <c r="T28" s="87">
        <f>IF(T15=0,0,T15/TrRail_act!T19*100)</f>
        <v>65.252669784669081</v>
      </c>
      <c r="U28" s="87">
        <f>IF(U15=0,0,U15/TrRail_act!U19*100)</f>
        <v>64.308424002034073</v>
      </c>
      <c r="V28" s="87">
        <f>IF(V15=0,0,V15/TrRail_act!V19*100)</f>
        <v>63.609217435217538</v>
      </c>
      <c r="W28" s="87">
        <f>IF(W15=0,0,W15/TrRail_act!W19*100)</f>
        <v>63.089805978238878</v>
      </c>
      <c r="X28" s="87">
        <f>IF(X15=0,0,X15/TrRail_act!X19*100)</f>
        <v>62.703032664402301</v>
      </c>
      <c r="Y28" s="87">
        <f>IF(Y15=0,0,Y15/TrRail_act!Y19*100)</f>
        <v>62.414509560545497</v>
      </c>
      <c r="DA28" s="171" t="s">
        <v>1117</v>
      </c>
    </row>
    <row r="29" spans="1:105" ht="11.45" customHeight="1" x14ac:dyDescent="0.25">
      <c r="A29" s="112" t="s">
        <v>25</v>
      </c>
      <c r="B29" s="117">
        <f>IF(B16=0,0,B16/TrRail_act!B20*100)</f>
        <v>0</v>
      </c>
      <c r="C29" s="117">
        <f>IF(C16=0,0,C16/TrRail_act!C20*100)</f>
        <v>0</v>
      </c>
      <c r="D29" s="117">
        <f>IF(D16=0,0,D16/TrRail_act!D20*100)</f>
        <v>0</v>
      </c>
      <c r="E29" s="117">
        <f>IF(E16=0,0,E16/TrRail_act!E20*100)</f>
        <v>0</v>
      </c>
      <c r="F29" s="117">
        <f>IF(F16=0,0,F16/TrRail_act!F20*100)</f>
        <v>221.91843306530649</v>
      </c>
      <c r="G29" s="117">
        <f>IF(G16=0,0,G16/TrRail_act!G20*100)</f>
        <v>219.00938439623783</v>
      </c>
      <c r="H29" s="117">
        <f>IF(H16=0,0,H16/TrRail_act!H20*100)</f>
        <v>216.09928271535432</v>
      </c>
      <c r="I29" s="117">
        <f>IF(I16=0,0,I16/TrRail_act!I20*100)</f>
        <v>213.82795266872364</v>
      </c>
      <c r="J29" s="117">
        <f>IF(J16=0,0,J16/TrRail_act!J20*100)</f>
        <v>210.71227660253697</v>
      </c>
      <c r="K29" s="117">
        <f>IF(K16=0,0,K16/TrRail_act!K20*100)</f>
        <v>208.74582817442314</v>
      </c>
      <c r="L29" s="117">
        <f>IF(L16=0,0,L16/TrRail_act!L20*100)</f>
        <v>206.85591658001746</v>
      </c>
      <c r="M29" s="117">
        <f>IF(M16=0,0,M16/TrRail_act!M20*100)</f>
        <v>205.02322133905216</v>
      </c>
      <c r="N29" s="117">
        <f>IF(N16=0,0,N16/TrRail_act!N20*100)</f>
        <v>202.48430089228236</v>
      </c>
      <c r="O29" s="117">
        <f>IF(O16=0,0,O16/TrRail_act!O20*100)</f>
        <v>200.23924189099827</v>
      </c>
      <c r="P29" s="117">
        <f>IF(P16=0,0,P16/TrRail_act!P20*100)</f>
        <v>198.68870778953092</v>
      </c>
      <c r="Q29" s="117">
        <f>IF(Q16=0,0,Q16/TrRail_act!Q20*100)</f>
        <v>196.23476168473897</v>
      </c>
      <c r="R29" s="117">
        <f>IF(R16=0,0,R16/TrRail_act!R20*100)</f>
        <v>194.80304068662224</v>
      </c>
      <c r="S29" s="117">
        <f>IF(S16=0,0,S16/TrRail_act!S20*100)</f>
        <v>193.92984526725263</v>
      </c>
      <c r="T29" s="117">
        <f>IF(T16=0,0,T16/TrRail_act!T20*100)</f>
        <v>193.47079578182996</v>
      </c>
      <c r="U29" s="117">
        <f>IF(U16=0,0,U16/TrRail_act!U20*100)</f>
        <v>193.12722189742772</v>
      </c>
      <c r="V29" s="117">
        <f>IF(V16=0,0,V16/TrRail_act!V20*100)</f>
        <v>192.869942041933</v>
      </c>
      <c r="W29" s="117">
        <f>IF(W16=0,0,W16/TrRail_act!W20*100)</f>
        <v>192.67720693070049</v>
      </c>
      <c r="X29" s="117">
        <f>IF(X16=0,0,X16/TrRail_act!X20*100)</f>
        <v>192.53278200562244</v>
      </c>
      <c r="Y29" s="117">
        <f>IF(Y16=0,0,Y16/TrRail_act!Y20*100)</f>
        <v>192.42453447226339</v>
      </c>
      <c r="DA29" s="204" t="s">
        <v>1118</v>
      </c>
    </row>
    <row r="30" spans="1:105" ht="11.45" customHeight="1" x14ac:dyDescent="0.25">
      <c r="A30" s="27" t="s">
        <v>34</v>
      </c>
      <c r="B30" s="29">
        <f>IF(B17=0,0,B17/TrRail_act!B21*100)</f>
        <v>373.38489059990201</v>
      </c>
      <c r="C30" s="29">
        <f>IF(C17=0,0,C17/TrRail_act!C21*100)</f>
        <v>330.46413366850851</v>
      </c>
      <c r="D30" s="29">
        <f>IF(D17=0,0,D17/TrRail_act!D21*100)</f>
        <v>307.16360781952108</v>
      </c>
      <c r="E30" s="29">
        <f>IF(E17=0,0,E17/TrRail_act!E21*100)</f>
        <v>289.92691675440557</v>
      </c>
      <c r="F30" s="29">
        <f>IF(F17=0,0,F17/TrRail_act!F21*100)</f>
        <v>275.16885550581759</v>
      </c>
      <c r="G30" s="29">
        <f>IF(G17=0,0,G17/TrRail_act!G21*100)</f>
        <v>270.25952791874954</v>
      </c>
      <c r="H30" s="29">
        <f>IF(H17=0,0,H17/TrRail_act!H21*100)</f>
        <v>261.41091478161343</v>
      </c>
      <c r="I30" s="29">
        <f>IF(I17=0,0,I17/TrRail_act!I21*100)</f>
        <v>264.76562992109922</v>
      </c>
      <c r="J30" s="29">
        <f>IF(J17=0,0,J17/TrRail_act!J21*100)</f>
        <v>243.29635824372775</v>
      </c>
      <c r="K30" s="29">
        <f>IF(K17=0,0,K17/TrRail_act!K21*100)</f>
        <v>224.41916688457471</v>
      </c>
      <c r="L30" s="29">
        <f>IF(L17=0,0,L17/TrRail_act!L21*100)</f>
        <v>215.72775723361647</v>
      </c>
      <c r="M30" s="29">
        <f>IF(M17=0,0,M17/TrRail_act!M21*100)</f>
        <v>206.3132135618479</v>
      </c>
      <c r="N30" s="29">
        <f>IF(N17=0,0,N17/TrRail_act!N21*100)</f>
        <v>189.63307729192138</v>
      </c>
      <c r="O30" s="29">
        <f>IF(O17=0,0,O17/TrRail_act!O21*100)</f>
        <v>180.36839159300487</v>
      </c>
      <c r="P30" s="29">
        <f>IF(P17=0,0,P17/TrRail_act!P21*100)</f>
        <v>170.89817538636012</v>
      </c>
      <c r="Q30" s="29">
        <f>IF(Q17=0,0,Q17/TrRail_act!Q21*100)</f>
        <v>165.47789328337865</v>
      </c>
      <c r="R30" s="29">
        <f>IF(R17=0,0,R17/TrRail_act!R21*100)</f>
        <v>144.28853215290121</v>
      </c>
      <c r="S30" s="29">
        <f>IF(S17=0,0,S17/TrRail_act!S21*100)</f>
        <v>164.26876098249897</v>
      </c>
      <c r="T30" s="29">
        <f>IF(T17=0,0,T17/TrRail_act!T21*100)</f>
        <v>152.40247224136624</v>
      </c>
      <c r="U30" s="29">
        <f>IF(U17=0,0,U17/TrRail_act!U21*100)</f>
        <v>164.96640165978494</v>
      </c>
      <c r="V30" s="29">
        <f>IF(V17=0,0,V17/TrRail_act!V21*100)</f>
        <v>165.45506025028101</v>
      </c>
      <c r="W30" s="29">
        <f>IF(W17=0,0,W17/TrRail_act!W21*100)</f>
        <v>175.83079988617857</v>
      </c>
      <c r="X30" s="29">
        <f>IF(X17=0,0,X17/TrRail_act!X21*100)</f>
        <v>166.66536968724398</v>
      </c>
      <c r="Y30" s="29">
        <f>IF(Y17=0,0,Y17/TrRail_act!Y21*100)</f>
        <v>151.20396691875274</v>
      </c>
      <c r="DA30" s="173" t="s">
        <v>1119</v>
      </c>
    </row>
    <row r="31" spans="1:105" ht="11.45" customHeight="1" x14ac:dyDescent="0.25">
      <c r="A31" s="83" t="s">
        <v>92</v>
      </c>
      <c r="B31" s="87">
        <f>IF(B18=0,0,B18/TrRail_act!B22*100)</f>
        <v>535.34344964445859</v>
      </c>
      <c r="C31" s="87">
        <f>IF(C18=0,0,C18/TrRail_act!C22*100)</f>
        <v>526.22532182680845</v>
      </c>
      <c r="D31" s="87">
        <f>IF(D18=0,0,D18/TrRail_act!D22*100)</f>
        <v>520.80059942332184</v>
      </c>
      <c r="E31" s="87">
        <f>IF(E18=0,0,E18/TrRail_act!E22*100)</f>
        <v>515.49395984595685</v>
      </c>
      <c r="F31" s="87">
        <f>IF(F18=0,0,F18/TrRail_act!F22*100)</f>
        <v>513.05182728258387</v>
      </c>
      <c r="G31" s="87">
        <f>IF(G18=0,0,G18/TrRail_act!G22*100)</f>
        <v>511.6718916866273</v>
      </c>
      <c r="H31" s="87">
        <f>IF(H18=0,0,H18/TrRail_act!H22*100)</f>
        <v>508.16086582438686</v>
      </c>
      <c r="I31" s="87">
        <f>IF(I18=0,0,I18/TrRail_act!I22*100)</f>
        <v>496.13151347183407</v>
      </c>
      <c r="J31" s="87">
        <f>IF(J18=0,0,J18/TrRail_act!J22*100)</f>
        <v>484.14388269168353</v>
      </c>
      <c r="K31" s="87">
        <f>IF(K18=0,0,K18/TrRail_act!K22*100)</f>
        <v>472.55975719601332</v>
      </c>
      <c r="L31" s="87">
        <f>IF(L18=0,0,L18/TrRail_act!L22*100)</f>
        <v>462.59859425497541</v>
      </c>
      <c r="M31" s="87">
        <f>IF(M18=0,0,M18/TrRail_act!M22*100)</f>
        <v>451.33287419031757</v>
      </c>
      <c r="N31" s="87">
        <f>IF(N18=0,0,N18/TrRail_act!N22*100)</f>
        <v>441.08783959993616</v>
      </c>
      <c r="O31" s="87">
        <f>IF(O18=0,0,O18/TrRail_act!O22*100)</f>
        <v>434.05608753995608</v>
      </c>
      <c r="P31" s="87">
        <f>IF(P18=0,0,P18/TrRail_act!P22*100)</f>
        <v>425.09812703312957</v>
      </c>
      <c r="Q31" s="87">
        <f>IF(Q18=0,0,Q18/TrRail_act!Q22*100)</f>
        <v>417.0221209229336</v>
      </c>
      <c r="R31" s="87">
        <f>IF(R18=0,0,R18/TrRail_act!R22*100)</f>
        <v>409.01063388082196</v>
      </c>
      <c r="S31" s="87">
        <f>IF(S18=0,0,S18/TrRail_act!S22*100)</f>
        <v>402.70008160958986</v>
      </c>
      <c r="T31" s="87">
        <f>IF(T18=0,0,T18/TrRail_act!T22*100)</f>
        <v>398.03114533706281</v>
      </c>
      <c r="U31" s="87">
        <f>IF(U18=0,0,U18/TrRail_act!U22*100)</f>
        <v>394.56500171345078</v>
      </c>
      <c r="V31" s="87">
        <f>IF(V18=0,0,V18/TrRail_act!V22*100)</f>
        <v>391.98521662579043</v>
      </c>
      <c r="W31" s="87">
        <f>IF(W18=0,0,W18/TrRail_act!W22*100)</f>
        <v>390.06145309378667</v>
      </c>
      <c r="X31" s="87">
        <f>IF(X18=0,0,X18/TrRail_act!X22*100)</f>
        <v>388.62482886274336</v>
      </c>
      <c r="Y31" s="87">
        <f>IF(Y18=0,0,Y18/TrRail_act!Y22*100)</f>
        <v>387.55083409973514</v>
      </c>
      <c r="DA31" s="171" t="s">
        <v>1120</v>
      </c>
    </row>
    <row r="32" spans="1:105" ht="11.45" customHeight="1" x14ac:dyDescent="0.25">
      <c r="A32" s="85" t="s">
        <v>93</v>
      </c>
      <c r="B32" s="88">
        <f>IF(B19=0,0,B19/TrRail_act!B23*100)</f>
        <v>202.62230922842335</v>
      </c>
      <c r="C32" s="88">
        <f>IF(C19=0,0,C19/TrRail_act!C23*100)</f>
        <v>203.67582420395206</v>
      </c>
      <c r="D32" s="88">
        <f>IF(D19=0,0,D19/TrRail_act!D23*100)</f>
        <v>199.45653206619295</v>
      </c>
      <c r="E32" s="88">
        <f>IF(E19=0,0,E19/TrRail_act!E23*100)</f>
        <v>194.952193255281</v>
      </c>
      <c r="F32" s="88">
        <f>IF(F19=0,0,F19/TrRail_act!F23*100)</f>
        <v>191.33500650878975</v>
      </c>
      <c r="G32" s="88">
        <f>IF(G19=0,0,G19/TrRail_act!G23*100)</f>
        <v>186.06384678923928</v>
      </c>
      <c r="H32" s="88">
        <f>IF(H19=0,0,H19/TrRail_act!H23*100)</f>
        <v>184.06017700313114</v>
      </c>
      <c r="I32" s="88">
        <f>IF(I19=0,0,I19/TrRail_act!I23*100)</f>
        <v>179.41739401240179</v>
      </c>
      <c r="J32" s="88">
        <f>IF(J19=0,0,J19/TrRail_act!J23*100)</f>
        <v>172.04402522233573</v>
      </c>
      <c r="K32" s="88">
        <f>IF(K19=0,0,K19/TrRail_act!K23*100)</f>
        <v>168.16849218520116</v>
      </c>
      <c r="L32" s="88">
        <f>IF(L19=0,0,L19/TrRail_act!L23*100)</f>
        <v>162.04461924391836</v>
      </c>
      <c r="M32" s="88">
        <f>IF(M19=0,0,M19/TrRail_act!M23*100)</f>
        <v>148.77057800272965</v>
      </c>
      <c r="N32" s="88">
        <f>IF(N19=0,0,N19/TrRail_act!N23*100)</f>
        <v>142.42987711083941</v>
      </c>
      <c r="O32" s="88">
        <f>IF(O19=0,0,O19/TrRail_act!O23*100)</f>
        <v>121.47188822538202</v>
      </c>
      <c r="P32" s="88">
        <f>IF(P19=0,0,P19/TrRail_act!P23*100)</f>
        <v>115.19302393357806</v>
      </c>
      <c r="Q32" s="88">
        <f>IF(Q19=0,0,Q19/TrRail_act!Q23*100)</f>
        <v>110.01939851818196</v>
      </c>
      <c r="R32" s="88">
        <f>IF(R19=0,0,R19/TrRail_act!R23*100)</f>
        <v>108.41809035672085</v>
      </c>
      <c r="S32" s="88">
        <f>IF(S19=0,0,S19/TrRail_act!S23*100)</f>
        <v>107.23242288605339</v>
      </c>
      <c r="T32" s="88">
        <f>IF(T19=0,0,T19/TrRail_act!T23*100)</f>
        <v>106.35168935547487</v>
      </c>
      <c r="U32" s="88">
        <f>IF(U19=0,0,U19/TrRail_act!U23*100)</f>
        <v>105.69588960745504</v>
      </c>
      <c r="V32" s="88">
        <f>IF(V19=0,0,V19/TrRail_act!V23*100)</f>
        <v>105.20669501169996</v>
      </c>
      <c r="W32" s="88">
        <f>IF(W19=0,0,W19/TrRail_act!W23*100)</f>
        <v>104.84128539507492</v>
      </c>
      <c r="X32" s="88">
        <f>IF(X19=0,0,X19/TrRail_act!X23*100)</f>
        <v>104.56806131263004</v>
      </c>
      <c r="Y32" s="88">
        <f>IF(Y19=0,0,Y19/TrRail_act!Y23*100)</f>
        <v>104.36361069104257</v>
      </c>
      <c r="DA32" s="178" t="s">
        <v>1121</v>
      </c>
    </row>
    <row r="33" spans="1:105" x14ac:dyDescent="0.25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DA33" s="171"/>
    </row>
    <row r="34" spans="1:105" ht="11.45" customHeight="1" x14ac:dyDescent="0.25">
      <c r="A34" s="53" t="s">
        <v>74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DA34" s="172"/>
    </row>
    <row r="35" spans="1:105" ht="11.45" customHeight="1" x14ac:dyDescent="0.25">
      <c r="A35" s="27" t="s">
        <v>155</v>
      </c>
      <c r="B35" s="29">
        <f>IF(B11=0,0,B11/TrRail_act!B4*1000)</f>
        <v>16.21429541916315</v>
      </c>
      <c r="C35" s="29">
        <f>IF(C11=0,0,C11/TrRail_act!C4*1000)</f>
        <v>13.462567260366727</v>
      </c>
      <c r="D35" s="29">
        <f>IF(D11=0,0,D11/TrRail_act!D4*1000)</f>
        <v>13.193509369363065</v>
      </c>
      <c r="E35" s="29">
        <f>IF(E11=0,0,E11/TrRail_act!E4*1000)</f>
        <v>12.70746224595308</v>
      </c>
      <c r="F35" s="29">
        <f>IF(F11=0,0,F11/TrRail_act!F4*1000)</f>
        <v>12.214247170946795</v>
      </c>
      <c r="G35" s="29">
        <f>IF(G11=0,0,G11/TrRail_act!G4*1000)</f>
        <v>11.726381835548642</v>
      </c>
      <c r="H35" s="29">
        <f>IF(H11=0,0,H11/TrRail_act!H4*1000)</f>
        <v>11.670894760006483</v>
      </c>
      <c r="I35" s="29">
        <f>IF(I11=0,0,I11/TrRail_act!I4*1000)</f>
        <v>11.028812834724546</v>
      </c>
      <c r="J35" s="29">
        <f>IF(J11=0,0,J11/TrRail_act!J4*1000)</f>
        <v>10.475047544265296</v>
      </c>
      <c r="K35" s="29">
        <f>IF(K11=0,0,K11/TrRail_act!K4*1000)</f>
        <v>9.5942622709241636</v>
      </c>
      <c r="L35" s="29">
        <f>IF(L11=0,0,L11/TrRail_act!L4*1000)</f>
        <v>9.1815646163785214</v>
      </c>
      <c r="M35" s="29">
        <f>IF(M11=0,0,M11/TrRail_act!M4*1000)</f>
        <v>7.4065973669819041</v>
      </c>
      <c r="N35" s="29">
        <f>IF(N11=0,0,N11/TrRail_act!N4*1000)</f>
        <v>7.6132164503380899</v>
      </c>
      <c r="O35" s="29">
        <f>IF(O11=0,0,O11/TrRail_act!O4*1000)</f>
        <v>6.2902824206628605</v>
      </c>
      <c r="P35" s="29">
        <f>IF(P11=0,0,P11/TrRail_act!P4*1000)</f>
        <v>5.9869034233336027</v>
      </c>
      <c r="Q35" s="29">
        <f>IF(Q11=0,0,Q11/TrRail_act!Q4*1000)</f>
        <v>5.8093728498865103</v>
      </c>
      <c r="R35" s="29">
        <f>IF(R11=0,0,R11/TrRail_act!R4*1000)</f>
        <v>7.2655113852128501</v>
      </c>
      <c r="S35" s="29">
        <f>IF(S11=0,0,S11/TrRail_act!S4*1000)</f>
        <v>7.6917735160007785</v>
      </c>
      <c r="T35" s="29">
        <f>IF(T11=0,0,T11/TrRail_act!T4*1000)</f>
        <v>7.5785298247294151</v>
      </c>
      <c r="U35" s="29">
        <f>IF(U11=0,0,U11/TrRail_act!U4*1000)</f>
        <v>6.9059789927090449</v>
      </c>
      <c r="V35" s="29">
        <f>IF(V11=0,0,V11/TrRail_act!V4*1000)</f>
        <v>11.333088134973989</v>
      </c>
      <c r="W35" s="29">
        <f>IF(W11=0,0,W11/TrRail_act!W4*1000)</f>
        <v>10.81703250264893</v>
      </c>
      <c r="X35" s="29">
        <f>IF(X11=0,0,X11/TrRail_act!X4*1000)</f>
        <v>7.1318575319970012</v>
      </c>
      <c r="Y35" s="29">
        <f>IF(Y11=0,0,Y11/TrRail_act!Y4*1000)</f>
        <v>6.8314476590696858</v>
      </c>
      <c r="DA35" s="173" t="s">
        <v>420</v>
      </c>
    </row>
    <row r="36" spans="1:105" ht="11.45" customHeight="1" x14ac:dyDescent="0.25">
      <c r="A36" s="107" t="s">
        <v>23</v>
      </c>
      <c r="B36" s="115">
        <f>IF(B12=0,0,B12/TrRail_act!B5*1000)</f>
        <v>5.0433314068600454</v>
      </c>
      <c r="C36" s="115">
        <f>IF(C12=0,0,C12/TrRail_act!C5*1000)</f>
        <v>4.9853073021000469</v>
      </c>
      <c r="D36" s="115">
        <f>IF(D12=0,0,D12/TrRail_act!D5*1000)</f>
        <v>4.9563859624434361</v>
      </c>
      <c r="E36" s="115">
        <f>IF(E12=0,0,E12/TrRail_act!E5*1000)</f>
        <v>4.9117708744631594</v>
      </c>
      <c r="F36" s="115">
        <f>IF(F12=0,0,F12/TrRail_act!F5*1000)</f>
        <v>4.7249279612063004</v>
      </c>
      <c r="G36" s="115">
        <f>IF(G12=0,0,G12/TrRail_act!G5*1000)</f>
        <v>4.8326786153845731</v>
      </c>
      <c r="H36" s="115">
        <f>IF(H12=0,0,H12/TrRail_act!H5*1000)</f>
        <v>4.954156506844833</v>
      </c>
      <c r="I36" s="115">
        <f>IF(I12=0,0,I12/TrRail_act!I5*1000)</f>
        <v>4.7768587860784306</v>
      </c>
      <c r="J36" s="115">
        <f>IF(J12=0,0,J12/TrRail_act!J5*1000)</f>
        <v>4.7371900563210119</v>
      </c>
      <c r="K36" s="115">
        <f>IF(K12=0,0,K12/TrRail_act!K5*1000)</f>
        <v>4.6363343993471302</v>
      </c>
      <c r="L36" s="115">
        <f>IF(L12=0,0,L12/TrRail_act!L5*1000)</f>
        <v>4.5980714986288103</v>
      </c>
      <c r="M36" s="115">
        <f>IF(M12=0,0,M12/TrRail_act!M5*1000)</f>
        <v>4.4670646515638452</v>
      </c>
      <c r="N36" s="115">
        <f>IF(N12=0,0,N12/TrRail_act!N5*1000)</f>
        <v>4.4965346838229445</v>
      </c>
      <c r="O36" s="115">
        <f>IF(O12=0,0,O12/TrRail_act!O5*1000)</f>
        <v>4.5439524506565325</v>
      </c>
      <c r="P36" s="115">
        <f>IF(P12=0,0,P12/TrRail_act!P5*1000)</f>
        <v>4.4450904133240616</v>
      </c>
      <c r="Q36" s="115">
        <f>IF(Q12=0,0,Q12/TrRail_act!Q5*1000)</f>
        <v>4.4209558690752235</v>
      </c>
      <c r="R36" s="115">
        <f>IF(R12=0,0,R12/TrRail_act!R5*1000)</f>
        <v>4.3354228951145339</v>
      </c>
      <c r="S36" s="115">
        <f>IF(S12=0,0,S12/TrRail_act!S5*1000)</f>
        <v>4.264223843022414</v>
      </c>
      <c r="T36" s="115">
        <f>IF(T12=0,0,T12/TrRail_act!T5*1000)</f>
        <v>4.2235730160239857</v>
      </c>
      <c r="U36" s="115">
        <f>IF(U12=0,0,U12/TrRail_act!U5*1000)</f>
        <v>4.1320516272960361</v>
      </c>
      <c r="V36" s="115">
        <f>IF(V12=0,0,V12/TrRail_act!V5*1000)</f>
        <v>7.2451335863848572</v>
      </c>
      <c r="W36" s="115">
        <f>IF(W12=0,0,W12/TrRail_act!W5*1000)</f>
        <v>6.7987072274915672</v>
      </c>
      <c r="X36" s="115">
        <f>IF(X12=0,0,X12/TrRail_act!X5*1000)</f>
        <v>4.5599026869660326</v>
      </c>
      <c r="Y36" s="115">
        <f>IF(Y12=0,0,Y12/TrRail_act!Y5*1000)</f>
        <v>3.9098912289196686</v>
      </c>
      <c r="DA36" s="203" t="s">
        <v>421</v>
      </c>
    </row>
    <row r="37" spans="1:105" ht="11.45" customHeight="1" x14ac:dyDescent="0.25">
      <c r="A37" s="109" t="s">
        <v>24</v>
      </c>
      <c r="B37" s="116">
        <f>IF(B13=0,0,B13/TrRail_act!B6*1000)</f>
        <v>17.68270090689148</v>
      </c>
      <c r="C37" s="116">
        <f>IF(C13=0,0,C13/TrRail_act!C6*1000)</f>
        <v>14.619908612384597</v>
      </c>
      <c r="D37" s="116">
        <f>IF(D13=0,0,D13/TrRail_act!D6*1000)</f>
        <v>14.347755961415498</v>
      </c>
      <c r="E37" s="116">
        <f>IF(E13=0,0,E13/TrRail_act!E6*1000)</f>
        <v>14.306897992301932</v>
      </c>
      <c r="F37" s="116">
        <f>IF(F13=0,0,F13/TrRail_act!F6*1000)</f>
        <v>14.089672604272536</v>
      </c>
      <c r="G37" s="116">
        <f>IF(G13=0,0,G13/TrRail_act!G6*1000)</f>
        <v>13.397117180251044</v>
      </c>
      <c r="H37" s="116">
        <f>IF(H13=0,0,H13/TrRail_act!H6*1000)</f>
        <v>13.524429369606322</v>
      </c>
      <c r="I37" s="116">
        <f>IF(I13=0,0,I13/TrRail_act!I6*1000)</f>
        <v>12.636078890530545</v>
      </c>
      <c r="J37" s="116">
        <f>IF(J13=0,0,J13/TrRail_act!J6*1000)</f>
        <v>11.885144660263514</v>
      </c>
      <c r="K37" s="116">
        <f>IF(K13=0,0,K13/TrRail_act!K6*1000)</f>
        <v>10.670096588095916</v>
      </c>
      <c r="L37" s="116">
        <f>IF(L13=0,0,L13/TrRail_act!L6*1000)</f>
        <v>10.144392876443924</v>
      </c>
      <c r="M37" s="116">
        <f>IF(M13=0,0,M13/TrRail_act!M6*1000)</f>
        <v>7.513380821174688</v>
      </c>
      <c r="N37" s="116">
        <f>IF(N13=0,0,N13/TrRail_act!N6*1000)</f>
        <v>7.7335202145486619</v>
      </c>
      <c r="O37" s="116">
        <f>IF(O13=0,0,O13/TrRail_act!O6*1000)</f>
        <v>5.769350987950947</v>
      </c>
      <c r="P37" s="116">
        <f>IF(P13=0,0,P13/TrRail_act!P6*1000)</f>
        <v>5.5511261750540735</v>
      </c>
      <c r="Q37" s="116">
        <f>IF(Q13=0,0,Q13/TrRail_act!Q6*1000)</f>
        <v>5.4103750998589994</v>
      </c>
      <c r="R37" s="116">
        <f>IF(R13=0,0,R13/TrRail_act!R6*1000)</f>
        <v>7.6403842225009004</v>
      </c>
      <c r="S37" s="116">
        <f>IF(S13=0,0,S13/TrRail_act!S6*1000)</f>
        <v>8.3912777169039074</v>
      </c>
      <c r="T37" s="116">
        <f>IF(T13=0,0,T13/TrRail_act!T6*1000)</f>
        <v>8.3474247980966325</v>
      </c>
      <c r="U37" s="116">
        <f>IF(U13=0,0,U13/TrRail_act!U6*1000)</f>
        <v>7.4487423431250939</v>
      </c>
      <c r="V37" s="116">
        <f>IF(V13=0,0,V13/TrRail_act!V6*1000)</f>
        <v>12.084709995934119</v>
      </c>
      <c r="W37" s="116">
        <f>IF(W13=0,0,W13/TrRail_act!W6*1000)</f>
        <v>11.298602630065783</v>
      </c>
      <c r="X37" s="116">
        <f>IF(X13=0,0,X13/TrRail_act!X6*1000)</f>
        <v>7.4913414530928124</v>
      </c>
      <c r="Y37" s="116">
        <f>IF(Y13=0,0,Y13/TrRail_act!Y6*1000)</f>
        <v>7.5013589021635312</v>
      </c>
      <c r="DA37" s="176" t="s">
        <v>422</v>
      </c>
    </row>
    <row r="38" spans="1:105" ht="11.45" customHeight="1" x14ac:dyDescent="0.25">
      <c r="A38" s="111" t="s">
        <v>92</v>
      </c>
      <c r="B38" s="87">
        <f>IF(B14=0,0,B14/TrRail_act!B7*1000)</f>
        <v>27.74769122299255</v>
      </c>
      <c r="C38" s="87">
        <f>IF(C14=0,0,C14/TrRail_act!C7*1000)</f>
        <v>23.174369118698742</v>
      </c>
      <c r="D38" s="87">
        <f>IF(D14=0,0,D14/TrRail_act!D7*1000)</f>
        <v>22.479637322532973</v>
      </c>
      <c r="E38" s="87">
        <f>IF(E14=0,0,E14/TrRail_act!E7*1000)</f>
        <v>24.881707647859329</v>
      </c>
      <c r="F38" s="87">
        <f>IF(F14=0,0,F14/TrRail_act!F7*1000)</f>
        <v>23.466027628381728</v>
      </c>
      <c r="G38" s="87">
        <f>IF(G14=0,0,G14/TrRail_act!G7*1000)</f>
        <v>22.397258518371686</v>
      </c>
      <c r="H38" s="87">
        <f>IF(H14=0,0,H14/TrRail_act!H7*1000)</f>
        <v>22.467872284511586</v>
      </c>
      <c r="I38" s="87">
        <f>IF(I14=0,0,I14/TrRail_act!I7*1000)</f>
        <v>20.123997890659979</v>
      </c>
      <c r="J38" s="87">
        <f>IF(J14=0,0,J14/TrRail_act!J7*1000)</f>
        <v>19.740065271602688</v>
      </c>
      <c r="K38" s="87">
        <f>IF(K14=0,0,K14/TrRail_act!K7*1000)</f>
        <v>17.874122080560937</v>
      </c>
      <c r="L38" s="87">
        <f>IF(L14=0,0,L14/TrRail_act!L7*1000)</f>
        <v>16.806383405838098</v>
      </c>
      <c r="M38" s="87">
        <f>IF(M14=0,0,M14/TrRail_act!M7*1000)</f>
        <v>12.651268983067618</v>
      </c>
      <c r="N38" s="87">
        <f>IF(N14=0,0,N14/TrRail_act!N7*1000)</f>
        <v>13.442024119665602</v>
      </c>
      <c r="O38" s="87">
        <f>IF(O14=0,0,O14/TrRail_act!O7*1000)</f>
        <v>10.62745456114401</v>
      </c>
      <c r="P38" s="87">
        <f>IF(P14=0,0,P14/TrRail_act!P7*1000)</f>
        <v>10.160156136104456</v>
      </c>
      <c r="Q38" s="87">
        <f>IF(Q14=0,0,Q14/TrRail_act!Q7*1000)</f>
        <v>9.7912809757726169</v>
      </c>
      <c r="R38" s="87">
        <f>IF(R14=0,0,R14/TrRail_act!R7*1000)</f>
        <v>12.422111194194713</v>
      </c>
      <c r="S38" s="87">
        <f>IF(S14=0,0,S14/TrRail_act!S7*1000)</f>
        <v>11.202843775813948</v>
      </c>
      <c r="T38" s="87">
        <f>IF(T14=0,0,T14/TrRail_act!T7*1000)</f>
        <v>13.79430451295887</v>
      </c>
      <c r="U38" s="87">
        <f>IF(U14=0,0,U14/TrRail_act!U7*1000)</f>
        <v>12.150174889207007</v>
      </c>
      <c r="V38" s="87">
        <f>IF(V14=0,0,V14/TrRail_act!V7*1000)</f>
        <v>16.453558364831149</v>
      </c>
      <c r="W38" s="87">
        <f>IF(W14=0,0,W14/TrRail_act!W7*1000)</f>
        <v>12.007273272109162</v>
      </c>
      <c r="X38" s="87">
        <f>IF(X14=0,0,X14/TrRail_act!X7*1000)</f>
        <v>8.4452603594109057</v>
      </c>
      <c r="Y38" s="87">
        <f>IF(Y14=0,0,Y14/TrRail_act!Y7*1000)</f>
        <v>10.282074850440095</v>
      </c>
      <c r="DA38" s="171" t="s">
        <v>1122</v>
      </c>
    </row>
    <row r="39" spans="1:105" ht="11.45" customHeight="1" x14ac:dyDescent="0.25">
      <c r="A39" s="111" t="s">
        <v>93</v>
      </c>
      <c r="B39" s="87">
        <f>IF(B15=0,0,B15/TrRail_act!B8*1000)</f>
        <v>10.401573099387079</v>
      </c>
      <c r="C39" s="87">
        <f>IF(C15=0,0,C15/TrRail_act!C8*1000)</f>
        <v>9.3602772157233218</v>
      </c>
      <c r="D39" s="87">
        <f>IF(D15=0,0,D15/TrRail_act!D8*1000)</f>
        <v>10.344583103478497</v>
      </c>
      <c r="E39" s="87">
        <f>IF(E15=0,0,E15/TrRail_act!E8*1000)</f>
        <v>10.384419847630955</v>
      </c>
      <c r="F39" s="87">
        <f>IF(F15=0,0,F15/TrRail_act!F8*1000)</f>
        <v>10.329136236220091</v>
      </c>
      <c r="G39" s="87">
        <f>IF(G15=0,0,G15/TrRail_act!G8*1000)</f>
        <v>10.068241165607464</v>
      </c>
      <c r="H39" s="87">
        <f>IF(H15=0,0,H15/TrRail_act!H8*1000)</f>
        <v>10.465904253250029</v>
      </c>
      <c r="I39" s="87">
        <f>IF(I15=0,0,I15/TrRail_act!I8*1000)</f>
        <v>9.923098170821449</v>
      </c>
      <c r="J39" s="87">
        <f>IF(J15=0,0,J15/TrRail_act!J8*1000)</f>
        <v>9.2013645455106019</v>
      </c>
      <c r="K39" s="87">
        <f>IF(K15=0,0,K15/TrRail_act!K8*1000)</f>
        <v>8.5575507514919291</v>
      </c>
      <c r="L39" s="87">
        <f>IF(L15=0,0,L15/TrRail_act!L8*1000)</f>
        <v>8.3270529301466549</v>
      </c>
      <c r="M39" s="87">
        <f>IF(M15=0,0,M15/TrRail_act!M8*1000)</f>
        <v>5.9732541759306983</v>
      </c>
      <c r="N39" s="87">
        <f>IF(N15=0,0,N15/TrRail_act!N8*1000)</f>
        <v>6.4139117197568059</v>
      </c>
      <c r="O39" s="87">
        <f>IF(O15=0,0,O15/TrRail_act!O8*1000)</f>
        <v>4.4279786378852277</v>
      </c>
      <c r="P39" s="87">
        <f>IF(P15=0,0,P15/TrRail_act!P8*1000)</f>
        <v>4.2895953457371698</v>
      </c>
      <c r="Q39" s="87">
        <f>IF(Q15=0,0,Q15/TrRail_act!Q8*1000)</f>
        <v>4.2420379733435549</v>
      </c>
      <c r="R39" s="87">
        <f>IF(R15=0,0,R15/TrRail_act!R8*1000)</f>
        <v>6.7873702208346245</v>
      </c>
      <c r="S39" s="87">
        <f>IF(S15=0,0,S15/TrRail_act!S8*1000)</f>
        <v>7.9030610628360014</v>
      </c>
      <c r="T39" s="87">
        <f>IF(T15=0,0,T15/TrRail_act!T8*1000)</f>
        <v>7.5705798672802995</v>
      </c>
      <c r="U39" s="87">
        <f>IF(U15=0,0,U15/TrRail_act!U8*1000)</f>
        <v>6.7910289817561216</v>
      </c>
      <c r="V39" s="87">
        <f>IF(V15=0,0,V15/TrRail_act!V8*1000)</f>
        <v>11.439245105747249</v>
      </c>
      <c r="W39" s="87">
        <f>IF(W15=0,0,W15/TrRail_act!W8*1000)</f>
        <v>11.199418005500597</v>
      </c>
      <c r="X39" s="87">
        <f>IF(X15=0,0,X15/TrRail_act!X8*1000)</f>
        <v>7.3597611532214584</v>
      </c>
      <c r="Y39" s="87">
        <f>IF(Y15=0,0,Y15/TrRail_act!Y8*1000)</f>
        <v>7.1226856981633784</v>
      </c>
      <c r="DA39" s="171" t="s">
        <v>1123</v>
      </c>
    </row>
    <row r="40" spans="1:105" ht="11.45" customHeight="1" x14ac:dyDescent="0.25">
      <c r="A40" s="112" t="s">
        <v>25</v>
      </c>
      <c r="B40" s="117">
        <f>IF(B16=0,0,B16/TrRail_act!B9*1000)</f>
        <v>0</v>
      </c>
      <c r="C40" s="117">
        <f>IF(C16=0,0,C16/TrRail_act!C9*1000)</f>
        <v>0</v>
      </c>
      <c r="D40" s="117">
        <f>IF(D16=0,0,D16/TrRail_act!D9*1000)</f>
        <v>0</v>
      </c>
      <c r="E40" s="117">
        <f>IF(E16=0,0,E16/TrRail_act!E9*1000)</f>
        <v>0</v>
      </c>
      <c r="F40" s="117">
        <f>IF(F16=0,0,F16/TrRail_act!F9*1000)</f>
        <v>12.499895413474405</v>
      </c>
      <c r="G40" s="117">
        <f>IF(G16=0,0,G16/TrRail_act!G9*1000)</f>
        <v>12.336038794563597</v>
      </c>
      <c r="H40" s="117">
        <f>IF(H16=0,0,H16/TrRail_act!H9*1000)</f>
        <v>12.442724447685263</v>
      </c>
      <c r="I40" s="117">
        <f>IF(I16=0,0,I16/TrRail_act!I9*1000)</f>
        <v>12.943775079531632</v>
      </c>
      <c r="J40" s="117">
        <f>IF(J16=0,0,J16/TrRail_act!J9*1000)</f>
        <v>12.534370282470915</v>
      </c>
      <c r="K40" s="117">
        <f>IF(K16=0,0,K16/TrRail_act!K9*1000)</f>
        <v>12.319555303602062</v>
      </c>
      <c r="L40" s="117">
        <f>IF(L16=0,0,L16/TrRail_act!L9*1000)</f>
        <v>12.52466501776391</v>
      </c>
      <c r="M40" s="117">
        <f>IF(M16=0,0,M16/TrRail_act!M9*1000)</f>
        <v>13.784071941099793</v>
      </c>
      <c r="N40" s="117">
        <f>IF(N16=0,0,N16/TrRail_act!N9*1000)</f>
        <v>13.678647252918037</v>
      </c>
      <c r="O40" s="117">
        <f>IF(O16=0,0,O16/TrRail_act!O9*1000)</f>
        <v>13.39234499529042</v>
      </c>
      <c r="P40" s="117">
        <f>IF(P16=0,0,P16/TrRail_act!P9*1000)</f>
        <v>11.441219641858119</v>
      </c>
      <c r="Q40" s="117">
        <f>IF(Q16=0,0,Q16/TrRail_act!Q9*1000)</f>
        <v>10.646339355374151</v>
      </c>
      <c r="R40" s="117">
        <f>IF(R16=0,0,R16/TrRail_act!R9*1000)</f>
        <v>10.100029010213239</v>
      </c>
      <c r="S40" s="117">
        <f>IF(S16=0,0,S16/TrRail_act!S9*1000)</f>
        <v>9.4381171249514377</v>
      </c>
      <c r="T40" s="117">
        <f>IF(T16=0,0,T16/TrRail_act!T9*1000)</f>
        <v>9.0003433741169019</v>
      </c>
      <c r="U40" s="117">
        <f>IF(U16=0,0,U16/TrRail_act!U9*1000)</f>
        <v>8.6546523720988091</v>
      </c>
      <c r="V40" s="117">
        <f>IF(V16=0,0,V16/TrRail_act!V9*1000)</f>
        <v>15.645817271473399</v>
      </c>
      <c r="W40" s="117">
        <f>IF(W16=0,0,W16/TrRail_act!W9*1000)</f>
        <v>15.77337624958135</v>
      </c>
      <c r="X40" s="117">
        <f>IF(X16=0,0,X16/TrRail_act!X9*1000)</f>
        <v>9.7466811433288623</v>
      </c>
      <c r="Y40" s="117">
        <f>IF(Y16=0,0,Y16/TrRail_act!Y9*1000)</f>
        <v>8.6588455782495153</v>
      </c>
      <c r="DA40" s="204" t="s">
        <v>423</v>
      </c>
    </row>
    <row r="41" spans="1:105" ht="11.45" customHeight="1" x14ac:dyDescent="0.25">
      <c r="A41" s="27" t="s">
        <v>156</v>
      </c>
      <c r="B41" s="29">
        <f>IF(B17=0,0,B17/TrRail_act!B10*1000)</f>
        <v>6.8439177819047661</v>
      </c>
      <c r="C41" s="29">
        <f>IF(C17=0,0,C17/TrRail_act!C10*1000)</f>
        <v>6.159695744727272</v>
      </c>
      <c r="D41" s="29">
        <f>IF(D17=0,0,D17/TrRail_act!D10*1000)</f>
        <v>5.709470334693723</v>
      </c>
      <c r="E41" s="29">
        <f>IF(E17=0,0,E17/TrRail_act!E10*1000)</f>
        <v>5.2942426987557525</v>
      </c>
      <c r="F41" s="29">
        <f>IF(F17=0,0,F17/TrRail_act!F10*1000)</f>
        <v>5.1123208263891291</v>
      </c>
      <c r="G41" s="29">
        <f>IF(G17=0,0,G17/TrRail_act!G10*1000)</f>
        <v>4.8931732861604518</v>
      </c>
      <c r="H41" s="29">
        <f>IF(H17=0,0,H17/TrRail_act!H10*1000)</f>
        <v>4.7589155699514833</v>
      </c>
      <c r="I41" s="29">
        <f>IF(I17=0,0,I17/TrRail_act!I10*1000)</f>
        <v>4.6087782141326077</v>
      </c>
      <c r="J41" s="29">
        <f>IF(J17=0,0,J17/TrRail_act!J10*1000)</f>
        <v>4.3887884184823776</v>
      </c>
      <c r="K41" s="29">
        <f>IF(K17=0,0,K17/TrRail_act!K10*1000)</f>
        <v>4.2028789041345362</v>
      </c>
      <c r="L41" s="29">
        <f>IF(L17=0,0,L17/TrRail_act!L10*1000)</f>
        <v>3.9450809790718031</v>
      </c>
      <c r="M41" s="29">
        <f>IF(M17=0,0,M17/TrRail_act!M10*1000)</f>
        <v>3.4943692753627515</v>
      </c>
      <c r="N41" s="29">
        <f>IF(N17=0,0,N17/TrRail_act!N10*1000)</f>
        <v>3.2191064844860668</v>
      </c>
      <c r="O41" s="29">
        <f>IF(O17=0,0,O17/TrRail_act!O10*1000)</f>
        <v>2.8399815540096869</v>
      </c>
      <c r="P41" s="29">
        <f>IF(P17=0,0,P17/TrRail_act!P10*1000)</f>
        <v>2.788623753096608</v>
      </c>
      <c r="Q41" s="29">
        <f>IF(Q17=0,0,Q17/TrRail_act!Q10*1000)</f>
        <v>2.6854048603511069</v>
      </c>
      <c r="R41" s="29">
        <f>IF(R17=0,0,R17/TrRail_act!R10*1000)</f>
        <v>2.5319694307188838</v>
      </c>
      <c r="S41" s="29">
        <f>IF(S17=0,0,S17/TrRail_act!S10*1000)</f>
        <v>2.8286263551510729</v>
      </c>
      <c r="T41" s="29">
        <f>IF(T17=0,0,T17/TrRail_act!T10*1000)</f>
        <v>2.709346424434794</v>
      </c>
      <c r="U41" s="29">
        <f>IF(U17=0,0,U17/TrRail_act!U10*1000)</f>
        <v>2.8884600429432119</v>
      </c>
      <c r="V41" s="29">
        <f>IF(V17=0,0,V17/TrRail_act!V10*1000)</f>
        <v>3.4164610399357431</v>
      </c>
      <c r="W41" s="29">
        <f>IF(W17=0,0,W17/TrRail_act!W10*1000)</f>
        <v>4.7097892097316265</v>
      </c>
      <c r="X41" s="29">
        <f>IF(X17=0,0,X17/TrRail_act!X10*1000)</f>
        <v>3.2204950024906527</v>
      </c>
      <c r="Y41" s="29">
        <f>IF(Y17=0,0,Y17/TrRail_act!Y10*1000)</f>
        <v>3.6659624106773809</v>
      </c>
      <c r="DA41" s="173" t="s">
        <v>428</v>
      </c>
    </row>
    <row r="42" spans="1:105" ht="11.45" customHeight="1" x14ac:dyDescent="0.25">
      <c r="A42" s="83" t="s">
        <v>92</v>
      </c>
      <c r="B42" s="87">
        <f>IF(B18=0,0,B18/TrRail_act!B11*1000)</f>
        <v>9.3976739470584807</v>
      </c>
      <c r="C42" s="87">
        <f>IF(C18=0,0,C18/TrRail_act!C11*1000)</f>
        <v>7.9714064985129065</v>
      </c>
      <c r="D42" s="87">
        <f>IF(D18=0,0,D18/TrRail_act!D11*1000)</f>
        <v>7.7125095823214158</v>
      </c>
      <c r="E42" s="87">
        <f>IF(E18=0,0,E18/TrRail_act!E11*1000)</f>
        <v>7.3688859703993534</v>
      </c>
      <c r="F42" s="87">
        <f>IF(F18=0,0,F18/TrRail_act!F11*1000)</f>
        <v>7.203637805027423</v>
      </c>
      <c r="G42" s="87">
        <f>IF(G18=0,0,G18/TrRail_act!G11*1000)</f>
        <v>7.3377053321761689</v>
      </c>
      <c r="H42" s="87">
        <f>IF(H18=0,0,H18/TrRail_act!H11*1000)</f>
        <v>7.2827651738919368</v>
      </c>
      <c r="I42" s="87">
        <f>IF(I18=0,0,I18/TrRail_act!I11*1000)</f>
        <v>7.5827574107265505</v>
      </c>
      <c r="J42" s="87">
        <f>IF(J18=0,0,J18/TrRail_act!J11*1000)</f>
        <v>6.7041882387963359</v>
      </c>
      <c r="K42" s="87">
        <f>IF(K18=0,0,K18/TrRail_act!K11*1000)</f>
        <v>6.2924878012983658</v>
      </c>
      <c r="L42" s="87">
        <f>IF(L18=0,0,L18/TrRail_act!L11*1000)</f>
        <v>6.2315010812104292</v>
      </c>
      <c r="M42" s="87">
        <f>IF(M18=0,0,M18/TrRail_act!M11*1000)</f>
        <v>5.7479295800412347</v>
      </c>
      <c r="N42" s="87">
        <f>IF(N18=0,0,N18/TrRail_act!N11*1000)</f>
        <v>5.5104239669115049</v>
      </c>
      <c r="O42" s="87">
        <f>IF(O18=0,0,O18/TrRail_act!O11*1000)</f>
        <v>5.2498313483042116</v>
      </c>
      <c r="P42" s="87">
        <f>IF(P18=0,0,P18/TrRail_act!P11*1000)</f>
        <v>5.1193551448701085</v>
      </c>
      <c r="Q42" s="87">
        <f>IF(Q18=0,0,Q18/TrRail_act!Q11*1000)</f>
        <v>5.0787304081062077</v>
      </c>
      <c r="R42" s="87">
        <f>IF(R18=0,0,R18/TrRail_act!R11*1000)</f>
        <v>4.9809146907513613</v>
      </c>
      <c r="S42" s="87">
        <f>IF(S18=0,0,S18/TrRail_act!S11*1000)</f>
        <v>5.1017372333712903</v>
      </c>
      <c r="T42" s="87">
        <f>IF(T18=0,0,T18/TrRail_act!T11*1000)</f>
        <v>4.5973468391131416</v>
      </c>
      <c r="U42" s="87">
        <f>IF(U18=0,0,U18/TrRail_act!U11*1000)</f>
        <v>4.5396000259931064</v>
      </c>
      <c r="V42" s="87">
        <f>IF(V18=0,0,V18/TrRail_act!V11*1000)</f>
        <v>6.5087596552501186</v>
      </c>
      <c r="W42" s="87">
        <f>IF(W18=0,0,W18/TrRail_act!W11*1000)</f>
        <v>7.6019890823442209</v>
      </c>
      <c r="X42" s="87">
        <f>IF(X18=0,0,X18/TrRail_act!X11*1000)</f>
        <v>3.8605223862724247</v>
      </c>
      <c r="Y42" s="87">
        <f>IF(Y18=0,0,Y18/TrRail_act!Y11*1000)</f>
        <v>4.5958967164113878</v>
      </c>
      <c r="DA42" s="171" t="s">
        <v>1124</v>
      </c>
    </row>
    <row r="43" spans="1:105" ht="11.45" customHeight="1" x14ac:dyDescent="0.25">
      <c r="A43" s="85" t="s">
        <v>93</v>
      </c>
      <c r="B43" s="88">
        <f>IF(B19=0,0,B19/TrRail_act!B12*1000)</f>
        <v>3.8952400055610039</v>
      </c>
      <c r="C43" s="88">
        <f>IF(C19=0,0,C19/TrRail_act!C12*1000)</f>
        <v>4.4625422418498566</v>
      </c>
      <c r="D43" s="88">
        <f>IF(D19=0,0,D19/TrRail_act!D12*1000)</f>
        <v>4.2548017383672407</v>
      </c>
      <c r="E43" s="88">
        <f>IF(E19=0,0,E19/TrRail_act!E12*1000)</f>
        <v>4.0307886097691163</v>
      </c>
      <c r="F43" s="88">
        <f>IF(F19=0,0,F19/TrRail_act!F12*1000)</f>
        <v>4.0117366494143214</v>
      </c>
      <c r="G43" s="88">
        <f>IF(G19=0,0,G19/TrRail_act!G12*1000)</f>
        <v>3.7083035330164766</v>
      </c>
      <c r="H43" s="88">
        <f>IF(H19=0,0,H19/TrRail_act!H12*1000)</f>
        <v>3.6609091435248207</v>
      </c>
      <c r="I43" s="88">
        <f>IF(I19=0,0,I19/TrRail_act!I12*1000)</f>
        <v>3.2918149173371751</v>
      </c>
      <c r="J43" s="88">
        <f>IF(J19=0,0,J19/TrRail_act!J12*1000)</f>
        <v>3.4087086325573455</v>
      </c>
      <c r="K43" s="88">
        <f>IF(K19=0,0,K19/TrRail_act!K12*1000)</f>
        <v>3.4690494401109042</v>
      </c>
      <c r="L43" s="88">
        <f>IF(L19=0,0,L19/TrRail_act!L12*1000)</f>
        <v>3.2132021253476259</v>
      </c>
      <c r="M43" s="88">
        <f>IF(M19=0,0,M19/TrRail_act!M12*1000)</f>
        <v>2.7313934990464701</v>
      </c>
      <c r="N43" s="88">
        <f>IF(N19=0,0,N19/TrRail_act!N12*1000)</f>
        <v>2.5924306303766027</v>
      </c>
      <c r="O43" s="88">
        <f>IF(O19=0,0,O19/TrRail_act!O12*1000)</f>
        <v>2.0567550554946084</v>
      </c>
      <c r="P43" s="88">
        <f>IF(P19=0,0,P19/TrRail_act!P12*1000)</f>
        <v>2.0381998739977027</v>
      </c>
      <c r="Q43" s="88">
        <f>IF(Q19=0,0,Q19/TrRail_act!Q12*1000)</f>
        <v>1.9266606466500946</v>
      </c>
      <c r="R43" s="88">
        <f>IF(R19=0,0,R19/TrRail_act!R12*1000)</f>
        <v>2.0234179324725536</v>
      </c>
      <c r="S43" s="88">
        <f>IF(S19=0,0,S19/TrRail_act!S12*1000)</f>
        <v>2.0200665600530967</v>
      </c>
      <c r="T43" s="88">
        <f>IF(T19=0,0,T19/TrRail_act!T12*1000)</f>
        <v>2.1032775062930198</v>
      </c>
      <c r="U43" s="88">
        <f>IF(U19=0,0,U19/TrRail_act!U12*1000)</f>
        <v>2.1387974159311582</v>
      </c>
      <c r="V43" s="88">
        <f>IF(V19=0,0,V19/TrRail_act!V12*1000)</f>
        <v>2.3228722154879584</v>
      </c>
      <c r="W43" s="88">
        <f>IF(W19=0,0,W19/TrRail_act!W12*1000)</f>
        <v>3.2060214342637567</v>
      </c>
      <c r="X43" s="88">
        <f>IF(X19=0,0,X19/TrRail_act!X12*1000)</f>
        <v>2.7469754985891339</v>
      </c>
      <c r="Y43" s="88">
        <f>IF(Y19=0,0,Y19/TrRail_act!Y12*1000)</f>
        <v>3.1908100612284334</v>
      </c>
      <c r="DA43" s="178" t="s">
        <v>1125</v>
      </c>
    </row>
    <row r="44" spans="1:105" x14ac:dyDescent="0.25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DA44" s="171"/>
    </row>
    <row r="45" spans="1:105" ht="11.45" customHeight="1" x14ac:dyDescent="0.25">
      <c r="A45" s="53" t="s">
        <v>96</v>
      </c>
      <c r="B45" s="54">
        <f>IF(B10=0,0,1000000*B10/TrRail_act!B25)</f>
        <v>297587.13138618035</v>
      </c>
      <c r="C45" s="54">
        <f>IF(C10=0,0,1000000*C10/TrRail_act!C25)</f>
        <v>258202.34732716688</v>
      </c>
      <c r="D45" s="54">
        <f>IF(D10=0,0,1000000*D10/TrRail_act!D25)</f>
        <v>239765.02203057439</v>
      </c>
      <c r="E45" s="54">
        <f>IF(E10=0,0,1000000*E10/TrRail_act!E25)</f>
        <v>213987.06843580055</v>
      </c>
      <c r="F45" s="54">
        <f>IF(F10=0,0,1000000*F10/TrRail_act!F25)</f>
        <v>218111.314959268</v>
      </c>
      <c r="G45" s="54">
        <f>IF(G10=0,0,1000000*G10/TrRail_act!G25)</f>
        <v>217892.06294473202</v>
      </c>
      <c r="H45" s="54">
        <f>IF(H10=0,0,1000000*H10/TrRail_act!H25)</f>
        <v>202840.53543885794</v>
      </c>
      <c r="I45" s="54">
        <f>IF(I10=0,0,1000000*I10/TrRail_act!I25)</f>
        <v>200298.70574702907</v>
      </c>
      <c r="J45" s="54">
        <f>IF(J10=0,0,1000000*J10/TrRail_act!J25)</f>
        <v>188614.47702868583</v>
      </c>
      <c r="K45" s="54">
        <f>IF(K10=0,0,1000000*K10/TrRail_act!K25)</f>
        <v>177787.94148410147</v>
      </c>
      <c r="L45" s="54">
        <f>IF(L10=0,0,1000000*L10/TrRail_act!L25)</f>
        <v>169478.56346164862</v>
      </c>
      <c r="M45" s="54">
        <f>IF(M10=0,0,1000000*M10/TrRail_act!M25)</f>
        <v>150117.71008675129</v>
      </c>
      <c r="N45" s="54">
        <f>IF(N10=0,0,1000000*N10/TrRail_act!N25)</f>
        <v>146918.66074266855</v>
      </c>
      <c r="O45" s="54">
        <f>IF(O10=0,0,1000000*O10/TrRail_act!O25)</f>
        <v>125227.71043165079</v>
      </c>
      <c r="P45" s="54">
        <f>IF(P10=0,0,1000000*P10/TrRail_act!P25)</f>
        <v>132479.08860414557</v>
      </c>
      <c r="Q45" s="54">
        <f>IF(Q10=0,0,1000000*Q10/TrRail_act!Q25)</f>
        <v>127936.79656676523</v>
      </c>
      <c r="R45" s="54">
        <f>IF(R10=0,0,1000000*R10/TrRail_act!R25)</f>
        <v>118108.43532692699</v>
      </c>
      <c r="S45" s="54">
        <f>IF(S10=0,0,1000000*S10/TrRail_act!S25)</f>
        <v>114460.933059363</v>
      </c>
      <c r="T45" s="54">
        <f>IF(T10=0,0,1000000*T10/TrRail_act!T25)</f>
        <v>111633.20148227463</v>
      </c>
      <c r="U45" s="54">
        <f>IF(U10=0,0,1000000*U10/TrRail_act!U25)</f>
        <v>108295.58720424891</v>
      </c>
      <c r="V45" s="54">
        <f>IF(V10=0,0,1000000*V10/TrRail_act!V25)</f>
        <v>99484.629207426144</v>
      </c>
      <c r="W45" s="54">
        <f>IF(W10=0,0,1000000*W10/TrRail_act!W25)</f>
        <v>104405.82248780361</v>
      </c>
      <c r="X45" s="54">
        <f>IF(X10=0,0,1000000*X10/TrRail_act!X25)</f>
        <v>103588.32746955226</v>
      </c>
      <c r="Y45" s="54">
        <f>IF(Y10=0,0,1000000*Y10/TrRail_act!Y25)</f>
        <v>104850.60366993747</v>
      </c>
      <c r="DA45" s="172" t="s">
        <v>1126</v>
      </c>
    </row>
    <row r="46" spans="1:105" ht="11.45" customHeight="1" x14ac:dyDescent="0.25">
      <c r="A46" s="27" t="s">
        <v>33</v>
      </c>
      <c r="B46" s="28">
        <f>IF(B11=0,0,1000000*B11/TrRail_act!B26)</f>
        <v>265349.73011464922</v>
      </c>
      <c r="C46" s="28">
        <f>IF(C11=0,0,1000000*C11/TrRail_act!C26)</f>
        <v>229426.80091434304</v>
      </c>
      <c r="D46" s="28">
        <f>IF(D11=0,0,1000000*D11/TrRail_act!D26)</f>
        <v>213373.73983059981</v>
      </c>
      <c r="E46" s="28">
        <f>IF(E11=0,0,1000000*E11/TrRail_act!E26)</f>
        <v>191985.33428961638</v>
      </c>
      <c r="F46" s="28">
        <f>IF(F11=0,0,1000000*F11/TrRail_act!F26)</f>
        <v>194239.02572557828</v>
      </c>
      <c r="G46" s="28">
        <f>IF(G11=0,0,1000000*G11/TrRail_act!G26)</f>
        <v>192903.01837260398</v>
      </c>
      <c r="H46" s="28">
        <f>IF(H11=0,0,1000000*H11/TrRail_act!H26)</f>
        <v>180353.60825777298</v>
      </c>
      <c r="I46" s="28">
        <f>IF(I11=0,0,1000000*I11/TrRail_act!I26)</f>
        <v>176724.78989907444</v>
      </c>
      <c r="J46" s="28">
        <f>IF(J11=0,0,1000000*J11/TrRail_act!J26)</f>
        <v>167923.64699057574</v>
      </c>
      <c r="K46" s="28">
        <f>IF(K11=0,0,1000000*K11/TrRail_act!K26)</f>
        <v>160714.26864330581</v>
      </c>
      <c r="L46" s="28">
        <f>IF(L11=0,0,1000000*L11/TrRail_act!L26)</f>
        <v>151989.24852844619</v>
      </c>
      <c r="M46" s="28">
        <f>IF(M11=0,0,1000000*M11/TrRail_act!M26)</f>
        <v>133125.43385795731</v>
      </c>
      <c r="N46" s="28">
        <f>IF(N11=0,0,1000000*N11/TrRail_act!N26)</f>
        <v>130038.22547943635</v>
      </c>
      <c r="O46" s="28">
        <f>IF(O11=0,0,1000000*O11/TrRail_act!O26)</f>
        <v>109878.37289249455</v>
      </c>
      <c r="P46" s="28">
        <f>IF(P11=0,0,1000000*P11/TrRail_act!P26)</f>
        <v>115794.46901918409</v>
      </c>
      <c r="Q46" s="28">
        <f>IF(Q11=0,0,1000000*Q11/TrRail_act!Q26)</f>
        <v>110912.10961966083</v>
      </c>
      <c r="R46" s="28">
        <f>IF(R11=0,0,1000000*R11/TrRail_act!R26)</f>
        <v>106676.14341438617</v>
      </c>
      <c r="S46" s="28">
        <f>IF(S11=0,0,1000000*S11/TrRail_act!S26)</f>
        <v>102804.47695430016</v>
      </c>
      <c r="T46" s="28">
        <f>IF(T11=0,0,1000000*T11/TrRail_act!T26)</f>
        <v>100658.76418348115</v>
      </c>
      <c r="U46" s="28">
        <f>IF(U11=0,0,1000000*U11/TrRail_act!U26)</f>
        <v>98131.761330356399</v>
      </c>
      <c r="V46" s="28">
        <f>IF(V11=0,0,1000000*V11/TrRail_act!V26)</f>
        <v>86483.862831751219</v>
      </c>
      <c r="W46" s="28">
        <f>IF(W11=0,0,1000000*W11/TrRail_act!W26)</f>
        <v>89874.982640269824</v>
      </c>
      <c r="X46" s="28">
        <f>IF(X11=0,0,1000000*X11/TrRail_act!X26)</f>
        <v>92643.956630907967</v>
      </c>
      <c r="Y46" s="28">
        <f>IF(Y11=0,0,1000000*Y11/TrRail_act!Y26)</f>
        <v>92911.721537326943</v>
      </c>
      <c r="DA46" s="173" t="s">
        <v>1127</v>
      </c>
    </row>
    <row r="47" spans="1:105" ht="11.45" customHeight="1" x14ac:dyDescent="0.25">
      <c r="A47" s="107" t="s">
        <v>23</v>
      </c>
      <c r="B47" s="108">
        <f>IF(B12=0,0,1000000*B12/TrRail_act!B27)</f>
        <v>42953.484966212767</v>
      </c>
      <c r="C47" s="108">
        <f>IF(C12=0,0,1000000*C12/TrRail_act!C27)</f>
        <v>42459.30009540516</v>
      </c>
      <c r="D47" s="108">
        <f>IF(D12=0,0,1000000*D12/TrRail_act!D27)</f>
        <v>42212.980271047149</v>
      </c>
      <c r="E47" s="108">
        <f>IF(E12=0,0,1000000*E12/TrRail_act!E27)</f>
        <v>41832.998875943791</v>
      </c>
      <c r="F47" s="108">
        <f>IF(F12=0,0,1000000*F12/TrRail_act!F27)</f>
        <v>41503.829089672246</v>
      </c>
      <c r="G47" s="108">
        <f>IF(G12=0,0,1000000*G12/TrRail_act!G27)</f>
        <v>40838.107429361138</v>
      </c>
      <c r="H47" s="108">
        <f>IF(H12=0,0,1000000*H12/TrRail_act!H27)</f>
        <v>40486.081567292887</v>
      </c>
      <c r="I47" s="108">
        <f>IF(I12=0,0,1000000*I12/TrRail_act!I27)</f>
        <v>40001.082112203709</v>
      </c>
      <c r="J47" s="108">
        <f>IF(J12=0,0,1000000*J12/TrRail_act!J27)</f>
        <v>39528.073287147534</v>
      </c>
      <c r="K47" s="108">
        <f>IF(K12=0,0,1000000*K12/TrRail_act!K27)</f>
        <v>39125.68664583283</v>
      </c>
      <c r="L47" s="108">
        <f>IF(L12=0,0,1000000*L12/TrRail_act!L27)</f>
        <v>38821.652647791401</v>
      </c>
      <c r="M47" s="108">
        <f>IF(M12=0,0,1000000*M12/TrRail_act!M27)</f>
        <v>38596.351679675638</v>
      </c>
      <c r="N47" s="108">
        <f>IF(N12=0,0,1000000*N12/TrRail_act!N27)</f>
        <v>36501.824601412336</v>
      </c>
      <c r="O47" s="108">
        <f>IF(O12=0,0,1000000*O12/TrRail_act!O27)</f>
        <v>35518.648995183641</v>
      </c>
      <c r="P47" s="108">
        <f>IF(P12=0,0,1000000*P12/TrRail_act!P27)</f>
        <v>37622.678101915866</v>
      </c>
      <c r="Q47" s="108">
        <f>IF(Q12=0,0,1000000*Q12/TrRail_act!Q27)</f>
        <v>37522.693527117379</v>
      </c>
      <c r="R47" s="108">
        <f>IF(R12=0,0,1000000*R12/TrRail_act!R27)</f>
        <v>37407.939362859666</v>
      </c>
      <c r="S47" s="108">
        <f>IF(S12=0,0,1000000*S12/TrRail_act!S27)</f>
        <v>37322.104189957383</v>
      </c>
      <c r="T47" s="108">
        <f>IF(T12=0,0,1000000*T12/TrRail_act!T27)</f>
        <v>37257.857095261461</v>
      </c>
      <c r="U47" s="108">
        <f>IF(U12=0,0,1000000*U12/TrRail_act!U27)</f>
        <v>37209.744419092982</v>
      </c>
      <c r="V47" s="108">
        <f>IF(V12=0,0,1000000*V12/TrRail_act!V27)</f>
        <v>35139.737572648417</v>
      </c>
      <c r="W47" s="108">
        <f>IF(W12=0,0,1000000*W12/TrRail_act!W27)</f>
        <v>33718.586927650547</v>
      </c>
      <c r="X47" s="108">
        <f>IF(X12=0,0,1000000*X12/TrRail_act!X27)</f>
        <v>37126.446062288618</v>
      </c>
      <c r="Y47" s="108">
        <f>IF(Y12=0,0,1000000*Y12/TrRail_act!Y27)</f>
        <v>37111.269921434679</v>
      </c>
      <c r="DA47" s="203" t="s">
        <v>1128</v>
      </c>
    </row>
    <row r="48" spans="1:105" ht="11.45" customHeight="1" x14ac:dyDescent="0.25">
      <c r="A48" s="109" t="s">
        <v>24</v>
      </c>
      <c r="B48" s="110">
        <f>IF(B13=0,0,1000000*B13/TrRail_act!B28)</f>
        <v>329263.94798332133</v>
      </c>
      <c r="C48" s="110">
        <f>IF(C13=0,0,1000000*C13/TrRail_act!C28)</f>
        <v>288585.91614982224</v>
      </c>
      <c r="D48" s="110">
        <f>IF(D13=0,0,1000000*D13/TrRail_act!D28)</f>
        <v>265480.63610138348</v>
      </c>
      <c r="E48" s="110">
        <f>IF(E13=0,0,1000000*E13/TrRail_act!E28)</f>
        <v>256947.85508593521</v>
      </c>
      <c r="F48" s="110">
        <f>IF(F13=0,0,1000000*F13/TrRail_act!F28)</f>
        <v>249427.58565408498</v>
      </c>
      <c r="G48" s="110">
        <f>IF(G13=0,0,1000000*G13/TrRail_act!G28)</f>
        <v>251745.0874343958</v>
      </c>
      <c r="H48" s="110">
        <f>IF(H13=0,0,1000000*H13/TrRail_act!H28)</f>
        <v>243105.6946434573</v>
      </c>
      <c r="I48" s="110">
        <f>IF(I13=0,0,1000000*I13/TrRail_act!I28)</f>
        <v>241479.2912363552</v>
      </c>
      <c r="J48" s="110">
        <f>IF(J13=0,0,1000000*J13/TrRail_act!J28)</f>
        <v>227161.55958440856</v>
      </c>
      <c r="K48" s="110">
        <f>IF(K13=0,0,1000000*K13/TrRail_act!K28)</f>
        <v>217821.7346043431</v>
      </c>
      <c r="L48" s="110">
        <f>IF(L13=0,0,1000000*L13/TrRail_act!L28)</f>
        <v>207503.13932239241</v>
      </c>
      <c r="M48" s="110">
        <f>IF(M13=0,0,1000000*M13/TrRail_act!M28)</f>
        <v>177361.21497214859</v>
      </c>
      <c r="N48" s="110">
        <f>IF(N13=0,0,1000000*N13/TrRail_act!N28)</f>
        <v>173164.72210554656</v>
      </c>
      <c r="O48" s="110">
        <f>IF(O13=0,0,1000000*O13/TrRail_act!O28)</f>
        <v>135693.49804341162</v>
      </c>
      <c r="P48" s="110">
        <f>IF(P13=0,0,1000000*P13/TrRail_act!P28)</f>
        <v>143780.30547868097</v>
      </c>
      <c r="Q48" s="110">
        <f>IF(Q13=0,0,1000000*Q13/TrRail_act!Q28)</f>
        <v>136523.84092116251</v>
      </c>
      <c r="R48" s="110">
        <f>IF(R13=0,0,1000000*R13/TrRail_act!R28)</f>
        <v>119875.59238286725</v>
      </c>
      <c r="S48" s="110">
        <f>IF(S13=0,0,1000000*S13/TrRail_act!S28)</f>
        <v>113103.9892394924</v>
      </c>
      <c r="T48" s="110">
        <f>IF(T13=0,0,1000000*T13/TrRail_act!T28)</f>
        <v>111660.89515377708</v>
      </c>
      <c r="U48" s="110">
        <f>IF(U13=0,0,1000000*U13/TrRail_act!U28)</f>
        <v>109643.92012980119</v>
      </c>
      <c r="V48" s="110">
        <f>IF(V13=0,0,1000000*V13/TrRail_act!V28)</f>
        <v>101434.55121332516</v>
      </c>
      <c r="W48" s="110">
        <f>IF(W13=0,0,1000000*W13/TrRail_act!W28)</f>
        <v>102720.88347153029</v>
      </c>
      <c r="X48" s="110">
        <f>IF(X13=0,0,1000000*X13/TrRail_act!X28)</f>
        <v>102519.40423418084</v>
      </c>
      <c r="Y48" s="110">
        <f>IF(Y13=0,0,1000000*Y13/TrRail_act!Y28)</f>
        <v>103952.14574083481</v>
      </c>
      <c r="DA48" s="176" t="s">
        <v>1129</v>
      </c>
    </row>
    <row r="49" spans="1:105" ht="11.45" customHeight="1" x14ac:dyDescent="0.25">
      <c r="A49" s="111" t="s">
        <v>92</v>
      </c>
      <c r="B49" s="84">
        <f>IF(B14=0,0,1000000*B14/TrRail_act!B29)</f>
        <v>444898.27778983943</v>
      </c>
      <c r="C49" s="84">
        <f>IF(C14=0,0,1000000*C14/TrRail_act!C29)</f>
        <v>370771.12500706461</v>
      </c>
      <c r="D49" s="84">
        <f>IF(D14=0,0,1000000*D14/TrRail_act!D29)</f>
        <v>344681.9886315114</v>
      </c>
      <c r="E49" s="84">
        <f>IF(E14=0,0,1000000*E14/TrRail_act!E29)</f>
        <v>341941.23227982107</v>
      </c>
      <c r="F49" s="84">
        <f>IF(F14=0,0,1000000*F14/TrRail_act!F29)</f>
        <v>351703.77194978384</v>
      </c>
      <c r="G49" s="84">
        <f>IF(G14=0,0,1000000*G14/TrRail_act!G29)</f>
        <v>357608.43335182912</v>
      </c>
      <c r="H49" s="84">
        <f>IF(H14=0,0,1000000*H14/TrRail_act!H29)</f>
        <v>350824.25611689239</v>
      </c>
      <c r="I49" s="84">
        <f>IF(I14=0,0,1000000*I14/TrRail_act!I29)</f>
        <v>340940.40250054584</v>
      </c>
      <c r="J49" s="84">
        <f>IF(J14=0,0,1000000*J14/TrRail_act!J29)</f>
        <v>329577.43793027097</v>
      </c>
      <c r="K49" s="84">
        <f>IF(K14=0,0,1000000*K14/TrRail_act!K29)</f>
        <v>317659.4487594486</v>
      </c>
      <c r="L49" s="84">
        <f>IF(L14=0,0,1000000*L14/TrRail_act!L29)</f>
        <v>307418.47020181536</v>
      </c>
      <c r="M49" s="84">
        <f>IF(M14=0,0,1000000*M14/TrRail_act!M29)</f>
        <v>294686.8518116069</v>
      </c>
      <c r="N49" s="84">
        <f>IF(N14=0,0,1000000*N14/TrRail_act!N29)</f>
        <v>287680.20557719137</v>
      </c>
      <c r="O49" s="84">
        <f>IF(O14=0,0,1000000*O14/TrRail_act!O29)</f>
        <v>275488.24304153625</v>
      </c>
      <c r="P49" s="84">
        <f>IF(P14=0,0,1000000*P14/TrRail_act!P29)</f>
        <v>263909.4582914107</v>
      </c>
      <c r="Q49" s="84">
        <f>IF(Q14=0,0,1000000*Q14/TrRail_act!Q29)</f>
        <v>256335.01521772012</v>
      </c>
      <c r="R49" s="84">
        <f>IF(R14=0,0,1000000*R14/TrRail_act!R29)</f>
        <v>250797.19039863159</v>
      </c>
      <c r="S49" s="84">
        <f>IF(S14=0,0,1000000*S14/TrRail_act!S29)</f>
        <v>246722.47683361013</v>
      </c>
      <c r="T49" s="84">
        <f>IF(T14=0,0,1000000*T14/TrRail_act!T29)</f>
        <v>243709.94969437658</v>
      </c>
      <c r="U49" s="84">
        <f>IF(U14=0,0,1000000*U14/TrRail_act!U29)</f>
        <v>241474.71476453796</v>
      </c>
      <c r="V49" s="84">
        <f>IF(V14=0,0,1000000*V14/TrRail_act!V29)</f>
        <v>239811.75607558811</v>
      </c>
      <c r="W49" s="84">
        <f>IF(W14=0,0,1000000*W14/TrRail_act!W29)</f>
        <v>238572.05310748264</v>
      </c>
      <c r="X49" s="84">
        <f>IF(X14=0,0,1000000*X14/TrRail_act!X29)</f>
        <v>237646.48444132498</v>
      </c>
      <c r="Y49" s="84">
        <f>IF(Y14=0,0,1000000*Y14/TrRail_act!Y29)</f>
        <v>236954.66929602323</v>
      </c>
      <c r="DA49" s="171" t="s">
        <v>1130</v>
      </c>
    </row>
    <row r="50" spans="1:105" ht="11.45" customHeight="1" x14ac:dyDescent="0.25">
      <c r="A50" s="111" t="s">
        <v>93</v>
      </c>
      <c r="B50" s="84">
        <f>IF(B15=0,0,1000000*B15/TrRail_act!B30)</f>
        <v>219278.49878554203</v>
      </c>
      <c r="C50" s="84">
        <f>IF(C15=0,0,1000000*C15/TrRail_act!C30)</f>
        <v>215778.22397582507</v>
      </c>
      <c r="D50" s="84">
        <f>IF(D15=0,0,1000000*D15/TrRail_act!D30)</f>
        <v>213098.42127212472</v>
      </c>
      <c r="E50" s="84">
        <f>IF(E15=0,0,1000000*E15/TrRail_act!E30)</f>
        <v>210455.6520778788</v>
      </c>
      <c r="F50" s="84">
        <f>IF(F15=0,0,1000000*F15/TrRail_act!F30)</f>
        <v>197181.38306039639</v>
      </c>
      <c r="G50" s="84">
        <f>IF(G15=0,0,1000000*G15/TrRail_act!G30)</f>
        <v>202437.07825425893</v>
      </c>
      <c r="H50" s="84">
        <f>IF(H15=0,0,1000000*H15/TrRail_act!H30)</f>
        <v>198385.52735862453</v>
      </c>
      <c r="I50" s="84">
        <f>IF(I15=0,0,1000000*I15/TrRail_act!I30)</f>
        <v>198854.45628574889</v>
      </c>
      <c r="J50" s="84">
        <f>IF(J15=0,0,1000000*J15/TrRail_act!J30)</f>
        <v>185018.46901842696</v>
      </c>
      <c r="K50" s="84">
        <f>IF(K15=0,0,1000000*K15/TrRail_act!K30)</f>
        <v>182659.17515535105</v>
      </c>
      <c r="L50" s="84">
        <f>IF(L15=0,0,1000000*L15/TrRail_act!L30)</f>
        <v>176007.62159832992</v>
      </c>
      <c r="M50" s="84">
        <f>IF(M15=0,0,1000000*M15/TrRail_act!M30)</f>
        <v>141575.14161554383</v>
      </c>
      <c r="N50" s="84">
        <f>IF(N15=0,0,1000000*N15/TrRail_act!N30)</f>
        <v>145168.94951358123</v>
      </c>
      <c r="O50" s="84">
        <f>IF(O15=0,0,1000000*O15/TrRail_act!O30)</f>
        <v>101546.11597656233</v>
      </c>
      <c r="P50" s="84">
        <f>IF(P15=0,0,1000000*P15/TrRail_act!P30)</f>
        <v>111018.88557308445</v>
      </c>
      <c r="Q50" s="84">
        <f>IF(Q15=0,0,1000000*Q15/TrRail_act!Q30)</f>
        <v>106020.44292698115</v>
      </c>
      <c r="R50" s="84">
        <f>IF(R15=0,0,1000000*R15/TrRail_act!R30)</f>
        <v>102419.86027025565</v>
      </c>
      <c r="S50" s="84">
        <f>IF(S15=0,0,1000000*S15/TrRail_act!S30)</f>
        <v>99799.899117972513</v>
      </c>
      <c r="T50" s="84">
        <f>IF(T15=0,0,1000000*T15/TrRail_act!T30)</f>
        <v>97879.004649583294</v>
      </c>
      <c r="U50" s="84">
        <f>IF(U15=0,0,1000000*U15/TrRail_act!U30)</f>
        <v>96462.635664392248</v>
      </c>
      <c r="V50" s="84">
        <f>IF(V15=0,0,1000000*V15/TrRail_act!V30)</f>
        <v>90355.17661320811</v>
      </c>
      <c r="W50" s="84">
        <f>IF(W15=0,0,1000000*W15/TrRail_act!W30)</f>
        <v>94634.708835357946</v>
      </c>
      <c r="X50" s="84">
        <f>IF(X15=0,0,1000000*X15/TrRail_act!X30)</f>
        <v>94054.54887904122</v>
      </c>
      <c r="Y50" s="84">
        <f>IF(Y15=0,0,1000000*Y15/TrRail_act!Y30)</f>
        <v>93621.764290118022</v>
      </c>
      <c r="DA50" s="171" t="s">
        <v>1131</v>
      </c>
    </row>
    <row r="51" spans="1:105" ht="11.45" customHeight="1" x14ac:dyDescent="0.25">
      <c r="A51" s="112" t="s">
        <v>25</v>
      </c>
      <c r="B51" s="113">
        <f>IF(B16=0,0,1000000*B16/TrRail_act!B31)</f>
        <v>0</v>
      </c>
      <c r="C51" s="113">
        <f>IF(C16=0,0,1000000*C16/TrRail_act!C31)</f>
        <v>0</v>
      </c>
      <c r="D51" s="113">
        <f>IF(D16=0,0,1000000*D16/TrRail_act!D31)</f>
        <v>0</v>
      </c>
      <c r="E51" s="113">
        <f>IF(E16=0,0,1000000*E16/TrRail_act!E31)</f>
        <v>0</v>
      </c>
      <c r="F51" s="113">
        <f>IF(F16=0,0,1000000*F16/TrRail_act!F31)</f>
        <v>998632.94256985059</v>
      </c>
      <c r="G51" s="113">
        <f>IF(G16=0,0,1000000*G16/TrRail_act!G31)</f>
        <v>985542.1226589263</v>
      </c>
      <c r="H51" s="113">
        <f>IF(H16=0,0,1000000*H16/TrRail_act!H31)</f>
        <v>972446.77221909433</v>
      </c>
      <c r="I51" s="113">
        <f>IF(I16=0,0,1000000*I16/TrRail_act!I31)</f>
        <v>962225.73988752579</v>
      </c>
      <c r="J51" s="113">
        <f>IF(J16=0,0,1000000*J16/TrRail_act!J31)</f>
        <v>948205.24471141642</v>
      </c>
      <c r="K51" s="113">
        <f>IF(K16=0,0,1000000*K16/TrRail_act!K31)</f>
        <v>939055.4402889756</v>
      </c>
      <c r="L51" s="113">
        <f>IF(L16=0,0,1000000*L16/TrRail_act!L31)</f>
        <v>930851.5801992208</v>
      </c>
      <c r="M51" s="113">
        <f>IF(M16=0,0,1000000*M16/TrRail_act!M31)</f>
        <v>919376.51022333011</v>
      </c>
      <c r="N51" s="113">
        <f>IF(N16=0,0,1000000*N16/TrRail_act!N31)</f>
        <v>904513.55858925765</v>
      </c>
      <c r="O51" s="113">
        <f>IF(O16=0,0,1000000*O16/TrRail_act!O31)</f>
        <v>891332.07906002179</v>
      </c>
      <c r="P51" s="113">
        <f>IF(P16=0,0,1000000*P16/TrRail_act!P31)</f>
        <v>881017.53916705458</v>
      </c>
      <c r="Q51" s="113">
        <f>IF(Q16=0,0,1000000*Q16/TrRail_act!Q31)</f>
        <v>867046.77540920326</v>
      </c>
      <c r="R51" s="113">
        <f>IF(R16=0,0,1000000*R16/TrRail_act!R31)</f>
        <v>876613.62802613014</v>
      </c>
      <c r="S51" s="113">
        <f>IF(S16=0,0,1000000*S16/TrRail_act!S31)</f>
        <v>871039.74339165562</v>
      </c>
      <c r="T51" s="113">
        <f>IF(T16=0,0,1000000*T16/TrRail_act!T31)</f>
        <v>840814.06044857425</v>
      </c>
      <c r="U51" s="113">
        <f>IF(U16=0,0,1000000*U16/TrRail_act!U31)</f>
        <v>851330.70121708757</v>
      </c>
      <c r="V51" s="113">
        <f>IF(V16=0,0,1000000*V16/TrRail_act!V31)</f>
        <v>493108.56299329241</v>
      </c>
      <c r="W51" s="113">
        <f>IF(W16=0,0,1000000*W16/TrRail_act!W31)</f>
        <v>601904.86618817865</v>
      </c>
      <c r="X51" s="113">
        <f>IF(X16=0,0,1000000*X16/TrRail_act!X31)</f>
        <v>759010.50178589544</v>
      </c>
      <c r="Y51" s="113">
        <f>IF(Y16=0,0,1000000*Y16/TrRail_act!Y31)</f>
        <v>734261.35655624943</v>
      </c>
      <c r="DA51" s="204" t="s">
        <v>1132</v>
      </c>
    </row>
    <row r="52" spans="1:105" ht="11.45" customHeight="1" x14ac:dyDescent="0.25">
      <c r="A52" s="27" t="s">
        <v>34</v>
      </c>
      <c r="B52" s="28">
        <f>IF(B17=0,0,1000000*B17/TrRail_act!B32)</f>
        <v>746769.7309007931</v>
      </c>
      <c r="C52" s="28">
        <f>IF(C17=0,0,1000000*C17/TrRail_act!C32)</f>
        <v>617285.85427142854</v>
      </c>
      <c r="D52" s="28">
        <f>IF(D17=0,0,1000000*D17/TrRail_act!D32)</f>
        <v>575290.75410991162</v>
      </c>
      <c r="E52" s="28">
        <f>IF(E17=0,0,1000000*E17/TrRail_act!E32)</f>
        <v>535189.28861782991</v>
      </c>
      <c r="F52" s="28">
        <f>IF(F17=0,0,1000000*F17/TrRail_act!F32)</f>
        <v>534287.15887197631</v>
      </c>
      <c r="G52" s="28">
        <f>IF(G17=0,0,1000000*G17/TrRail_act!G32)</f>
        <v>540519.03163019521</v>
      </c>
      <c r="H52" s="28">
        <f>IF(H17=0,0,1000000*H17/TrRail_act!H32)</f>
        <v>522821.80661122821</v>
      </c>
      <c r="I52" s="28">
        <f>IF(I17=0,0,1000000*I17/TrRail_act!I32)</f>
        <v>529531.23945604591</v>
      </c>
      <c r="J52" s="28">
        <f>IF(J17=0,0,1000000*J17/TrRail_act!J32)</f>
        <v>486592.70193749724</v>
      </c>
      <c r="K52" s="28">
        <f>IF(K17=0,0,1000000*K17/TrRail_act!K32)</f>
        <v>435307.95720338472</v>
      </c>
      <c r="L52" s="28">
        <f>IF(L17=0,0,1000000*L17/TrRail_act!L32)</f>
        <v>431455.49954911368</v>
      </c>
      <c r="M52" s="28">
        <f>IF(M17=0,0,1000000*M17/TrRail_act!M32)</f>
        <v>402922.77410023514</v>
      </c>
      <c r="N52" s="28">
        <f>IF(N17=0,0,1000000*N17/TrRail_act!N32)</f>
        <v>379266.13743855496</v>
      </c>
      <c r="O52" s="28">
        <f>IF(O17=0,0,1000000*O17/TrRail_act!O32)</f>
        <v>329726.94930383196</v>
      </c>
      <c r="P52" s="28">
        <f>IF(P17=0,0,1000000*P17/TrRail_act!P32)</f>
        <v>341796.33456083445</v>
      </c>
      <c r="Q52" s="28">
        <f>IF(Q17=0,0,1000000*Q17/TrRail_act!Q32)</f>
        <v>330955.76343141776</v>
      </c>
      <c r="R52" s="28">
        <f>IF(R17=0,0,1000000*R17/TrRail_act!R32)</f>
        <v>288473.23708120192</v>
      </c>
      <c r="S52" s="28">
        <f>IF(S17=0,0,1000000*S17/TrRail_act!S32)</f>
        <v>310852.88711668563</v>
      </c>
      <c r="T52" s="28">
        <f>IF(T17=0,0,1000000*T17/TrRail_act!T32)</f>
        <v>304804.93005257397</v>
      </c>
      <c r="U52" s="28">
        <f>IF(U17=0,0,1000000*U17/TrRail_act!U32)</f>
        <v>296080.29251659621</v>
      </c>
      <c r="V52" s="28">
        <f>IF(V17=0,0,1000000*V17/TrRail_act!V32)</f>
        <v>330910.11209147592</v>
      </c>
      <c r="W52" s="28">
        <f>IF(W17=0,0,1000000*W17/TrRail_act!W32)</f>
        <v>351661.58480064949</v>
      </c>
      <c r="X52" s="28">
        <f>IF(X17=0,0,1000000*X17/TrRail_act!X32)</f>
        <v>304114.99208738375</v>
      </c>
      <c r="Y52" s="28">
        <f>IF(Y17=0,0,1000000*Y17/TrRail_act!Y32)</f>
        <v>302407.93244329287</v>
      </c>
      <c r="DA52" s="173" t="s">
        <v>1133</v>
      </c>
    </row>
    <row r="53" spans="1:105" ht="11.45" customHeight="1" x14ac:dyDescent="0.25">
      <c r="A53" s="83" t="s">
        <v>92</v>
      </c>
      <c r="B53" s="84">
        <f>IF(B18=0,0,1000000*B18/TrRail_act!B33)</f>
        <v>1070686.8335612814</v>
      </c>
      <c r="C53" s="84">
        <f>IF(C18=0,0,1000000*C18/TrRail_act!C33)</f>
        <v>892011.67159869464</v>
      </c>
      <c r="D53" s="84">
        <f>IF(D18=0,0,1000000*D18/TrRail_act!D33)</f>
        <v>866235.36127689027</v>
      </c>
      <c r="E53" s="84">
        <f>IF(E18=0,0,1000000*E18/TrRail_act!E33)</f>
        <v>804413.36030115257</v>
      </c>
      <c r="F53" s="84">
        <f>IF(F18=0,0,1000000*F18/TrRail_act!F33)</f>
        <v>920037.88169374154</v>
      </c>
      <c r="G53" s="84">
        <f>IF(G18=0,0,1000000*G18/TrRail_act!G33)</f>
        <v>1023343.7290881986</v>
      </c>
      <c r="H53" s="84">
        <f>IF(H18=0,0,1000000*H18/TrRail_act!H33)</f>
        <v>1016321.7006979036</v>
      </c>
      <c r="I53" s="84">
        <f>IF(I18=0,0,1000000*I18/TrRail_act!I33)</f>
        <v>992263.02373937063</v>
      </c>
      <c r="J53" s="84">
        <f>IF(J18=0,0,1000000*J18/TrRail_act!J33)</f>
        <v>968287.75684736564</v>
      </c>
      <c r="K53" s="84">
        <f>IF(K18=0,0,1000000*K18/TrRail_act!K33)</f>
        <v>842145.25830352632</v>
      </c>
      <c r="L53" s="84">
        <f>IF(L18=0,0,1000000*L18/TrRail_act!L33)</f>
        <v>925197.02375411103</v>
      </c>
      <c r="M53" s="84">
        <f>IF(M18=0,0,1000000*M18/TrRail_act!M33)</f>
        <v>902665.66164497635</v>
      </c>
      <c r="N53" s="84">
        <f>IF(N18=0,0,1000000*N18/TrRail_act!N33)</f>
        <v>882175.66969536897</v>
      </c>
      <c r="O53" s="84">
        <f>IF(O18=0,0,1000000*O18/TrRail_act!O33)</f>
        <v>868112.01201431069</v>
      </c>
      <c r="P53" s="84">
        <f>IF(P18=0,0,1000000*P18/TrRail_act!P33)</f>
        <v>850196.03206760355</v>
      </c>
      <c r="Q53" s="84">
        <f>IF(Q18=0,0,1000000*Q18/TrRail_act!Q33)</f>
        <v>834044.04605710716</v>
      </c>
      <c r="R53" s="84">
        <f>IF(R18=0,0,1000000*R18/TrRail_act!R33)</f>
        <v>815561.68470485776</v>
      </c>
      <c r="S53" s="84">
        <f>IF(S18=0,0,1000000*S18/TrRail_act!S33)</f>
        <v>805400.0538734718</v>
      </c>
      <c r="T53" s="84">
        <f>IF(T18=0,0,1000000*T18/TrRail_act!T33)</f>
        <v>796062.21327499615</v>
      </c>
      <c r="U53" s="84">
        <f>IF(U18=0,0,1000000*U18/TrRail_act!U33)</f>
        <v>789130.0019241299</v>
      </c>
      <c r="V53" s="84">
        <f>IF(V18=0,0,1000000*V18/TrRail_act!V33)</f>
        <v>783970.34285579436</v>
      </c>
      <c r="W53" s="84">
        <f>IF(W18=0,0,1000000*W18/TrRail_act!W33)</f>
        <v>780122.86622387543</v>
      </c>
      <c r="X53" s="84">
        <f>IF(X18=0,0,1000000*X18/TrRail_act!X33)</f>
        <v>685659.71604023082</v>
      </c>
      <c r="Y53" s="84">
        <f>IF(Y18=0,0,1000000*Y18/TrRail_act!Y33)</f>
        <v>775101.65480227128</v>
      </c>
      <c r="DA53" s="171" t="s">
        <v>1134</v>
      </c>
    </row>
    <row r="54" spans="1:105" ht="11.45" customHeight="1" x14ac:dyDescent="0.25">
      <c r="A54" s="85" t="s">
        <v>93</v>
      </c>
      <c r="B54" s="86">
        <f>IF(B19=0,0,1000000*B19/TrRail_act!B34)</f>
        <v>405244.58861180639</v>
      </c>
      <c r="C54" s="86">
        <f>IF(C19=0,0,1000000*C19/TrRail_act!C34)</f>
        <v>407351.62048876099</v>
      </c>
      <c r="D54" s="86">
        <f>IF(D19=0,0,1000000*D19/TrRail_act!D34)</f>
        <v>398913.06264697982</v>
      </c>
      <c r="E54" s="86">
        <f>IF(E19=0,0,1000000*E19/TrRail_act!E34)</f>
        <v>389904.3631373563</v>
      </c>
      <c r="F54" s="86">
        <f>IF(F19=0,0,1000000*F19/TrRail_act!F34)</f>
        <v>382670.01118801616</v>
      </c>
      <c r="G54" s="86">
        <f>IF(G19=0,0,1000000*G19/TrRail_act!G34)</f>
        <v>372127.6779848382</v>
      </c>
      <c r="H54" s="86">
        <f>IF(H19=0,0,1000000*H19/TrRail_act!H34)</f>
        <v>368120.33629400801</v>
      </c>
      <c r="I54" s="86">
        <f>IF(I19=0,0,1000000*I19/TrRail_act!I34)</f>
        <v>358834.76954162045</v>
      </c>
      <c r="J54" s="86">
        <f>IF(J19=0,0,1000000*J19/TrRail_act!J34)</f>
        <v>344088.03800938226</v>
      </c>
      <c r="K54" s="86">
        <f>IF(K19=0,0,1000000*K19/TrRail_act!K34)</f>
        <v>332871.88788067095</v>
      </c>
      <c r="L54" s="86">
        <f>IF(L19=0,0,1000000*L19/TrRail_act!L34)</f>
        <v>324089.23739516496</v>
      </c>
      <c r="M54" s="86">
        <f>IF(M19=0,0,1000000*M19/TrRail_act!M34)</f>
        <v>288948.11559872172</v>
      </c>
      <c r="N54" s="86">
        <f>IF(N19=0,0,1000000*N19/TrRail_act!N34)</f>
        <v>284859.73950292618</v>
      </c>
      <c r="O54" s="86">
        <f>IF(O19=0,0,1000000*O19/TrRail_act!O34)</f>
        <v>217714.75988577653</v>
      </c>
      <c r="P54" s="86">
        <f>IF(P19=0,0,1000000*P19/TrRail_act!P34)</f>
        <v>230386.04772775786</v>
      </c>
      <c r="Q54" s="86">
        <f>IF(Q19=0,0,1000000*Q19/TrRail_act!Q34)</f>
        <v>220038.7896515035</v>
      </c>
      <c r="R54" s="86">
        <f>IF(R19=0,0,1000000*R19/TrRail_act!R34)</f>
        <v>216836.17203830893</v>
      </c>
      <c r="S54" s="86">
        <f>IF(S19=0,0,1000000*S19/TrRail_act!S34)</f>
        <v>200340.86302402735</v>
      </c>
      <c r="T54" s="86">
        <f>IF(T19=0,0,1000000*T19/TrRail_act!T34)</f>
        <v>212703.37063040628</v>
      </c>
      <c r="U54" s="86">
        <f>IF(U19=0,0,1000000*U19/TrRail_act!U34)</f>
        <v>184807.07423543712</v>
      </c>
      <c r="V54" s="86">
        <f>IF(V19=0,0,1000000*V19/TrRail_act!V34)</f>
        <v>210413.38970696737</v>
      </c>
      <c r="W54" s="86">
        <f>IF(W19=0,0,1000000*W19/TrRail_act!W34)</f>
        <v>209682.56246433288</v>
      </c>
      <c r="X54" s="86">
        <f>IF(X19=0,0,1000000*X19/TrRail_act!X34)</f>
        <v>192650.33374019555</v>
      </c>
      <c r="Y54" s="86">
        <f>IF(Y19=0,0,1000000*Y19/TrRail_act!Y34)</f>
        <v>208727.220944058</v>
      </c>
      <c r="DA54" s="178" t="s">
        <v>1135</v>
      </c>
    </row>
    <row r="55" spans="1:105" x14ac:dyDescent="0.2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DA55" s="171"/>
    </row>
    <row r="56" spans="1:105" ht="11.45" customHeight="1" x14ac:dyDescent="0.25">
      <c r="A56" s="53" t="s">
        <v>40</v>
      </c>
      <c r="B56" s="65">
        <f t="shared" ref="B56:B65" si="15">IF(B10=0,0,B10/B$10)</f>
        <v>1</v>
      </c>
      <c r="C56" s="65">
        <f t="shared" ref="C56:V56" si="16">IF(C10=0,0,C10/C$10)</f>
        <v>1</v>
      </c>
      <c r="D56" s="65">
        <f t="shared" si="16"/>
        <v>1</v>
      </c>
      <c r="E56" s="65">
        <f t="shared" si="16"/>
        <v>1</v>
      </c>
      <c r="F56" s="65">
        <f t="shared" si="16"/>
        <v>1</v>
      </c>
      <c r="G56" s="65">
        <f t="shared" si="16"/>
        <v>1</v>
      </c>
      <c r="H56" s="65">
        <f t="shared" si="16"/>
        <v>1</v>
      </c>
      <c r="I56" s="65">
        <f t="shared" si="16"/>
        <v>1</v>
      </c>
      <c r="J56" s="65">
        <f t="shared" si="16"/>
        <v>1</v>
      </c>
      <c r="K56" s="65">
        <f t="shared" si="16"/>
        <v>1</v>
      </c>
      <c r="L56" s="65">
        <f t="shared" si="16"/>
        <v>1</v>
      </c>
      <c r="M56" s="65">
        <f t="shared" si="16"/>
        <v>1</v>
      </c>
      <c r="N56" s="65">
        <f t="shared" si="16"/>
        <v>1</v>
      </c>
      <c r="O56" s="65">
        <f t="shared" si="16"/>
        <v>1</v>
      </c>
      <c r="P56" s="65">
        <f t="shared" si="16"/>
        <v>1</v>
      </c>
      <c r="Q56" s="65">
        <f t="shared" si="16"/>
        <v>1</v>
      </c>
      <c r="R56" s="65">
        <f t="shared" si="16"/>
        <v>1</v>
      </c>
      <c r="S56" s="65">
        <f t="shared" si="16"/>
        <v>1</v>
      </c>
      <c r="T56" s="65">
        <f t="shared" si="16"/>
        <v>1</v>
      </c>
      <c r="U56" s="65">
        <f t="shared" si="16"/>
        <v>1</v>
      </c>
      <c r="V56" s="65">
        <f t="shared" si="16"/>
        <v>1</v>
      </c>
      <c r="W56" s="65">
        <f t="shared" ref="W56:Y56" si="17">IF(W10=0,0,W10/W$10)</f>
        <v>1</v>
      </c>
      <c r="X56" s="65">
        <f t="shared" si="17"/>
        <v>1</v>
      </c>
      <c r="Y56" s="65">
        <f t="shared" si="17"/>
        <v>1</v>
      </c>
      <c r="DA56" s="172"/>
    </row>
    <row r="57" spans="1:105" ht="11.45" customHeight="1" x14ac:dyDescent="0.25">
      <c r="A57" s="27" t="s">
        <v>33</v>
      </c>
      <c r="B57" s="31">
        <f t="shared" si="15"/>
        <v>0.83196163197383133</v>
      </c>
      <c r="C57" s="31">
        <f t="shared" ref="C57:V57" si="18">IF(C11=0,0,C11/C$10)</f>
        <v>0.82263178940206272</v>
      </c>
      <c r="D57" s="31">
        <f t="shared" si="18"/>
        <v>0.82503424393758928</v>
      </c>
      <c r="E57" s="31">
        <f t="shared" si="18"/>
        <v>0.83966641131405217</v>
      </c>
      <c r="F57" s="31">
        <f t="shared" si="18"/>
        <v>0.82803098128167996</v>
      </c>
      <c r="G57" s="31">
        <f t="shared" si="18"/>
        <v>0.82167203377356857</v>
      </c>
      <c r="H57" s="31">
        <f t="shared" si="18"/>
        <v>0.83075774251247148</v>
      </c>
      <c r="I57" s="31">
        <f t="shared" si="18"/>
        <v>0.82335202784096095</v>
      </c>
      <c r="J57" s="31">
        <f t="shared" si="18"/>
        <v>0.83249468648574954</v>
      </c>
      <c r="K57" s="31">
        <f t="shared" si="18"/>
        <v>0.84775932218029504</v>
      </c>
      <c r="L57" s="31">
        <f t="shared" si="18"/>
        <v>0.84068206664892564</v>
      </c>
      <c r="M57" s="31">
        <f t="shared" si="18"/>
        <v>0.83095443556600679</v>
      </c>
      <c r="N57" s="31">
        <f t="shared" si="18"/>
        <v>0.82515465688569556</v>
      </c>
      <c r="O57" s="31">
        <f t="shared" si="18"/>
        <v>0.8161684780104369</v>
      </c>
      <c r="P57" s="31">
        <f t="shared" si="18"/>
        <v>0.80953097692117149</v>
      </c>
      <c r="Q57" s="31">
        <f t="shared" si="18"/>
        <v>0.79985499156603868</v>
      </c>
      <c r="R57" s="31">
        <f t="shared" si="18"/>
        <v>0.84640715636081965</v>
      </c>
      <c r="S57" s="31">
        <f t="shared" si="18"/>
        <v>0.84784026099654375</v>
      </c>
      <c r="T57" s="31">
        <f t="shared" si="18"/>
        <v>0.85321906793465863</v>
      </c>
      <c r="U57" s="31">
        <f t="shared" si="18"/>
        <v>0.85962050581045657</v>
      </c>
      <c r="V57" s="31">
        <f t="shared" si="18"/>
        <v>0.82308071985023046</v>
      </c>
      <c r="W57" s="31">
        <f t="shared" ref="W57:Y57" si="19">IF(W11=0,0,W11/W$10)</f>
        <v>0.81304223401452491</v>
      </c>
      <c r="X57" s="31">
        <f t="shared" si="19"/>
        <v>0.84806182076594927</v>
      </c>
      <c r="Y57" s="31">
        <f t="shared" si="19"/>
        <v>0.83563485170803931</v>
      </c>
      <c r="DA57" s="173"/>
    </row>
    <row r="58" spans="1:105" ht="11.45" customHeight="1" x14ac:dyDescent="0.25">
      <c r="A58" s="107" t="s">
        <v>23</v>
      </c>
      <c r="B58" s="123">
        <f t="shared" si="15"/>
        <v>3.006376117601427E-2</v>
      </c>
      <c r="C58" s="123">
        <f t="shared" ref="C58:V58" si="20">IF(C12=0,0,C12/C$10)</f>
        <v>3.6592936257497918E-2</v>
      </c>
      <c r="D58" s="123">
        <f t="shared" si="20"/>
        <v>3.8093108447282892E-2</v>
      </c>
      <c r="E58" s="123">
        <f t="shared" si="20"/>
        <v>5.5252278164343471E-2</v>
      </c>
      <c r="F58" s="123">
        <f t="shared" si="20"/>
        <v>5.8992265437990299E-2</v>
      </c>
      <c r="G58" s="123">
        <f t="shared" si="20"/>
        <v>6.1644312930520417E-2</v>
      </c>
      <c r="H58" s="123">
        <f t="shared" si="20"/>
        <v>7.1619829091273721E-2</v>
      </c>
      <c r="I58" s="123">
        <f t="shared" si="20"/>
        <v>7.43328061849826E-2</v>
      </c>
      <c r="J58" s="123">
        <f t="shared" si="20"/>
        <v>7.7652284134316768E-2</v>
      </c>
      <c r="K58" s="123">
        <f t="shared" si="20"/>
        <v>8.4216821869500871E-2</v>
      </c>
      <c r="L58" s="123">
        <f t="shared" si="20"/>
        <v>9.097625223211056E-2</v>
      </c>
      <c r="M58" s="123">
        <f t="shared" si="20"/>
        <v>0.10684074124370815</v>
      </c>
      <c r="N58" s="123">
        <f t="shared" si="20"/>
        <v>0.10371083927608164</v>
      </c>
      <c r="O58" s="123">
        <f t="shared" si="20"/>
        <v>0.1209007437549237</v>
      </c>
      <c r="P58" s="123">
        <f t="shared" si="20"/>
        <v>0.12056568688886229</v>
      </c>
      <c r="Q58" s="123">
        <f t="shared" si="20"/>
        <v>0.12364121441415162</v>
      </c>
      <c r="R58" s="123">
        <f t="shared" si="20"/>
        <v>0.1006179090804709</v>
      </c>
      <c r="S58" s="123">
        <f t="shared" si="20"/>
        <v>9.3477915126387146E-2</v>
      </c>
      <c r="T58" s="123">
        <f t="shared" si="20"/>
        <v>9.7318923241012628E-2</v>
      </c>
      <c r="U58" s="123">
        <f t="shared" si="20"/>
        <v>0.10467700824503519</v>
      </c>
      <c r="V58" s="123">
        <f t="shared" si="20"/>
        <v>0.10846455256284104</v>
      </c>
      <c r="W58" s="123">
        <f t="shared" ref="W58:Y58" si="21">IF(W12=0,0,W12/W$10)</f>
        <v>9.3209826662033257E-2</v>
      </c>
      <c r="X58" s="123">
        <f t="shared" si="21"/>
        <v>0.10813614311044056</v>
      </c>
      <c r="Y58" s="123">
        <f t="shared" si="21"/>
        <v>0.10418954331760082</v>
      </c>
      <c r="DA58" s="203"/>
    </row>
    <row r="59" spans="1:105" ht="11.45" customHeight="1" x14ac:dyDescent="0.25">
      <c r="A59" s="109" t="s">
        <v>24</v>
      </c>
      <c r="B59" s="124">
        <f t="shared" si="15"/>
        <v>0.80189787079781705</v>
      </c>
      <c r="C59" s="124">
        <f t="shared" ref="C59:V59" si="22">IF(C13=0,0,C13/C$10)</f>
        <v>0.7860388531445649</v>
      </c>
      <c r="D59" s="124">
        <f t="shared" si="22"/>
        <v>0.78694113549030642</v>
      </c>
      <c r="E59" s="124">
        <f t="shared" si="22"/>
        <v>0.78441413314970876</v>
      </c>
      <c r="F59" s="124">
        <f t="shared" si="22"/>
        <v>0.68870287544925846</v>
      </c>
      <c r="G59" s="124">
        <f t="shared" si="22"/>
        <v>0.6690727313054482</v>
      </c>
      <c r="H59" s="124">
        <f t="shared" si="22"/>
        <v>0.66663109767837414</v>
      </c>
      <c r="I59" s="124">
        <f t="shared" si="22"/>
        <v>0.65194457889347379</v>
      </c>
      <c r="J59" s="124">
        <f t="shared" si="22"/>
        <v>0.65631071231021243</v>
      </c>
      <c r="K59" s="124">
        <f t="shared" si="22"/>
        <v>0.65495621018516115</v>
      </c>
      <c r="L59" s="124">
        <f t="shared" si="22"/>
        <v>0.6361567412129242</v>
      </c>
      <c r="M59" s="124">
        <f t="shared" si="22"/>
        <v>0.59028901415823187</v>
      </c>
      <c r="N59" s="124">
        <f t="shared" si="22"/>
        <v>0.57966574668456772</v>
      </c>
      <c r="O59" s="124">
        <f t="shared" si="22"/>
        <v>0.51924102802749483</v>
      </c>
      <c r="P59" s="124">
        <f t="shared" si="22"/>
        <v>0.51623501808741978</v>
      </c>
      <c r="Q59" s="124">
        <f t="shared" si="22"/>
        <v>0.50824896827630928</v>
      </c>
      <c r="R59" s="124">
        <f t="shared" si="22"/>
        <v>0.61015328374339106</v>
      </c>
      <c r="S59" s="124">
        <f t="shared" si="22"/>
        <v>0.63384983790473837</v>
      </c>
      <c r="T59" s="124">
        <f t="shared" si="22"/>
        <v>0.63933451745276582</v>
      </c>
      <c r="U59" s="124">
        <f t="shared" si="22"/>
        <v>0.63680406649565335</v>
      </c>
      <c r="V59" s="124">
        <f t="shared" si="22"/>
        <v>0.63612939152477366</v>
      </c>
      <c r="W59" s="124">
        <f t="shared" ref="W59:Y59" si="23">IF(W13=0,0,W13/W$10)</f>
        <v>0.6299568346085721</v>
      </c>
      <c r="X59" s="124">
        <f t="shared" si="23"/>
        <v>0.62423229192259377</v>
      </c>
      <c r="Y59" s="124">
        <f t="shared" si="23"/>
        <v>0.6285137805269666</v>
      </c>
      <c r="DA59" s="176"/>
    </row>
    <row r="60" spans="1:105" ht="11.45" customHeight="1" x14ac:dyDescent="0.25">
      <c r="A60" s="111" t="s">
        <v>92</v>
      </c>
      <c r="B60" s="125">
        <f t="shared" si="15"/>
        <v>0.52819424755189803</v>
      </c>
      <c r="C60" s="125">
        <f t="shared" ref="C60:V60" si="24">IF(C14=0,0,C14/C$10)</f>
        <v>0.47439515366640861</v>
      </c>
      <c r="D60" s="125">
        <f t="shared" si="24"/>
        <v>0.40673372952798531</v>
      </c>
      <c r="E60" s="125">
        <f t="shared" si="24"/>
        <v>0.36910836201734032</v>
      </c>
      <c r="F60" s="125">
        <f t="shared" si="24"/>
        <v>0.32834299539726303</v>
      </c>
      <c r="G60" s="125">
        <f t="shared" si="24"/>
        <v>0.30201324739905844</v>
      </c>
      <c r="H60" s="125">
        <f t="shared" si="24"/>
        <v>0.2822202363069734</v>
      </c>
      <c r="I60" s="125">
        <f t="shared" si="24"/>
        <v>0.27613460910886523</v>
      </c>
      <c r="J60" s="125">
        <f t="shared" si="24"/>
        <v>0.27759616628718659</v>
      </c>
      <c r="K60" s="125">
        <f t="shared" si="24"/>
        <v>0.24878183160247236</v>
      </c>
      <c r="L60" s="125">
        <f t="shared" si="24"/>
        <v>0.22588477046774894</v>
      </c>
      <c r="M60" s="125">
        <f t="shared" si="24"/>
        <v>0.22923052290715626</v>
      </c>
      <c r="N60" s="125">
        <f t="shared" si="24"/>
        <v>0.18917837357333547</v>
      </c>
      <c r="O60" s="125">
        <f t="shared" si="24"/>
        <v>0.20695011368465974</v>
      </c>
      <c r="P60" s="125">
        <f t="shared" si="24"/>
        <v>0.2030415980429475</v>
      </c>
      <c r="Q60" s="125">
        <f t="shared" si="24"/>
        <v>0.19365248665380072</v>
      </c>
      <c r="R60" s="125">
        <f t="shared" si="24"/>
        <v>0.15017628946463155</v>
      </c>
      <c r="S60" s="125">
        <f t="shared" si="24"/>
        <v>0.12520273491450096</v>
      </c>
      <c r="T60" s="125">
        <f t="shared" si="24"/>
        <v>0.13187407072785104</v>
      </c>
      <c r="U60" s="125">
        <f t="shared" si="24"/>
        <v>0.12748130147035891</v>
      </c>
      <c r="V60" s="125">
        <f t="shared" si="24"/>
        <v>0.11148853972647421</v>
      </c>
      <c r="W60" s="125">
        <f t="shared" ref="W60:Y60" si="25">IF(W14=0,0,W14/W$10)</f>
        <v>8.2194213704986557E-2</v>
      </c>
      <c r="X60" s="125">
        <f t="shared" si="25"/>
        <v>8.5302359346198162E-2</v>
      </c>
      <c r="Y60" s="125">
        <f t="shared" si="25"/>
        <v>0.10325642205836857</v>
      </c>
      <c r="DA60" s="171"/>
    </row>
    <row r="61" spans="1:105" ht="11.45" customHeight="1" x14ac:dyDescent="0.25">
      <c r="A61" s="111" t="s">
        <v>93</v>
      </c>
      <c r="B61" s="125">
        <f t="shared" si="15"/>
        <v>0.27370362324591901</v>
      </c>
      <c r="C61" s="125">
        <f t="shared" ref="C61:V61" si="26">IF(C15=0,0,C15/C$10)</f>
        <v>0.31164369947815618</v>
      </c>
      <c r="D61" s="125">
        <f t="shared" si="26"/>
        <v>0.38020740596232117</v>
      </c>
      <c r="E61" s="125">
        <f t="shared" si="26"/>
        <v>0.41530577113236844</v>
      </c>
      <c r="F61" s="125">
        <f t="shared" si="26"/>
        <v>0.36035988005199543</v>
      </c>
      <c r="G61" s="125">
        <f t="shared" si="26"/>
        <v>0.36705948390638982</v>
      </c>
      <c r="H61" s="125">
        <f t="shared" si="26"/>
        <v>0.38441086137140063</v>
      </c>
      <c r="I61" s="125">
        <f t="shared" si="26"/>
        <v>0.37580996978460857</v>
      </c>
      <c r="J61" s="125">
        <f t="shared" si="26"/>
        <v>0.37871454602302579</v>
      </c>
      <c r="K61" s="125">
        <f t="shared" si="26"/>
        <v>0.40617437858268884</v>
      </c>
      <c r="L61" s="125">
        <f t="shared" si="26"/>
        <v>0.41027197074517524</v>
      </c>
      <c r="M61" s="125">
        <f t="shared" si="26"/>
        <v>0.36105849125107564</v>
      </c>
      <c r="N61" s="125">
        <f t="shared" si="26"/>
        <v>0.39048737311123233</v>
      </c>
      <c r="O61" s="125">
        <f t="shared" si="26"/>
        <v>0.31229091434283501</v>
      </c>
      <c r="P61" s="125">
        <f t="shared" si="26"/>
        <v>0.31319342004447226</v>
      </c>
      <c r="Q61" s="125">
        <f t="shared" si="26"/>
        <v>0.31459648162250858</v>
      </c>
      <c r="R61" s="125">
        <f t="shared" si="26"/>
        <v>0.45997699427875954</v>
      </c>
      <c r="S61" s="125">
        <f t="shared" si="26"/>
        <v>0.50864710299023741</v>
      </c>
      <c r="T61" s="125">
        <f t="shared" si="26"/>
        <v>0.50746044672491475</v>
      </c>
      <c r="U61" s="125">
        <f t="shared" si="26"/>
        <v>0.5093227650252945</v>
      </c>
      <c r="V61" s="125">
        <f t="shared" si="26"/>
        <v>0.52464085179829945</v>
      </c>
      <c r="W61" s="125">
        <f t="shared" ref="W61:Y61" si="27">IF(W15=0,0,W15/W$10)</f>
        <v>0.54776262090358552</v>
      </c>
      <c r="X61" s="125">
        <f t="shared" si="27"/>
        <v>0.53892993257639554</v>
      </c>
      <c r="Y61" s="125">
        <f t="shared" si="27"/>
        <v>0.525257358468598</v>
      </c>
      <c r="DA61" s="171"/>
    </row>
    <row r="62" spans="1:105" ht="11.45" customHeight="1" x14ac:dyDescent="0.25">
      <c r="A62" s="112" t="s">
        <v>25</v>
      </c>
      <c r="B62" s="126">
        <f t="shared" si="15"/>
        <v>0</v>
      </c>
      <c r="C62" s="126">
        <f t="shared" ref="C62:V62" si="28">IF(C16=0,0,C16/C$10)</f>
        <v>0</v>
      </c>
      <c r="D62" s="126">
        <f t="shared" si="28"/>
        <v>0</v>
      </c>
      <c r="E62" s="126">
        <f t="shared" si="28"/>
        <v>0</v>
      </c>
      <c r="F62" s="126">
        <f t="shared" si="28"/>
        <v>8.0335840394431243E-2</v>
      </c>
      <c r="G62" s="126">
        <f t="shared" si="28"/>
        <v>9.0954989537599895E-2</v>
      </c>
      <c r="H62" s="126">
        <f t="shared" si="28"/>
        <v>9.2506815742823656E-2</v>
      </c>
      <c r="I62" s="126">
        <f t="shared" si="28"/>
        <v>9.7074642762504562E-2</v>
      </c>
      <c r="J62" s="126">
        <f t="shared" si="28"/>
        <v>9.8531690041220379E-2</v>
      </c>
      <c r="K62" s="126">
        <f t="shared" si="28"/>
        <v>0.10858629012563302</v>
      </c>
      <c r="L62" s="126">
        <f t="shared" si="28"/>
        <v>0.11354907320389089</v>
      </c>
      <c r="M62" s="126">
        <f t="shared" si="28"/>
        <v>0.13382468016406662</v>
      </c>
      <c r="N62" s="126">
        <f t="shared" si="28"/>
        <v>0.14177807092504624</v>
      </c>
      <c r="O62" s="126">
        <f t="shared" si="28"/>
        <v>0.1760267062280185</v>
      </c>
      <c r="P62" s="126">
        <f t="shared" si="28"/>
        <v>0.17273027194488941</v>
      </c>
      <c r="Q62" s="126">
        <f t="shared" si="28"/>
        <v>0.16796480887557766</v>
      </c>
      <c r="R62" s="126">
        <f t="shared" si="28"/>
        <v>0.13563596353695756</v>
      </c>
      <c r="S62" s="126">
        <f t="shared" si="28"/>
        <v>0.12051250796541825</v>
      </c>
      <c r="T62" s="126">
        <f t="shared" si="28"/>
        <v>0.11656562724088014</v>
      </c>
      <c r="U62" s="126">
        <f t="shared" si="28"/>
        <v>0.11813943106976799</v>
      </c>
      <c r="V62" s="126">
        <f t="shared" si="28"/>
        <v>7.8486775762615785E-2</v>
      </c>
      <c r="W62" s="126">
        <f t="shared" ref="W62:Y62" si="29">IF(W16=0,0,W16/W$10)</f>
        <v>8.9875572743919635E-2</v>
      </c>
      <c r="X62" s="126">
        <f t="shared" si="29"/>
        <v>0.11569338573291491</v>
      </c>
      <c r="Y62" s="126">
        <f t="shared" si="29"/>
        <v>0.1029315278634718</v>
      </c>
      <c r="DA62" s="204"/>
    </row>
    <row r="63" spans="1:105" ht="11.45" customHeight="1" x14ac:dyDescent="0.25">
      <c r="A63" s="27" t="s">
        <v>34</v>
      </c>
      <c r="B63" s="31">
        <f t="shared" si="15"/>
        <v>0.16803836802616862</v>
      </c>
      <c r="C63" s="31">
        <f t="shared" ref="C63:V63" si="30">IF(C17=0,0,C17/C$10)</f>
        <v>0.17736821059793717</v>
      </c>
      <c r="D63" s="31">
        <f t="shared" si="30"/>
        <v>0.17496575606241072</v>
      </c>
      <c r="E63" s="31">
        <f t="shared" si="30"/>
        <v>0.16033358868594791</v>
      </c>
      <c r="F63" s="31">
        <f t="shared" si="30"/>
        <v>0.17196901871831999</v>
      </c>
      <c r="G63" s="31">
        <f t="shared" si="30"/>
        <v>0.17832796622643141</v>
      </c>
      <c r="H63" s="31">
        <f t="shared" si="30"/>
        <v>0.16924225748752858</v>
      </c>
      <c r="I63" s="31">
        <f t="shared" si="30"/>
        <v>0.1766479721590391</v>
      </c>
      <c r="J63" s="31">
        <f t="shared" si="30"/>
        <v>0.16750531351425049</v>
      </c>
      <c r="K63" s="31">
        <f t="shared" si="30"/>
        <v>0.15224067781970493</v>
      </c>
      <c r="L63" s="31">
        <f t="shared" si="30"/>
        <v>0.15931793335107444</v>
      </c>
      <c r="M63" s="31">
        <f t="shared" si="30"/>
        <v>0.16904556443399316</v>
      </c>
      <c r="N63" s="31">
        <f t="shared" si="30"/>
        <v>0.17484534311430441</v>
      </c>
      <c r="O63" s="31">
        <f t="shared" si="30"/>
        <v>0.1838315219895631</v>
      </c>
      <c r="P63" s="31">
        <f t="shared" si="30"/>
        <v>0.19046902307882849</v>
      </c>
      <c r="Q63" s="31">
        <f t="shared" si="30"/>
        <v>0.20014500843396144</v>
      </c>
      <c r="R63" s="31">
        <f t="shared" si="30"/>
        <v>0.15359284363918041</v>
      </c>
      <c r="S63" s="31">
        <f t="shared" si="30"/>
        <v>0.15215973900345617</v>
      </c>
      <c r="T63" s="31">
        <f t="shared" si="30"/>
        <v>0.14678093206534135</v>
      </c>
      <c r="U63" s="31">
        <f t="shared" si="30"/>
        <v>0.14037949418954349</v>
      </c>
      <c r="V63" s="31">
        <f t="shared" si="30"/>
        <v>0.17691928014976954</v>
      </c>
      <c r="W63" s="31">
        <f t="shared" ref="W63:Y63" si="31">IF(W17=0,0,W17/W$10)</f>
        <v>0.18695776598547501</v>
      </c>
      <c r="X63" s="31">
        <f t="shared" si="31"/>
        <v>0.15193817923405073</v>
      </c>
      <c r="Y63" s="31">
        <f t="shared" si="31"/>
        <v>0.16436514829196069</v>
      </c>
      <c r="DA63" s="173"/>
    </row>
    <row r="64" spans="1:105" ht="11.45" customHeight="1" x14ac:dyDescent="0.25">
      <c r="A64" s="83" t="s">
        <v>92</v>
      </c>
      <c r="B64" s="125">
        <f t="shared" si="15"/>
        <v>0.12365068418069568</v>
      </c>
      <c r="C64" s="125">
        <f t="shared" ref="C64:V64" si="32">IF(C18=0,0,C18/C$10)</f>
        <v>0.11102123072440243</v>
      </c>
      <c r="D64" s="125">
        <f t="shared" si="32"/>
        <v>9.9432583084358914E-2</v>
      </c>
      <c r="E64" s="125">
        <f t="shared" si="32"/>
        <v>8.4466202443903085E-2</v>
      </c>
      <c r="F64" s="125">
        <f t="shared" si="32"/>
        <v>8.3552185058391501E-2</v>
      </c>
      <c r="G64" s="125">
        <f t="shared" si="32"/>
        <v>8.7302100063689186E-2</v>
      </c>
      <c r="H64" s="125">
        <f t="shared" si="32"/>
        <v>7.8518286873176205E-2</v>
      </c>
      <c r="I64" s="125">
        <f t="shared" si="32"/>
        <v>8.9201259482524511E-2</v>
      </c>
      <c r="J64" s="125">
        <f t="shared" si="32"/>
        <v>7.6097948209377139E-2</v>
      </c>
      <c r="K64" s="125">
        <f t="shared" si="32"/>
        <v>5.9241091033630781E-2</v>
      </c>
      <c r="L64" s="125">
        <f t="shared" si="32"/>
        <v>6.1020865379730026E-2</v>
      </c>
      <c r="M64" s="125">
        <f t="shared" si="32"/>
        <v>7.0331300166817962E-2</v>
      </c>
      <c r="N64" s="125">
        <f t="shared" si="32"/>
        <v>6.4278007638457216E-2</v>
      </c>
      <c r="O64" s="125">
        <f t="shared" si="32"/>
        <v>8.3354277678441849E-2</v>
      </c>
      <c r="P64" s="125">
        <f t="shared" si="32"/>
        <v>8.5161391987068527E-2</v>
      </c>
      <c r="Q64" s="125">
        <f t="shared" si="32"/>
        <v>9.1114967404428648E-2</v>
      </c>
      <c r="R64" s="125">
        <f t="shared" si="32"/>
        <v>5.1955590775519915E-2</v>
      </c>
      <c r="S64" s="125">
        <f t="shared" si="32"/>
        <v>7.2005915210085827E-2</v>
      </c>
      <c r="T64" s="125">
        <f t="shared" si="32"/>
        <v>6.0523754622951835E-2</v>
      </c>
      <c r="U64" s="125">
        <f t="shared" si="32"/>
        <v>6.8891288055514435E-2</v>
      </c>
      <c r="V64" s="125">
        <f t="shared" si="32"/>
        <v>8.8056910422946985E-2</v>
      </c>
      <c r="W64" s="125">
        <f t="shared" ref="W64:Y64" si="33">IF(W18=0,0,W18/W$10)</f>
        <v>0.10322753753572511</v>
      </c>
      <c r="X64" s="125">
        <f t="shared" si="33"/>
        <v>7.7449697676204007E-2</v>
      </c>
      <c r="Y64" s="125">
        <f t="shared" si="33"/>
        <v>6.9682185042751366E-2</v>
      </c>
      <c r="DA64" s="171"/>
    </row>
    <row r="65" spans="1:105" ht="11.45" customHeight="1" x14ac:dyDescent="0.25">
      <c r="A65" s="85" t="s">
        <v>93</v>
      </c>
      <c r="B65" s="127">
        <f t="shared" si="15"/>
        <v>4.438768384547296E-2</v>
      </c>
      <c r="C65" s="127">
        <f t="shared" ref="C65:V65" si="34">IF(C19=0,0,C19/C$10)</f>
        <v>6.6346979873534745E-2</v>
      </c>
      <c r="D65" s="127">
        <f t="shared" si="34"/>
        <v>7.5533172978051802E-2</v>
      </c>
      <c r="E65" s="127">
        <f t="shared" si="34"/>
        <v>7.5867386242044824E-2</v>
      </c>
      <c r="F65" s="127">
        <f t="shared" si="34"/>
        <v>8.8416833659928473E-2</v>
      </c>
      <c r="G65" s="127">
        <f t="shared" si="34"/>
        <v>9.1025866162742219E-2</v>
      </c>
      <c r="H65" s="127">
        <f t="shared" si="34"/>
        <v>9.0723970614352376E-2</v>
      </c>
      <c r="I65" s="127">
        <f t="shared" si="34"/>
        <v>8.744671267651459E-2</v>
      </c>
      <c r="J65" s="127">
        <f t="shared" si="34"/>
        <v>9.1407365304873325E-2</v>
      </c>
      <c r="K65" s="127">
        <f t="shared" si="34"/>
        <v>9.2999586786074159E-2</v>
      </c>
      <c r="L65" s="127">
        <f t="shared" si="34"/>
        <v>9.829706797134441E-2</v>
      </c>
      <c r="M65" s="127">
        <f t="shared" si="34"/>
        <v>9.8714264267175222E-2</v>
      </c>
      <c r="N65" s="127">
        <f t="shared" si="34"/>
        <v>0.11056733547584718</v>
      </c>
      <c r="O65" s="127">
        <f t="shared" si="34"/>
        <v>0.10047724431112125</v>
      </c>
      <c r="P65" s="127">
        <f t="shared" si="34"/>
        <v>0.10530763109175995</v>
      </c>
      <c r="Q65" s="127">
        <f t="shared" si="34"/>
        <v>0.10903004102953277</v>
      </c>
      <c r="R65" s="127">
        <f t="shared" si="34"/>
        <v>0.1016372528636605</v>
      </c>
      <c r="S65" s="127">
        <f t="shared" si="34"/>
        <v>8.0153823793370327E-2</v>
      </c>
      <c r="T65" s="127">
        <f t="shared" si="34"/>
        <v>8.6257177442389532E-2</v>
      </c>
      <c r="U65" s="127">
        <f t="shared" si="34"/>
        <v>7.148820613402905E-2</v>
      </c>
      <c r="V65" s="127">
        <f t="shared" si="34"/>
        <v>8.8862369726822557E-2</v>
      </c>
      <c r="W65" s="127">
        <f t="shared" ref="W65:Y65" si="35">IF(W19=0,0,W19/W$10)</f>
        <v>8.3730228449749894E-2</v>
      </c>
      <c r="X65" s="127">
        <f t="shared" si="35"/>
        <v>7.4488481557846722E-2</v>
      </c>
      <c r="Y65" s="127">
        <f t="shared" si="35"/>
        <v>9.4682963249209356E-2</v>
      </c>
      <c r="DA65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 B13:Y1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DA68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1136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20" t="s">
        <v>45</v>
      </c>
      <c r="B4" s="26">
        <f>SUM(B5:B6)</f>
        <v>179.80210872000004</v>
      </c>
      <c r="C4" s="26">
        <f t="shared" ref="C4:W4" si="0">SUM(C5:C6)</f>
        <v>134.85171492000001</v>
      </c>
      <c r="D4" s="26">
        <f t="shared" si="0"/>
        <v>112.37638464000001</v>
      </c>
      <c r="E4" s="26">
        <f t="shared" si="0"/>
        <v>96.322501079999995</v>
      </c>
      <c r="F4" s="26">
        <f t="shared" si="0"/>
        <v>86.690331000000015</v>
      </c>
      <c r="G4" s="26">
        <f t="shared" si="0"/>
        <v>80.268884280000009</v>
      </c>
      <c r="H4" s="26">
        <f t="shared" si="0"/>
        <v>76.471288919999992</v>
      </c>
      <c r="I4" s="26">
        <f t="shared" si="0"/>
        <v>76.471288919999992</v>
      </c>
      <c r="J4" s="26">
        <f t="shared" si="0"/>
        <v>73.284840720000005</v>
      </c>
      <c r="K4" s="26">
        <f t="shared" si="0"/>
        <v>57.353400000000015</v>
      </c>
      <c r="L4" s="26">
        <f t="shared" si="0"/>
        <v>50.980770360000015</v>
      </c>
      <c r="M4" s="26">
        <f t="shared" si="0"/>
        <v>44.608140720000016</v>
      </c>
      <c r="N4" s="26">
        <f t="shared" si="0"/>
        <v>35.049329639999996</v>
      </c>
      <c r="O4" s="26">
        <f t="shared" si="0"/>
        <v>31.862881439999988</v>
      </c>
      <c r="P4" s="26">
        <f t="shared" si="0"/>
        <v>31.862881439999988</v>
      </c>
      <c r="Q4" s="26">
        <f t="shared" si="0"/>
        <v>31.862881439999988</v>
      </c>
      <c r="R4" s="26">
        <f t="shared" si="0"/>
        <v>28.6767</v>
      </c>
      <c r="S4" s="26">
        <f t="shared" si="0"/>
        <v>31.267206359999992</v>
      </c>
      <c r="T4" s="26">
        <f t="shared" si="0"/>
        <v>30.464258759999996</v>
      </c>
      <c r="U4" s="26">
        <f t="shared" si="0"/>
        <v>31.063134959999999</v>
      </c>
      <c r="V4" s="26">
        <f t="shared" si="0"/>
        <v>27.52002864</v>
      </c>
      <c r="W4" s="26">
        <f t="shared" si="0"/>
        <v>27.258870600000002</v>
      </c>
      <c r="X4" s="26">
        <f t="shared" ref="X4:Y4" si="1">SUM(X5:X6)</f>
        <v>23.438333880000002</v>
      </c>
      <c r="Y4" s="26">
        <f t="shared" si="1"/>
        <v>27.080408160000005</v>
      </c>
      <c r="DA4" s="202" t="s">
        <v>1137</v>
      </c>
    </row>
    <row r="5" spans="1:105" ht="11.45" customHeight="1" x14ac:dyDescent="0.25">
      <c r="A5" s="107" t="s">
        <v>92</v>
      </c>
      <c r="B5" s="129">
        <v>179.80210872000004</v>
      </c>
      <c r="C5" s="129">
        <v>134.85171492000001</v>
      </c>
      <c r="D5" s="129">
        <v>112.37638464000001</v>
      </c>
      <c r="E5" s="129">
        <v>96.322501079999995</v>
      </c>
      <c r="F5" s="129">
        <v>86.690331000000015</v>
      </c>
      <c r="G5" s="129">
        <v>80.268884280000009</v>
      </c>
      <c r="H5" s="129">
        <v>76.471288919999992</v>
      </c>
      <c r="I5" s="129">
        <v>76.471288919999992</v>
      </c>
      <c r="J5" s="129">
        <v>73.284840720000005</v>
      </c>
      <c r="K5" s="129">
        <v>57.353400000000015</v>
      </c>
      <c r="L5" s="129">
        <v>50.980770360000015</v>
      </c>
      <c r="M5" s="129">
        <v>44.608140720000016</v>
      </c>
      <c r="N5" s="129">
        <v>35.049329639999996</v>
      </c>
      <c r="O5" s="129">
        <v>31.862881439999988</v>
      </c>
      <c r="P5" s="129">
        <v>31.862881439999988</v>
      </c>
      <c r="Q5" s="129">
        <v>31.862881439999988</v>
      </c>
      <c r="R5" s="129">
        <v>28.6767</v>
      </c>
      <c r="S5" s="129">
        <v>31.267206359999992</v>
      </c>
      <c r="T5" s="129">
        <v>30.464258759999996</v>
      </c>
      <c r="U5" s="129">
        <v>31.063134959999999</v>
      </c>
      <c r="V5" s="129">
        <v>27.52002864</v>
      </c>
      <c r="W5" s="129">
        <v>27.258870600000002</v>
      </c>
      <c r="X5" s="129">
        <v>23.438333880000002</v>
      </c>
      <c r="Y5" s="129">
        <v>27.080408160000005</v>
      </c>
      <c r="DA5" s="203" t="s">
        <v>1138</v>
      </c>
    </row>
    <row r="6" spans="1:105" ht="11.45" customHeight="1" x14ac:dyDescent="0.25">
      <c r="A6" s="85" t="s">
        <v>91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178" t="s">
        <v>1139</v>
      </c>
    </row>
    <row r="7" spans="1:105" x14ac:dyDescent="0.25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DA7" s="171"/>
    </row>
    <row r="8" spans="1:105" ht="11.45" customHeight="1" x14ac:dyDescent="0.25">
      <c r="A8" s="53" t="s">
        <v>47</v>
      </c>
      <c r="B8" s="79">
        <f t="shared" ref="B8:W8" si="2">SUM(B9,B15)</f>
        <v>179.80210872000004</v>
      </c>
      <c r="C8" s="79">
        <f t="shared" si="2"/>
        <v>134.85171492000001</v>
      </c>
      <c r="D8" s="79">
        <f t="shared" si="2"/>
        <v>112.37638464000001</v>
      </c>
      <c r="E8" s="79">
        <f t="shared" si="2"/>
        <v>96.322501079999995</v>
      </c>
      <c r="F8" s="79">
        <f t="shared" si="2"/>
        <v>86.690331000000029</v>
      </c>
      <c r="G8" s="79">
        <f t="shared" si="2"/>
        <v>80.268884280000009</v>
      </c>
      <c r="H8" s="79">
        <f t="shared" si="2"/>
        <v>76.471288919999978</v>
      </c>
      <c r="I8" s="79">
        <f t="shared" si="2"/>
        <v>76.471288919999992</v>
      </c>
      <c r="J8" s="79">
        <f t="shared" si="2"/>
        <v>73.284840720000005</v>
      </c>
      <c r="K8" s="79">
        <f t="shared" si="2"/>
        <v>57.353400000000001</v>
      </c>
      <c r="L8" s="79">
        <f t="shared" si="2"/>
        <v>50.980770360000008</v>
      </c>
      <c r="M8" s="79">
        <f t="shared" si="2"/>
        <v>44.608140720000023</v>
      </c>
      <c r="N8" s="79">
        <f t="shared" si="2"/>
        <v>35.049329639999996</v>
      </c>
      <c r="O8" s="79">
        <f t="shared" si="2"/>
        <v>31.862881439999988</v>
      </c>
      <c r="P8" s="79">
        <f t="shared" si="2"/>
        <v>31.862881439999988</v>
      </c>
      <c r="Q8" s="79">
        <f t="shared" si="2"/>
        <v>31.862881439999988</v>
      </c>
      <c r="R8" s="79">
        <f t="shared" si="2"/>
        <v>28.676700000000004</v>
      </c>
      <c r="S8" s="79">
        <f t="shared" si="2"/>
        <v>31.267206359999992</v>
      </c>
      <c r="T8" s="79">
        <f t="shared" si="2"/>
        <v>30.46425876</v>
      </c>
      <c r="U8" s="79">
        <f t="shared" si="2"/>
        <v>31.063134959999999</v>
      </c>
      <c r="V8" s="79">
        <f t="shared" si="2"/>
        <v>27.52002864</v>
      </c>
      <c r="W8" s="79">
        <f t="shared" si="2"/>
        <v>27.258870600000005</v>
      </c>
      <c r="X8" s="79">
        <f t="shared" ref="X8:Y8" si="3">SUM(X9,X15)</f>
        <v>23.438333880000002</v>
      </c>
      <c r="Y8" s="79">
        <f t="shared" si="3"/>
        <v>27.080408160000005</v>
      </c>
      <c r="DA8" s="172" t="s">
        <v>1140</v>
      </c>
    </row>
    <row r="9" spans="1:105" ht="11.45" customHeight="1" x14ac:dyDescent="0.25">
      <c r="A9" s="27" t="s">
        <v>33</v>
      </c>
      <c r="B9" s="32">
        <f t="shared" ref="B9:W9" si="4">SUM(B10,B11,B14)</f>
        <v>145.69483461530496</v>
      </c>
      <c r="C9" s="32">
        <f t="shared" si="4"/>
        <v>109.27777514840645</v>
      </c>
      <c r="D9" s="32">
        <f t="shared" si="4"/>
        <v>90.300885097630484</v>
      </c>
      <c r="E9" s="32">
        <f t="shared" si="4"/>
        <v>78.384996392561661</v>
      </c>
      <c r="F9" s="32">
        <f t="shared" si="4"/>
        <v>69.105355690328906</v>
      </c>
      <c r="G9" s="32">
        <f t="shared" si="4"/>
        <v>62.268971836055613</v>
      </c>
      <c r="H9" s="32">
        <f t="shared" si="4"/>
        <v>59.826560910223336</v>
      </c>
      <c r="I9" s="32">
        <f t="shared" si="4"/>
        <v>57.799880300263972</v>
      </c>
      <c r="J9" s="32">
        <f t="shared" si="4"/>
        <v>57.5174705968616</v>
      </c>
      <c r="K9" s="32">
        <f t="shared" si="4"/>
        <v>46.322798895996321</v>
      </c>
      <c r="L9" s="32">
        <f t="shared" si="4"/>
        <v>40.137864761776548</v>
      </c>
      <c r="M9" s="32">
        <f t="shared" si="4"/>
        <v>34.135015330830406</v>
      </c>
      <c r="N9" s="32">
        <f t="shared" si="4"/>
        <v>26.160616451752585</v>
      </c>
      <c r="O9" s="32">
        <f t="shared" si="4"/>
        <v>22.714182535672624</v>
      </c>
      <c r="P9" s="32">
        <f t="shared" si="4"/>
        <v>22.447686490541891</v>
      </c>
      <c r="Q9" s="32">
        <f t="shared" si="4"/>
        <v>21.667947424741598</v>
      </c>
      <c r="R9" s="32">
        <f t="shared" si="4"/>
        <v>21.305696038516071</v>
      </c>
      <c r="S9" s="32">
        <f t="shared" si="4"/>
        <v>19.850750699499926</v>
      </c>
      <c r="T9" s="32">
        <f t="shared" si="4"/>
        <v>20.880931512935266</v>
      </c>
      <c r="U9" s="32">
        <f t="shared" si="4"/>
        <v>20.16558870059843</v>
      </c>
      <c r="V9" s="32">
        <f t="shared" si="4"/>
        <v>15.375784333879224</v>
      </c>
      <c r="W9" s="32">
        <f t="shared" si="4"/>
        <v>12.083379757018717</v>
      </c>
      <c r="X9" s="32">
        <f t="shared" ref="X9:Y9" si="5">SUM(X10,X11,X14)</f>
        <v>12.28460773821574</v>
      </c>
      <c r="Y9" s="32">
        <f t="shared" si="5"/>
        <v>16.168894276145355</v>
      </c>
      <c r="DA9" s="173" t="s">
        <v>407</v>
      </c>
    </row>
    <row r="10" spans="1:105" ht="11.45" customHeight="1" x14ac:dyDescent="0.25">
      <c r="A10" s="107" t="s">
        <v>23</v>
      </c>
      <c r="B10" s="129">
        <v>0</v>
      </c>
      <c r="C10" s="129">
        <v>0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0</v>
      </c>
      <c r="J10" s="129">
        <v>0</v>
      </c>
      <c r="K10" s="129">
        <v>0</v>
      </c>
      <c r="L10" s="129">
        <v>0</v>
      </c>
      <c r="M10" s="129">
        <v>0</v>
      </c>
      <c r="N10" s="129">
        <v>0</v>
      </c>
      <c r="O10" s="129">
        <v>0</v>
      </c>
      <c r="P10" s="129">
        <v>0</v>
      </c>
      <c r="Q10" s="129">
        <v>0</v>
      </c>
      <c r="R10" s="129">
        <v>0</v>
      </c>
      <c r="S10" s="129">
        <v>0</v>
      </c>
      <c r="T10" s="129">
        <v>0</v>
      </c>
      <c r="U10" s="129">
        <v>0</v>
      </c>
      <c r="V10" s="129">
        <v>0</v>
      </c>
      <c r="W10" s="129">
        <v>0</v>
      </c>
      <c r="X10" s="129">
        <v>0</v>
      </c>
      <c r="Y10" s="129">
        <v>0</v>
      </c>
      <c r="DA10" s="203" t="s">
        <v>408</v>
      </c>
    </row>
    <row r="11" spans="1:105" ht="11.45" customHeight="1" x14ac:dyDescent="0.25">
      <c r="A11" s="109" t="s">
        <v>24</v>
      </c>
      <c r="B11" s="130">
        <f t="shared" ref="B11:W11" si="6">SUM(B12:B13)</f>
        <v>145.69483461530496</v>
      </c>
      <c r="C11" s="130">
        <f t="shared" si="6"/>
        <v>109.27777514840645</v>
      </c>
      <c r="D11" s="130">
        <f t="shared" si="6"/>
        <v>90.300885097630484</v>
      </c>
      <c r="E11" s="130">
        <f t="shared" si="6"/>
        <v>78.384996392561661</v>
      </c>
      <c r="F11" s="130">
        <f t="shared" si="6"/>
        <v>69.105355690328906</v>
      </c>
      <c r="G11" s="130">
        <f t="shared" si="6"/>
        <v>62.268971836055613</v>
      </c>
      <c r="H11" s="130">
        <f t="shared" si="6"/>
        <v>59.826560910223336</v>
      </c>
      <c r="I11" s="130">
        <f t="shared" si="6"/>
        <v>57.799880300263972</v>
      </c>
      <c r="J11" s="130">
        <f t="shared" si="6"/>
        <v>57.5174705968616</v>
      </c>
      <c r="K11" s="130">
        <f t="shared" si="6"/>
        <v>46.322798895996321</v>
      </c>
      <c r="L11" s="130">
        <f t="shared" si="6"/>
        <v>40.137864761776548</v>
      </c>
      <c r="M11" s="130">
        <f t="shared" si="6"/>
        <v>34.135015330830406</v>
      </c>
      <c r="N11" s="130">
        <f t="shared" si="6"/>
        <v>26.160616451752585</v>
      </c>
      <c r="O11" s="130">
        <f t="shared" si="6"/>
        <v>22.714182535672624</v>
      </c>
      <c r="P11" s="130">
        <f t="shared" si="6"/>
        <v>22.447686490541891</v>
      </c>
      <c r="Q11" s="130">
        <f t="shared" si="6"/>
        <v>21.667947424741598</v>
      </c>
      <c r="R11" s="130">
        <f t="shared" si="6"/>
        <v>21.305696038516071</v>
      </c>
      <c r="S11" s="130">
        <f t="shared" si="6"/>
        <v>19.850750699499926</v>
      </c>
      <c r="T11" s="130">
        <f t="shared" si="6"/>
        <v>20.880931512935266</v>
      </c>
      <c r="U11" s="130">
        <f t="shared" si="6"/>
        <v>20.16558870059843</v>
      </c>
      <c r="V11" s="130">
        <f t="shared" si="6"/>
        <v>15.375784333879224</v>
      </c>
      <c r="W11" s="130">
        <f t="shared" si="6"/>
        <v>12.083379757018717</v>
      </c>
      <c r="X11" s="130">
        <f t="shared" ref="X11:Y11" si="7">SUM(X12:X13)</f>
        <v>12.28460773821574</v>
      </c>
      <c r="Y11" s="130">
        <f t="shared" si="7"/>
        <v>16.168894276145355</v>
      </c>
      <c r="DA11" s="176" t="s">
        <v>409</v>
      </c>
    </row>
    <row r="12" spans="1:105" ht="11.45" customHeight="1" x14ac:dyDescent="0.25">
      <c r="A12" s="111" t="s">
        <v>92</v>
      </c>
      <c r="B12" s="96">
        <v>145.69483461530496</v>
      </c>
      <c r="C12" s="96">
        <v>109.27777514840645</v>
      </c>
      <c r="D12" s="96">
        <v>90.300885097630484</v>
      </c>
      <c r="E12" s="96">
        <v>78.384996392561661</v>
      </c>
      <c r="F12" s="96">
        <v>69.105355690328906</v>
      </c>
      <c r="G12" s="96">
        <v>62.268971836055613</v>
      </c>
      <c r="H12" s="96">
        <v>59.826560910223336</v>
      </c>
      <c r="I12" s="96">
        <v>57.799880300263972</v>
      </c>
      <c r="J12" s="96">
        <v>57.5174705968616</v>
      </c>
      <c r="K12" s="96">
        <v>46.322798895996321</v>
      </c>
      <c r="L12" s="96">
        <v>40.137864761776548</v>
      </c>
      <c r="M12" s="96">
        <v>34.135015330830406</v>
      </c>
      <c r="N12" s="96">
        <v>26.160616451752585</v>
      </c>
      <c r="O12" s="96">
        <v>22.714182535672624</v>
      </c>
      <c r="P12" s="96">
        <v>22.447686490541891</v>
      </c>
      <c r="Q12" s="96">
        <v>21.667947424741598</v>
      </c>
      <c r="R12" s="96">
        <v>21.305696038516071</v>
      </c>
      <c r="S12" s="96">
        <v>19.850750699499926</v>
      </c>
      <c r="T12" s="96">
        <v>20.880931512935266</v>
      </c>
      <c r="U12" s="96">
        <v>20.16558870059843</v>
      </c>
      <c r="V12" s="96">
        <v>15.375784333879224</v>
      </c>
      <c r="W12" s="96">
        <v>12.083379757018717</v>
      </c>
      <c r="X12" s="96">
        <v>12.28460773821574</v>
      </c>
      <c r="Y12" s="96">
        <v>16.168894276145355</v>
      </c>
      <c r="DA12" s="171" t="s">
        <v>1141</v>
      </c>
    </row>
    <row r="13" spans="1:105" ht="11.45" customHeight="1" x14ac:dyDescent="0.25">
      <c r="A13" s="111" t="s">
        <v>93</v>
      </c>
      <c r="B13" s="96">
        <v>0</v>
      </c>
      <c r="C13" s="96">
        <v>0</v>
      </c>
      <c r="D13" s="96">
        <v>0</v>
      </c>
      <c r="E13" s="96">
        <v>0</v>
      </c>
      <c r="F13" s="96">
        <v>0</v>
      </c>
      <c r="G13" s="96">
        <v>0</v>
      </c>
      <c r="H13" s="96">
        <v>0</v>
      </c>
      <c r="I13" s="96">
        <v>0</v>
      </c>
      <c r="J13" s="96">
        <v>0</v>
      </c>
      <c r="K13" s="96">
        <v>0</v>
      </c>
      <c r="L13" s="96">
        <v>0</v>
      </c>
      <c r="M13" s="96">
        <v>0</v>
      </c>
      <c r="N13" s="96">
        <v>0</v>
      </c>
      <c r="O13" s="96">
        <v>0</v>
      </c>
      <c r="P13" s="96">
        <v>0</v>
      </c>
      <c r="Q13" s="96">
        <v>0</v>
      </c>
      <c r="R13" s="96">
        <v>0</v>
      </c>
      <c r="S13" s="96">
        <v>0</v>
      </c>
      <c r="T13" s="96">
        <v>0</v>
      </c>
      <c r="U13" s="96">
        <v>0</v>
      </c>
      <c r="V13" s="96">
        <v>0</v>
      </c>
      <c r="W13" s="96">
        <v>0</v>
      </c>
      <c r="X13" s="96">
        <v>0</v>
      </c>
      <c r="Y13" s="96">
        <v>0</v>
      </c>
      <c r="DA13" s="171" t="s">
        <v>1142</v>
      </c>
    </row>
    <row r="14" spans="1:105" ht="11.45" customHeight="1" x14ac:dyDescent="0.25">
      <c r="A14" s="112" t="s">
        <v>25</v>
      </c>
      <c r="B14" s="131">
        <v>0</v>
      </c>
      <c r="C14" s="131">
        <v>0</v>
      </c>
      <c r="D14" s="131">
        <v>0</v>
      </c>
      <c r="E14" s="131">
        <v>0</v>
      </c>
      <c r="F14" s="131">
        <v>0</v>
      </c>
      <c r="G14" s="131">
        <v>0</v>
      </c>
      <c r="H14" s="131">
        <v>0</v>
      </c>
      <c r="I14" s="131">
        <v>0</v>
      </c>
      <c r="J14" s="131">
        <v>0</v>
      </c>
      <c r="K14" s="131">
        <v>0</v>
      </c>
      <c r="L14" s="131">
        <v>0</v>
      </c>
      <c r="M14" s="131">
        <v>0</v>
      </c>
      <c r="N14" s="131">
        <v>0</v>
      </c>
      <c r="O14" s="131">
        <v>0</v>
      </c>
      <c r="P14" s="131">
        <v>0</v>
      </c>
      <c r="Q14" s="131">
        <v>0</v>
      </c>
      <c r="R14" s="131">
        <v>0</v>
      </c>
      <c r="S14" s="131">
        <v>0</v>
      </c>
      <c r="T14" s="131">
        <v>0</v>
      </c>
      <c r="U14" s="131">
        <v>0</v>
      </c>
      <c r="V14" s="131">
        <v>0</v>
      </c>
      <c r="W14" s="131">
        <v>0</v>
      </c>
      <c r="X14" s="131">
        <v>0</v>
      </c>
      <c r="Y14" s="131">
        <v>0</v>
      </c>
      <c r="DA14" s="204" t="s">
        <v>410</v>
      </c>
    </row>
    <row r="15" spans="1:105" ht="11.45" customHeight="1" x14ac:dyDescent="0.25">
      <c r="A15" s="27" t="s">
        <v>34</v>
      </c>
      <c r="B15" s="32">
        <f t="shared" ref="B15:W15" si="8">SUM(B16:B17)</f>
        <v>34.107274104695094</v>
      </c>
      <c r="C15" s="32">
        <f t="shared" si="8"/>
        <v>25.573939771593555</v>
      </c>
      <c r="D15" s="32">
        <f t="shared" si="8"/>
        <v>22.075499542369528</v>
      </c>
      <c r="E15" s="32">
        <f t="shared" si="8"/>
        <v>17.937504687438331</v>
      </c>
      <c r="F15" s="32">
        <f t="shared" si="8"/>
        <v>17.584975309671119</v>
      </c>
      <c r="G15" s="32">
        <f t="shared" si="8"/>
        <v>17.999912443944403</v>
      </c>
      <c r="H15" s="32">
        <f t="shared" si="8"/>
        <v>16.644728009776649</v>
      </c>
      <c r="I15" s="32">
        <f t="shared" si="8"/>
        <v>18.671408619736017</v>
      </c>
      <c r="J15" s="32">
        <f t="shared" si="8"/>
        <v>15.767370123138406</v>
      </c>
      <c r="K15" s="32">
        <f t="shared" si="8"/>
        <v>11.030601104003681</v>
      </c>
      <c r="L15" s="32">
        <f t="shared" si="8"/>
        <v>10.842905598223462</v>
      </c>
      <c r="M15" s="32">
        <f t="shared" si="8"/>
        <v>10.473125389169619</v>
      </c>
      <c r="N15" s="32">
        <f t="shared" si="8"/>
        <v>8.8887131882474097</v>
      </c>
      <c r="O15" s="32">
        <f t="shared" si="8"/>
        <v>9.1486989043273663</v>
      </c>
      <c r="P15" s="32">
        <f t="shared" si="8"/>
        <v>9.4151949494580975</v>
      </c>
      <c r="Q15" s="32">
        <f t="shared" si="8"/>
        <v>10.19493401525839</v>
      </c>
      <c r="R15" s="32">
        <f t="shared" si="8"/>
        <v>7.3710039614839307</v>
      </c>
      <c r="S15" s="32">
        <f t="shared" si="8"/>
        <v>11.416455660500066</v>
      </c>
      <c r="T15" s="32">
        <f t="shared" si="8"/>
        <v>9.5833272470647319</v>
      </c>
      <c r="U15" s="32">
        <f t="shared" si="8"/>
        <v>10.897546259401569</v>
      </c>
      <c r="V15" s="32">
        <f t="shared" si="8"/>
        <v>12.144244306120777</v>
      </c>
      <c r="W15" s="32">
        <f t="shared" si="8"/>
        <v>15.175490842981288</v>
      </c>
      <c r="X15" s="32">
        <f t="shared" ref="X15:Y15" si="9">SUM(X16:X17)</f>
        <v>11.15372614178426</v>
      </c>
      <c r="Y15" s="32">
        <f t="shared" si="9"/>
        <v>10.911513883854647</v>
      </c>
      <c r="DA15" s="173" t="s">
        <v>414</v>
      </c>
    </row>
    <row r="16" spans="1:105" ht="11.45" customHeight="1" x14ac:dyDescent="0.25">
      <c r="A16" s="83" t="s">
        <v>92</v>
      </c>
      <c r="B16" s="96">
        <v>34.107274104695094</v>
      </c>
      <c r="C16" s="96">
        <v>25.573939771593555</v>
      </c>
      <c r="D16" s="96">
        <v>22.075499542369528</v>
      </c>
      <c r="E16" s="96">
        <v>17.937504687438331</v>
      </c>
      <c r="F16" s="96">
        <v>17.584975309671119</v>
      </c>
      <c r="G16" s="96">
        <v>17.999912443944403</v>
      </c>
      <c r="H16" s="96">
        <v>16.644728009776649</v>
      </c>
      <c r="I16" s="96">
        <v>18.671408619736017</v>
      </c>
      <c r="J16" s="96">
        <v>15.767370123138406</v>
      </c>
      <c r="K16" s="96">
        <v>11.030601104003681</v>
      </c>
      <c r="L16" s="96">
        <v>10.842905598223462</v>
      </c>
      <c r="M16" s="96">
        <v>10.473125389169619</v>
      </c>
      <c r="N16" s="96">
        <v>8.8887131882474097</v>
      </c>
      <c r="O16" s="96">
        <v>9.1486989043273663</v>
      </c>
      <c r="P16" s="96">
        <v>9.4151949494580975</v>
      </c>
      <c r="Q16" s="96">
        <v>10.19493401525839</v>
      </c>
      <c r="R16" s="96">
        <v>7.3710039614839307</v>
      </c>
      <c r="S16" s="96">
        <v>11.416455660500066</v>
      </c>
      <c r="T16" s="96">
        <v>9.5833272470647319</v>
      </c>
      <c r="U16" s="96">
        <v>10.897546259401569</v>
      </c>
      <c r="V16" s="96">
        <v>12.144244306120777</v>
      </c>
      <c r="W16" s="96">
        <v>15.175490842981288</v>
      </c>
      <c r="X16" s="96">
        <v>11.15372614178426</v>
      </c>
      <c r="Y16" s="96">
        <v>10.911513883854647</v>
      </c>
      <c r="DA16" s="171" t="s">
        <v>1143</v>
      </c>
    </row>
    <row r="17" spans="1:105" ht="11.45" customHeight="1" x14ac:dyDescent="0.25">
      <c r="A17" s="85" t="s">
        <v>93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178" t="s">
        <v>1144</v>
      </c>
    </row>
    <row r="18" spans="1:105" x14ac:dyDescent="0.25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DA18" s="171"/>
    </row>
    <row r="19" spans="1:105" ht="11.45" customHeight="1" x14ac:dyDescent="0.25">
      <c r="A19" s="68" t="s">
        <v>36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DA19" s="179"/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DA20" s="171"/>
    </row>
    <row r="21" spans="1:105" ht="11.45" customHeight="1" x14ac:dyDescent="0.25">
      <c r="A21" s="53" t="s">
        <v>48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  <c r="DA21" s="172"/>
    </row>
    <row r="22" spans="1:105" ht="11.45" customHeight="1" x14ac:dyDescent="0.25">
      <c r="A22" s="133" t="s">
        <v>45</v>
      </c>
      <c r="B22" s="134">
        <f>IF(B4=0,0,B4/TrRail_ene!B4)</f>
        <v>2.0222959708919155</v>
      </c>
      <c r="C22" s="134">
        <f>IF(C4=0,0,C4/TrRail_ene!C4)</f>
        <v>1.8162067967620792</v>
      </c>
      <c r="D22" s="134">
        <f>IF(D4=0,0,D4/TrRail_ene!D4)</f>
        <v>1.5703398841752136</v>
      </c>
      <c r="E22" s="134">
        <f>IF(E4=0,0,E4/TrRail_ene!E4)</f>
        <v>1.4071782559863735</v>
      </c>
      <c r="F22" s="134">
        <f>IF(F4=0,0,F4/TrRail_ene!F4)</f>
        <v>1.2778713514750153</v>
      </c>
      <c r="G22" s="134">
        <f>IF(G4=0,0,G4/TrRail_ene!G4)</f>
        <v>1.2078192530969605</v>
      </c>
      <c r="H22" s="134">
        <f>IF(H4=0,0,H4/TrRail_ene!H4)</f>
        <v>1.119161976198332</v>
      </c>
      <c r="I22" s="134">
        <f>IF(I4=0,0,I4/TrRail_ene!I4)</f>
        <v>1.1334248670322571</v>
      </c>
      <c r="J22" s="134">
        <f>IF(J4=0,0,J4/TrRail_ene!J4)</f>
        <v>1.0973072702634918</v>
      </c>
      <c r="K22" s="134">
        <f>IF(K4=0,0,K4/TrRail_ene!K4)</f>
        <v>0.95561610601719216</v>
      </c>
      <c r="L22" s="134">
        <f>IF(L4=0,0,L4/TrRail_ene!L4)</f>
        <v>0.89010143847917267</v>
      </c>
      <c r="M22" s="134">
        <f>IF(M4=0,0,M4/TrRail_ene!M4)</f>
        <v>0.92936623166697152</v>
      </c>
      <c r="N22" s="134">
        <f>IF(N4=0,0,N4/TrRail_ene!N4)</f>
        <v>0.78632784205143236</v>
      </c>
      <c r="O22" s="134">
        <f>IF(O4=0,0,O4/TrRail_ene!O4)</f>
        <v>0.90064580148744411</v>
      </c>
      <c r="P22" s="134">
        <f>IF(P4=0,0,P4/TrRail_ene!P4)</f>
        <v>0.89412637448533427</v>
      </c>
      <c r="Q22" s="134">
        <f>IF(Q4=0,0,Q4/TrRail_ene!Q4)</f>
        <v>0.88346790309838719</v>
      </c>
      <c r="R22" s="134">
        <f>IF(R4=0,0,R4/TrRail_ene!R4)</f>
        <v>0.62709774533639451</v>
      </c>
      <c r="S22" s="134">
        <f>IF(S4=0,0,S4/TrRail_ene!S4)</f>
        <v>0.61139609521526106</v>
      </c>
      <c r="T22" s="134">
        <f>IF(T4=0,0,T4/TrRail_ene!T4)</f>
        <v>0.5968986304474474</v>
      </c>
      <c r="U22" s="134">
        <f>IF(U4=0,0,U4/TrRail_ene!U4)</f>
        <v>0.60923001354975248</v>
      </c>
      <c r="V22" s="134">
        <f>IF(V4=0,0,V4/TrRail_ene!V4)</f>
        <v>0.61907355599802705</v>
      </c>
      <c r="W22" s="134">
        <f>IF(W4=0,0,W4/TrRail_ene!W4)</f>
        <v>0.57525592697810723</v>
      </c>
      <c r="X22" s="134">
        <f>IF(X4=0,0,X4/TrRail_ene!X4)</f>
        <v>0.50492504144497263</v>
      </c>
      <c r="Y22" s="134">
        <f>IF(Y4=0,0,Y4/TrRail_ene!Y4)</f>
        <v>0.536527985916328</v>
      </c>
      <c r="DA22" s="205"/>
    </row>
    <row r="23" spans="1:105" ht="11.45" customHeight="1" x14ac:dyDescent="0.25">
      <c r="A23" s="107" t="s">
        <v>90</v>
      </c>
      <c r="B23" s="129">
        <f>IF(B5=0,0,B5/SUM(TrRail_ene!B5:B7))</f>
        <v>1.5512094000000001</v>
      </c>
      <c r="C23" s="129">
        <f>IF(C5=0,0,C5/SUM(TrRail_ene!C5:C7))</f>
        <v>1.5512094000000001</v>
      </c>
      <c r="D23" s="129">
        <f>IF(D5=0,0,D5/SUM(TrRail_ene!D5:D7))</f>
        <v>1.5512094000000001</v>
      </c>
      <c r="E23" s="129">
        <f>IF(E5=0,0,E5/SUM(TrRail_ene!E5:E7))</f>
        <v>1.5512094000000001</v>
      </c>
      <c r="F23" s="129">
        <f>IF(F5=0,0,F5/SUM(TrRail_ene!F5:F7))</f>
        <v>1.5512094000000001</v>
      </c>
      <c r="G23" s="129">
        <f>IF(G5=0,0,G5/SUM(TrRail_ene!G5:G7))</f>
        <v>1.5512094000000001</v>
      </c>
      <c r="H23" s="129">
        <f>IF(H5=0,0,H5/SUM(TrRail_ene!H5:H7))</f>
        <v>1.5512094000000001</v>
      </c>
      <c r="I23" s="129">
        <f>IF(I5=0,0,I5/SUM(TrRail_ene!I5:I7))</f>
        <v>1.5512094000000001</v>
      </c>
      <c r="J23" s="129">
        <f>IF(J5=0,0,J5/SUM(TrRail_ene!J5:J7))</f>
        <v>1.5512094000000001</v>
      </c>
      <c r="K23" s="129">
        <f>IF(K5=0,0,K5/SUM(TrRail_ene!K5:K7))</f>
        <v>1.5512094000000001</v>
      </c>
      <c r="L23" s="129">
        <f>IF(L5=0,0,L5/SUM(TrRail_ene!L5:L7))</f>
        <v>1.5512094000000001</v>
      </c>
      <c r="M23" s="129">
        <f>IF(M5=0,0,M5/SUM(TrRail_ene!M5:M7))</f>
        <v>1.5512094000000001</v>
      </c>
      <c r="N23" s="129">
        <f>IF(N5=0,0,N5/SUM(TrRail_ene!N5:N7))</f>
        <v>1.5512094000000001</v>
      </c>
      <c r="O23" s="129">
        <f>IF(O5=0,0,O5/SUM(TrRail_ene!O5:O7))</f>
        <v>1.5512094000000001</v>
      </c>
      <c r="P23" s="129">
        <f>IF(P5=0,0,P5/SUM(TrRail_ene!P5:P7))</f>
        <v>1.5512094000000001</v>
      </c>
      <c r="Q23" s="129">
        <f>IF(Q5=0,0,Q5/SUM(TrRail_ene!Q5:Q7))</f>
        <v>1.5512094000000001</v>
      </c>
      <c r="R23" s="129">
        <f>IF(R5=0,0,R5/SUM(TrRail_ene!R5:R7))</f>
        <v>1.5512094000000001</v>
      </c>
      <c r="S23" s="129">
        <f>IF(S5=0,0,S5/SUM(TrRail_ene!S5:S7))</f>
        <v>1.5501249433759903</v>
      </c>
      <c r="T23" s="129">
        <f>IF(T5=0,0,T5/SUM(TrRail_ene!T5:T7))</f>
        <v>1.5512094000000001</v>
      </c>
      <c r="U23" s="129">
        <f>IF(U5=0,0,U5/SUM(TrRail_ene!U5:U7))</f>
        <v>1.5512094000000001</v>
      </c>
      <c r="V23" s="129">
        <f>IF(V5=0,0,V5/SUM(TrRail_ene!V5:V7))</f>
        <v>1.5512094000000001</v>
      </c>
      <c r="W23" s="129">
        <f>IF(W5=0,0,W5/SUM(TrRail_ene!W5:W7))</f>
        <v>1.5512094000000001</v>
      </c>
      <c r="X23" s="129">
        <f>IF(X5=0,0,X5/SUM(TrRail_ene!X5:X7))</f>
        <v>1.5512094000000001</v>
      </c>
      <c r="Y23" s="129">
        <f>IF(Y5=0,0,Y5/SUM(TrRail_ene!Y5:Y7))</f>
        <v>1.5512094000000001</v>
      </c>
      <c r="DA23" s="203"/>
    </row>
    <row r="24" spans="1:105" ht="11.45" customHeight="1" x14ac:dyDescent="0.25">
      <c r="A24" s="85" t="s">
        <v>91</v>
      </c>
      <c r="B24" s="98">
        <f>IF(B6=0,0,B6/TrRail_ene!B8)</f>
        <v>0</v>
      </c>
      <c r="C24" s="98">
        <f>IF(C6=0,0,C6/TrRail_ene!C8)</f>
        <v>0</v>
      </c>
      <c r="D24" s="98">
        <f>IF(D6=0,0,D6/TrRail_ene!D8)</f>
        <v>0</v>
      </c>
      <c r="E24" s="98">
        <f>IF(E6=0,0,E6/TrRail_ene!E8)</f>
        <v>0</v>
      </c>
      <c r="F24" s="98">
        <f>IF(F6=0,0,F6/TrRail_ene!F8)</f>
        <v>0</v>
      </c>
      <c r="G24" s="98">
        <f>IF(G6=0,0,G6/TrRail_ene!G8)</f>
        <v>0</v>
      </c>
      <c r="H24" s="98">
        <f>IF(H6=0,0,H6/TrRail_ene!H8)</f>
        <v>0</v>
      </c>
      <c r="I24" s="98">
        <f>IF(I6=0,0,I6/TrRail_ene!I8)</f>
        <v>0</v>
      </c>
      <c r="J24" s="98">
        <f>IF(J6=0,0,J6/TrRail_ene!J8)</f>
        <v>0</v>
      </c>
      <c r="K24" s="98">
        <f>IF(K6=0,0,K6/TrRail_ene!K8)</f>
        <v>0</v>
      </c>
      <c r="L24" s="98">
        <f>IF(L6=0,0,L6/TrRail_ene!L8)</f>
        <v>0</v>
      </c>
      <c r="M24" s="98">
        <f>IF(M6=0,0,M6/TrRail_ene!M8)</f>
        <v>0</v>
      </c>
      <c r="N24" s="98">
        <f>IF(N6=0,0,N6/TrRail_ene!N8)</f>
        <v>0</v>
      </c>
      <c r="O24" s="98">
        <f>IF(O6=0,0,O6/TrRail_ene!O8)</f>
        <v>0</v>
      </c>
      <c r="P24" s="98">
        <f>IF(P6=0,0,P6/TrRail_ene!P8)</f>
        <v>0</v>
      </c>
      <c r="Q24" s="98">
        <f>IF(Q6=0,0,Q6/TrRail_ene!Q8)</f>
        <v>0</v>
      </c>
      <c r="R24" s="98">
        <f>IF(R6=0,0,R6/TrRail_ene!R8)</f>
        <v>0</v>
      </c>
      <c r="S24" s="98">
        <f>IF(S6=0,0,S6/TrRail_ene!S8)</f>
        <v>0</v>
      </c>
      <c r="T24" s="98">
        <f>IF(T6=0,0,T6/TrRail_ene!T8)</f>
        <v>0</v>
      </c>
      <c r="U24" s="98">
        <f>IF(U6=0,0,U6/TrRail_ene!U8)</f>
        <v>0</v>
      </c>
      <c r="V24" s="98">
        <f>IF(V6=0,0,V6/TrRail_ene!V8)</f>
        <v>0</v>
      </c>
      <c r="W24" s="98">
        <f>IF(W6=0,0,W6/TrRail_ene!W8)</f>
        <v>0</v>
      </c>
      <c r="X24" s="98">
        <f>IF(X6=0,0,X6/TrRail_ene!X8)</f>
        <v>0</v>
      </c>
      <c r="Y24" s="98">
        <f>IF(Y6=0,0,Y6/TrRail_ene!Y8)</f>
        <v>0</v>
      </c>
      <c r="DA24" s="178"/>
    </row>
    <row r="25" spans="1:105" x14ac:dyDescent="0.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DA25" s="171"/>
    </row>
    <row r="26" spans="1:105" ht="11.45" customHeight="1" x14ac:dyDescent="0.25">
      <c r="A26" s="53" t="s">
        <v>129</v>
      </c>
      <c r="B26" s="54">
        <f>IF(B8=0,0,B8/TrRail_act!B14*1000)</f>
        <v>4149.9296744413277</v>
      </c>
      <c r="C26" s="54">
        <f>IF(C8=0,0,C8/TrRail_act!C14*1000)</f>
        <v>3317.9204843205143</v>
      </c>
      <c r="D26" s="54">
        <f>IF(D8=0,0,D8/TrRail_act!D14*1000)</f>
        <v>2692.5982012630598</v>
      </c>
      <c r="E26" s="54">
        <f>IF(E8=0,0,E8/TrRail_act!E14*1000)</f>
        <v>2181.5917321653592</v>
      </c>
      <c r="F26" s="54">
        <f>IF(F8=0,0,F8/TrRail_act!F14*1000)</f>
        <v>1951.2814308675243</v>
      </c>
      <c r="G26" s="54">
        <f>IF(G8=0,0,G8/TrRail_act!G14*1000)</f>
        <v>1796.7677020777721</v>
      </c>
      <c r="H26" s="54">
        <f>IF(H8=0,0,H8/TrRail_act!H14*1000)</f>
        <v>1568.637843359588</v>
      </c>
      <c r="I26" s="54">
        <f>IF(I8=0,0,I8/TrRail_act!I14*1000)</f>
        <v>1570.9370800423064</v>
      </c>
      <c r="J26" s="54">
        <f>IF(J8=0,0,J8/TrRail_act!J14*1000)</f>
        <v>1434.2388953634131</v>
      </c>
      <c r="K26" s="54">
        <f>IF(K8=0,0,K8/TrRail_act!K14*1000)</f>
        <v>1183.1992792642784</v>
      </c>
      <c r="L26" s="54">
        <f>IF(L8=0,0,L8/TrRail_act!L14*1000)</f>
        <v>1051.6469100530405</v>
      </c>
      <c r="M26" s="54">
        <f>IF(M8=0,0,M8/TrRail_act!M14*1000)</f>
        <v>1003.2653519740257</v>
      </c>
      <c r="N26" s="54">
        <f>IF(N8=0,0,N8/TrRail_act!N14*1000)</f>
        <v>816.51565414897277</v>
      </c>
      <c r="O26" s="54">
        <f>IF(O8=0,0,O8/TrRail_act!O14*1000)</f>
        <v>840.60907023947323</v>
      </c>
      <c r="P26" s="54">
        <f>IF(P8=0,0,P8/TrRail_act!P14*1000)</f>
        <v>821.08412107474078</v>
      </c>
      <c r="Q26" s="54">
        <f>IF(Q8=0,0,Q8/TrRail_act!Q14*1000)</f>
        <v>783.61716101064883</v>
      </c>
      <c r="R26" s="54">
        <f>IF(R8=0,0,R8/TrRail_act!R14*1000)</f>
        <v>507.59431783599086</v>
      </c>
      <c r="S26" s="54">
        <f>IF(S8=0,0,S8/TrRail_act!S14*1000)</f>
        <v>481.07343738339705</v>
      </c>
      <c r="T26" s="54">
        <f>IF(T8=0,0,T8/TrRail_act!T14*1000)</f>
        <v>458.18806188906404</v>
      </c>
      <c r="U26" s="54">
        <f>IF(U8=0,0,U8/TrRail_act!U14*1000)</f>
        <v>459.13624165689782</v>
      </c>
      <c r="V26" s="54">
        <f>IF(V8=0,0,V8/TrRail_act!V14*1000)</f>
        <v>454.16559075358555</v>
      </c>
      <c r="W26" s="54">
        <f>IF(W8=0,0,W8/TrRail_act!W14*1000)</f>
        <v>426.46438781894142</v>
      </c>
      <c r="X26" s="54">
        <f>IF(X8=0,0,X8/TrRail_act!X14*1000)</f>
        <v>364.57141956132318</v>
      </c>
      <c r="Y26" s="54">
        <f>IF(Y8=0,0,Y8/TrRail_act!Y14*1000)</f>
        <v>389.36745521862656</v>
      </c>
      <c r="DA26" s="172" t="s">
        <v>1145</v>
      </c>
    </row>
    <row r="27" spans="1:105" ht="11.45" customHeight="1" x14ac:dyDescent="0.25">
      <c r="A27" s="27" t="s">
        <v>33</v>
      </c>
      <c r="B27" s="28">
        <f>IF(B9=0,0,B9/TrRail_act!B15*1000)</f>
        <v>3704.8685327675976</v>
      </c>
      <c r="C27" s="28">
        <f>IF(C9=0,0,C9/TrRail_act!C15*1000)</f>
        <v>2980.9821407509066</v>
      </c>
      <c r="D27" s="28">
        <f>IF(D9=0,0,D9/TrRail_act!D15*1000)</f>
        <v>2397.8560402548765</v>
      </c>
      <c r="E27" s="28">
        <f>IF(E9=0,0,E9/TrRail_act!E15*1000)</f>
        <v>1941.8102162625328</v>
      </c>
      <c r="F27" s="28">
        <f>IF(F9=0,0,F9/TrRail_act!F15*1000)</f>
        <v>1719.5652068411177</v>
      </c>
      <c r="G27" s="28">
        <f>IF(G9=0,0,G9/TrRail_act!G15*1000)</f>
        <v>1545.5613199482825</v>
      </c>
      <c r="H27" s="28">
        <f>IF(H9=0,0,H9/TrRail_act!H15*1000)</f>
        <v>1349.6831714565719</v>
      </c>
      <c r="I27" s="28">
        <f>IF(I9=0,0,I9/TrRail_act!I15*1000)</f>
        <v>1308.360960604464</v>
      </c>
      <c r="J27" s="28">
        <f>IF(J9=0,0,J9/TrRail_act!J15*1000)</f>
        <v>1236.9728508244746</v>
      </c>
      <c r="K27" s="28">
        <f>IF(K9=0,0,K9/TrRail_act!K15*1000)</f>
        <v>1043.26567961623</v>
      </c>
      <c r="L27" s="28">
        <f>IF(L9=0,0,L9/TrRail_act!L15*1000)</f>
        <v>907.12730712893881</v>
      </c>
      <c r="M27" s="28">
        <f>IF(M9=0,0,M9/TrRail_act!M15*1000)</f>
        <v>842.21322748683883</v>
      </c>
      <c r="N27" s="28">
        <f>IF(N9=0,0,N9/TrRail_act!N15*1000)</f>
        <v>673.96949164188504</v>
      </c>
      <c r="O27" s="28">
        <f>IF(O9=0,0,O9/TrRail_act!O15*1000)</f>
        <v>662.24404794633983</v>
      </c>
      <c r="P27" s="28">
        <f>IF(P9=0,0,P9/TrRail_act!P15*1000)</f>
        <v>644.41519328703544</v>
      </c>
      <c r="Q27" s="28">
        <f>IF(Q9=0,0,Q9/TrRail_act!Q15*1000)</f>
        <v>596.92710630590136</v>
      </c>
      <c r="R27" s="28">
        <f>IF(R9=0,0,R9/TrRail_act!R15*1000)</f>
        <v>412.68107670961194</v>
      </c>
      <c r="S27" s="28">
        <f>IF(S9=0,0,S9/TrRail_act!S15*1000)</f>
        <v>329.43160221403366</v>
      </c>
      <c r="T27" s="28">
        <f>IF(T9=0,0,T9/TrRail_act!T15*1000)</f>
        <v>339.1245387724353</v>
      </c>
      <c r="U27" s="28">
        <f>IF(U9=0,0,U9/TrRail_act!U15*1000)</f>
        <v>318.4873336650686</v>
      </c>
      <c r="V27" s="28">
        <f>IF(V9=0,0,V9/TrRail_act!V15*1000)</f>
        <v>275.34774206793907</v>
      </c>
      <c r="W27" s="28">
        <f>IF(W9=0,0,W9/TrRail_act!W15*1000)</f>
        <v>205.22096681672406</v>
      </c>
      <c r="X27" s="28">
        <f>IF(X9=0,0,X9/TrRail_act!X15*1000)</f>
        <v>204.54458022448529</v>
      </c>
      <c r="Y27" s="28">
        <f>IF(Y9=0,0,Y9/TrRail_act!Y15*1000)</f>
        <v>252.39024785866769</v>
      </c>
      <c r="DA27" s="173" t="s">
        <v>1146</v>
      </c>
    </row>
    <row r="28" spans="1:105" ht="11.45" customHeight="1" x14ac:dyDescent="0.25">
      <c r="A28" s="107" t="s">
        <v>23</v>
      </c>
      <c r="B28" s="108">
        <f>IF(B10=0,0,B10/TrRail_act!B16*1000)</f>
        <v>0</v>
      </c>
      <c r="C28" s="108">
        <f>IF(C10=0,0,C10/TrRail_act!C16*1000)</f>
        <v>0</v>
      </c>
      <c r="D28" s="108">
        <f>IF(D10=0,0,D10/TrRail_act!D16*1000)</f>
        <v>0</v>
      </c>
      <c r="E28" s="108">
        <f>IF(E10=0,0,E10/TrRail_act!E16*1000)</f>
        <v>0</v>
      </c>
      <c r="F28" s="108">
        <f>IF(F10=0,0,F10/TrRail_act!F16*1000)</f>
        <v>0</v>
      </c>
      <c r="G28" s="108">
        <f>IF(G10=0,0,G10/TrRail_act!G16*1000)</f>
        <v>0</v>
      </c>
      <c r="H28" s="108">
        <f>IF(H10=0,0,H10/TrRail_act!H16*1000)</f>
        <v>0</v>
      </c>
      <c r="I28" s="108">
        <f>IF(I10=0,0,I10/TrRail_act!I16*1000)</f>
        <v>0</v>
      </c>
      <c r="J28" s="108">
        <f>IF(J10=0,0,J10/TrRail_act!J16*1000)</f>
        <v>0</v>
      </c>
      <c r="K28" s="108">
        <f>IF(K10=0,0,K10/TrRail_act!K16*1000)</f>
        <v>0</v>
      </c>
      <c r="L28" s="108">
        <f>IF(L10=0,0,L10/TrRail_act!L16*1000)</f>
        <v>0</v>
      </c>
      <c r="M28" s="108">
        <f>IF(M10=0,0,M10/TrRail_act!M16*1000)</f>
        <v>0</v>
      </c>
      <c r="N28" s="108">
        <f>IF(N10=0,0,N10/TrRail_act!N16*1000)</f>
        <v>0</v>
      </c>
      <c r="O28" s="108">
        <f>IF(O10=0,0,O10/TrRail_act!O16*1000)</f>
        <v>0</v>
      </c>
      <c r="P28" s="108">
        <f>IF(P10=0,0,P10/TrRail_act!P16*1000)</f>
        <v>0</v>
      </c>
      <c r="Q28" s="108">
        <f>IF(Q10=0,0,Q10/TrRail_act!Q16*1000)</f>
        <v>0</v>
      </c>
      <c r="R28" s="108">
        <f>IF(R10=0,0,R10/TrRail_act!R16*1000)</f>
        <v>0</v>
      </c>
      <c r="S28" s="108">
        <f>IF(S10=0,0,S10/TrRail_act!S16*1000)</f>
        <v>0</v>
      </c>
      <c r="T28" s="108">
        <f>IF(T10=0,0,T10/TrRail_act!T16*1000)</f>
        <v>0</v>
      </c>
      <c r="U28" s="108">
        <f>IF(U10=0,0,U10/TrRail_act!U16*1000)</f>
        <v>0</v>
      </c>
      <c r="V28" s="108">
        <f>IF(V10=0,0,V10/TrRail_act!V16*1000)</f>
        <v>0</v>
      </c>
      <c r="W28" s="108">
        <f>IF(W10=0,0,W10/TrRail_act!W16*1000)</f>
        <v>0</v>
      </c>
      <c r="X28" s="108">
        <f>IF(X10=0,0,X10/TrRail_act!X16*1000)</f>
        <v>0</v>
      </c>
      <c r="Y28" s="108">
        <f>IF(Y10=0,0,Y10/TrRail_act!Y16*1000)</f>
        <v>0</v>
      </c>
      <c r="DA28" s="203" t="s">
        <v>1147</v>
      </c>
    </row>
    <row r="29" spans="1:105" ht="11.45" customHeight="1" x14ac:dyDescent="0.25">
      <c r="A29" s="109" t="s">
        <v>24</v>
      </c>
      <c r="B29" s="110">
        <f>IF(B11=0,0,B11/TrRail_act!B17*1000)</f>
        <v>4485.6765339677813</v>
      </c>
      <c r="C29" s="110">
        <f>IF(C11=0,0,C11/TrRail_act!C17*1000)</f>
        <v>3689.4041584633246</v>
      </c>
      <c r="D29" s="110">
        <f>IF(D11=0,0,D11/TrRail_act!D17*1000)</f>
        <v>2955.3093868374176</v>
      </c>
      <c r="E29" s="110">
        <f>IF(E11=0,0,E11/TrRail_act!E17*1000)</f>
        <v>2576.5872452385829</v>
      </c>
      <c r="F29" s="110">
        <f>IF(F11=0,0,F11/TrRail_act!F17*1000)</f>
        <v>2547.6548657598482</v>
      </c>
      <c r="G29" s="110">
        <f>IF(G11=0,0,G11/TrRail_act!G17*1000)</f>
        <v>2350.2974677369943</v>
      </c>
      <c r="H29" s="110">
        <f>IF(H11=0,0,H11/TrRail_act!H17*1000)</f>
        <v>2128.6628567539956</v>
      </c>
      <c r="I29" s="110">
        <f>IF(I11=0,0,I11/TrRail_act!I17*1000)</f>
        <v>2115.4327547865728</v>
      </c>
      <c r="J29" s="110">
        <f>IF(J11=0,0,J11/TrRail_act!J17*1000)</f>
        <v>1987.2292896899983</v>
      </c>
      <c r="K29" s="110">
        <f>IF(K11=0,0,K11/TrRail_act!K17*1000)</f>
        <v>1711.2630579921413</v>
      </c>
      <c r="L29" s="110">
        <f>IF(L11=0,0,L11/TrRail_act!L17*1000)</f>
        <v>1523.9006549361325</v>
      </c>
      <c r="M29" s="110">
        <f>IF(M11=0,0,M11/TrRail_act!M17*1000)</f>
        <v>1498.3498189799323</v>
      </c>
      <c r="N29" s="110">
        <f>IF(N11=0,0,N11/TrRail_act!N17*1000)</f>
        <v>1168.8598400219173</v>
      </c>
      <c r="O29" s="110">
        <f>IF(O11=0,0,O11/TrRail_act!O17*1000)</f>
        <v>1210.2860619235635</v>
      </c>
      <c r="P29" s="110">
        <f>IF(P11=0,0,P11/TrRail_act!P17*1000)</f>
        <v>1169.6236320822113</v>
      </c>
      <c r="Q29" s="110">
        <f>IF(Q11=0,0,Q11/TrRail_act!Q17*1000)</f>
        <v>1075.8810059716839</v>
      </c>
      <c r="R29" s="110">
        <f>IF(R11=0,0,R11/TrRail_act!R17*1000)</f>
        <v>610.24235959766156</v>
      </c>
      <c r="S29" s="110">
        <f>IF(S11=0,0,S11/TrRail_act!S17*1000)</f>
        <v>461.75414022074011</v>
      </c>
      <c r="T29" s="110">
        <f>IF(T11=0,0,T11/TrRail_act!T17*1000)</f>
        <v>476.36684855105011</v>
      </c>
      <c r="U29" s="110">
        <f>IF(U11=0,0,U11/TrRail_act!U17*1000)</f>
        <v>453.97755532400924</v>
      </c>
      <c r="V29" s="110">
        <f>IF(V11=0,0,V11/TrRail_act!V17*1000)</f>
        <v>386.66902447082964</v>
      </c>
      <c r="W29" s="110">
        <f>IF(W11=0,0,W11/TrRail_act!W17*1000)</f>
        <v>277.20327986565712</v>
      </c>
      <c r="X29" s="110">
        <f>IF(X11=0,0,X11/TrRail_act!X17*1000)</f>
        <v>289.75440778267284</v>
      </c>
      <c r="Y29" s="110">
        <f>IF(Y11=0,0,Y11/TrRail_act!Y17*1000)</f>
        <v>353.21967853574665</v>
      </c>
      <c r="DA29" s="176" t="s">
        <v>1148</v>
      </c>
    </row>
    <row r="30" spans="1:105" ht="11.45" customHeight="1" x14ac:dyDescent="0.25">
      <c r="A30" s="111" t="s">
        <v>92</v>
      </c>
      <c r="B30" s="84">
        <f>IF(B12=0,0,B12/TrRail_act!B18*1000)</f>
        <v>9201.7385521763972</v>
      </c>
      <c r="C30" s="84">
        <f>IF(C12=0,0,C12/TrRail_act!C18*1000)</f>
        <v>8074.3698426812398</v>
      </c>
      <c r="D30" s="84">
        <f>IF(D12=0,0,D12/TrRail_act!D18*1000)</f>
        <v>7918.6808296524368</v>
      </c>
      <c r="E30" s="84">
        <f>IF(E12=0,0,E12/TrRail_act!E18*1000)</f>
        <v>7714.8624633982627</v>
      </c>
      <c r="F30" s="84">
        <f>IF(F12=0,0,F12/TrRail_act!F18*1000)</f>
        <v>7512.098667579945</v>
      </c>
      <c r="G30" s="84">
        <f>IF(G12=0,0,G12/TrRail_act!G18*1000)</f>
        <v>7396.340844887909</v>
      </c>
      <c r="H30" s="84">
        <f>IF(H12=0,0,H12/TrRail_act!H18*1000)</f>
        <v>7256.0252128516704</v>
      </c>
      <c r="I30" s="84">
        <f>IF(I12=0,0,I12/TrRail_act!I18*1000)</f>
        <v>7051.5995364438913</v>
      </c>
      <c r="J30" s="84">
        <f>IF(J12=0,0,J12/TrRail_act!J18*1000)</f>
        <v>6816.581707207697</v>
      </c>
      <c r="K30" s="84">
        <f>IF(K12=0,0,K12/TrRail_act!K18*1000)</f>
        <v>6570.0844092217376</v>
      </c>
      <c r="L30" s="84">
        <f>IF(L12=0,0,L12/TrRail_act!L18*1000)</f>
        <v>6358.2723032003942</v>
      </c>
      <c r="M30" s="84">
        <f>IF(M12=0,0,M12/TrRail_act!M18*1000)</f>
        <v>6094.9470230806928</v>
      </c>
      <c r="N30" s="84">
        <f>IF(N12=0,0,N12/TrRail_act!N18*1000)</f>
        <v>5950.0299542608691</v>
      </c>
      <c r="O30" s="84">
        <f>IF(O12=0,0,O12/TrRail_act!O18*1000)</f>
        <v>5697.8661912450934</v>
      </c>
      <c r="P30" s="84">
        <f>IF(P12=0,0,P12/TrRail_act!P18*1000)</f>
        <v>5458.3846092324266</v>
      </c>
      <c r="Q30" s="84">
        <f>IF(Q12=0,0,Q12/TrRail_act!Q18*1000)</f>
        <v>5301.7239569379171</v>
      </c>
      <c r="R30" s="84">
        <f>IF(R12=0,0,R12/TrRail_act!R18*1000)</f>
        <v>5187.18628907313</v>
      </c>
      <c r="S30" s="84">
        <f>IF(S12=0,0,S12/TrRail_act!S18*1000)</f>
        <v>5099.3423782269883</v>
      </c>
      <c r="T30" s="84">
        <f>IF(T12=0,0,T12/TrRail_act!T18*1000)</f>
        <v>5040.6022965122929</v>
      </c>
      <c r="U30" s="84">
        <f>IF(U12=0,0,U12/TrRail_act!U18*1000)</f>
        <v>4994.3714136879735</v>
      </c>
      <c r="V30" s="84">
        <f>IF(V12=0,0,V12/TrRail_act!V18*1000)</f>
        <v>4959.9767251636058</v>
      </c>
      <c r="W30" s="84">
        <f>IF(W12=0,0,W12/TrRail_act!W18*1000)</f>
        <v>4934.3362411962144</v>
      </c>
      <c r="X30" s="84">
        <f>IF(X12=0,0,X12/TrRail_act!X18*1000)</f>
        <v>4915.1929003020687</v>
      </c>
      <c r="Y30" s="84">
        <f>IF(Y12=0,0,Y12/TrRail_act!Y18*1000)</f>
        <v>4900.8841493437658</v>
      </c>
      <c r="DA30" s="171" t="s">
        <v>1149</v>
      </c>
    </row>
    <row r="31" spans="1:105" ht="11.45" customHeight="1" x14ac:dyDescent="0.25">
      <c r="A31" s="111" t="s">
        <v>93</v>
      </c>
      <c r="B31" s="84">
        <f>IF(B13=0,0,B13/TrRail_act!B19*1000)</f>
        <v>0</v>
      </c>
      <c r="C31" s="84">
        <f>IF(C13=0,0,C13/TrRail_act!C19*1000)</f>
        <v>0</v>
      </c>
      <c r="D31" s="84">
        <f>IF(D13=0,0,D13/TrRail_act!D19*1000)</f>
        <v>0</v>
      </c>
      <c r="E31" s="84">
        <f>IF(E13=0,0,E13/TrRail_act!E19*1000)</f>
        <v>0</v>
      </c>
      <c r="F31" s="84">
        <f>IF(F13=0,0,F13/TrRail_act!F19*1000)</f>
        <v>0</v>
      </c>
      <c r="G31" s="84">
        <f>IF(G13=0,0,G13/TrRail_act!G19*1000)</f>
        <v>0</v>
      </c>
      <c r="H31" s="84">
        <f>IF(H13=0,0,H13/TrRail_act!H19*1000)</f>
        <v>0</v>
      </c>
      <c r="I31" s="84">
        <f>IF(I13=0,0,I13/TrRail_act!I19*1000)</f>
        <v>0</v>
      </c>
      <c r="J31" s="84">
        <f>IF(J13=0,0,J13/TrRail_act!J19*1000)</f>
        <v>0</v>
      </c>
      <c r="K31" s="84">
        <f>IF(K13=0,0,K13/TrRail_act!K19*1000)</f>
        <v>0</v>
      </c>
      <c r="L31" s="84">
        <f>IF(L13=0,0,L13/TrRail_act!L19*1000)</f>
        <v>0</v>
      </c>
      <c r="M31" s="84">
        <f>IF(M13=0,0,M13/TrRail_act!M19*1000)</f>
        <v>0</v>
      </c>
      <c r="N31" s="84">
        <f>IF(N13=0,0,N13/TrRail_act!N19*1000)</f>
        <v>0</v>
      </c>
      <c r="O31" s="84">
        <f>IF(O13=0,0,O13/TrRail_act!O19*1000)</f>
        <v>0</v>
      </c>
      <c r="P31" s="84">
        <f>IF(P13=0,0,P13/TrRail_act!P19*1000)</f>
        <v>0</v>
      </c>
      <c r="Q31" s="84">
        <f>IF(Q13=0,0,Q13/TrRail_act!Q19*1000)</f>
        <v>0</v>
      </c>
      <c r="R31" s="84">
        <f>IF(R13=0,0,R13/TrRail_act!R19*1000)</f>
        <v>0</v>
      </c>
      <c r="S31" s="84">
        <f>IF(S13=0,0,S13/TrRail_act!S19*1000)</f>
        <v>0</v>
      </c>
      <c r="T31" s="84">
        <f>IF(T13=0,0,T13/TrRail_act!T19*1000)</f>
        <v>0</v>
      </c>
      <c r="U31" s="84">
        <f>IF(U13=0,0,U13/TrRail_act!U19*1000)</f>
        <v>0</v>
      </c>
      <c r="V31" s="84">
        <f>IF(V13=0,0,V13/TrRail_act!V19*1000)</f>
        <v>0</v>
      </c>
      <c r="W31" s="84">
        <f>IF(W13=0,0,W13/TrRail_act!W19*1000)</f>
        <v>0</v>
      </c>
      <c r="X31" s="84">
        <f>IF(X13=0,0,X13/TrRail_act!X19*1000)</f>
        <v>0</v>
      </c>
      <c r="Y31" s="84">
        <f>IF(Y13=0,0,Y13/TrRail_act!Y19*1000)</f>
        <v>0</v>
      </c>
      <c r="DA31" s="171" t="s">
        <v>1150</v>
      </c>
    </row>
    <row r="32" spans="1:105" ht="11.45" customHeight="1" x14ac:dyDescent="0.25">
      <c r="A32" s="112" t="s">
        <v>25</v>
      </c>
      <c r="B32" s="113">
        <f>IF(B14=0,0,B14/TrRail_act!B20*1000)</f>
        <v>0</v>
      </c>
      <c r="C32" s="113">
        <f>IF(C14=0,0,C14/TrRail_act!C20*1000)</f>
        <v>0</v>
      </c>
      <c r="D32" s="113">
        <f>IF(D14=0,0,D14/TrRail_act!D20*1000)</f>
        <v>0</v>
      </c>
      <c r="E32" s="113">
        <f>IF(E14=0,0,E14/TrRail_act!E20*1000)</f>
        <v>0</v>
      </c>
      <c r="F32" s="113">
        <f>IF(F14=0,0,F14/TrRail_act!F20*1000)</f>
        <v>0</v>
      </c>
      <c r="G32" s="113">
        <f>IF(G14=0,0,G14/TrRail_act!G20*1000)</f>
        <v>0</v>
      </c>
      <c r="H32" s="113">
        <f>IF(H14=0,0,H14/TrRail_act!H20*1000)</f>
        <v>0</v>
      </c>
      <c r="I32" s="113">
        <f>IF(I14=0,0,I14/TrRail_act!I20*1000)</f>
        <v>0</v>
      </c>
      <c r="J32" s="113">
        <f>IF(J14=0,0,J14/TrRail_act!J20*1000)</f>
        <v>0</v>
      </c>
      <c r="K32" s="113">
        <f>IF(K14=0,0,K14/TrRail_act!K20*1000)</f>
        <v>0</v>
      </c>
      <c r="L32" s="113">
        <f>IF(L14=0,0,L14/TrRail_act!L20*1000)</f>
        <v>0</v>
      </c>
      <c r="M32" s="113">
        <f>IF(M14=0,0,M14/TrRail_act!M20*1000)</f>
        <v>0</v>
      </c>
      <c r="N32" s="113">
        <f>IF(N14=0,0,N14/TrRail_act!N20*1000)</f>
        <v>0</v>
      </c>
      <c r="O32" s="113">
        <f>IF(O14=0,0,O14/TrRail_act!O20*1000)</f>
        <v>0</v>
      </c>
      <c r="P32" s="113">
        <f>IF(P14=0,0,P14/TrRail_act!P20*1000)</f>
        <v>0</v>
      </c>
      <c r="Q32" s="113">
        <f>IF(Q14=0,0,Q14/TrRail_act!Q20*1000)</f>
        <v>0</v>
      </c>
      <c r="R32" s="113">
        <f>IF(R14=0,0,R14/TrRail_act!R20*1000)</f>
        <v>0</v>
      </c>
      <c r="S32" s="113">
        <f>IF(S14=0,0,S14/TrRail_act!S20*1000)</f>
        <v>0</v>
      </c>
      <c r="T32" s="113">
        <f>IF(T14=0,0,T14/TrRail_act!T20*1000)</f>
        <v>0</v>
      </c>
      <c r="U32" s="113">
        <f>IF(U14=0,0,U14/TrRail_act!U20*1000)</f>
        <v>0</v>
      </c>
      <c r="V32" s="113">
        <f>IF(V14=0,0,V14/TrRail_act!V20*1000)</f>
        <v>0</v>
      </c>
      <c r="W32" s="113">
        <f>IF(W14=0,0,W14/TrRail_act!W20*1000)</f>
        <v>0</v>
      </c>
      <c r="X32" s="113">
        <f>IF(X14=0,0,X14/TrRail_act!X20*1000)</f>
        <v>0</v>
      </c>
      <c r="Y32" s="113">
        <f>IF(Y14=0,0,Y14/TrRail_act!Y20*1000)</f>
        <v>0</v>
      </c>
      <c r="DA32" s="204" t="s">
        <v>1151</v>
      </c>
    </row>
    <row r="33" spans="1:105" ht="11.45" customHeight="1" x14ac:dyDescent="0.25">
      <c r="A33" s="27" t="s">
        <v>34</v>
      </c>
      <c r="B33" s="28">
        <f>IF(B15=0,0,B15/TrRail_act!B21*1000)</f>
        <v>8524.0351506212774</v>
      </c>
      <c r="C33" s="28">
        <f>IF(C15=0,0,C15/TrRail_act!C21*1000)</f>
        <v>6417.3393765319879</v>
      </c>
      <c r="D33" s="28">
        <f>IF(D15=0,0,D15/TrRail_act!D21*1000)</f>
        <v>5415.5908707041735</v>
      </c>
      <c r="E33" s="28">
        <f>IF(E15=0,0,E15/TrRail_act!E21*1000)</f>
        <v>4738.5712610748687</v>
      </c>
      <c r="F33" s="28">
        <f>IF(F15=0,0,F15/TrRail_act!F21*1000)</f>
        <v>4147.6996490356587</v>
      </c>
      <c r="G33" s="28">
        <f>IF(G15=0,0,G15/TrRail_act!G21*1000)</f>
        <v>4104.7496218539973</v>
      </c>
      <c r="H33" s="28">
        <f>IF(H15=0,0,H15/TrRail_act!H21*1000)</f>
        <v>3762.5834960122224</v>
      </c>
      <c r="I33" s="28">
        <f>IF(I15=0,0,I15/TrRail_act!I21*1000)</f>
        <v>4147.862592141807</v>
      </c>
      <c r="J33" s="28">
        <f>IF(J15=0,0,J15/TrRail_act!J21*1000)</f>
        <v>3429.1019005894541</v>
      </c>
      <c r="K33" s="28">
        <f>IF(K15=0,0,K15/TrRail_act!K21*1000)</f>
        <v>2709.2726238180253</v>
      </c>
      <c r="L33" s="28">
        <f>IF(L15=0,0,L15/TrRail_act!L21*1000)</f>
        <v>2563.4222532633571</v>
      </c>
      <c r="M33" s="28">
        <f>IF(M15=0,0,M15/TrRail_act!M21*1000)</f>
        <v>2663.0071553186203</v>
      </c>
      <c r="N33" s="28">
        <f>IF(N15=0,0,N15/TrRail_act!N21*1000)</f>
        <v>2162.8323329921277</v>
      </c>
      <c r="O33" s="28">
        <f>IF(O15=0,0,O15/TrRail_act!O21*1000)</f>
        <v>2537.2821581222961</v>
      </c>
      <c r="P33" s="28">
        <f>IF(P15=0,0,P15/TrRail_act!P21*1000)</f>
        <v>2370.5889004845594</v>
      </c>
      <c r="Q33" s="28">
        <f>IF(Q15=0,0,Q15/TrRail_act!Q21*1000)</f>
        <v>2337.1434390178542</v>
      </c>
      <c r="R33" s="28">
        <f>IF(R15=0,0,R15/TrRail_act!R21*1000)</f>
        <v>1514.2359239272773</v>
      </c>
      <c r="S33" s="28">
        <f>IF(S15=0,0,S15/TrRail_act!S21*1000)</f>
        <v>2410.0169764791658</v>
      </c>
      <c r="T33" s="28">
        <f>IF(T15=0,0,T15/TrRail_act!T21*1000)</f>
        <v>1949.6140963653863</v>
      </c>
      <c r="U33" s="28">
        <f>IF(U15=0,0,U15/TrRail_act!U21*1000)</f>
        <v>2511.635173931129</v>
      </c>
      <c r="V33" s="28">
        <f>IF(V15=0,0,V15/TrRail_act!V21*1000)</f>
        <v>2554.8697109445839</v>
      </c>
      <c r="W33" s="28">
        <f>IF(W15=0,0,W15/TrRail_act!W21*1000)</f>
        <v>3011.9477445808016</v>
      </c>
      <c r="X33" s="28">
        <f>IF(X15=0,0,X15/TrRail_act!X21*1000)</f>
        <v>2635.7159371889747</v>
      </c>
      <c r="Y33" s="28">
        <f>IF(Y15=0,0,Y15/TrRail_act!Y21*1000)</f>
        <v>1988.7291218175578</v>
      </c>
      <c r="DA33" s="173" t="s">
        <v>1152</v>
      </c>
    </row>
    <row r="34" spans="1:105" ht="11.45" customHeight="1" x14ac:dyDescent="0.25">
      <c r="A34" s="83" t="s">
        <v>92</v>
      </c>
      <c r="B34" s="84">
        <f>IF(B16=0,0,B16/TrRail_act!B22*1000)</f>
        <v>16608.595826338216</v>
      </c>
      <c r="C34" s="84">
        <f>IF(C16=0,0,C16/TrRail_act!C22*1000)</f>
        <v>16325.713314715411</v>
      </c>
      <c r="D34" s="84">
        <f>IF(D16=0,0,D16/TrRail_act!D22*1000)</f>
        <v>16157.41570702183</v>
      </c>
      <c r="E34" s="84">
        <f>IF(E16=0,0,E16/TrRail_act!E22*1000)</f>
        <v>15992.781523125415</v>
      </c>
      <c r="F34" s="84">
        <f>IF(F16=0,0,F16/TrRail_act!F22*1000)</f>
        <v>15917.016343358413</v>
      </c>
      <c r="G34" s="84">
        <f>IF(G16=0,0,G16/TrRail_act!G22*1000)</f>
        <v>15874.204962001566</v>
      </c>
      <c r="H34" s="84">
        <f>IF(H16=0,0,H16/TrRail_act!H22*1000)</f>
        <v>15765.278235578553</v>
      </c>
      <c r="I34" s="84">
        <f>IF(I16=0,0,I16/TrRail_act!I22*1000)</f>
        <v>15392.077346674709</v>
      </c>
      <c r="J34" s="84">
        <f>IF(J16=0,0,J16/TrRail_act!J22*1000)</f>
        <v>15020.170835676738</v>
      </c>
      <c r="K34" s="84">
        <f>IF(K16=0,0,K16/TrRail_act!K22*1000)</f>
        <v>14660.782748483472</v>
      </c>
      <c r="L34" s="84">
        <f>IF(L16=0,0,L16/TrRail_act!L22*1000)</f>
        <v>14351.745756702077</v>
      </c>
      <c r="M34" s="84">
        <f>IF(M16=0,0,M16/TrRail_act!M22*1000)</f>
        <v>14002.235939460763</v>
      </c>
      <c r="N34" s="84">
        <f>IF(N16=0,0,N16/TrRail_act!N22*1000)</f>
        <v>13684.392060262266</v>
      </c>
      <c r="O34" s="84">
        <f>IF(O16=0,0,O16/TrRail_act!O22*1000)</f>
        <v>13466.237662384057</v>
      </c>
      <c r="P34" s="84">
        <f>IF(P16=0,0,P16/TrRail_act!P22*1000)</f>
        <v>13188.324211523692</v>
      </c>
      <c r="Q34" s="84">
        <f>IF(Q16=0,0,Q16/TrRail_act!Q22*1000)</f>
        <v>12937.772679671825</v>
      </c>
      <c r="R34" s="84">
        <f>IF(R16=0,0,R16/TrRail_act!R22*1000)</f>
        <v>12689.222799517789</v>
      </c>
      <c r="S34" s="84">
        <f>IF(S16=0,0,S16/TrRail_act!S22*1000)</f>
        <v>12484.708824051442</v>
      </c>
      <c r="T34" s="84">
        <f>IF(T16=0,0,T16/TrRail_act!T22*1000)</f>
        <v>12348.59308279236</v>
      </c>
      <c r="U34" s="84">
        <f>IF(U16=0,0,U16/TrRail_act!U22*1000)</f>
        <v>12241.05879137842</v>
      </c>
      <c r="V34" s="84">
        <f>IF(V16=0,0,V16/TrRail_act!V22*1000)</f>
        <v>12161.02305381925</v>
      </c>
      <c r="W34" s="84">
        <f>IF(W16=0,0,W16/TrRail_act!W22*1000)</f>
        <v>12101.339852334819</v>
      </c>
      <c r="X34" s="84">
        <f>IF(X16=0,0,X16/TrRail_act!X22*1000)</f>
        <v>12056.769752105576</v>
      </c>
      <c r="Y34" s="84">
        <f>IF(Y16=0,0,Y16/TrRail_act!Y22*1000)</f>
        <v>12023.449936666995</v>
      </c>
      <c r="DA34" s="171" t="s">
        <v>1153</v>
      </c>
    </row>
    <row r="35" spans="1:105" ht="11.45" customHeight="1" x14ac:dyDescent="0.25">
      <c r="A35" s="85" t="s">
        <v>93</v>
      </c>
      <c r="B35" s="86">
        <f>IF(B17=0,0,B17/TrRail_act!B23*1000)</f>
        <v>0</v>
      </c>
      <c r="C35" s="86">
        <f>IF(C17=0,0,C17/TrRail_act!C23*1000)</f>
        <v>0</v>
      </c>
      <c r="D35" s="86">
        <f>IF(D17=0,0,D17/TrRail_act!D23*1000)</f>
        <v>0</v>
      </c>
      <c r="E35" s="86">
        <f>IF(E17=0,0,E17/TrRail_act!E23*1000)</f>
        <v>0</v>
      </c>
      <c r="F35" s="86">
        <f>IF(F17=0,0,F17/TrRail_act!F23*1000)</f>
        <v>0</v>
      </c>
      <c r="G35" s="86">
        <f>IF(G17=0,0,G17/TrRail_act!G23*1000)</f>
        <v>0</v>
      </c>
      <c r="H35" s="86">
        <f>IF(H17=0,0,H17/TrRail_act!H23*1000)</f>
        <v>0</v>
      </c>
      <c r="I35" s="86">
        <f>IF(I17=0,0,I17/TrRail_act!I23*1000)</f>
        <v>0</v>
      </c>
      <c r="J35" s="86">
        <f>IF(J17=0,0,J17/TrRail_act!J23*1000)</f>
        <v>0</v>
      </c>
      <c r="K35" s="86">
        <f>IF(K17=0,0,K17/TrRail_act!K23*1000)</f>
        <v>0</v>
      </c>
      <c r="L35" s="86">
        <f>IF(L17=0,0,L17/TrRail_act!L23*1000)</f>
        <v>0</v>
      </c>
      <c r="M35" s="86">
        <f>IF(M17=0,0,M17/TrRail_act!M23*1000)</f>
        <v>0</v>
      </c>
      <c r="N35" s="86">
        <f>IF(N17=0,0,N17/TrRail_act!N23*1000)</f>
        <v>0</v>
      </c>
      <c r="O35" s="86">
        <f>IF(O17=0,0,O17/TrRail_act!O23*1000)</f>
        <v>0</v>
      </c>
      <c r="P35" s="86">
        <f>IF(P17=0,0,P17/TrRail_act!P23*1000)</f>
        <v>0</v>
      </c>
      <c r="Q35" s="86">
        <f>IF(Q17=0,0,Q17/TrRail_act!Q23*1000)</f>
        <v>0</v>
      </c>
      <c r="R35" s="86">
        <f>IF(R17=0,0,R17/TrRail_act!R23*1000)</f>
        <v>0</v>
      </c>
      <c r="S35" s="86">
        <f>IF(S17=0,0,S17/TrRail_act!S23*1000)</f>
        <v>0</v>
      </c>
      <c r="T35" s="86">
        <f>IF(T17=0,0,T17/TrRail_act!T23*1000)</f>
        <v>0</v>
      </c>
      <c r="U35" s="86">
        <f>IF(U17=0,0,U17/TrRail_act!U23*1000)</f>
        <v>0</v>
      </c>
      <c r="V35" s="86">
        <f>IF(V17=0,0,V17/TrRail_act!V23*1000)</f>
        <v>0</v>
      </c>
      <c r="W35" s="86">
        <f>IF(W17=0,0,W17/TrRail_act!W23*1000)</f>
        <v>0</v>
      </c>
      <c r="X35" s="86">
        <f>IF(X17=0,0,X17/TrRail_act!X23*1000)</f>
        <v>0</v>
      </c>
      <c r="Y35" s="86">
        <f>IF(Y17=0,0,Y17/TrRail_act!Y23*1000)</f>
        <v>0</v>
      </c>
      <c r="DA35" s="178" t="s">
        <v>1154</v>
      </c>
    </row>
    <row r="36" spans="1:105" x14ac:dyDescent="0.25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DA36" s="171"/>
    </row>
    <row r="37" spans="1:105" ht="11.45" customHeight="1" x14ac:dyDescent="0.25">
      <c r="A37" s="53" t="s">
        <v>71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DA37" s="172"/>
    </row>
    <row r="38" spans="1:105" ht="11.45" customHeight="1" x14ac:dyDescent="0.25">
      <c r="A38" s="27" t="s">
        <v>160</v>
      </c>
      <c r="B38" s="29">
        <f>IF(B9=0,0,B9/TrRail_act!B4*1000)</f>
        <v>31.936614339172504</v>
      </c>
      <c r="C38" s="29">
        <f>IF(C9=0,0,C9/TrRail_act!C4*1000)</f>
        <v>24.085910325855512</v>
      </c>
      <c r="D38" s="29">
        <f>IF(D9=0,0,D9/TrRail_act!D4*1000)</f>
        <v>20.178968736900668</v>
      </c>
      <c r="E38" s="29">
        <f>IF(E9=0,0,E9/TrRail_act!E4*1000)</f>
        <v>17.330310942419118</v>
      </c>
      <c r="F38" s="29">
        <f>IF(F9=0,0,F9/TrRail_act!F4*1000)</f>
        <v>15.026169969630116</v>
      </c>
      <c r="G38" s="29">
        <f>IF(G9=0,0,G9/TrRail_act!G4*1000)</f>
        <v>13.371863741756123</v>
      </c>
      <c r="H38" s="29">
        <f>IF(H9=0,0,H9/TrRail_act!H4*1000)</f>
        <v>12.30037438016023</v>
      </c>
      <c r="I38" s="29">
        <f>IF(I9=0,0,I9/TrRail_act!I4*1000)</f>
        <v>11.475311213916518</v>
      </c>
      <c r="J38" s="29">
        <f>IF(J9=0,0,J9/TrRail_act!J4*1000)</f>
        <v>10.836484648962452</v>
      </c>
      <c r="K38" s="29">
        <f>IF(K9=0,0,K9/TrRail_act!K4*1000)</f>
        <v>8.7349032007933953</v>
      </c>
      <c r="L38" s="29">
        <f>IF(L9=0,0,L9/TrRail_act!L4*1000)</f>
        <v>7.6537149973650198</v>
      </c>
      <c r="M38" s="29">
        <f>IF(M9=0,0,M9/TrRail_act!M4*1000)</f>
        <v>6.3389072109248668</v>
      </c>
      <c r="N38" s="29">
        <f>IF(N9=0,0,N9/TrRail_act!N4*1000)</f>
        <v>5.4150782056212785</v>
      </c>
      <c r="O38" s="29">
        <f>IF(O9=0,0,O9/TrRail_act!O4*1000)</f>
        <v>4.9483045397666343</v>
      </c>
      <c r="P38" s="29">
        <f>IF(P9=0,0,P9/TrRail_act!P4*1000)</f>
        <v>4.6585871779026746</v>
      </c>
      <c r="Q38" s="29">
        <f>IF(Q9=0,0,Q9/TrRail_act!Q4*1000)</f>
        <v>4.3635654340540979</v>
      </c>
      <c r="R38" s="29">
        <f>IF(R9=0,0,R9/TrRail_act!R4*1000)</f>
        <v>3.9993430138830344</v>
      </c>
      <c r="S38" s="29">
        <f>IF(S9=0,0,S9/TrRail_act!S4*1000)</f>
        <v>3.5214616900744704</v>
      </c>
      <c r="T38" s="29">
        <f>IF(T9=0,0,T9/TrRail_act!T4*1000)</f>
        <v>3.6339943461425799</v>
      </c>
      <c r="U38" s="29">
        <f>IF(U9=0,0,U9/TrRail_act!U4*1000)</f>
        <v>3.1773524958306334</v>
      </c>
      <c r="V38" s="29">
        <f>IF(V9=0,0,V9/TrRail_act!V4*1000)</f>
        <v>4.7625164422732613</v>
      </c>
      <c r="W38" s="29">
        <f>IF(W9=0,0,W9/TrRail_act!W4*1000)</f>
        <v>3.392631557422118</v>
      </c>
      <c r="X38" s="29">
        <f>IF(X9=0,0,X9/TrRail_act!X4*1000)</f>
        <v>2.2255461980380402</v>
      </c>
      <c r="Y38" s="29">
        <f>IF(Y9=0,0,Y9/TrRail_act!Y4*1000)</f>
        <v>2.6188685254527622</v>
      </c>
      <c r="DA38" s="173" t="s">
        <v>440</v>
      </c>
    </row>
    <row r="39" spans="1:105" ht="11.45" customHeight="1" x14ac:dyDescent="0.25">
      <c r="A39" s="107" t="s">
        <v>23</v>
      </c>
      <c r="B39" s="115">
        <f>IF(B10=0,0,B10/TrRail_act!B5*1000)</f>
        <v>0</v>
      </c>
      <c r="C39" s="115">
        <f>IF(C10=0,0,C10/TrRail_act!C5*1000)</f>
        <v>0</v>
      </c>
      <c r="D39" s="115">
        <f>IF(D10=0,0,D10/TrRail_act!D5*1000)</f>
        <v>0</v>
      </c>
      <c r="E39" s="115">
        <f>IF(E10=0,0,E10/TrRail_act!E5*1000)</f>
        <v>0</v>
      </c>
      <c r="F39" s="115">
        <f>IF(F10=0,0,F10/TrRail_act!F5*1000)</f>
        <v>0</v>
      </c>
      <c r="G39" s="115">
        <f>IF(G10=0,0,G10/TrRail_act!G5*1000)</f>
        <v>0</v>
      </c>
      <c r="H39" s="115">
        <f>IF(H10=0,0,H10/TrRail_act!H5*1000)</f>
        <v>0</v>
      </c>
      <c r="I39" s="115">
        <f>IF(I10=0,0,I10/TrRail_act!I5*1000)</f>
        <v>0</v>
      </c>
      <c r="J39" s="115">
        <f>IF(J10=0,0,J10/TrRail_act!J5*1000)</f>
        <v>0</v>
      </c>
      <c r="K39" s="115">
        <f>IF(K10=0,0,K10/TrRail_act!K5*1000)</f>
        <v>0</v>
      </c>
      <c r="L39" s="115">
        <f>IF(L10=0,0,L10/TrRail_act!L5*1000)</f>
        <v>0</v>
      </c>
      <c r="M39" s="115">
        <f>IF(M10=0,0,M10/TrRail_act!M5*1000)</f>
        <v>0</v>
      </c>
      <c r="N39" s="115">
        <f>IF(N10=0,0,N10/TrRail_act!N5*1000)</f>
        <v>0</v>
      </c>
      <c r="O39" s="115">
        <f>IF(O10=0,0,O10/TrRail_act!O5*1000)</f>
        <v>0</v>
      </c>
      <c r="P39" s="115">
        <f>IF(P10=0,0,P10/TrRail_act!P5*1000)</f>
        <v>0</v>
      </c>
      <c r="Q39" s="115">
        <f>IF(Q10=0,0,Q10/TrRail_act!Q5*1000)</f>
        <v>0</v>
      </c>
      <c r="R39" s="115">
        <f>IF(R10=0,0,R10/TrRail_act!R5*1000)</f>
        <v>0</v>
      </c>
      <c r="S39" s="115">
        <f>IF(S10=0,0,S10/TrRail_act!S5*1000)</f>
        <v>0</v>
      </c>
      <c r="T39" s="115">
        <f>IF(T10=0,0,T10/TrRail_act!T5*1000)</f>
        <v>0</v>
      </c>
      <c r="U39" s="115">
        <f>IF(U10=0,0,U10/TrRail_act!U5*1000)</f>
        <v>0</v>
      </c>
      <c r="V39" s="115">
        <f>IF(V10=0,0,V10/TrRail_act!V5*1000)</f>
        <v>0</v>
      </c>
      <c r="W39" s="115">
        <f>IF(W10=0,0,W10/TrRail_act!W5*1000)</f>
        <v>0</v>
      </c>
      <c r="X39" s="115">
        <f>IF(X10=0,0,X10/TrRail_act!X5*1000)</f>
        <v>0</v>
      </c>
      <c r="Y39" s="115">
        <f>IF(Y10=0,0,Y10/TrRail_act!Y5*1000)</f>
        <v>0</v>
      </c>
      <c r="DA39" s="203" t="s">
        <v>441</v>
      </c>
    </row>
    <row r="40" spans="1:105" ht="11.45" customHeight="1" x14ac:dyDescent="0.25">
      <c r="A40" s="109" t="s">
        <v>24</v>
      </c>
      <c r="B40" s="116">
        <f>IF(B11=0,0,B11/TrRail_act!B6*1000)</f>
        <v>36.1346316010181</v>
      </c>
      <c r="C40" s="116">
        <f>IF(C11=0,0,C11/TrRail_act!C6*1000)</f>
        <v>27.374192171444498</v>
      </c>
      <c r="D40" s="116">
        <f>IF(D11=0,0,D11/TrRail_act!D6*1000)</f>
        <v>23.006594929332611</v>
      </c>
      <c r="E40" s="116">
        <f>IF(E11=0,0,E11/TrRail_act!E6*1000)</f>
        <v>20.885956939131805</v>
      </c>
      <c r="F40" s="116">
        <f>IF(F11=0,0,F11/TrRail_act!F6*1000)</f>
        <v>20.839974574888089</v>
      </c>
      <c r="G40" s="116">
        <f>IF(G11=0,0,G11/TrRail_act!G6*1000)</f>
        <v>18.761365422131853</v>
      </c>
      <c r="H40" s="116">
        <f>IF(H11=0,0,H11/TrRail_act!H6*1000)</f>
        <v>17.763230674056807</v>
      </c>
      <c r="I40" s="116">
        <f>IF(I11=0,0,I11/TrRail_act!I6*1000)</f>
        <v>16.604389629492665</v>
      </c>
      <c r="J40" s="116">
        <f>IF(J11=0,0,J11/TrRail_act!J6*1000)</f>
        <v>15.595843437326899</v>
      </c>
      <c r="K40" s="116">
        <f>IF(K11=0,0,K11/TrRail_act!K6*1000)</f>
        <v>12.574049646035919</v>
      </c>
      <c r="L40" s="116">
        <f>IF(L11=0,0,L11/TrRail_act!L6*1000)</f>
        <v>11.175045530689621</v>
      </c>
      <c r="M40" s="116">
        <f>IF(M11=0,0,M11/TrRail_act!M6*1000)</f>
        <v>9.0519796687431455</v>
      </c>
      <c r="N40" s="116">
        <f>IF(N11=0,0,N11/TrRail_act!N6*1000)</f>
        <v>7.83017553180263</v>
      </c>
      <c r="O40" s="116">
        <f>IF(O11=0,0,O11/TrRail_act!O6*1000)</f>
        <v>7.1338512988921563</v>
      </c>
      <c r="P40" s="116">
        <f>IF(P11=0,0,P11/TrRail_act!P6*1000)</f>
        <v>6.7735927853174083</v>
      </c>
      <c r="Q40" s="116">
        <f>IF(Q11=0,0,Q11/TrRail_act!Q6*1000)</f>
        <v>6.3954980592507669</v>
      </c>
      <c r="R40" s="116">
        <f>IF(R11=0,0,R11/TrRail_act!R6*1000)</f>
        <v>5.8341560229130875</v>
      </c>
      <c r="S40" s="116">
        <f>IF(S11=0,0,S11/TrRail_act!S6*1000)</f>
        <v>5.1386877296142703</v>
      </c>
      <c r="T40" s="116">
        <f>IF(T11=0,0,T11/TrRail_act!T6*1000)</f>
        <v>5.3417578697711097</v>
      </c>
      <c r="U40" s="116">
        <f>IF(U11=0,0,U11/TrRail_act!U6*1000)</f>
        <v>4.6261960772191859</v>
      </c>
      <c r="V40" s="116">
        <f>IF(V11=0,0,V11/TrRail_act!V6*1000)</f>
        <v>6.5708480059312926</v>
      </c>
      <c r="W40" s="116">
        <f>IF(W11=0,0,W11/TrRail_act!W6*1000)</f>
        <v>4.5735729587504608</v>
      </c>
      <c r="X40" s="116">
        <f>IF(X11=0,0,X11/TrRail_act!X6*1000)</f>
        <v>3.1759585672739763</v>
      </c>
      <c r="Y40" s="116">
        <f>IF(Y11=0,0,Y11/TrRail_act!Y6*1000)</f>
        <v>3.8233374973150518</v>
      </c>
      <c r="DA40" s="176" t="s">
        <v>442</v>
      </c>
    </row>
    <row r="41" spans="1:105" ht="11.45" customHeight="1" x14ac:dyDescent="0.25">
      <c r="A41" s="111" t="s">
        <v>92</v>
      </c>
      <c r="B41" s="87">
        <f>IF(B12=0,0,B12/TrRail_act!B7*1000)</f>
        <v>86.084958906807088</v>
      </c>
      <c r="C41" s="87">
        <f>IF(C12=0,0,C12/TrRail_act!C7*1000)</f>
        <v>71.896598431990412</v>
      </c>
      <c r="D41" s="87">
        <f>IF(D12=0,0,D12/TrRail_act!D7*1000)</f>
        <v>69.741249446607966</v>
      </c>
      <c r="E41" s="87">
        <f>IF(E12=0,0,E12/TrRail_act!E7*1000)</f>
        <v>77.193477582822553</v>
      </c>
      <c r="F41" s="87">
        <f>IF(F12=0,0,F12/TrRail_act!F7*1000)</f>
        <v>72.801445275610902</v>
      </c>
      <c r="G41" s="87">
        <f>IF(G12=0,0,G12/TrRail_act!G7*1000)</f>
        <v>69.485675895856474</v>
      </c>
      <c r="H41" s="87">
        <f>IF(H12=0,0,H12/TrRail_act!H7*1000)</f>
        <v>69.704749371467685</v>
      </c>
      <c r="I41" s="87">
        <f>IF(I12=0,0,I12/TrRail_act!I7*1000)</f>
        <v>62.433069387143853</v>
      </c>
      <c r="J41" s="87">
        <f>IF(J12=0,0,J12/TrRail_act!J7*1000)</f>
        <v>61.241949611847289</v>
      </c>
      <c r="K41" s="87">
        <f>IF(K12=0,0,K12/TrRail_act!K7*1000)</f>
        <v>55.453012376227363</v>
      </c>
      <c r="L41" s="87">
        <f>IF(L12=0,0,L12/TrRail_act!L7*1000)</f>
        <v>52.140439838280138</v>
      </c>
      <c r="M41" s="87">
        <f>IF(M12=0,0,M12/TrRail_act!M7*1000)</f>
        <v>39.249534736925867</v>
      </c>
      <c r="N41" s="87">
        <f>IF(N12=0,0,N12/TrRail_act!N7*1000)</f>
        <v>41.702788338904014</v>
      </c>
      <c r="O41" s="87">
        <f>IF(O12=0,0,O12/TrRail_act!O7*1000)</f>
        <v>32.970814826638922</v>
      </c>
      <c r="P41" s="87">
        <f>IF(P12=0,0,P12/TrRail_act!P7*1000)</f>
        <v>31.521059407585824</v>
      </c>
      <c r="Q41" s="87">
        <f>IF(Q12=0,0,Q12/TrRail_act!Q7*1000)</f>
        <v>30.376654175319313</v>
      </c>
      <c r="R41" s="87">
        <f>IF(R12=0,0,R12/TrRail_act!R7*1000)</f>
        <v>38.538591304560136</v>
      </c>
      <c r="S41" s="87">
        <f>IF(S12=0,0,S12/TrRail_act!S7*1000)</f>
        <v>34.73161514726732</v>
      </c>
      <c r="T41" s="87">
        <f>IF(T12=0,0,T12/TrRail_act!T7*1000)</f>
        <v>42.795709653928448</v>
      </c>
      <c r="U41" s="87">
        <f>IF(U12=0,0,U12/TrRail_act!U7*1000)</f>
        <v>37.694930999563731</v>
      </c>
      <c r="V41" s="87">
        <f>IF(V12=0,0,V12/TrRail_act!V7*1000)</f>
        <v>51.045828797949419</v>
      </c>
      <c r="W41" s="87">
        <f>IF(W12=0,0,W12/TrRail_act!W7*1000)</f>
        <v>37.251590336128977</v>
      </c>
      <c r="X41" s="87">
        <f>IF(X12=0,0,X12/TrRail_act!X7*1000)</f>
        <v>26.200734509931149</v>
      </c>
      <c r="Y41" s="87">
        <f>IF(Y12=0,0,Y12/TrRail_act!Y7*1000)</f>
        <v>31.899302319012541</v>
      </c>
      <c r="DA41" s="171" t="s">
        <v>1155</v>
      </c>
    </row>
    <row r="42" spans="1:105" ht="11.45" customHeight="1" x14ac:dyDescent="0.25">
      <c r="A42" s="111" t="s">
        <v>93</v>
      </c>
      <c r="B42" s="87">
        <f>IF(B13=0,0,B13/TrRail_act!B8*1000)</f>
        <v>0</v>
      </c>
      <c r="C42" s="87">
        <f>IF(C13=0,0,C13/TrRail_act!C8*1000)</f>
        <v>0</v>
      </c>
      <c r="D42" s="87">
        <f>IF(D13=0,0,D13/TrRail_act!D8*1000)</f>
        <v>0</v>
      </c>
      <c r="E42" s="87">
        <f>IF(E13=0,0,E13/TrRail_act!E8*1000)</f>
        <v>0</v>
      </c>
      <c r="F42" s="87">
        <f>IF(F13=0,0,F13/TrRail_act!F8*1000)</f>
        <v>0</v>
      </c>
      <c r="G42" s="87">
        <f>IF(G13=0,0,G13/TrRail_act!G8*1000)</f>
        <v>0</v>
      </c>
      <c r="H42" s="87">
        <f>IF(H13=0,0,H13/TrRail_act!H8*1000)</f>
        <v>0</v>
      </c>
      <c r="I42" s="87">
        <f>IF(I13=0,0,I13/TrRail_act!I8*1000)</f>
        <v>0</v>
      </c>
      <c r="J42" s="87">
        <f>IF(J13=0,0,J13/TrRail_act!J8*1000)</f>
        <v>0</v>
      </c>
      <c r="K42" s="87">
        <f>IF(K13=0,0,K13/TrRail_act!K8*1000)</f>
        <v>0</v>
      </c>
      <c r="L42" s="87">
        <f>IF(L13=0,0,L13/TrRail_act!L8*1000)</f>
        <v>0</v>
      </c>
      <c r="M42" s="87">
        <f>IF(M13=0,0,M13/TrRail_act!M8*1000)</f>
        <v>0</v>
      </c>
      <c r="N42" s="87">
        <f>IF(N13=0,0,N13/TrRail_act!N8*1000)</f>
        <v>0</v>
      </c>
      <c r="O42" s="87">
        <f>IF(O13=0,0,O13/TrRail_act!O8*1000)</f>
        <v>0</v>
      </c>
      <c r="P42" s="87">
        <f>IF(P13=0,0,P13/TrRail_act!P8*1000)</f>
        <v>0</v>
      </c>
      <c r="Q42" s="87">
        <f>IF(Q13=0,0,Q13/TrRail_act!Q8*1000)</f>
        <v>0</v>
      </c>
      <c r="R42" s="87">
        <f>IF(R13=0,0,R13/TrRail_act!R8*1000)</f>
        <v>0</v>
      </c>
      <c r="S42" s="87">
        <f>IF(S13=0,0,S13/TrRail_act!S8*1000)</f>
        <v>0</v>
      </c>
      <c r="T42" s="87">
        <f>IF(T13=0,0,T13/TrRail_act!T8*1000)</f>
        <v>0</v>
      </c>
      <c r="U42" s="87">
        <f>IF(U13=0,0,U13/TrRail_act!U8*1000)</f>
        <v>0</v>
      </c>
      <c r="V42" s="87">
        <f>IF(V13=0,0,V13/TrRail_act!V8*1000)</f>
        <v>0</v>
      </c>
      <c r="W42" s="87">
        <f>IF(W13=0,0,W13/TrRail_act!W8*1000)</f>
        <v>0</v>
      </c>
      <c r="X42" s="87">
        <f>IF(X13=0,0,X13/TrRail_act!X8*1000)</f>
        <v>0</v>
      </c>
      <c r="Y42" s="87">
        <f>IF(Y13=0,0,Y13/TrRail_act!Y8*1000)</f>
        <v>0</v>
      </c>
      <c r="DA42" s="171" t="s">
        <v>1156</v>
      </c>
    </row>
    <row r="43" spans="1:105" ht="11.45" customHeight="1" x14ac:dyDescent="0.25">
      <c r="A43" s="112" t="s">
        <v>25</v>
      </c>
      <c r="B43" s="117">
        <f>IF(B14=0,0,B14/TrRail_act!B9*1000)</f>
        <v>0</v>
      </c>
      <c r="C43" s="117">
        <f>IF(C14=0,0,C14/TrRail_act!C9*1000)</f>
        <v>0</v>
      </c>
      <c r="D43" s="117">
        <f>IF(D14=0,0,D14/TrRail_act!D9*1000)</f>
        <v>0</v>
      </c>
      <c r="E43" s="117">
        <f>IF(E14=0,0,E14/TrRail_act!E9*1000)</f>
        <v>0</v>
      </c>
      <c r="F43" s="117">
        <f>IF(F14=0,0,F14/TrRail_act!F9*1000)</f>
        <v>0</v>
      </c>
      <c r="G43" s="117">
        <f>IF(G14=0,0,G14/TrRail_act!G9*1000)</f>
        <v>0</v>
      </c>
      <c r="H43" s="117">
        <f>IF(H14=0,0,H14/TrRail_act!H9*1000)</f>
        <v>0</v>
      </c>
      <c r="I43" s="117">
        <f>IF(I14=0,0,I14/TrRail_act!I9*1000)</f>
        <v>0</v>
      </c>
      <c r="J43" s="117">
        <f>IF(J14=0,0,J14/TrRail_act!J9*1000)</f>
        <v>0</v>
      </c>
      <c r="K43" s="117">
        <f>IF(K14=0,0,K14/TrRail_act!K9*1000)</f>
        <v>0</v>
      </c>
      <c r="L43" s="117">
        <f>IF(L14=0,0,L14/TrRail_act!L9*1000)</f>
        <v>0</v>
      </c>
      <c r="M43" s="117">
        <f>IF(M14=0,0,M14/TrRail_act!M9*1000)</f>
        <v>0</v>
      </c>
      <c r="N43" s="117">
        <f>IF(N14=0,0,N14/TrRail_act!N9*1000)</f>
        <v>0</v>
      </c>
      <c r="O43" s="117">
        <f>IF(O14=0,0,O14/TrRail_act!O9*1000)</f>
        <v>0</v>
      </c>
      <c r="P43" s="117">
        <f>IF(P14=0,0,P14/TrRail_act!P9*1000)</f>
        <v>0</v>
      </c>
      <c r="Q43" s="117">
        <f>IF(Q14=0,0,Q14/TrRail_act!Q9*1000)</f>
        <v>0</v>
      </c>
      <c r="R43" s="117">
        <f>IF(R14=0,0,R14/TrRail_act!R9*1000)</f>
        <v>0</v>
      </c>
      <c r="S43" s="117">
        <f>IF(S14=0,0,S14/TrRail_act!S9*1000)</f>
        <v>0</v>
      </c>
      <c r="T43" s="117">
        <f>IF(T14=0,0,T14/TrRail_act!T9*1000)</f>
        <v>0</v>
      </c>
      <c r="U43" s="117">
        <f>IF(U14=0,0,U14/TrRail_act!U9*1000)</f>
        <v>0</v>
      </c>
      <c r="V43" s="117">
        <f>IF(V14=0,0,V14/TrRail_act!V9*1000)</f>
        <v>0</v>
      </c>
      <c r="W43" s="117">
        <f>IF(W14=0,0,W14/TrRail_act!W9*1000)</f>
        <v>0</v>
      </c>
      <c r="X43" s="117">
        <f>IF(X14=0,0,X14/TrRail_act!X9*1000)</f>
        <v>0</v>
      </c>
      <c r="Y43" s="117">
        <f>IF(Y14=0,0,Y14/TrRail_act!Y9*1000)</f>
        <v>0</v>
      </c>
      <c r="DA43" s="204" t="s">
        <v>443</v>
      </c>
    </row>
    <row r="44" spans="1:105" ht="11.45" customHeight="1" x14ac:dyDescent="0.25">
      <c r="A44" s="27" t="s">
        <v>159</v>
      </c>
      <c r="B44" s="29">
        <f>IF(B15=0,0,B15/TrRail_act!B10*1000)</f>
        <v>15.624037610945988</v>
      </c>
      <c r="C44" s="29">
        <f>IF(C15=0,0,C15/TrRail_act!C10*1000)</f>
        <v>11.961618228060596</v>
      </c>
      <c r="D44" s="29">
        <f>IF(D15=0,0,D15/TrRail_act!D10*1000)</f>
        <v>10.06634726054242</v>
      </c>
      <c r="E44" s="29">
        <f>IF(E15=0,0,E15/TrRail_act!E10*1000)</f>
        <v>8.6529207368250507</v>
      </c>
      <c r="F44" s="29">
        <f>IF(F15=0,0,F15/TrRail_act!F10*1000)</f>
        <v>7.7059488648865555</v>
      </c>
      <c r="G44" s="29">
        <f>IF(G15=0,0,G15/TrRail_act!G10*1000)</f>
        <v>7.4318383335856328</v>
      </c>
      <c r="H44" s="29">
        <f>IF(H15=0,0,H15/TrRail_act!H10*1000)</f>
        <v>6.8496823085500615</v>
      </c>
      <c r="I44" s="29">
        <f>IF(I15=0,0,I15/TrRail_act!I10*1000)</f>
        <v>7.2201889480804393</v>
      </c>
      <c r="J44" s="29">
        <f>IF(J15=0,0,J15/TrRail_act!J10*1000)</f>
        <v>6.1857081691402138</v>
      </c>
      <c r="K44" s="29">
        <f>IF(K15=0,0,K15/TrRail_act!K10*1000)</f>
        <v>5.0738735528995775</v>
      </c>
      <c r="L44" s="29">
        <f>IF(L15=0,0,L15/TrRail_act!L10*1000)</f>
        <v>4.6878104618346139</v>
      </c>
      <c r="M44" s="29">
        <f>IF(M15=0,0,M15/TrRail_act!M10*1000)</f>
        <v>4.5103899178163731</v>
      </c>
      <c r="N44" s="29">
        <f>IF(N15=0,0,N15/TrRail_act!N10*1000)</f>
        <v>3.6715048278593185</v>
      </c>
      <c r="O44" s="29">
        <f>IF(O15=0,0,O15/TrRail_act!O10*1000)</f>
        <v>3.9950650237237406</v>
      </c>
      <c r="P44" s="29">
        <f>IF(P15=0,0,P15/TrRail_act!P10*1000)</f>
        <v>3.868198418018939</v>
      </c>
      <c r="Q44" s="29">
        <f>IF(Q15=0,0,Q15/TrRail_act!Q10*1000)</f>
        <v>3.7927581902002943</v>
      </c>
      <c r="R44" s="29">
        <f>IF(R15=0,0,R15/TrRail_act!R10*1000)</f>
        <v>2.6571751843849785</v>
      </c>
      <c r="S44" s="29">
        <f>IF(S15=0,0,S15/TrRail_act!S10*1000)</f>
        <v>4.1499293567793769</v>
      </c>
      <c r="T44" s="29">
        <f>IF(T15=0,0,T15/TrRail_act!T10*1000)</f>
        <v>3.4659411381789265</v>
      </c>
      <c r="U44" s="29">
        <f>IF(U15=0,0,U15/TrRail_act!U10*1000)</f>
        <v>4.3977184259086233</v>
      </c>
      <c r="V44" s="29">
        <f>IF(V15=0,0,V15/TrRail_act!V10*1000)</f>
        <v>5.2755188123895644</v>
      </c>
      <c r="W44" s="29">
        <f>IF(W15=0,0,W15/TrRail_act!W10*1000)</f>
        <v>8.0677782259337008</v>
      </c>
      <c r="X44" s="29">
        <f>IF(X15=0,0,X15/TrRail_act!X10*1000)</f>
        <v>5.0930256355179262</v>
      </c>
      <c r="Y44" s="29">
        <f>IF(Y15=0,0,Y15/TrRail_act!Y10*1000)</f>
        <v>4.8217029977263133</v>
      </c>
      <c r="DA44" s="173" t="s">
        <v>448</v>
      </c>
    </row>
    <row r="45" spans="1:105" ht="11.45" customHeight="1" x14ac:dyDescent="0.25">
      <c r="A45" s="83" t="s">
        <v>92</v>
      </c>
      <c r="B45" s="87">
        <f>IF(B16=0,0,B16/TrRail_act!B11*1000)</f>
        <v>29.155520329624441</v>
      </c>
      <c r="C45" s="87">
        <f>IF(C16=0,0,C16/TrRail_act!C11*1000)</f>
        <v>24.730641383428612</v>
      </c>
      <c r="D45" s="87">
        <f>IF(D16=0,0,D16/TrRail_act!D11*1000)</f>
        <v>23.927434723374112</v>
      </c>
      <c r="E45" s="87">
        <f>IF(E16=0,0,E16/TrRail_act!E11*1000)</f>
        <v>22.861370369623195</v>
      </c>
      <c r="F45" s="87">
        <f>IF(F16=0,0,F16/TrRail_act!F11*1000)</f>
        <v>22.348701354707813</v>
      </c>
      <c r="G45" s="87">
        <f>IF(G16=0,0,G16/TrRail_act!G11*1000)</f>
        <v>22.764634971403595</v>
      </c>
      <c r="H45" s="87">
        <f>IF(H16=0,0,H16/TrRail_act!H11*1000)</f>
        <v>22.594187591467612</v>
      </c>
      <c r="I45" s="87">
        <f>IF(I16=0,0,I16/TrRail_act!I11*1000)</f>
        <v>23.524889146877367</v>
      </c>
      <c r="J45" s="87">
        <f>IF(J16=0,0,J16/TrRail_act!J11*1000)</f>
        <v>20.799199630780642</v>
      </c>
      <c r="K45" s="87">
        <f>IF(K16=0,0,K16/TrRail_act!K11*1000)</f>
        <v>19.521932453518719</v>
      </c>
      <c r="L45" s="87">
        <f>IF(L16=0,0,L16/TrRail_act!L11*1000)</f>
        <v>19.332726106567563</v>
      </c>
      <c r="M45" s="87">
        <f>IF(M16=0,0,M16/TrRail_act!M11*1000)</f>
        <v>17.832484790196034</v>
      </c>
      <c r="N45" s="87">
        <f>IF(N16=0,0,N16/TrRail_act!N11*1000)</f>
        <v>17.095642910916833</v>
      </c>
      <c r="O45" s="87">
        <f>IF(O16=0,0,O16/TrRail_act!O11*1000)</f>
        <v>16.287175471808336</v>
      </c>
      <c r="P45" s="87">
        <f>IF(P16=0,0,P16/TrRail_act!P11*1000)</f>
        <v>15.882383645321747</v>
      </c>
      <c r="Q45" s="87">
        <f>IF(Q16=0,0,Q16/TrRail_act!Q11*1000)</f>
        <v>15.756348698240371</v>
      </c>
      <c r="R45" s="87">
        <f>IF(R16=0,0,R16/TrRail_act!R11*1000)</f>
        <v>15.452883377783207</v>
      </c>
      <c r="S45" s="87">
        <f>IF(S16=0,0,S16/TrRail_act!S11*1000)</f>
        <v>15.816660279997702</v>
      </c>
      <c r="T45" s="87">
        <f>IF(T16=0,0,T16/TrRail_act!T11*1000)</f>
        <v>14.262895263785184</v>
      </c>
      <c r="U45" s="87">
        <f>IF(U16=0,0,U16/TrRail_act!U11*1000)</f>
        <v>14.083740465121505</v>
      </c>
      <c r="V45" s="87">
        <f>IF(V16=0,0,V16/TrRail_act!V11*1000)</f>
        <v>20.192898319129487</v>
      </c>
      <c r="W45" s="87">
        <f>IF(W16=0,0,W16/TrRail_act!W11*1000)</f>
        <v>23.584553846459464</v>
      </c>
      <c r="X45" s="87">
        <f>IF(X16=0,0,X16/TrRail_act!X11*1000)</f>
        <v>11.976957228992431</v>
      </c>
      <c r="Y45" s="87">
        <f>IF(Y16=0,0,Y16/TrRail_act!Y11*1000)</f>
        <v>14.258396375852961</v>
      </c>
      <c r="DA45" s="171" t="s">
        <v>1157</v>
      </c>
    </row>
    <row r="46" spans="1:105" ht="11.45" customHeight="1" x14ac:dyDescent="0.25">
      <c r="A46" s="85" t="s">
        <v>93</v>
      </c>
      <c r="B46" s="88">
        <f>IF(B17=0,0,B17/TrRail_act!B12*1000)</f>
        <v>0</v>
      </c>
      <c r="C46" s="88">
        <f>IF(C17=0,0,C17/TrRail_act!C12*1000)</f>
        <v>0</v>
      </c>
      <c r="D46" s="88">
        <f>IF(D17=0,0,D17/TrRail_act!D12*1000)</f>
        <v>0</v>
      </c>
      <c r="E46" s="88">
        <f>IF(E17=0,0,E17/TrRail_act!E12*1000)</f>
        <v>0</v>
      </c>
      <c r="F46" s="88">
        <f>IF(F17=0,0,F17/TrRail_act!F12*1000)</f>
        <v>0</v>
      </c>
      <c r="G46" s="88">
        <f>IF(G17=0,0,G17/TrRail_act!G12*1000)</f>
        <v>0</v>
      </c>
      <c r="H46" s="88">
        <f>IF(H17=0,0,H17/TrRail_act!H12*1000)</f>
        <v>0</v>
      </c>
      <c r="I46" s="88">
        <f>IF(I17=0,0,I17/TrRail_act!I12*1000)</f>
        <v>0</v>
      </c>
      <c r="J46" s="88">
        <f>IF(J17=0,0,J17/TrRail_act!J12*1000)</f>
        <v>0</v>
      </c>
      <c r="K46" s="88">
        <f>IF(K17=0,0,K17/TrRail_act!K12*1000)</f>
        <v>0</v>
      </c>
      <c r="L46" s="88">
        <f>IF(L17=0,0,L17/TrRail_act!L12*1000)</f>
        <v>0</v>
      </c>
      <c r="M46" s="88">
        <f>IF(M17=0,0,M17/TrRail_act!M12*1000)</f>
        <v>0</v>
      </c>
      <c r="N46" s="88">
        <f>IF(N17=0,0,N17/TrRail_act!N12*1000)</f>
        <v>0</v>
      </c>
      <c r="O46" s="88">
        <f>IF(O17=0,0,O17/TrRail_act!O12*1000)</f>
        <v>0</v>
      </c>
      <c r="P46" s="88">
        <f>IF(P17=0,0,P17/TrRail_act!P12*1000)</f>
        <v>0</v>
      </c>
      <c r="Q46" s="88">
        <f>IF(Q17=0,0,Q17/TrRail_act!Q12*1000)</f>
        <v>0</v>
      </c>
      <c r="R46" s="88">
        <f>IF(R17=0,0,R17/TrRail_act!R12*1000)</f>
        <v>0</v>
      </c>
      <c r="S46" s="88">
        <f>IF(S17=0,0,S17/TrRail_act!S12*1000)</f>
        <v>0</v>
      </c>
      <c r="T46" s="88">
        <f>IF(T17=0,0,T17/TrRail_act!T12*1000)</f>
        <v>0</v>
      </c>
      <c r="U46" s="88">
        <f>IF(U17=0,0,U17/TrRail_act!U12*1000)</f>
        <v>0</v>
      </c>
      <c r="V46" s="88">
        <f>IF(V17=0,0,V17/TrRail_act!V12*1000)</f>
        <v>0</v>
      </c>
      <c r="W46" s="88">
        <f>IF(W17=0,0,W17/TrRail_act!W12*1000)</f>
        <v>0</v>
      </c>
      <c r="X46" s="88">
        <f>IF(X17=0,0,X17/TrRail_act!X12*1000)</f>
        <v>0</v>
      </c>
      <c r="Y46" s="88">
        <f>IF(Y17=0,0,Y17/TrRail_act!Y12*1000)</f>
        <v>0</v>
      </c>
      <c r="DA46" s="178" t="s">
        <v>1158</v>
      </c>
    </row>
    <row r="47" spans="1:105" x14ac:dyDescent="0.25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DA47" s="171"/>
    </row>
    <row r="48" spans="1:105" ht="11.45" customHeight="1" x14ac:dyDescent="0.25">
      <c r="A48" s="53" t="s">
        <v>94</v>
      </c>
      <c r="B48" s="62">
        <f>IF(B8=0,0,1000000*B8/TrRail_act!B25/1000)</f>
        <v>601.80925679155553</v>
      </c>
      <c r="C48" s="62">
        <f>IF(C8=0,0,1000000*C8/TrRail_act!C25/1000)</f>
        <v>468.94885815552351</v>
      </c>
      <c r="D48" s="62">
        <f>IF(D8=0,0,1000000*D8/TrRail_act!D25/1000)</f>
        <v>376.51257692475986</v>
      </c>
      <c r="E48" s="62">
        <f>IF(E8=0,0,1000000*E8/TrRail_act!E25/1000)</f>
        <v>301.11794976512658</v>
      </c>
      <c r="F48" s="62">
        <f>IF(F8=0,0,1000000*F8/TrRail_act!F25/1000)</f>
        <v>278.7182008189925</v>
      </c>
      <c r="G48" s="62">
        <f>IF(G8=0,0,1000000*G8/TrRail_act!G25/1000)</f>
        <v>263.17422872166213</v>
      </c>
      <c r="H48" s="62">
        <f>IF(H8=0,0,1000000*H8/TrRail_act!H25/1000)</f>
        <v>227.01141449488003</v>
      </c>
      <c r="I48" s="62">
        <f>IF(I8=0,0,1000000*I8/TrRail_act!I25/1000)</f>
        <v>227.02353392805961</v>
      </c>
      <c r="J48" s="62">
        <f>IF(J8=0,0,1000000*J8/TrRail_act!J25/1000)</f>
        <v>206.96803692052333</v>
      </c>
      <c r="K48" s="62">
        <f>IF(K8=0,0,1000000*K8/TrRail_act!K25/1000)</f>
        <v>169.89702033784943</v>
      </c>
      <c r="L48" s="62">
        <f>IF(L8=0,0,1000000*L8/TrRail_act!L25/1000)</f>
        <v>150.85311312859719</v>
      </c>
      <c r="M48" s="62">
        <f>IF(M8=0,0,1000000*M8/TrRail_act!M25/1000)</f>
        <v>139.51433052979897</v>
      </c>
      <c r="N48" s="62">
        <f>IF(N8=0,0,1000000*N8/TrRail_act!N25/1000)</f>
        <v>115.52623345886906</v>
      </c>
      <c r="O48" s="62">
        <f>IF(O8=0,0,1000000*O8/TrRail_act!O25/1000)</f>
        <v>112.78581163015168</v>
      </c>
      <c r="P48" s="62">
        <f>IF(P8=0,0,1000000*P8/TrRail_act!P25/1000)</f>
        <v>118.45304718874604</v>
      </c>
      <c r="Q48" s="62">
        <f>IF(Q8=0,0,1000000*Q8/TrRail_act!Q25/1000)</f>
        <v>113.028053391965</v>
      </c>
      <c r="R48" s="62">
        <f>IF(R8=0,0,1000000*R8/TrRail_act!R25/1000)</f>
        <v>74.065533498725287</v>
      </c>
      <c r="S48" s="62">
        <f>IF(S8=0,0,1000000*S8/TrRail_act!S25/1000)</f>
        <v>69.980967527189918</v>
      </c>
      <c r="T48" s="62">
        <f>IF(T8=0,0,1000000*T8/TrRail_act!T25/1000)</f>
        <v>66.633705077233699</v>
      </c>
      <c r="U48" s="62">
        <f>IF(U8=0,0,1000000*U8/TrRail_act!U25/1000)</f>
        <v>65.976922059822968</v>
      </c>
      <c r="V48" s="62">
        <f>IF(V8=0,0,1000000*V8/TrRail_act!V25/1000)</f>
        <v>61.588303170586499</v>
      </c>
      <c r="W48" s="62">
        <f>IF(W8=0,0,1000000*W8/TrRail_act!W25/1000)</f>
        <v>60.06006819713317</v>
      </c>
      <c r="X48" s="62">
        <f>IF(X8=0,0,1000000*X8/TrRail_act!X25/1000)</f>
        <v>52.304340540779059</v>
      </c>
      <c r="Y48" s="62">
        <f>IF(Y8=0,0,1000000*Y8/TrRail_act!Y25/1000)</f>
        <v>56.255283209142704</v>
      </c>
      <c r="DA48" s="172" t="s">
        <v>1159</v>
      </c>
    </row>
    <row r="49" spans="1:105" ht="11.45" customHeight="1" x14ac:dyDescent="0.25">
      <c r="A49" s="27" t="s">
        <v>33</v>
      </c>
      <c r="B49" s="29">
        <f>IF(B9=0,0,1000000*B9/TrRail_act!B26/1000)</f>
        <v>522.64818030017364</v>
      </c>
      <c r="C49" s="29">
        <f>IF(C9=0,0,1000000*C9/TrRail_act!C26/1000)</f>
        <v>410.46802190834455</v>
      </c>
      <c r="D49" s="29">
        <f>IF(D9=0,0,1000000*D9/TrRail_act!D26/1000)</f>
        <v>326.3469865959637</v>
      </c>
      <c r="E49" s="29">
        <f>IF(E9=0,0,1000000*E9/TrRail_act!E26/1000)</f>
        <v>261.82769424972531</v>
      </c>
      <c r="F49" s="29">
        <f>IF(F9=0,0,1000000*F9/TrRail_act!F26/1000)</f>
        <v>238.95607927685762</v>
      </c>
      <c r="G49" s="29">
        <f>IF(G9=0,0,1000000*G9/TrRail_act!G26/1000)</f>
        <v>219.97176223890659</v>
      </c>
      <c r="H49" s="29">
        <f>IF(H9=0,0,1000000*H9/TrRail_act!H26/1000)</f>
        <v>190.0811332808328</v>
      </c>
      <c r="I49" s="29">
        <f>IF(I9=0,0,1000000*I9/TrRail_act!I26/1000)</f>
        <v>183.87944320904234</v>
      </c>
      <c r="J49" s="29">
        <f>IF(J9=0,0,1000000*J9/TrRail_act!J26/1000)</f>
        <v>173.71778172094159</v>
      </c>
      <c r="K49" s="29">
        <f>IF(K9=0,0,1000000*K9/TrRail_act!K26/1000)</f>
        <v>146.31907487456655</v>
      </c>
      <c r="L49" s="29">
        <f>IF(L9=0,0,1000000*L9/TrRail_act!L26/1000)</f>
        <v>126.69762066753724</v>
      </c>
      <c r="M49" s="29">
        <f>IF(M9=0,0,1000000*M9/TrRail_act!M26/1000)</f>
        <v>113.93487870714016</v>
      </c>
      <c r="N49" s="29">
        <f>IF(N9=0,0,1000000*N9/TrRail_act!N26/1000)</f>
        <v>92.492728308032099</v>
      </c>
      <c r="O49" s="29">
        <f>IF(O9=0,0,1000000*O9/TrRail_act!O26/1000)</f>
        <v>86.436763096688807</v>
      </c>
      <c r="P49" s="29">
        <f>IF(P9=0,0,1000000*P9/TrRail_act!P26/1000)</f>
        <v>90.103111826121889</v>
      </c>
      <c r="Q49" s="29">
        <f>IF(Q9=0,0,1000000*Q9/TrRail_act!Q26/1000)</f>
        <v>83.308863152728378</v>
      </c>
      <c r="R49" s="29">
        <f>IF(R9=0,0,1000000*R9/TrRail_act!R26/1000)</f>
        <v>58.720503801097728</v>
      </c>
      <c r="S49" s="29">
        <f>IF(S9=0,0,1000000*S9/TrRail_act!S26/1000)</f>
        <v>47.066131940782839</v>
      </c>
      <c r="T49" s="29">
        <f>IF(T9=0,0,1000000*T9/TrRail_act!T26/1000)</f>
        <v>48.267063453237789</v>
      </c>
      <c r="U49" s="29">
        <f>IF(U9=0,0,1000000*U9/TrRail_act!U26/1000)</f>
        <v>45.149166702135126</v>
      </c>
      <c r="V49" s="29">
        <f>IF(V9=0,0,1000000*V9/TrRail_act!V26/1000)</f>
        <v>36.343211472648264</v>
      </c>
      <c r="W49" s="29">
        <f>IF(W9=0,0,1000000*W9/TrRail_act!W26/1000)</f>
        <v>28.188202471747761</v>
      </c>
      <c r="X49" s="29">
        <f>IF(X9=0,0,1000000*X9/TrRail_act!X26/1000)</f>
        <v>28.910196891353863</v>
      </c>
      <c r="Y49" s="29">
        <f>IF(Y9=0,0,1000000*Y9/TrRail_act!Y26/1000)</f>
        <v>35.618158159594707</v>
      </c>
      <c r="DA49" s="173" t="s">
        <v>1160</v>
      </c>
    </row>
    <row r="50" spans="1:105" ht="11.45" customHeight="1" x14ac:dyDescent="0.25">
      <c r="A50" s="107" t="s">
        <v>23</v>
      </c>
      <c r="B50" s="115">
        <f>IF(B10=0,0,1000000*B10/TrRail_act!B27/1000)</f>
        <v>0</v>
      </c>
      <c r="C50" s="115">
        <f>IF(C10=0,0,1000000*C10/TrRail_act!C27/1000)</f>
        <v>0</v>
      </c>
      <c r="D50" s="115">
        <f>IF(D10=0,0,1000000*D10/TrRail_act!D27/1000)</f>
        <v>0</v>
      </c>
      <c r="E50" s="115">
        <f>IF(E10=0,0,1000000*E10/TrRail_act!E27/1000)</f>
        <v>0</v>
      </c>
      <c r="F50" s="115">
        <f>IF(F10=0,0,1000000*F10/TrRail_act!F27/1000)</f>
        <v>0</v>
      </c>
      <c r="G50" s="115">
        <f>IF(G10=0,0,1000000*G10/TrRail_act!G27/1000)</f>
        <v>0</v>
      </c>
      <c r="H50" s="115">
        <f>IF(H10=0,0,1000000*H10/TrRail_act!H27/1000)</f>
        <v>0</v>
      </c>
      <c r="I50" s="115">
        <f>IF(I10=0,0,1000000*I10/TrRail_act!I27/1000)</f>
        <v>0</v>
      </c>
      <c r="J50" s="115">
        <f>IF(J10=0,0,1000000*J10/TrRail_act!J27/1000)</f>
        <v>0</v>
      </c>
      <c r="K50" s="115">
        <f>IF(K10=0,0,1000000*K10/TrRail_act!K27/1000)</f>
        <v>0</v>
      </c>
      <c r="L50" s="115">
        <f>IF(L10=0,0,1000000*L10/TrRail_act!L27/1000)</f>
        <v>0</v>
      </c>
      <c r="M50" s="115">
        <f>IF(M10=0,0,1000000*M10/TrRail_act!M27/1000)</f>
        <v>0</v>
      </c>
      <c r="N50" s="115">
        <f>IF(N10=0,0,1000000*N10/TrRail_act!N27/1000)</f>
        <v>0</v>
      </c>
      <c r="O50" s="115">
        <f>IF(O10=0,0,1000000*O10/TrRail_act!O27/1000)</f>
        <v>0</v>
      </c>
      <c r="P50" s="115">
        <f>IF(P10=0,0,1000000*P10/TrRail_act!P27/1000)</f>
        <v>0</v>
      </c>
      <c r="Q50" s="115">
        <f>IF(Q10=0,0,1000000*Q10/TrRail_act!Q27/1000)</f>
        <v>0</v>
      </c>
      <c r="R50" s="115">
        <f>IF(R10=0,0,1000000*R10/TrRail_act!R27/1000)</f>
        <v>0</v>
      </c>
      <c r="S50" s="115">
        <f>IF(S10=0,0,1000000*S10/TrRail_act!S27/1000)</f>
        <v>0</v>
      </c>
      <c r="T50" s="115">
        <f>IF(T10=0,0,1000000*T10/TrRail_act!T27/1000)</f>
        <v>0</v>
      </c>
      <c r="U50" s="115">
        <f>IF(U10=0,0,1000000*U10/TrRail_act!U27/1000)</f>
        <v>0</v>
      </c>
      <c r="V50" s="115">
        <f>IF(V10=0,0,1000000*V10/TrRail_act!V27/1000)</f>
        <v>0</v>
      </c>
      <c r="W50" s="115">
        <f>IF(W10=0,0,1000000*W10/TrRail_act!W27/1000)</f>
        <v>0</v>
      </c>
      <c r="X50" s="115">
        <f>IF(X10=0,0,1000000*X10/TrRail_act!X27/1000)</f>
        <v>0</v>
      </c>
      <c r="Y50" s="115">
        <f>IF(Y10=0,0,1000000*Y10/TrRail_act!Y27/1000)</f>
        <v>0</v>
      </c>
      <c r="DA50" s="203" t="s">
        <v>1161</v>
      </c>
    </row>
    <row r="51" spans="1:105" ht="11.45" customHeight="1" x14ac:dyDescent="0.25">
      <c r="A51" s="109" t="s">
        <v>24</v>
      </c>
      <c r="B51" s="116">
        <f>IF(B11=0,0,1000000*B11/TrRail_act!B28/1000)</f>
        <v>672.85147911070271</v>
      </c>
      <c r="C51" s="116">
        <f>IF(C11=0,0,1000000*C11/TrRail_act!C28/1000)</f>
        <v>540.34580763149484</v>
      </c>
      <c r="D51" s="116">
        <f>IF(D11=0,0,1000000*D11/TrRail_act!D28/1000)</f>
        <v>425.69761242046593</v>
      </c>
      <c r="E51" s="116">
        <f>IF(E11=0,0,1000000*E11/TrRail_act!E28/1000)</f>
        <v>375.10589925326315</v>
      </c>
      <c r="F51" s="116">
        <f>IF(F11=0,0,1000000*F11/TrRail_act!F28/1000)</f>
        <v>368.92727668708204</v>
      </c>
      <c r="G51" s="116">
        <f>IF(G11=0,0,1000000*G11/TrRail_act!G28/1000)</f>
        <v>352.54461949064847</v>
      </c>
      <c r="H51" s="116">
        <f>IF(H11=0,0,1000000*H11/TrRail_act!H28/1000)</f>
        <v>319.29942581039558</v>
      </c>
      <c r="I51" s="116">
        <f>IF(I11=0,0,1000000*I11/TrRail_act!I28/1000)</f>
        <v>317.31491025645425</v>
      </c>
      <c r="J51" s="116">
        <f>IF(J11=0,0,1000000*J11/TrRail_act!J28/1000)</f>
        <v>298.08439186291668</v>
      </c>
      <c r="K51" s="116">
        <f>IF(K11=0,0,1000000*K11/TrRail_act!K28/1000)</f>
        <v>256.68945752153013</v>
      </c>
      <c r="L51" s="116">
        <f>IF(L11=0,0,1000000*L11/TrRail_act!L28/1000)</f>
        <v>228.58509700204294</v>
      </c>
      <c r="M51" s="116">
        <f>IF(M11=0,0,1000000*M11/TrRail_act!M28/1000)</f>
        <v>213.68145048988245</v>
      </c>
      <c r="N51" s="116">
        <f>IF(N11=0,0,1000000*N11/TrRail_act!N28/1000)</f>
        <v>175.32897469530764</v>
      </c>
      <c r="O51" s="116">
        <f>IF(O11=0,0,1000000*O11/TrRail_act!O28/1000)</f>
        <v>167.78615814670945</v>
      </c>
      <c r="P51" s="116">
        <f>IF(P11=0,0,1000000*P11/TrRail_act!P28/1000)</f>
        <v>175.44354229196375</v>
      </c>
      <c r="Q51" s="116">
        <f>IF(Q11=0,0,1000000*Q11/TrRail_act!Q28/1000)</f>
        <v>161.38214884130866</v>
      </c>
      <c r="R51" s="116">
        <f>IF(R11=0,0,1000000*R11/TrRail_act!R28/1000)</f>
        <v>91.53635326887472</v>
      </c>
      <c r="S51" s="116">
        <f>IF(S11=0,0,1000000*S11/TrRail_act!S28/1000)</f>
        <v>69.26312074078858</v>
      </c>
      <c r="T51" s="116">
        <f>IF(T11=0,0,1000000*T11/TrRail_act!T28/1000)</f>
        <v>71.455027132365473</v>
      </c>
      <c r="U51" s="116">
        <f>IF(U11=0,0,1000000*U11/TrRail_act!U28/1000)</f>
        <v>68.09663293879106</v>
      </c>
      <c r="V51" s="116">
        <f>IF(V11=0,0,1000000*V11/TrRail_act!V28/1000)</f>
        <v>55.153248923380012</v>
      </c>
      <c r="W51" s="116">
        <f>IF(W11=0,0,1000000*W11/TrRail_act!W28/1000)</f>
        <v>41.580491882615469</v>
      </c>
      <c r="X51" s="116">
        <f>IF(X11=0,0,1000000*X11/TrRail_act!X28/1000)</f>
        <v>43.463161067761398</v>
      </c>
      <c r="Y51" s="116">
        <f>IF(Y11=0,0,1000000*Y11/TrRail_act!Y28/1000)</f>
        <v>52.982951745271464</v>
      </c>
      <c r="DA51" s="176" t="s">
        <v>1162</v>
      </c>
    </row>
    <row r="52" spans="1:105" ht="11.45" customHeight="1" x14ac:dyDescent="0.25">
      <c r="A52" s="111" t="s">
        <v>92</v>
      </c>
      <c r="B52" s="87">
        <f>IF(B12=0,0,1000000*B12/TrRail_act!B29/1000)</f>
        <v>1380.2607811028206</v>
      </c>
      <c r="C52" s="87">
        <f>IF(C12=0,0,1000000*C12/TrRail_act!C29/1000)</f>
        <v>1150.2873087190674</v>
      </c>
      <c r="D52" s="87">
        <f>IF(D12=0,0,1000000*D12/TrRail_act!D29/1000)</f>
        <v>1069.3478815517874</v>
      </c>
      <c r="E52" s="87">
        <f>IF(E12=0,0,1000000*E12/TrRail_act!E29/1000)</f>
        <v>1060.8449075200836</v>
      </c>
      <c r="F52" s="87">
        <f>IF(F12=0,0,1000000*F12/TrRail_act!F29/1000)</f>
        <v>1091.1323941279225</v>
      </c>
      <c r="G52" s="87">
        <f>IF(G12=0,0,1000000*G12/TrRail_act!G29/1000)</f>
        <v>1109.4511266692618</v>
      </c>
      <c r="H52" s="87">
        <f>IF(H12=0,0,1000000*H12/TrRail_act!H29/1000)</f>
        <v>1088.403767673062</v>
      </c>
      <c r="I52" s="87">
        <f>IF(I12=0,0,1000000*I12/TrRail_act!I29/1000)</f>
        <v>1057.7399143972605</v>
      </c>
      <c r="J52" s="87">
        <f>IF(J12=0,0,1000000*J12/TrRail_act!J29/1000)</f>
        <v>1022.4872394907059</v>
      </c>
      <c r="K52" s="87">
        <f>IF(K12=0,0,1000000*K12/TrRail_act!K29/1000)</f>
        <v>985.51264582895021</v>
      </c>
      <c r="L52" s="87">
        <f>IF(L12=0,0,1000000*L12/TrRail_act!L29/1000)</f>
        <v>953.74084142135177</v>
      </c>
      <c r="M52" s="87">
        <f>IF(M12=0,0,1000000*M12/TrRail_act!M29/1000)</f>
        <v>914.24202917314346</v>
      </c>
      <c r="N52" s="87">
        <f>IF(N12=0,0,1000000*N12/TrRail_act!N29/1000)</f>
        <v>892.50447817054339</v>
      </c>
      <c r="O52" s="87">
        <f>IF(O12=0,0,1000000*O12/TrRail_act!O29/1000)</f>
        <v>854.6799043910313</v>
      </c>
      <c r="P52" s="87">
        <f>IF(P12=0,0,1000000*P12/TrRail_act!P29/1000)</f>
        <v>818.75766490108845</v>
      </c>
      <c r="Q52" s="87">
        <f>IF(Q12=0,0,1000000*Q12/TrRail_act!Q29/1000)</f>
        <v>795.25857030974123</v>
      </c>
      <c r="R52" s="87">
        <f>IF(R12=0,0,1000000*R12/TrRail_act!R29/1000)</f>
        <v>778.07791847989427</v>
      </c>
      <c r="S52" s="87">
        <f>IF(S12=0,0,1000000*S12/TrRail_act!S29/1000)</f>
        <v>764.90133086256787</v>
      </c>
      <c r="T52" s="87">
        <f>IF(T12=0,0,1000000*T12/TrRail_act!T29/1000)</f>
        <v>756.09032967888834</v>
      </c>
      <c r="U52" s="87">
        <f>IF(U12=0,0,1000000*U12/TrRail_act!U29/1000)</f>
        <v>749.15569481014006</v>
      </c>
      <c r="V52" s="87">
        <f>IF(V12=0,0,1000000*V12/TrRail_act!V29/1000)</f>
        <v>743.99650050991875</v>
      </c>
      <c r="W52" s="87">
        <f>IF(W12=0,0,1000000*W12/TrRail_act!W29/1000)</f>
        <v>740.1504227152526</v>
      </c>
      <c r="X52" s="87">
        <f>IF(X12=0,0,1000000*X12/TrRail_act!X29/1000)</f>
        <v>737.27892108467415</v>
      </c>
      <c r="Y52" s="87">
        <f>IF(Y12=0,0,1000000*Y12/TrRail_act!Y29/1000)</f>
        <v>735.13262077176535</v>
      </c>
      <c r="DA52" s="171" t="s">
        <v>1163</v>
      </c>
    </row>
    <row r="53" spans="1:105" ht="11.45" customHeight="1" x14ac:dyDescent="0.25">
      <c r="A53" s="111" t="s">
        <v>93</v>
      </c>
      <c r="B53" s="87">
        <f>IF(B13=0,0,1000000*B13/TrRail_act!B30/1000)</f>
        <v>0</v>
      </c>
      <c r="C53" s="87">
        <f>IF(C13=0,0,1000000*C13/TrRail_act!C30/1000)</f>
        <v>0</v>
      </c>
      <c r="D53" s="87">
        <f>IF(D13=0,0,1000000*D13/TrRail_act!D30/1000)</f>
        <v>0</v>
      </c>
      <c r="E53" s="87">
        <f>IF(E13=0,0,1000000*E13/TrRail_act!E30/1000)</f>
        <v>0</v>
      </c>
      <c r="F53" s="87">
        <f>IF(F13=0,0,1000000*F13/TrRail_act!F30/1000)</f>
        <v>0</v>
      </c>
      <c r="G53" s="87">
        <f>IF(G13=0,0,1000000*G13/TrRail_act!G30/1000)</f>
        <v>0</v>
      </c>
      <c r="H53" s="87">
        <f>IF(H13=0,0,1000000*H13/TrRail_act!H30/1000)</f>
        <v>0</v>
      </c>
      <c r="I53" s="87">
        <f>IF(I13=0,0,1000000*I13/TrRail_act!I30/1000)</f>
        <v>0</v>
      </c>
      <c r="J53" s="87">
        <f>IF(J13=0,0,1000000*J13/TrRail_act!J30/1000)</f>
        <v>0</v>
      </c>
      <c r="K53" s="87">
        <f>IF(K13=0,0,1000000*K13/TrRail_act!K30/1000)</f>
        <v>0</v>
      </c>
      <c r="L53" s="87">
        <f>IF(L13=0,0,1000000*L13/TrRail_act!L30/1000)</f>
        <v>0</v>
      </c>
      <c r="M53" s="87">
        <f>IF(M13=0,0,1000000*M13/TrRail_act!M30/1000)</f>
        <v>0</v>
      </c>
      <c r="N53" s="87">
        <f>IF(N13=0,0,1000000*N13/TrRail_act!N30/1000)</f>
        <v>0</v>
      </c>
      <c r="O53" s="87">
        <f>IF(O13=0,0,1000000*O13/TrRail_act!O30/1000)</f>
        <v>0</v>
      </c>
      <c r="P53" s="87">
        <f>IF(P13=0,0,1000000*P13/TrRail_act!P30/1000)</f>
        <v>0</v>
      </c>
      <c r="Q53" s="87">
        <f>IF(Q13=0,0,1000000*Q13/TrRail_act!Q30/1000)</f>
        <v>0</v>
      </c>
      <c r="R53" s="87">
        <f>IF(R13=0,0,1000000*R13/TrRail_act!R30/1000)</f>
        <v>0</v>
      </c>
      <c r="S53" s="87">
        <f>IF(S13=0,0,1000000*S13/TrRail_act!S30/1000)</f>
        <v>0</v>
      </c>
      <c r="T53" s="87">
        <f>IF(T13=0,0,1000000*T13/TrRail_act!T30/1000)</f>
        <v>0</v>
      </c>
      <c r="U53" s="87">
        <f>IF(U13=0,0,1000000*U13/TrRail_act!U30/1000)</f>
        <v>0</v>
      </c>
      <c r="V53" s="87">
        <f>IF(V13=0,0,1000000*V13/TrRail_act!V30/1000)</f>
        <v>0</v>
      </c>
      <c r="W53" s="87">
        <f>IF(W13=0,0,1000000*W13/TrRail_act!W30/1000)</f>
        <v>0</v>
      </c>
      <c r="X53" s="87">
        <f>IF(X13=0,0,1000000*X13/TrRail_act!X30/1000)</f>
        <v>0</v>
      </c>
      <c r="Y53" s="87">
        <f>IF(Y13=0,0,1000000*Y13/TrRail_act!Y30/1000)</f>
        <v>0</v>
      </c>
      <c r="DA53" s="171" t="s">
        <v>1164</v>
      </c>
    </row>
    <row r="54" spans="1:105" ht="11.45" customHeight="1" x14ac:dyDescent="0.25">
      <c r="A54" s="112" t="s">
        <v>25</v>
      </c>
      <c r="B54" s="117">
        <f>IF(B14=0,0,1000000*B14/TrRail_act!B31/1000)</f>
        <v>0</v>
      </c>
      <c r="C54" s="117">
        <f>IF(C14=0,0,1000000*C14/TrRail_act!C31/1000)</f>
        <v>0</v>
      </c>
      <c r="D54" s="117">
        <f>IF(D14=0,0,1000000*D14/TrRail_act!D31/1000)</f>
        <v>0</v>
      </c>
      <c r="E54" s="117">
        <f>IF(E14=0,0,1000000*E14/TrRail_act!E31/1000)</f>
        <v>0</v>
      </c>
      <c r="F54" s="117">
        <f>IF(F14=0,0,1000000*F14/TrRail_act!F31/1000)</f>
        <v>0</v>
      </c>
      <c r="G54" s="117">
        <f>IF(G14=0,0,1000000*G14/TrRail_act!G31/1000)</f>
        <v>0</v>
      </c>
      <c r="H54" s="117">
        <f>IF(H14=0,0,1000000*H14/TrRail_act!H31/1000)</f>
        <v>0</v>
      </c>
      <c r="I54" s="117">
        <f>IF(I14=0,0,1000000*I14/TrRail_act!I31/1000)</f>
        <v>0</v>
      </c>
      <c r="J54" s="117">
        <f>IF(J14=0,0,1000000*J14/TrRail_act!J31/1000)</f>
        <v>0</v>
      </c>
      <c r="K54" s="117">
        <f>IF(K14=0,0,1000000*K14/TrRail_act!K31/1000)</f>
        <v>0</v>
      </c>
      <c r="L54" s="117">
        <f>IF(L14=0,0,1000000*L14/TrRail_act!L31/1000)</f>
        <v>0</v>
      </c>
      <c r="M54" s="117">
        <f>IF(M14=0,0,1000000*M14/TrRail_act!M31/1000)</f>
        <v>0</v>
      </c>
      <c r="N54" s="117">
        <f>IF(N14=0,0,1000000*N14/TrRail_act!N31/1000)</f>
        <v>0</v>
      </c>
      <c r="O54" s="117">
        <f>IF(O14=0,0,1000000*O14/TrRail_act!O31/1000)</f>
        <v>0</v>
      </c>
      <c r="P54" s="117">
        <f>IF(P14=0,0,1000000*P14/TrRail_act!P31/1000)</f>
        <v>0</v>
      </c>
      <c r="Q54" s="117">
        <f>IF(Q14=0,0,1000000*Q14/TrRail_act!Q31/1000)</f>
        <v>0</v>
      </c>
      <c r="R54" s="117">
        <f>IF(R14=0,0,1000000*R14/TrRail_act!R31/1000)</f>
        <v>0</v>
      </c>
      <c r="S54" s="117">
        <f>IF(S14=0,0,1000000*S14/TrRail_act!S31/1000)</f>
        <v>0</v>
      </c>
      <c r="T54" s="117">
        <f>IF(T14=0,0,1000000*T14/TrRail_act!T31/1000)</f>
        <v>0</v>
      </c>
      <c r="U54" s="117">
        <f>IF(U14=0,0,1000000*U14/TrRail_act!U31/1000)</f>
        <v>0</v>
      </c>
      <c r="V54" s="117">
        <f>IF(V14=0,0,1000000*V14/TrRail_act!V31/1000)</f>
        <v>0</v>
      </c>
      <c r="W54" s="117">
        <f>IF(W14=0,0,1000000*W14/TrRail_act!W31/1000)</f>
        <v>0</v>
      </c>
      <c r="X54" s="117">
        <f>IF(X14=0,0,1000000*X14/TrRail_act!X31/1000)</f>
        <v>0</v>
      </c>
      <c r="Y54" s="117">
        <f>IF(Y14=0,0,1000000*Y14/TrRail_act!Y31/1000)</f>
        <v>0</v>
      </c>
      <c r="DA54" s="204" t="s">
        <v>1165</v>
      </c>
    </row>
    <row r="55" spans="1:105" ht="11.45" customHeight="1" x14ac:dyDescent="0.25">
      <c r="A55" s="27" t="s">
        <v>34</v>
      </c>
      <c r="B55" s="29">
        <f>IF(B15=0,0,1000000*B15/TrRail_act!B32/1000)</f>
        <v>1704.8069152962191</v>
      </c>
      <c r="C55" s="29">
        <f>IF(C15=0,0,1000000*C15/TrRail_act!C32/1000)</f>
        <v>1198.717928997969</v>
      </c>
      <c r="D55" s="29">
        <f>IF(D15=0,0,1000000*D15/TrRail_act!D32/1000)</f>
        <v>1014.2931247860396</v>
      </c>
      <c r="E55" s="29">
        <f>IF(E15=0,0,1000000*E15/TrRail_act!E32/1000)</f>
        <v>874.71443171583894</v>
      </c>
      <c r="F55" s="29">
        <f>IF(F15=0,0,1000000*F15/TrRail_act!F32/1000)</f>
        <v>805.34646890323791</v>
      </c>
      <c r="G55" s="29">
        <f>IF(G15=0,0,1000000*G15/TrRail_act!G32/1000)</f>
        <v>820.94988760431715</v>
      </c>
      <c r="H55" s="29">
        <f>IF(H15=0,0,1000000*H15/TrRail_act!H32/1000)</f>
        <v>752.51666616678835</v>
      </c>
      <c r="I55" s="29">
        <f>IF(I15=0,0,1000000*I15/TrRail_act!I32/1000)</f>
        <v>829.57248649107419</v>
      </c>
      <c r="J55" s="29">
        <f>IF(J15=0,0,1000000*J15/TrRail_act!J32/1000)</f>
        <v>685.82035961068334</v>
      </c>
      <c r="K55" s="29">
        <f>IF(K15=0,0,1000000*K15/TrRail_act!K32/1000)</f>
        <v>525.52014507203921</v>
      </c>
      <c r="L55" s="29">
        <f>IF(L15=0,0,1000000*L15/TrRail_act!L32/1000)</f>
        <v>512.68443292595907</v>
      </c>
      <c r="M55" s="29">
        <f>IF(M15=0,0,1000000*M15/TrRail_act!M32/1000)</f>
        <v>520.07634990770862</v>
      </c>
      <c r="N55" s="29">
        <f>IF(N15=0,0,1000000*N15/TrRail_act!N32/1000)</f>
        <v>432.56644704361833</v>
      </c>
      <c r="O55" s="29">
        <f>IF(O15=0,0,1000000*O15/TrRail_act!O32/1000)</f>
        <v>463.83421071275626</v>
      </c>
      <c r="P55" s="29">
        <f>IF(P15=0,0,1000000*P15/TrRail_act!P32/1000)</f>
        <v>474.11775760883307</v>
      </c>
      <c r="Q55" s="29">
        <f>IF(Q15=0,0,1000000*Q15/TrRail_act!Q32/1000)</f>
        <v>467.42865512814456</v>
      </c>
      <c r="R55" s="29">
        <f>IF(R15=0,0,1000000*R15/TrRail_act!R32/1000)</f>
        <v>302.73822331012133</v>
      </c>
      <c r="S55" s="29">
        <f>IF(S15=0,0,1000000*S15/TrRail_act!S32/1000)</f>
        <v>456.05794471085642</v>
      </c>
      <c r="T55" s="29">
        <f>IF(T15=0,0,1000000*T15/TrRail_act!T32/1000)</f>
        <v>389.9228008132452</v>
      </c>
      <c r="U55" s="29">
        <f>IF(U15=0,0,1000000*U15/TrRail_act!U32/1000)</f>
        <v>450.78614160848537</v>
      </c>
      <c r="V55" s="29">
        <f>IF(V15=0,0,1000000*V15/TrRail_act!V32/1000)</f>
        <v>510.97392920404985</v>
      </c>
      <c r="W55" s="29">
        <f>IF(W15=0,0,1000000*W15/TrRail_act!W32/1000)</f>
        <v>602.38952326991341</v>
      </c>
      <c r="X55" s="29">
        <f>IF(X15=0,0,1000000*X15/TrRail_act!X32/1000)</f>
        <v>480.94018144680308</v>
      </c>
      <c r="Y55" s="29">
        <f>IF(Y15=0,0,1000000*Y15/TrRail_act!Y32/1000)</f>
        <v>397.74582252975591</v>
      </c>
      <c r="DA55" s="173" t="s">
        <v>1166</v>
      </c>
    </row>
    <row r="56" spans="1:105" ht="11.45" customHeight="1" x14ac:dyDescent="0.25">
      <c r="A56" s="83" t="s">
        <v>92</v>
      </c>
      <c r="B56" s="87">
        <f>IF(B16=0,0,1000000*B16/TrRail_act!B33/1000)</f>
        <v>3321.7189613529913</v>
      </c>
      <c r="C56" s="87">
        <f>IF(C16=0,0,1000000*C16/TrRail_act!C33/1000)</f>
        <v>2767.3937797872168</v>
      </c>
      <c r="D56" s="87">
        <f>IF(D16=0,0,1000000*D16/TrRail_act!D33/1000)</f>
        <v>2687.4248700502167</v>
      </c>
      <c r="E56" s="87">
        <f>IF(E16=0,0,1000000*E16/TrRail_act!E33/1000)</f>
        <v>2495.6271319694697</v>
      </c>
      <c r="F56" s="87">
        <f>IF(F16=0,0,1000000*F16/TrRail_act!F33/1000)</f>
        <v>2854.34282087884</v>
      </c>
      <c r="G56" s="87">
        <f>IF(G16=0,0,1000000*G16/TrRail_act!G33/1000)</f>
        <v>3174.8408239853338</v>
      </c>
      <c r="H56" s="87">
        <f>IF(H16=0,0,1000000*H16/TrRail_act!H33/1000)</f>
        <v>3153.0555510931495</v>
      </c>
      <c r="I56" s="87">
        <f>IF(I16=0,0,1000000*I16/TrRail_act!I33/1000)</f>
        <v>3078.4154593938692</v>
      </c>
      <c r="J56" s="87">
        <f>IF(J16=0,0,1000000*J16/TrRail_act!J33/1000)</f>
        <v>3004.0341406530956</v>
      </c>
      <c r="K56" s="87">
        <f>IF(K16=0,0,1000000*K16/TrRail_act!K33/1000)</f>
        <v>2612.6872816917162</v>
      </c>
      <c r="L56" s="87">
        <f>IF(L16=0,0,1000000*L16/TrRail_act!L33/1000)</f>
        <v>2870.3486401988011</v>
      </c>
      <c r="M56" s="87">
        <f>IF(M16=0,0,1000000*M16/TrRail_act!M33/1000)</f>
        <v>2800.4469188018143</v>
      </c>
      <c r="N56" s="87">
        <f>IF(N16=0,0,1000000*N16/TrRail_act!N33/1000)</f>
        <v>2736.8783825655037</v>
      </c>
      <c r="O56" s="87">
        <f>IF(O16=0,0,1000000*O16/TrRail_act!O33/1000)</f>
        <v>2693.2470265790239</v>
      </c>
      <c r="P56" s="87">
        <f>IF(P16=0,0,1000000*P16/TrRail_act!P33/1000)</f>
        <v>2637.6641535719364</v>
      </c>
      <c r="Q56" s="87">
        <f>IF(Q16=0,0,1000000*Q16/TrRail_act!Q33/1000)</f>
        <v>2587.5539285156356</v>
      </c>
      <c r="R56" s="87">
        <f>IF(R16=0,0,1000000*R16/TrRail_act!R33/1000)</f>
        <v>2530.2139031880229</v>
      </c>
      <c r="S56" s="87">
        <f>IF(S16=0,0,1000000*S16/TrRail_act!S33/1000)</f>
        <v>2496.9414258112693</v>
      </c>
      <c r="T56" s="87">
        <f>IF(T16=0,0,1000000*T16/TrRail_act!T33/1000)</f>
        <v>2469.7183764339579</v>
      </c>
      <c r="U56" s="87">
        <f>IF(U16=0,0,1000000*U16/TrRail_act!U33/1000)</f>
        <v>2448.2117536134569</v>
      </c>
      <c r="V56" s="87">
        <f>IF(V16=0,0,1000000*V16/TrRail_act!V33/1000)</f>
        <v>2432.2043303182622</v>
      </c>
      <c r="W56" s="87">
        <f>IF(W16=0,0,1000000*W16/TrRail_act!W33/1000)</f>
        <v>2420.2678464828368</v>
      </c>
      <c r="X56" s="87">
        <f>IF(X16=0,0,1000000*X16/TrRail_act!X33/1000)</f>
        <v>2127.2035934458736</v>
      </c>
      <c r="Y56" s="87">
        <f>IF(Y16=0,0,1000000*Y16/TrRail_act!Y33/1000)</f>
        <v>2404.6899457696768</v>
      </c>
      <c r="DA56" s="171" t="s">
        <v>1167</v>
      </c>
    </row>
    <row r="57" spans="1:105" ht="11.45" customHeight="1" x14ac:dyDescent="0.25">
      <c r="A57" s="85" t="s">
        <v>93</v>
      </c>
      <c r="B57" s="88">
        <f>IF(B17=0,0,1000000*B17/TrRail_act!B34/1000)</f>
        <v>0</v>
      </c>
      <c r="C57" s="88">
        <f>IF(C17=0,0,1000000*C17/TrRail_act!C34/1000)</f>
        <v>0</v>
      </c>
      <c r="D57" s="88">
        <f>IF(D17=0,0,1000000*D17/TrRail_act!D34/1000)</f>
        <v>0</v>
      </c>
      <c r="E57" s="88">
        <f>IF(E17=0,0,1000000*E17/TrRail_act!E34/1000)</f>
        <v>0</v>
      </c>
      <c r="F57" s="88">
        <f>IF(F17=0,0,1000000*F17/TrRail_act!F34/1000)</f>
        <v>0</v>
      </c>
      <c r="G57" s="88">
        <f>IF(G17=0,0,1000000*G17/TrRail_act!G34/1000)</f>
        <v>0</v>
      </c>
      <c r="H57" s="88">
        <f>IF(H17=0,0,1000000*H17/TrRail_act!H34/1000)</f>
        <v>0</v>
      </c>
      <c r="I57" s="88">
        <f>IF(I17=0,0,1000000*I17/TrRail_act!I34/1000)</f>
        <v>0</v>
      </c>
      <c r="J57" s="88">
        <f>IF(J17=0,0,1000000*J17/TrRail_act!J34/1000)</f>
        <v>0</v>
      </c>
      <c r="K57" s="88">
        <f>IF(K17=0,0,1000000*K17/TrRail_act!K34/1000)</f>
        <v>0</v>
      </c>
      <c r="L57" s="88">
        <f>IF(L17=0,0,1000000*L17/TrRail_act!L34/1000)</f>
        <v>0</v>
      </c>
      <c r="M57" s="88">
        <f>IF(M17=0,0,1000000*M17/TrRail_act!M34/1000)</f>
        <v>0</v>
      </c>
      <c r="N57" s="88">
        <f>IF(N17=0,0,1000000*N17/TrRail_act!N34/1000)</f>
        <v>0</v>
      </c>
      <c r="O57" s="88">
        <f>IF(O17=0,0,1000000*O17/TrRail_act!O34/1000)</f>
        <v>0</v>
      </c>
      <c r="P57" s="88">
        <f>IF(P17=0,0,1000000*P17/TrRail_act!P34/1000)</f>
        <v>0</v>
      </c>
      <c r="Q57" s="88">
        <f>IF(Q17=0,0,1000000*Q17/TrRail_act!Q34/1000)</f>
        <v>0</v>
      </c>
      <c r="R57" s="88">
        <f>IF(R17=0,0,1000000*R17/TrRail_act!R34/1000)</f>
        <v>0</v>
      </c>
      <c r="S57" s="88">
        <f>IF(S17=0,0,1000000*S17/TrRail_act!S34/1000)</f>
        <v>0</v>
      </c>
      <c r="T57" s="88">
        <f>IF(T17=0,0,1000000*T17/TrRail_act!T34/1000)</f>
        <v>0</v>
      </c>
      <c r="U57" s="88">
        <f>IF(U17=0,0,1000000*U17/TrRail_act!U34/1000)</f>
        <v>0</v>
      </c>
      <c r="V57" s="88">
        <f>IF(V17=0,0,1000000*V17/TrRail_act!V34/1000)</f>
        <v>0</v>
      </c>
      <c r="W57" s="88">
        <f>IF(W17=0,0,1000000*W17/TrRail_act!W34/1000)</f>
        <v>0</v>
      </c>
      <c r="X57" s="88">
        <f>IF(X17=0,0,1000000*X17/TrRail_act!X34/1000)</f>
        <v>0</v>
      </c>
      <c r="Y57" s="88">
        <f>IF(Y17=0,0,1000000*Y17/TrRail_act!Y34/1000)</f>
        <v>0</v>
      </c>
      <c r="DA57" s="178" t="s">
        <v>1168</v>
      </c>
    </row>
    <row r="58" spans="1:105" x14ac:dyDescent="0.25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DA58" s="171"/>
    </row>
    <row r="59" spans="1:105" ht="11.45" customHeight="1" x14ac:dyDescent="0.25">
      <c r="A59" s="53" t="s">
        <v>41</v>
      </c>
      <c r="B59" s="65">
        <f t="shared" ref="B59:B68" si="10">IF(B8=0,0,B8/B$8)</f>
        <v>1</v>
      </c>
      <c r="C59" s="65">
        <f t="shared" ref="C59:V59" si="11">IF(C8=0,0,C8/C$8)</f>
        <v>1</v>
      </c>
      <c r="D59" s="65">
        <f t="shared" si="11"/>
        <v>1</v>
      </c>
      <c r="E59" s="65">
        <f t="shared" si="11"/>
        <v>1</v>
      </c>
      <c r="F59" s="65">
        <f t="shared" si="11"/>
        <v>1</v>
      </c>
      <c r="G59" s="65">
        <f t="shared" si="11"/>
        <v>1</v>
      </c>
      <c r="H59" s="65">
        <f t="shared" si="11"/>
        <v>1</v>
      </c>
      <c r="I59" s="65">
        <f t="shared" si="11"/>
        <v>1</v>
      </c>
      <c r="J59" s="65">
        <f t="shared" si="11"/>
        <v>1</v>
      </c>
      <c r="K59" s="65">
        <f t="shared" si="11"/>
        <v>1</v>
      </c>
      <c r="L59" s="65">
        <f t="shared" si="11"/>
        <v>1</v>
      </c>
      <c r="M59" s="65">
        <f t="shared" si="11"/>
        <v>1</v>
      </c>
      <c r="N59" s="65">
        <f t="shared" si="11"/>
        <v>1</v>
      </c>
      <c r="O59" s="65">
        <f t="shared" si="11"/>
        <v>1</v>
      </c>
      <c r="P59" s="65">
        <f t="shared" si="11"/>
        <v>1</v>
      </c>
      <c r="Q59" s="65">
        <f t="shared" si="11"/>
        <v>1</v>
      </c>
      <c r="R59" s="65">
        <f t="shared" si="11"/>
        <v>1</v>
      </c>
      <c r="S59" s="65">
        <f t="shared" si="11"/>
        <v>1</v>
      </c>
      <c r="T59" s="65">
        <f t="shared" si="11"/>
        <v>1</v>
      </c>
      <c r="U59" s="65">
        <f t="shared" si="11"/>
        <v>1</v>
      </c>
      <c r="V59" s="65">
        <f t="shared" si="11"/>
        <v>1</v>
      </c>
      <c r="W59" s="65">
        <f t="shared" ref="W59:Y59" si="12">IF(W8=0,0,W8/W$8)</f>
        <v>1</v>
      </c>
      <c r="X59" s="65">
        <f t="shared" si="12"/>
        <v>1</v>
      </c>
      <c r="Y59" s="65">
        <f t="shared" si="12"/>
        <v>1</v>
      </c>
      <c r="DA59" s="172"/>
    </row>
    <row r="60" spans="1:105" ht="11.45" customHeight="1" x14ac:dyDescent="0.25">
      <c r="A60" s="27" t="s">
        <v>33</v>
      </c>
      <c r="B60" s="31">
        <f t="shared" si="10"/>
        <v>0.81030659569288355</v>
      </c>
      <c r="C60" s="31">
        <f t="shared" ref="C60:V60" si="13">IF(C9=0,0,C9/C$8)</f>
        <v>0.81035510162577351</v>
      </c>
      <c r="D60" s="31">
        <f t="shared" si="13"/>
        <v>0.80355748573787256</v>
      </c>
      <c r="E60" s="31">
        <f t="shared" si="13"/>
        <v>0.81377658920483742</v>
      </c>
      <c r="F60" s="31">
        <f t="shared" si="13"/>
        <v>0.7971518264283578</v>
      </c>
      <c r="G60" s="31">
        <f t="shared" si="13"/>
        <v>0.77575479458321939</v>
      </c>
      <c r="H60" s="31">
        <f t="shared" si="13"/>
        <v>0.7823401665533658</v>
      </c>
      <c r="I60" s="31">
        <f t="shared" si="13"/>
        <v>0.75583766295257548</v>
      </c>
      <c r="J60" s="31">
        <f t="shared" si="13"/>
        <v>0.78484813546390952</v>
      </c>
      <c r="K60" s="31">
        <f t="shared" si="13"/>
        <v>0.80767310910942192</v>
      </c>
      <c r="L60" s="31">
        <f t="shared" si="13"/>
        <v>0.78731381417627799</v>
      </c>
      <c r="M60" s="31">
        <f t="shared" si="13"/>
        <v>0.76521941466002419</v>
      </c>
      <c r="N60" s="31">
        <f t="shared" si="13"/>
        <v>0.74639420269815426</v>
      </c>
      <c r="O60" s="31">
        <f t="shared" si="13"/>
        <v>0.71287283224666931</v>
      </c>
      <c r="P60" s="31">
        <f t="shared" si="13"/>
        <v>0.70450899215792639</v>
      </c>
      <c r="Q60" s="31">
        <f t="shared" si="13"/>
        <v>0.68003728619283366</v>
      </c>
      <c r="R60" s="31">
        <f t="shared" si="13"/>
        <v>0.74296191816059964</v>
      </c>
      <c r="S60" s="31">
        <f t="shared" si="13"/>
        <v>0.63487445827251487</v>
      </c>
      <c r="T60" s="31">
        <f t="shared" si="13"/>
        <v>0.68542391519967727</v>
      </c>
      <c r="U60" s="31">
        <f t="shared" si="13"/>
        <v>0.64918073229136919</v>
      </c>
      <c r="V60" s="31">
        <f t="shared" si="13"/>
        <v>0.55871251207677608</v>
      </c>
      <c r="W60" s="31">
        <f t="shared" ref="W60:Y60" si="14">IF(W9=0,0,W9/W$8)</f>
        <v>0.44328247983314151</v>
      </c>
      <c r="X60" s="31">
        <f t="shared" si="14"/>
        <v>0.52412461573039681</v>
      </c>
      <c r="Y60" s="31">
        <f t="shared" si="14"/>
        <v>0.59706981448042373</v>
      </c>
      <c r="DA60" s="173"/>
    </row>
    <row r="61" spans="1:105" ht="11.45" customHeight="1" x14ac:dyDescent="0.25">
      <c r="A61" s="107" t="s">
        <v>23</v>
      </c>
      <c r="B61" s="123">
        <f t="shared" si="10"/>
        <v>0</v>
      </c>
      <c r="C61" s="123">
        <f t="shared" ref="C61:V61" si="15">IF(C10=0,0,C10/C$8)</f>
        <v>0</v>
      </c>
      <c r="D61" s="123">
        <f t="shared" si="15"/>
        <v>0</v>
      </c>
      <c r="E61" s="123">
        <f t="shared" si="15"/>
        <v>0</v>
      </c>
      <c r="F61" s="123">
        <f t="shared" si="15"/>
        <v>0</v>
      </c>
      <c r="G61" s="123">
        <f t="shared" si="15"/>
        <v>0</v>
      </c>
      <c r="H61" s="123">
        <f t="shared" si="15"/>
        <v>0</v>
      </c>
      <c r="I61" s="123">
        <f t="shared" si="15"/>
        <v>0</v>
      </c>
      <c r="J61" s="123">
        <f t="shared" si="15"/>
        <v>0</v>
      </c>
      <c r="K61" s="123">
        <f t="shared" si="15"/>
        <v>0</v>
      </c>
      <c r="L61" s="123">
        <f t="shared" si="15"/>
        <v>0</v>
      </c>
      <c r="M61" s="123">
        <f t="shared" si="15"/>
        <v>0</v>
      </c>
      <c r="N61" s="123">
        <f t="shared" si="15"/>
        <v>0</v>
      </c>
      <c r="O61" s="123">
        <f t="shared" si="15"/>
        <v>0</v>
      </c>
      <c r="P61" s="123">
        <f t="shared" si="15"/>
        <v>0</v>
      </c>
      <c r="Q61" s="123">
        <f t="shared" si="15"/>
        <v>0</v>
      </c>
      <c r="R61" s="123">
        <f t="shared" si="15"/>
        <v>0</v>
      </c>
      <c r="S61" s="123">
        <f t="shared" si="15"/>
        <v>0</v>
      </c>
      <c r="T61" s="123">
        <f t="shared" si="15"/>
        <v>0</v>
      </c>
      <c r="U61" s="123">
        <f t="shared" si="15"/>
        <v>0</v>
      </c>
      <c r="V61" s="123">
        <f t="shared" si="15"/>
        <v>0</v>
      </c>
      <c r="W61" s="123">
        <f t="shared" ref="W61:Y61" si="16">IF(W10=0,0,W10/W$8)</f>
        <v>0</v>
      </c>
      <c r="X61" s="123">
        <f t="shared" si="16"/>
        <v>0</v>
      </c>
      <c r="Y61" s="123">
        <f t="shared" si="16"/>
        <v>0</v>
      </c>
      <c r="DA61" s="203"/>
    </row>
    <row r="62" spans="1:105" ht="11.45" customHeight="1" x14ac:dyDescent="0.25">
      <c r="A62" s="109" t="s">
        <v>24</v>
      </c>
      <c r="B62" s="124">
        <f t="shared" si="10"/>
        <v>0.81030659569288355</v>
      </c>
      <c r="C62" s="124">
        <f t="shared" ref="C62:V62" si="17">IF(C11=0,0,C11/C$8)</f>
        <v>0.81035510162577351</v>
      </c>
      <c r="D62" s="124">
        <f t="shared" si="17"/>
        <v>0.80355748573787256</v>
      </c>
      <c r="E62" s="124">
        <f t="shared" si="17"/>
        <v>0.81377658920483742</v>
      </c>
      <c r="F62" s="124">
        <f t="shared" si="17"/>
        <v>0.7971518264283578</v>
      </c>
      <c r="G62" s="124">
        <f t="shared" si="17"/>
        <v>0.77575479458321939</v>
      </c>
      <c r="H62" s="124">
        <f t="shared" si="17"/>
        <v>0.7823401665533658</v>
      </c>
      <c r="I62" s="124">
        <f t="shared" si="17"/>
        <v>0.75583766295257548</v>
      </c>
      <c r="J62" s="124">
        <f t="shared" si="17"/>
        <v>0.78484813546390952</v>
      </c>
      <c r="K62" s="124">
        <f t="shared" si="17"/>
        <v>0.80767310910942192</v>
      </c>
      <c r="L62" s="124">
        <f t="shared" si="17"/>
        <v>0.78731381417627799</v>
      </c>
      <c r="M62" s="124">
        <f t="shared" si="17"/>
        <v>0.76521941466002419</v>
      </c>
      <c r="N62" s="124">
        <f t="shared" si="17"/>
        <v>0.74639420269815426</v>
      </c>
      <c r="O62" s="124">
        <f t="shared" si="17"/>
        <v>0.71287283224666931</v>
      </c>
      <c r="P62" s="124">
        <f t="shared" si="17"/>
        <v>0.70450899215792639</v>
      </c>
      <c r="Q62" s="124">
        <f t="shared" si="17"/>
        <v>0.68003728619283366</v>
      </c>
      <c r="R62" s="124">
        <f t="shared" si="17"/>
        <v>0.74296191816059964</v>
      </c>
      <c r="S62" s="124">
        <f t="shared" si="17"/>
        <v>0.63487445827251487</v>
      </c>
      <c r="T62" s="124">
        <f t="shared" si="17"/>
        <v>0.68542391519967727</v>
      </c>
      <c r="U62" s="124">
        <f t="shared" si="17"/>
        <v>0.64918073229136919</v>
      </c>
      <c r="V62" s="124">
        <f t="shared" si="17"/>
        <v>0.55871251207677608</v>
      </c>
      <c r="W62" s="124">
        <f t="shared" ref="W62:Y62" si="18">IF(W11=0,0,W11/W$8)</f>
        <v>0.44328247983314151</v>
      </c>
      <c r="X62" s="124">
        <f t="shared" si="18"/>
        <v>0.52412461573039681</v>
      </c>
      <c r="Y62" s="124">
        <f t="shared" si="18"/>
        <v>0.59706981448042373</v>
      </c>
      <c r="DA62" s="176"/>
    </row>
    <row r="63" spans="1:105" ht="11.45" customHeight="1" x14ac:dyDescent="0.25">
      <c r="A63" s="111" t="s">
        <v>92</v>
      </c>
      <c r="B63" s="125">
        <f t="shared" si="10"/>
        <v>0.81030659569288355</v>
      </c>
      <c r="C63" s="125">
        <f t="shared" ref="C63:V63" si="19">IF(C12=0,0,C12/C$8)</f>
        <v>0.81035510162577351</v>
      </c>
      <c r="D63" s="125">
        <f t="shared" si="19"/>
        <v>0.80355748573787256</v>
      </c>
      <c r="E63" s="125">
        <f t="shared" si="19"/>
        <v>0.81377658920483742</v>
      </c>
      <c r="F63" s="125">
        <f t="shared" si="19"/>
        <v>0.7971518264283578</v>
      </c>
      <c r="G63" s="125">
        <f t="shared" si="19"/>
        <v>0.77575479458321939</v>
      </c>
      <c r="H63" s="125">
        <f t="shared" si="19"/>
        <v>0.7823401665533658</v>
      </c>
      <c r="I63" s="125">
        <f t="shared" si="19"/>
        <v>0.75583766295257548</v>
      </c>
      <c r="J63" s="125">
        <f t="shared" si="19"/>
        <v>0.78484813546390952</v>
      </c>
      <c r="K63" s="125">
        <f t="shared" si="19"/>
        <v>0.80767310910942192</v>
      </c>
      <c r="L63" s="125">
        <f t="shared" si="19"/>
        <v>0.78731381417627799</v>
      </c>
      <c r="M63" s="125">
        <f t="shared" si="19"/>
        <v>0.76521941466002419</v>
      </c>
      <c r="N63" s="125">
        <f t="shared" si="19"/>
        <v>0.74639420269815426</v>
      </c>
      <c r="O63" s="125">
        <f t="shared" si="19"/>
        <v>0.71287283224666931</v>
      </c>
      <c r="P63" s="125">
        <f t="shared" si="19"/>
        <v>0.70450899215792639</v>
      </c>
      <c r="Q63" s="125">
        <f t="shared" si="19"/>
        <v>0.68003728619283366</v>
      </c>
      <c r="R63" s="125">
        <f t="shared" si="19"/>
        <v>0.74296191816059964</v>
      </c>
      <c r="S63" s="125">
        <f t="shared" si="19"/>
        <v>0.63487445827251487</v>
      </c>
      <c r="T63" s="125">
        <f t="shared" si="19"/>
        <v>0.68542391519967727</v>
      </c>
      <c r="U63" s="125">
        <f t="shared" si="19"/>
        <v>0.64918073229136919</v>
      </c>
      <c r="V63" s="125">
        <f t="shared" si="19"/>
        <v>0.55871251207677608</v>
      </c>
      <c r="W63" s="125">
        <f t="shared" ref="W63:Y63" si="20">IF(W12=0,0,W12/W$8)</f>
        <v>0.44328247983314151</v>
      </c>
      <c r="X63" s="125">
        <f t="shared" si="20"/>
        <v>0.52412461573039681</v>
      </c>
      <c r="Y63" s="125">
        <f t="shared" si="20"/>
        <v>0.59706981448042373</v>
      </c>
      <c r="DA63" s="171"/>
    </row>
    <row r="64" spans="1:105" ht="11.45" customHeight="1" x14ac:dyDescent="0.25">
      <c r="A64" s="111" t="s">
        <v>93</v>
      </c>
      <c r="B64" s="125">
        <f t="shared" si="10"/>
        <v>0</v>
      </c>
      <c r="C64" s="125">
        <f t="shared" ref="C64:V64" si="21">IF(C13=0,0,C13/C$8)</f>
        <v>0</v>
      </c>
      <c r="D64" s="125">
        <f t="shared" si="21"/>
        <v>0</v>
      </c>
      <c r="E64" s="125">
        <f t="shared" si="21"/>
        <v>0</v>
      </c>
      <c r="F64" s="125">
        <f t="shared" si="21"/>
        <v>0</v>
      </c>
      <c r="G64" s="125">
        <f t="shared" si="21"/>
        <v>0</v>
      </c>
      <c r="H64" s="125">
        <f t="shared" si="21"/>
        <v>0</v>
      </c>
      <c r="I64" s="125">
        <f t="shared" si="21"/>
        <v>0</v>
      </c>
      <c r="J64" s="125">
        <f t="shared" si="21"/>
        <v>0</v>
      </c>
      <c r="K64" s="125">
        <f t="shared" si="21"/>
        <v>0</v>
      </c>
      <c r="L64" s="125">
        <f t="shared" si="21"/>
        <v>0</v>
      </c>
      <c r="M64" s="125">
        <f t="shared" si="21"/>
        <v>0</v>
      </c>
      <c r="N64" s="125">
        <f t="shared" si="21"/>
        <v>0</v>
      </c>
      <c r="O64" s="125">
        <f t="shared" si="21"/>
        <v>0</v>
      </c>
      <c r="P64" s="125">
        <f t="shared" si="21"/>
        <v>0</v>
      </c>
      <c r="Q64" s="125">
        <f t="shared" si="21"/>
        <v>0</v>
      </c>
      <c r="R64" s="125">
        <f t="shared" si="21"/>
        <v>0</v>
      </c>
      <c r="S64" s="125">
        <f t="shared" si="21"/>
        <v>0</v>
      </c>
      <c r="T64" s="125">
        <f t="shared" si="21"/>
        <v>0</v>
      </c>
      <c r="U64" s="125">
        <f t="shared" si="21"/>
        <v>0</v>
      </c>
      <c r="V64" s="125">
        <f t="shared" si="21"/>
        <v>0</v>
      </c>
      <c r="W64" s="125">
        <f t="shared" ref="W64:Y64" si="22">IF(W13=0,0,W13/W$8)</f>
        <v>0</v>
      </c>
      <c r="X64" s="125">
        <f t="shared" si="22"/>
        <v>0</v>
      </c>
      <c r="Y64" s="125">
        <f t="shared" si="22"/>
        <v>0</v>
      </c>
      <c r="DA64" s="171"/>
    </row>
    <row r="65" spans="1:105" ht="11.45" customHeight="1" x14ac:dyDescent="0.25">
      <c r="A65" s="112" t="s">
        <v>25</v>
      </c>
      <c r="B65" s="126">
        <f t="shared" si="10"/>
        <v>0</v>
      </c>
      <c r="C65" s="126">
        <f t="shared" ref="C65:V65" si="23">IF(C14=0,0,C14/C$8)</f>
        <v>0</v>
      </c>
      <c r="D65" s="126">
        <f t="shared" si="23"/>
        <v>0</v>
      </c>
      <c r="E65" s="126">
        <f t="shared" si="23"/>
        <v>0</v>
      </c>
      <c r="F65" s="126">
        <f t="shared" si="23"/>
        <v>0</v>
      </c>
      <c r="G65" s="126">
        <f t="shared" si="23"/>
        <v>0</v>
      </c>
      <c r="H65" s="126">
        <f t="shared" si="23"/>
        <v>0</v>
      </c>
      <c r="I65" s="126">
        <f t="shared" si="23"/>
        <v>0</v>
      </c>
      <c r="J65" s="126">
        <f t="shared" si="23"/>
        <v>0</v>
      </c>
      <c r="K65" s="126">
        <f t="shared" si="23"/>
        <v>0</v>
      </c>
      <c r="L65" s="126">
        <f t="shared" si="23"/>
        <v>0</v>
      </c>
      <c r="M65" s="126">
        <f t="shared" si="23"/>
        <v>0</v>
      </c>
      <c r="N65" s="126">
        <f t="shared" si="23"/>
        <v>0</v>
      </c>
      <c r="O65" s="126">
        <f t="shared" si="23"/>
        <v>0</v>
      </c>
      <c r="P65" s="126">
        <f t="shared" si="23"/>
        <v>0</v>
      </c>
      <c r="Q65" s="126">
        <f t="shared" si="23"/>
        <v>0</v>
      </c>
      <c r="R65" s="126">
        <f t="shared" si="23"/>
        <v>0</v>
      </c>
      <c r="S65" s="126">
        <f t="shared" si="23"/>
        <v>0</v>
      </c>
      <c r="T65" s="126">
        <f t="shared" si="23"/>
        <v>0</v>
      </c>
      <c r="U65" s="126">
        <f t="shared" si="23"/>
        <v>0</v>
      </c>
      <c r="V65" s="126">
        <f t="shared" si="23"/>
        <v>0</v>
      </c>
      <c r="W65" s="126">
        <f t="shared" ref="W65:Y65" si="24">IF(W14=0,0,W14/W$8)</f>
        <v>0</v>
      </c>
      <c r="X65" s="126">
        <f t="shared" si="24"/>
        <v>0</v>
      </c>
      <c r="Y65" s="126">
        <f t="shared" si="24"/>
        <v>0</v>
      </c>
      <c r="DA65" s="204"/>
    </row>
    <row r="66" spans="1:105" ht="11.45" customHeight="1" x14ac:dyDescent="0.25">
      <c r="A66" s="27" t="s">
        <v>34</v>
      </c>
      <c r="B66" s="31">
        <f t="shared" si="10"/>
        <v>0.18969340430711656</v>
      </c>
      <c r="C66" s="31">
        <f t="shared" ref="C66:V66" si="25">IF(C15=0,0,C15/C$8)</f>
        <v>0.18964489837422643</v>
      </c>
      <c r="D66" s="31">
        <f t="shared" si="25"/>
        <v>0.1964425142621275</v>
      </c>
      <c r="E66" s="31">
        <f t="shared" si="25"/>
        <v>0.18622341079516258</v>
      </c>
      <c r="F66" s="31">
        <f t="shared" si="25"/>
        <v>0.20284817357164217</v>
      </c>
      <c r="G66" s="31">
        <f t="shared" si="25"/>
        <v>0.22424520541678072</v>
      </c>
      <c r="H66" s="31">
        <f t="shared" si="25"/>
        <v>0.21765983344663434</v>
      </c>
      <c r="I66" s="31">
        <f t="shared" si="25"/>
        <v>0.24416233704742449</v>
      </c>
      <c r="J66" s="31">
        <f t="shared" si="25"/>
        <v>0.21515186453609045</v>
      </c>
      <c r="K66" s="31">
        <f t="shared" si="25"/>
        <v>0.19232689089057808</v>
      </c>
      <c r="L66" s="31">
        <f t="shared" si="25"/>
        <v>0.21268618582372203</v>
      </c>
      <c r="M66" s="31">
        <f t="shared" si="25"/>
        <v>0.23478058533997589</v>
      </c>
      <c r="N66" s="31">
        <f t="shared" si="25"/>
        <v>0.25360579730184563</v>
      </c>
      <c r="O66" s="31">
        <f t="shared" si="25"/>
        <v>0.2871271677533308</v>
      </c>
      <c r="P66" s="31">
        <f t="shared" si="25"/>
        <v>0.29549100784207361</v>
      </c>
      <c r="Q66" s="31">
        <f t="shared" si="25"/>
        <v>0.3199627138071664</v>
      </c>
      <c r="R66" s="31">
        <f t="shared" si="25"/>
        <v>0.25703808183940025</v>
      </c>
      <c r="S66" s="31">
        <f t="shared" si="25"/>
        <v>0.36512554172748513</v>
      </c>
      <c r="T66" s="31">
        <f t="shared" si="25"/>
        <v>0.31457608480032262</v>
      </c>
      <c r="U66" s="31">
        <f t="shared" si="25"/>
        <v>0.35081926770863081</v>
      </c>
      <c r="V66" s="31">
        <f t="shared" si="25"/>
        <v>0.44128748792322398</v>
      </c>
      <c r="W66" s="31">
        <f t="shared" ref="W66:Y66" si="26">IF(W15=0,0,W15/W$8)</f>
        <v>0.55671752016685849</v>
      </c>
      <c r="X66" s="31">
        <f t="shared" si="26"/>
        <v>0.47587538426960319</v>
      </c>
      <c r="Y66" s="31">
        <f t="shared" si="26"/>
        <v>0.40293018551957621</v>
      </c>
      <c r="DA66" s="173"/>
    </row>
    <row r="67" spans="1:105" ht="11.45" customHeight="1" x14ac:dyDescent="0.25">
      <c r="A67" s="83" t="s">
        <v>92</v>
      </c>
      <c r="B67" s="125">
        <f t="shared" si="10"/>
        <v>0.18969340430711656</v>
      </c>
      <c r="C67" s="125">
        <f t="shared" ref="C67:V67" si="27">IF(C16=0,0,C16/C$8)</f>
        <v>0.18964489837422643</v>
      </c>
      <c r="D67" s="125">
        <f t="shared" si="27"/>
        <v>0.1964425142621275</v>
      </c>
      <c r="E67" s="125">
        <f t="shared" si="27"/>
        <v>0.18622341079516258</v>
      </c>
      <c r="F67" s="125">
        <f t="shared" si="27"/>
        <v>0.20284817357164217</v>
      </c>
      <c r="G67" s="125">
        <f t="shared" si="27"/>
        <v>0.22424520541678072</v>
      </c>
      <c r="H67" s="125">
        <f t="shared" si="27"/>
        <v>0.21765983344663434</v>
      </c>
      <c r="I67" s="125">
        <f t="shared" si="27"/>
        <v>0.24416233704742449</v>
      </c>
      <c r="J67" s="125">
        <f t="shared" si="27"/>
        <v>0.21515186453609045</v>
      </c>
      <c r="K67" s="125">
        <f t="shared" si="27"/>
        <v>0.19232689089057808</v>
      </c>
      <c r="L67" s="125">
        <f t="shared" si="27"/>
        <v>0.21268618582372203</v>
      </c>
      <c r="M67" s="125">
        <f t="shared" si="27"/>
        <v>0.23478058533997589</v>
      </c>
      <c r="N67" s="125">
        <f t="shared" si="27"/>
        <v>0.25360579730184563</v>
      </c>
      <c r="O67" s="125">
        <f t="shared" si="27"/>
        <v>0.2871271677533308</v>
      </c>
      <c r="P67" s="125">
        <f t="shared" si="27"/>
        <v>0.29549100784207361</v>
      </c>
      <c r="Q67" s="125">
        <f t="shared" si="27"/>
        <v>0.3199627138071664</v>
      </c>
      <c r="R67" s="125">
        <f t="shared" si="27"/>
        <v>0.25703808183940025</v>
      </c>
      <c r="S67" s="125">
        <f t="shared" si="27"/>
        <v>0.36512554172748513</v>
      </c>
      <c r="T67" s="125">
        <f t="shared" si="27"/>
        <v>0.31457608480032262</v>
      </c>
      <c r="U67" s="125">
        <f t="shared" si="27"/>
        <v>0.35081926770863081</v>
      </c>
      <c r="V67" s="125">
        <f t="shared" si="27"/>
        <v>0.44128748792322398</v>
      </c>
      <c r="W67" s="125">
        <f t="shared" ref="W67:Y67" si="28">IF(W16=0,0,W16/W$8)</f>
        <v>0.55671752016685849</v>
      </c>
      <c r="X67" s="125">
        <f t="shared" si="28"/>
        <v>0.47587538426960319</v>
      </c>
      <c r="Y67" s="125">
        <f t="shared" si="28"/>
        <v>0.40293018551957621</v>
      </c>
      <c r="DA67" s="171"/>
    </row>
    <row r="68" spans="1:105" ht="11.45" customHeight="1" x14ac:dyDescent="0.25">
      <c r="A68" s="85" t="s">
        <v>93</v>
      </c>
      <c r="B68" s="127">
        <f t="shared" si="10"/>
        <v>0</v>
      </c>
      <c r="C68" s="127">
        <f t="shared" ref="C68:V68" si="29">IF(C17=0,0,C17/C$8)</f>
        <v>0</v>
      </c>
      <c r="D68" s="127">
        <f t="shared" si="29"/>
        <v>0</v>
      </c>
      <c r="E68" s="127">
        <f t="shared" si="29"/>
        <v>0</v>
      </c>
      <c r="F68" s="127">
        <f t="shared" si="29"/>
        <v>0</v>
      </c>
      <c r="G68" s="127">
        <f t="shared" si="29"/>
        <v>0</v>
      </c>
      <c r="H68" s="127">
        <f t="shared" si="29"/>
        <v>0</v>
      </c>
      <c r="I68" s="127">
        <f t="shared" si="29"/>
        <v>0</v>
      </c>
      <c r="J68" s="127">
        <f t="shared" si="29"/>
        <v>0</v>
      </c>
      <c r="K68" s="127">
        <f t="shared" si="29"/>
        <v>0</v>
      </c>
      <c r="L68" s="127">
        <f t="shared" si="29"/>
        <v>0</v>
      </c>
      <c r="M68" s="127">
        <f t="shared" si="29"/>
        <v>0</v>
      </c>
      <c r="N68" s="127">
        <f t="shared" si="29"/>
        <v>0</v>
      </c>
      <c r="O68" s="127">
        <f t="shared" si="29"/>
        <v>0</v>
      </c>
      <c r="P68" s="127">
        <f t="shared" si="29"/>
        <v>0</v>
      </c>
      <c r="Q68" s="127">
        <f t="shared" si="29"/>
        <v>0</v>
      </c>
      <c r="R68" s="127">
        <f t="shared" si="29"/>
        <v>0</v>
      </c>
      <c r="S68" s="127">
        <f t="shared" si="29"/>
        <v>0</v>
      </c>
      <c r="T68" s="127">
        <f t="shared" si="29"/>
        <v>0</v>
      </c>
      <c r="U68" s="127">
        <f t="shared" si="29"/>
        <v>0</v>
      </c>
      <c r="V68" s="127">
        <f t="shared" si="29"/>
        <v>0</v>
      </c>
      <c r="W68" s="127">
        <f t="shared" ref="W68:Y68" si="30">IF(W17=0,0,W17/W$8)</f>
        <v>0</v>
      </c>
      <c r="X68" s="127">
        <f t="shared" si="30"/>
        <v>0</v>
      </c>
      <c r="Y68" s="127">
        <f t="shared" si="30"/>
        <v>0</v>
      </c>
      <c r="DA68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11:Y1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DA125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189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DA3" s="172"/>
    </row>
    <row r="4" spans="1:105" ht="11.45" customHeight="1" x14ac:dyDescent="0.25">
      <c r="A4" s="10" t="s">
        <v>18</v>
      </c>
      <c r="B4" s="11">
        <f t="shared" ref="B4:C4" si="0">SUM(B5:B7)</f>
        <v>20234.697091688635</v>
      </c>
      <c r="C4" s="11">
        <f t="shared" si="0"/>
        <v>19777.711365418749</v>
      </c>
      <c r="D4" s="11">
        <f t="shared" ref="D4:V4" si="1">SUM(D5:D7)</f>
        <v>20271.354258420513</v>
      </c>
      <c r="E4" s="11">
        <f t="shared" si="1"/>
        <v>20638.750260484507</v>
      </c>
      <c r="F4" s="11">
        <f t="shared" si="1"/>
        <v>21432.689496448613</v>
      </c>
      <c r="G4" s="11">
        <f t="shared" si="1"/>
        <v>23070.933726133124</v>
      </c>
      <c r="H4" s="11">
        <f t="shared" si="1"/>
        <v>24283.156029589059</v>
      </c>
      <c r="I4" s="11">
        <f t="shared" si="1"/>
        <v>26860.004132743339</v>
      </c>
      <c r="J4" s="11">
        <f t="shared" si="1"/>
        <v>27581.263317042627</v>
      </c>
      <c r="K4" s="11">
        <f t="shared" si="1"/>
        <v>26555.937387542603</v>
      </c>
      <c r="L4" s="11">
        <f t="shared" si="1"/>
        <v>28444.362277877852</v>
      </c>
      <c r="M4" s="11">
        <f t="shared" si="1"/>
        <v>30560.762360034634</v>
      </c>
      <c r="N4" s="11">
        <f t="shared" si="1"/>
        <v>31591.725339397461</v>
      </c>
      <c r="O4" s="11">
        <f t="shared" si="1"/>
        <v>33460.483985089799</v>
      </c>
      <c r="P4" s="11">
        <f t="shared" si="1"/>
        <v>35906.93653319739</v>
      </c>
      <c r="Q4" s="11">
        <f t="shared" si="1"/>
        <v>38320.899631183849</v>
      </c>
      <c r="R4" s="11">
        <f t="shared" si="1"/>
        <v>43146.361321418597</v>
      </c>
      <c r="S4" s="11">
        <f t="shared" si="1"/>
        <v>50638.349478009419</v>
      </c>
      <c r="T4" s="11">
        <f t="shared" si="1"/>
        <v>55141.176104321559</v>
      </c>
      <c r="U4" s="11">
        <f t="shared" si="1"/>
        <v>60731.950293852111</v>
      </c>
      <c r="V4" s="11">
        <f t="shared" si="1"/>
        <v>18274.088101193065</v>
      </c>
      <c r="W4" s="11">
        <f t="shared" ref="W4:Y4" si="2">SUM(W5:W7)</f>
        <v>23923.437590440626</v>
      </c>
      <c r="X4" s="11">
        <f t="shared" si="2"/>
        <v>56421.601597670728</v>
      </c>
      <c r="Y4" s="11">
        <f t="shared" si="2"/>
        <v>68149.692886745906</v>
      </c>
      <c r="DA4" s="189" t="s">
        <v>190</v>
      </c>
    </row>
    <row r="5" spans="1:105" ht="11.45" customHeight="1" x14ac:dyDescent="0.25">
      <c r="A5" s="83" t="s">
        <v>27</v>
      </c>
      <c r="B5" s="84">
        <v>2294.2930642270876</v>
      </c>
      <c r="C5" s="84">
        <v>2361.6355087898546</v>
      </c>
      <c r="D5" s="84">
        <v>2400.6222978771752</v>
      </c>
      <c r="E5" s="84">
        <v>2343.084291431373</v>
      </c>
      <c r="F5" s="84">
        <v>2461.1048743589745</v>
      </c>
      <c r="G5" s="84">
        <v>2521.9397876835269</v>
      </c>
      <c r="H5" s="84">
        <v>2076.1597177346871</v>
      </c>
      <c r="I5" s="84">
        <v>2082.8061526086494</v>
      </c>
      <c r="J5" s="84">
        <v>2186.7911242093323</v>
      </c>
      <c r="K5" s="84">
        <v>2389.455111545647</v>
      </c>
      <c r="L5" s="84">
        <v>2421.8079873141469</v>
      </c>
      <c r="M5" s="84">
        <v>2222.6347126151586</v>
      </c>
      <c r="N5" s="84">
        <v>2232.2132962710562</v>
      </c>
      <c r="O5" s="84">
        <v>2322.1691698620984</v>
      </c>
      <c r="P5" s="84">
        <v>2319.0282931864631</v>
      </c>
      <c r="Q5" s="84">
        <v>2909.3717059229411</v>
      </c>
      <c r="R5" s="84">
        <v>3606.0848769095651</v>
      </c>
      <c r="S5" s="84">
        <v>4181.8080341853474</v>
      </c>
      <c r="T5" s="84">
        <v>4353.2570955315769</v>
      </c>
      <c r="U5" s="84">
        <v>4407.6003878604424</v>
      </c>
      <c r="V5" s="84">
        <v>1533.0278646673662</v>
      </c>
      <c r="W5" s="84">
        <v>2839.3121154368614</v>
      </c>
      <c r="X5" s="84">
        <v>5206.3369866772582</v>
      </c>
      <c r="Y5" s="84">
        <v>5677.7640388380441</v>
      </c>
      <c r="DA5" s="171" t="s">
        <v>191</v>
      </c>
    </row>
    <row r="6" spans="1:105" ht="11.45" customHeight="1" x14ac:dyDescent="0.25">
      <c r="A6" s="83" t="s">
        <v>181</v>
      </c>
      <c r="B6" s="84">
        <v>13126.838886352327</v>
      </c>
      <c r="C6" s="84">
        <v>12710.374702429126</v>
      </c>
      <c r="D6" s="84">
        <v>12690.552122223728</v>
      </c>
      <c r="E6" s="84">
        <v>12611.359509440375</v>
      </c>
      <c r="F6" s="84">
        <v>12927.415086295407</v>
      </c>
      <c r="G6" s="84">
        <v>13581.123301653488</v>
      </c>
      <c r="H6" s="84">
        <v>14800.814772810512</v>
      </c>
      <c r="I6" s="84">
        <v>16140.811021767197</v>
      </c>
      <c r="J6" s="84">
        <v>16134.712001431304</v>
      </c>
      <c r="K6" s="84">
        <v>15333.594226925863</v>
      </c>
      <c r="L6" s="84">
        <v>16162.974909377859</v>
      </c>
      <c r="M6" s="84">
        <v>17583.271072982432</v>
      </c>
      <c r="N6" s="84">
        <v>18072.159428999294</v>
      </c>
      <c r="O6" s="84">
        <v>19400.821409235374</v>
      </c>
      <c r="P6" s="84">
        <v>21177.64024331257</v>
      </c>
      <c r="Q6" s="84">
        <v>22980.021685984662</v>
      </c>
      <c r="R6" s="84">
        <v>26429.740384816436</v>
      </c>
      <c r="S6" s="84">
        <v>30669.439461988222</v>
      </c>
      <c r="T6" s="84">
        <v>32358.66937277191</v>
      </c>
      <c r="U6" s="84">
        <v>34270.364459923745</v>
      </c>
      <c r="V6" s="84">
        <v>10837.995519697968</v>
      </c>
      <c r="W6" s="84">
        <v>13963.80076741417</v>
      </c>
      <c r="X6" s="84">
        <v>31573.097712484418</v>
      </c>
      <c r="Y6" s="84">
        <v>37454.342925612349</v>
      </c>
      <c r="DA6" s="171" t="s">
        <v>192</v>
      </c>
    </row>
    <row r="7" spans="1:105" ht="11.45" customHeight="1" x14ac:dyDescent="0.25">
      <c r="A7" s="83" t="s">
        <v>182</v>
      </c>
      <c r="B7" s="84">
        <v>4813.5651411092222</v>
      </c>
      <c r="C7" s="84">
        <v>4705.701154199769</v>
      </c>
      <c r="D7" s="84">
        <v>5180.1798383196128</v>
      </c>
      <c r="E7" s="84">
        <v>5684.306459612757</v>
      </c>
      <c r="F7" s="84">
        <v>6044.1695357942299</v>
      </c>
      <c r="G7" s="84">
        <v>6967.8706367961095</v>
      </c>
      <c r="H7" s="84">
        <v>7406.1815390438605</v>
      </c>
      <c r="I7" s="84">
        <v>8636.3869583674932</v>
      </c>
      <c r="J7" s="84">
        <v>9259.7601914019888</v>
      </c>
      <c r="K7" s="84">
        <v>8832.8880490710962</v>
      </c>
      <c r="L7" s="84">
        <v>9859.5793811858475</v>
      </c>
      <c r="M7" s="84">
        <v>10754.856574437041</v>
      </c>
      <c r="N7" s="84">
        <v>11287.352614127109</v>
      </c>
      <c r="O7" s="84">
        <v>11737.493405992327</v>
      </c>
      <c r="P7" s="84">
        <v>12410.267996698358</v>
      </c>
      <c r="Q7" s="84">
        <v>12431.506239276245</v>
      </c>
      <c r="R7" s="84">
        <v>13110.536059692598</v>
      </c>
      <c r="S7" s="84">
        <v>15787.101981835849</v>
      </c>
      <c r="T7" s="84">
        <v>18429.249636018074</v>
      </c>
      <c r="U7" s="84">
        <v>22053.985446067927</v>
      </c>
      <c r="V7" s="84">
        <v>5903.0647168277301</v>
      </c>
      <c r="W7" s="84">
        <v>7120.3247075895943</v>
      </c>
      <c r="X7" s="84">
        <v>19642.166898509055</v>
      </c>
      <c r="Y7" s="84">
        <v>25017.585922295504</v>
      </c>
      <c r="DA7" s="171" t="s">
        <v>193</v>
      </c>
    </row>
    <row r="8" spans="1:105" ht="11.45" customHeight="1" x14ac:dyDescent="0.25">
      <c r="A8" s="12" t="s">
        <v>28</v>
      </c>
      <c r="B8" s="13">
        <f t="shared" ref="B8:C8" si="3">SUM(B9:B11)</f>
        <v>165.32782676503928</v>
      </c>
      <c r="C8" s="13">
        <f t="shared" si="3"/>
        <v>162.20605270578181</v>
      </c>
      <c r="D8" s="13">
        <f t="shared" ref="D8:V8" si="4">SUM(D9:D11)</f>
        <v>155.8112036345137</v>
      </c>
      <c r="E8" s="13">
        <f t="shared" si="4"/>
        <v>136.6516313433556</v>
      </c>
      <c r="F8" s="13">
        <f t="shared" si="4"/>
        <v>139.41442678408617</v>
      </c>
      <c r="G8" s="13">
        <f t="shared" si="4"/>
        <v>157.57065443895854</v>
      </c>
      <c r="H8" s="13">
        <f t="shared" si="4"/>
        <v>191.78921674220896</v>
      </c>
      <c r="I8" s="13">
        <f t="shared" si="4"/>
        <v>220.50237129408399</v>
      </c>
      <c r="J8" s="13">
        <f t="shared" si="4"/>
        <v>249.40248503429413</v>
      </c>
      <c r="K8" s="13">
        <f t="shared" si="4"/>
        <v>233.9665361792124</v>
      </c>
      <c r="L8" s="13">
        <f t="shared" si="4"/>
        <v>280.70166231377317</v>
      </c>
      <c r="M8" s="13">
        <f t="shared" si="4"/>
        <v>271.04196588462526</v>
      </c>
      <c r="N8" s="13">
        <f t="shared" si="4"/>
        <v>301.0738876007174</v>
      </c>
      <c r="O8" s="13">
        <f t="shared" si="4"/>
        <v>285.55618296006753</v>
      </c>
      <c r="P8" s="13">
        <f t="shared" si="4"/>
        <v>297.30270437178854</v>
      </c>
      <c r="Q8" s="13">
        <f t="shared" si="4"/>
        <v>271.4629130032979</v>
      </c>
      <c r="R8" s="13">
        <f t="shared" si="4"/>
        <v>254.39581563035031</v>
      </c>
      <c r="S8" s="13">
        <f t="shared" si="4"/>
        <v>333.6404081039355</v>
      </c>
      <c r="T8" s="13">
        <f t="shared" si="4"/>
        <v>338.94482603628381</v>
      </c>
      <c r="U8" s="13">
        <f t="shared" si="4"/>
        <v>352.8676433776584</v>
      </c>
      <c r="V8" s="13">
        <f t="shared" si="4"/>
        <v>201.32644746124356</v>
      </c>
      <c r="W8" s="13">
        <f t="shared" ref="W8:Y8" si="5">SUM(W9:W11)</f>
        <v>277.33317416044395</v>
      </c>
      <c r="X8" s="13">
        <f t="shared" si="5"/>
        <v>391.49719527606328</v>
      </c>
      <c r="Y8" s="13">
        <f t="shared" si="5"/>
        <v>215.64449208459411</v>
      </c>
      <c r="DA8" s="193" t="s">
        <v>194</v>
      </c>
    </row>
    <row r="9" spans="1:105" ht="11.45" customHeight="1" x14ac:dyDescent="0.25">
      <c r="A9" s="92" t="s">
        <v>27</v>
      </c>
      <c r="B9" s="102">
        <v>4.3726079797058528</v>
      </c>
      <c r="C9" s="102">
        <v>3.9708972632205826</v>
      </c>
      <c r="D9" s="102">
        <v>4.0225685468154406</v>
      </c>
      <c r="E9" s="102">
        <v>4.1420050320664741</v>
      </c>
      <c r="F9" s="102">
        <v>3.9960568157188123</v>
      </c>
      <c r="G9" s="102">
        <v>4.629475900006109</v>
      </c>
      <c r="H9" s="102">
        <v>6.3896173500678604</v>
      </c>
      <c r="I9" s="102">
        <v>7.9667557066343209</v>
      </c>
      <c r="J9" s="102">
        <v>9.7017246735797738</v>
      </c>
      <c r="K9" s="102">
        <v>11.014060642837197</v>
      </c>
      <c r="L9" s="102">
        <v>12.203640482155004</v>
      </c>
      <c r="M9" s="102">
        <v>7.9713988308887513</v>
      </c>
      <c r="N9" s="102">
        <v>6.4444698006386565</v>
      </c>
      <c r="O9" s="102">
        <v>5.7580250406358191</v>
      </c>
      <c r="P9" s="102">
        <v>5.284704194491014</v>
      </c>
      <c r="Q9" s="102">
        <v>5.0707763091567521</v>
      </c>
      <c r="R9" s="102">
        <v>4.7636847674400187</v>
      </c>
      <c r="S9" s="102">
        <v>5.1102018953036259</v>
      </c>
      <c r="T9" s="102">
        <v>5.0364177271221227</v>
      </c>
      <c r="U9" s="102">
        <v>6.2002567787244676</v>
      </c>
      <c r="V9" s="102">
        <v>5.2351418434138246</v>
      </c>
      <c r="W9" s="102">
        <v>6.4781879764164385</v>
      </c>
      <c r="X9" s="102">
        <v>7.4331211883420787</v>
      </c>
      <c r="Y9" s="102">
        <v>8.2923192672431476</v>
      </c>
      <c r="DA9" s="175" t="s">
        <v>195</v>
      </c>
    </row>
    <row r="10" spans="1:105" ht="11.45" customHeight="1" x14ac:dyDescent="0.25">
      <c r="A10" s="92" t="s">
        <v>181</v>
      </c>
      <c r="B10" s="102">
        <v>67.332630417121976</v>
      </c>
      <c r="C10" s="102">
        <v>63.208078293243872</v>
      </c>
      <c r="D10" s="102">
        <v>60.126139255522176</v>
      </c>
      <c r="E10" s="102">
        <v>53.629323116238567</v>
      </c>
      <c r="F10" s="102">
        <v>51.160191366580854</v>
      </c>
      <c r="G10" s="102">
        <v>50.205615681476047</v>
      </c>
      <c r="H10" s="102">
        <v>55.707626650130116</v>
      </c>
      <c r="I10" s="102">
        <v>54.165026682434252</v>
      </c>
      <c r="J10" s="102">
        <v>50.807756406970604</v>
      </c>
      <c r="K10" s="102">
        <v>45.941814242137355</v>
      </c>
      <c r="L10" s="102">
        <v>47.914113811482359</v>
      </c>
      <c r="M10" s="102">
        <v>40.10913406240703</v>
      </c>
      <c r="N10" s="102">
        <v>39.693868514690521</v>
      </c>
      <c r="O10" s="102">
        <v>34.987115227614375</v>
      </c>
      <c r="P10" s="102">
        <v>37.197807717777877</v>
      </c>
      <c r="Q10" s="102">
        <v>37.759792520046247</v>
      </c>
      <c r="R10" s="102">
        <v>37.428828080528248</v>
      </c>
      <c r="S10" s="102">
        <v>39.813316494899389</v>
      </c>
      <c r="T10" s="102">
        <v>43.008573401462407</v>
      </c>
      <c r="U10" s="102">
        <v>43.897682303019913</v>
      </c>
      <c r="V10" s="102">
        <v>37.449311588772041</v>
      </c>
      <c r="W10" s="102">
        <v>44.315795086204766</v>
      </c>
      <c r="X10" s="102">
        <v>43.178060987636101</v>
      </c>
      <c r="Y10" s="102">
        <v>44.391235915089105</v>
      </c>
      <c r="DA10" s="175" t="s">
        <v>196</v>
      </c>
    </row>
    <row r="11" spans="1:105" ht="11.45" customHeight="1" x14ac:dyDescent="0.25">
      <c r="A11" s="85" t="s">
        <v>182</v>
      </c>
      <c r="B11" s="86">
        <v>93.622588368211467</v>
      </c>
      <c r="C11" s="86">
        <v>95.027077149317378</v>
      </c>
      <c r="D11" s="86">
        <v>91.662495832176091</v>
      </c>
      <c r="E11" s="86">
        <v>78.880303195050558</v>
      </c>
      <c r="F11" s="86">
        <v>84.258178601786526</v>
      </c>
      <c r="G11" s="86">
        <v>102.7355628574764</v>
      </c>
      <c r="H11" s="86">
        <v>129.69197274201099</v>
      </c>
      <c r="I11" s="86">
        <v>158.37058890501541</v>
      </c>
      <c r="J11" s="86">
        <v>188.89300395374374</v>
      </c>
      <c r="K11" s="86">
        <v>177.01066129423785</v>
      </c>
      <c r="L11" s="86">
        <v>220.58390802013579</v>
      </c>
      <c r="M11" s="86">
        <v>222.96143299132947</v>
      </c>
      <c r="N11" s="86">
        <v>254.93554928538822</v>
      </c>
      <c r="O11" s="86">
        <v>244.81104269181731</v>
      </c>
      <c r="P11" s="86">
        <v>254.82019245951963</v>
      </c>
      <c r="Q11" s="86">
        <v>228.63234417409492</v>
      </c>
      <c r="R11" s="86">
        <v>212.20330278238205</v>
      </c>
      <c r="S11" s="86">
        <v>288.71688971373248</v>
      </c>
      <c r="T11" s="86">
        <v>290.8998349076993</v>
      </c>
      <c r="U11" s="86">
        <v>302.76970429591404</v>
      </c>
      <c r="V11" s="86">
        <v>158.64199402905768</v>
      </c>
      <c r="W11" s="86">
        <v>226.53919109782274</v>
      </c>
      <c r="X11" s="86">
        <v>340.88601310008511</v>
      </c>
      <c r="Y11" s="86">
        <v>162.96093690226184</v>
      </c>
      <c r="DA11" s="178" t="s">
        <v>197</v>
      </c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DA12" s="181"/>
    </row>
    <row r="13" spans="1:105" ht="11.45" customHeight="1" x14ac:dyDescent="0.25">
      <c r="A13" s="53" t="s">
        <v>64</v>
      </c>
      <c r="B13" s="54">
        <f t="shared" ref="B13:C13" si="6">SUM(B14,B18)</f>
        <v>179.83830313934524</v>
      </c>
      <c r="C13" s="54">
        <f t="shared" si="6"/>
        <v>174.40586707589847</v>
      </c>
      <c r="D13" s="54">
        <f t="shared" ref="D13:V13" si="7">SUM(D14,D18)</f>
        <v>171.60694935452091</v>
      </c>
      <c r="E13" s="54">
        <f t="shared" si="7"/>
        <v>176.86263489407958</v>
      </c>
      <c r="F13" s="54">
        <f t="shared" si="7"/>
        <v>181.19708166331512</v>
      </c>
      <c r="G13" s="54">
        <f t="shared" si="7"/>
        <v>199.0087182622072</v>
      </c>
      <c r="H13" s="54">
        <f t="shared" si="7"/>
        <v>217.541327111334</v>
      </c>
      <c r="I13" s="54">
        <f t="shared" si="7"/>
        <v>238.21726954479493</v>
      </c>
      <c r="J13" s="54">
        <f t="shared" si="7"/>
        <v>235.3334473770297</v>
      </c>
      <c r="K13" s="54">
        <f t="shared" si="7"/>
        <v>217.06865649697602</v>
      </c>
      <c r="L13" s="54">
        <f t="shared" si="7"/>
        <v>228.87304641173924</v>
      </c>
      <c r="M13" s="54">
        <f t="shared" si="7"/>
        <v>235.62658150067966</v>
      </c>
      <c r="N13" s="54">
        <f t="shared" si="7"/>
        <v>236.99114630299835</v>
      </c>
      <c r="O13" s="54">
        <f t="shared" si="7"/>
        <v>244.35432019004435</v>
      </c>
      <c r="P13" s="54">
        <f t="shared" si="7"/>
        <v>259.87175669117846</v>
      </c>
      <c r="Q13" s="54">
        <f t="shared" si="7"/>
        <v>274.63080809034597</v>
      </c>
      <c r="R13" s="54">
        <f t="shared" si="7"/>
        <v>307.63952214929441</v>
      </c>
      <c r="S13" s="54">
        <f t="shared" si="7"/>
        <v>343.64982377340311</v>
      </c>
      <c r="T13" s="54">
        <f t="shared" si="7"/>
        <v>375.71794003020113</v>
      </c>
      <c r="U13" s="54">
        <f t="shared" si="7"/>
        <v>400.97483326171505</v>
      </c>
      <c r="V13" s="54">
        <f t="shared" si="7"/>
        <v>159.96839948201023</v>
      </c>
      <c r="W13" s="54">
        <f t="shared" ref="W13:Y13" si="8">SUM(W14,W18)</f>
        <v>211.488610800516</v>
      </c>
      <c r="X13" s="54">
        <f t="shared" si="8"/>
        <v>376.57943637379537</v>
      </c>
      <c r="Y13" s="54">
        <f t="shared" si="8"/>
        <v>425.44826299074498</v>
      </c>
      <c r="DA13" s="172" t="s">
        <v>198</v>
      </c>
    </row>
    <row r="14" spans="1:105" ht="11.45" customHeight="1" x14ac:dyDescent="0.25">
      <c r="A14" s="10" t="s">
        <v>33</v>
      </c>
      <c r="B14" s="11">
        <f t="shared" ref="B14:C14" si="9">SUM(B15:B17)</f>
        <v>175.5692883026955</v>
      </c>
      <c r="C14" s="11">
        <f t="shared" si="9"/>
        <v>170.46707425153824</v>
      </c>
      <c r="D14" s="11">
        <f t="shared" ref="D14:V14" si="10">SUM(D15:D17)</f>
        <v>167.61845260175238</v>
      </c>
      <c r="E14" s="11">
        <f t="shared" si="10"/>
        <v>173.26288454233577</v>
      </c>
      <c r="F14" s="11">
        <f t="shared" si="10"/>
        <v>177.33303078938656</v>
      </c>
      <c r="G14" s="11">
        <f t="shared" si="10"/>
        <v>194.70187511250194</v>
      </c>
      <c r="H14" s="11">
        <f t="shared" si="10"/>
        <v>211.84991777114641</v>
      </c>
      <c r="I14" s="11">
        <f t="shared" si="10"/>
        <v>231.86378637195287</v>
      </c>
      <c r="J14" s="11">
        <f t="shared" si="10"/>
        <v>228.37290604315808</v>
      </c>
      <c r="K14" s="11">
        <f t="shared" si="10"/>
        <v>210.92461775230535</v>
      </c>
      <c r="L14" s="11">
        <f t="shared" si="10"/>
        <v>222.00745466043963</v>
      </c>
      <c r="M14" s="11">
        <f t="shared" si="10"/>
        <v>229.80978790798463</v>
      </c>
      <c r="N14" s="11">
        <f t="shared" si="10"/>
        <v>231.28815937670487</v>
      </c>
      <c r="O14" s="11">
        <f t="shared" si="10"/>
        <v>239.08589818085511</v>
      </c>
      <c r="P14" s="11">
        <f t="shared" si="10"/>
        <v>255.03039552288814</v>
      </c>
      <c r="Q14" s="11">
        <f t="shared" si="10"/>
        <v>270.06191424361384</v>
      </c>
      <c r="R14" s="11">
        <f t="shared" si="10"/>
        <v>303.66797241662408</v>
      </c>
      <c r="S14" s="11">
        <f t="shared" si="10"/>
        <v>338.53296368463663</v>
      </c>
      <c r="T14" s="11">
        <f t="shared" si="10"/>
        <v>370.48429289512603</v>
      </c>
      <c r="U14" s="11">
        <f t="shared" si="10"/>
        <v>395.74901914522383</v>
      </c>
      <c r="V14" s="11">
        <f t="shared" si="10"/>
        <v>155.37604634527855</v>
      </c>
      <c r="W14" s="11">
        <f t="shared" ref="W14:Y14" si="11">SUM(W15:W17)</f>
        <v>205.56387126797267</v>
      </c>
      <c r="X14" s="11">
        <f t="shared" si="11"/>
        <v>369.42711787348753</v>
      </c>
      <c r="Y14" s="11">
        <f t="shared" si="11"/>
        <v>420.70634185989638</v>
      </c>
      <c r="DA14" s="189" t="s">
        <v>199</v>
      </c>
    </row>
    <row r="15" spans="1:105" ht="11.45" customHeight="1" x14ac:dyDescent="0.25">
      <c r="A15" s="83" t="s">
        <v>27</v>
      </c>
      <c r="B15" s="84">
        <v>21.374394832986344</v>
      </c>
      <c r="C15" s="84">
        <v>21.990337665603523</v>
      </c>
      <c r="D15" s="84">
        <v>23.402105930494464</v>
      </c>
      <c r="E15" s="84">
        <v>22.802290503363736</v>
      </c>
      <c r="F15" s="84">
        <v>25.744301434988397</v>
      </c>
      <c r="G15" s="84">
        <v>27.424792932327179</v>
      </c>
      <c r="H15" s="84">
        <v>23.926049411733974</v>
      </c>
      <c r="I15" s="84">
        <v>22.64943916068038</v>
      </c>
      <c r="J15" s="84">
        <v>23.887594667713955</v>
      </c>
      <c r="K15" s="84">
        <v>22.123841989992005</v>
      </c>
      <c r="L15" s="84">
        <v>22.31719361786223</v>
      </c>
      <c r="M15" s="84">
        <v>21.085781858035439</v>
      </c>
      <c r="N15" s="84">
        <v>20.62234685871239</v>
      </c>
      <c r="O15" s="84">
        <v>20.529973938524062</v>
      </c>
      <c r="P15" s="84">
        <v>21.559139487838326</v>
      </c>
      <c r="Q15" s="84">
        <v>23.608592096206792</v>
      </c>
      <c r="R15" s="84">
        <v>34.670780571510271</v>
      </c>
      <c r="S15" s="84">
        <v>35.49231436003425</v>
      </c>
      <c r="T15" s="84">
        <v>37.490044412163257</v>
      </c>
      <c r="U15" s="84">
        <v>40.359075261223666</v>
      </c>
      <c r="V15" s="84">
        <v>20.171044445867764</v>
      </c>
      <c r="W15" s="84">
        <v>28.350777817469545</v>
      </c>
      <c r="X15" s="84">
        <v>40.519166264110076</v>
      </c>
      <c r="Y15" s="84">
        <v>43.276665319577084</v>
      </c>
      <c r="DA15" s="171" t="s">
        <v>200</v>
      </c>
    </row>
    <row r="16" spans="1:105" ht="11.45" customHeight="1" x14ac:dyDescent="0.25">
      <c r="A16" s="83" t="s">
        <v>181</v>
      </c>
      <c r="B16" s="84">
        <v>116.84297044417723</v>
      </c>
      <c r="C16" s="84">
        <v>112.5121295550537</v>
      </c>
      <c r="D16" s="84">
        <v>109.28382593397532</v>
      </c>
      <c r="E16" s="84">
        <v>111.27011729042522</v>
      </c>
      <c r="F16" s="84">
        <v>113.64155655953505</v>
      </c>
      <c r="G16" s="84">
        <v>122.2590516281345</v>
      </c>
      <c r="H16" s="84">
        <v>138.80305822310106</v>
      </c>
      <c r="I16" s="84">
        <v>152.84779787077198</v>
      </c>
      <c r="J16" s="84">
        <v>150.36321082175354</v>
      </c>
      <c r="K16" s="84">
        <v>137.14311461461782</v>
      </c>
      <c r="L16" s="84">
        <v>143.15149611963537</v>
      </c>
      <c r="M16" s="84">
        <v>148.68994320095666</v>
      </c>
      <c r="N16" s="84">
        <v>148.07878699533239</v>
      </c>
      <c r="O16" s="84">
        <v>155.52609846911426</v>
      </c>
      <c r="P16" s="84">
        <v>166.11524779976216</v>
      </c>
      <c r="Q16" s="84">
        <v>178.33611636084697</v>
      </c>
      <c r="R16" s="84">
        <v>196.80896785259341</v>
      </c>
      <c r="S16" s="84">
        <v>220.18095657214573</v>
      </c>
      <c r="T16" s="84">
        <v>235.55645873261972</v>
      </c>
      <c r="U16" s="84">
        <v>241.22430162699229</v>
      </c>
      <c r="V16" s="84">
        <v>96.134524703534481</v>
      </c>
      <c r="W16" s="84">
        <v>127.78097553356579</v>
      </c>
      <c r="X16" s="84">
        <v>227.04050592623227</v>
      </c>
      <c r="Y16" s="84">
        <v>255.11017753239122</v>
      </c>
      <c r="DA16" s="171" t="s">
        <v>201</v>
      </c>
    </row>
    <row r="17" spans="1:105" ht="11.45" customHeight="1" x14ac:dyDescent="0.25">
      <c r="A17" s="83" t="s">
        <v>182</v>
      </c>
      <c r="B17" s="84">
        <v>37.351923025531931</v>
      </c>
      <c r="C17" s="84">
        <v>35.964607030881027</v>
      </c>
      <c r="D17" s="84">
        <v>34.932520737282594</v>
      </c>
      <c r="E17" s="84">
        <v>39.1904767485468</v>
      </c>
      <c r="F17" s="84">
        <v>37.947172794863121</v>
      </c>
      <c r="G17" s="84">
        <v>45.018030552040244</v>
      </c>
      <c r="H17" s="84">
        <v>49.120810136311384</v>
      </c>
      <c r="I17" s="84">
        <v>56.366549340500512</v>
      </c>
      <c r="J17" s="84">
        <v>54.122100553690572</v>
      </c>
      <c r="K17" s="84">
        <v>51.657661147695542</v>
      </c>
      <c r="L17" s="84">
        <v>56.538764922942043</v>
      </c>
      <c r="M17" s="84">
        <v>60.034062848992527</v>
      </c>
      <c r="N17" s="84">
        <v>62.587025522660099</v>
      </c>
      <c r="O17" s="84">
        <v>63.029825773216814</v>
      </c>
      <c r="P17" s="84">
        <v>67.356008235287646</v>
      </c>
      <c r="Q17" s="84">
        <v>68.117205786560049</v>
      </c>
      <c r="R17" s="84">
        <v>72.188223992520378</v>
      </c>
      <c r="S17" s="84">
        <v>82.859692752456652</v>
      </c>
      <c r="T17" s="84">
        <v>97.437789750343086</v>
      </c>
      <c r="U17" s="84">
        <v>114.16564225700786</v>
      </c>
      <c r="V17" s="84">
        <v>39.070477195876293</v>
      </c>
      <c r="W17" s="84">
        <v>49.432117916937315</v>
      </c>
      <c r="X17" s="84">
        <v>101.86744568314521</v>
      </c>
      <c r="Y17" s="84">
        <v>122.31949900792807</v>
      </c>
      <c r="DA17" s="171" t="s">
        <v>202</v>
      </c>
    </row>
    <row r="18" spans="1:105" ht="11.45" customHeight="1" x14ac:dyDescent="0.25">
      <c r="A18" s="12" t="s">
        <v>34</v>
      </c>
      <c r="B18" s="13">
        <f t="shared" ref="B18:C18" si="12">SUM(B19:B21)</f>
        <v>4.2690148366497569</v>
      </c>
      <c r="C18" s="13">
        <f t="shared" si="12"/>
        <v>3.9387928243602279</v>
      </c>
      <c r="D18" s="13">
        <f t="shared" ref="D18:V18" si="13">SUM(D19:D21)</f>
        <v>3.9884967527685133</v>
      </c>
      <c r="E18" s="13">
        <f t="shared" si="13"/>
        <v>3.5997503517438041</v>
      </c>
      <c r="F18" s="13">
        <f t="shared" si="13"/>
        <v>3.8640508739285577</v>
      </c>
      <c r="G18" s="13">
        <f t="shared" si="13"/>
        <v>4.3068431497052542</v>
      </c>
      <c r="H18" s="13">
        <f t="shared" si="13"/>
        <v>5.6914093401876036</v>
      </c>
      <c r="I18" s="13">
        <f t="shared" si="13"/>
        <v>6.353483172842072</v>
      </c>
      <c r="J18" s="13">
        <f t="shared" si="13"/>
        <v>6.9605413338716131</v>
      </c>
      <c r="K18" s="13">
        <f t="shared" si="13"/>
        <v>6.144038744670663</v>
      </c>
      <c r="L18" s="13">
        <f t="shared" si="13"/>
        <v>6.8655917512996059</v>
      </c>
      <c r="M18" s="13">
        <f t="shared" si="13"/>
        <v>5.8167935926950207</v>
      </c>
      <c r="N18" s="13">
        <f t="shared" si="13"/>
        <v>5.7029869262934838</v>
      </c>
      <c r="O18" s="13">
        <f t="shared" si="13"/>
        <v>5.2684220091892229</v>
      </c>
      <c r="P18" s="13">
        <f t="shared" si="13"/>
        <v>4.8413611682903461</v>
      </c>
      <c r="Q18" s="13">
        <f t="shared" si="13"/>
        <v>4.5688938467321059</v>
      </c>
      <c r="R18" s="13">
        <f t="shared" si="13"/>
        <v>3.9715497326703266</v>
      </c>
      <c r="S18" s="13">
        <f t="shared" si="13"/>
        <v>5.1168600887665008</v>
      </c>
      <c r="T18" s="13">
        <f t="shared" si="13"/>
        <v>5.2336471350750911</v>
      </c>
      <c r="U18" s="13">
        <f t="shared" si="13"/>
        <v>5.2258141164912271</v>
      </c>
      <c r="V18" s="13">
        <f t="shared" si="13"/>
        <v>4.5923531367316821</v>
      </c>
      <c r="W18" s="13">
        <f t="shared" ref="W18:Y18" si="14">SUM(W19:W21)</f>
        <v>5.9247395325433168</v>
      </c>
      <c r="X18" s="13">
        <f t="shared" si="14"/>
        <v>7.1523185003078682</v>
      </c>
      <c r="Y18" s="13">
        <f t="shared" si="14"/>
        <v>4.7419211308486178</v>
      </c>
      <c r="DA18" s="193" t="s">
        <v>203</v>
      </c>
    </row>
    <row r="19" spans="1:105" ht="11.45" customHeight="1" x14ac:dyDescent="0.25">
      <c r="A19" s="92" t="s">
        <v>27</v>
      </c>
      <c r="B19" s="102">
        <v>0.31750297838205971</v>
      </c>
      <c r="C19" s="102">
        <v>0.29054984392439265</v>
      </c>
      <c r="D19" s="102">
        <v>0.28622250582339104</v>
      </c>
      <c r="E19" s="102">
        <v>0.27707327669555909</v>
      </c>
      <c r="F19" s="102">
        <v>0.28387337942570445</v>
      </c>
      <c r="G19" s="102">
        <v>0.33605062222222221</v>
      </c>
      <c r="H19" s="102">
        <v>0.48219384373987229</v>
      </c>
      <c r="I19" s="102">
        <v>0.60345353310276806</v>
      </c>
      <c r="J19" s="102">
        <v>0.76382591162911773</v>
      </c>
      <c r="K19" s="102">
        <v>0.85972166129085759</v>
      </c>
      <c r="L19" s="102">
        <v>0.89062373513513515</v>
      </c>
      <c r="M19" s="102">
        <v>0.5176195373379856</v>
      </c>
      <c r="N19" s="102">
        <v>0.41961597667910444</v>
      </c>
      <c r="O19" s="102">
        <v>0.3666891606897128</v>
      </c>
      <c r="P19" s="102">
        <v>0.31296782095531844</v>
      </c>
      <c r="Q19" s="102">
        <v>0.29132450691088874</v>
      </c>
      <c r="R19" s="102">
        <v>0.22957973429902162</v>
      </c>
      <c r="S19" s="102">
        <v>0.27437287325730242</v>
      </c>
      <c r="T19" s="102">
        <v>0.27314408866995071</v>
      </c>
      <c r="U19" s="102">
        <v>0.30895467999999998</v>
      </c>
      <c r="V19" s="102">
        <v>0.27670841059602652</v>
      </c>
      <c r="W19" s="102">
        <v>0.32756933593749998</v>
      </c>
      <c r="X19" s="102">
        <v>0.38188126902654868</v>
      </c>
      <c r="Y19" s="102">
        <v>0.44147311583924342</v>
      </c>
      <c r="DA19" s="175" t="s">
        <v>204</v>
      </c>
    </row>
    <row r="20" spans="1:105" ht="11.45" customHeight="1" x14ac:dyDescent="0.25">
      <c r="A20" s="92" t="s">
        <v>181</v>
      </c>
      <c r="B20" s="102">
        <v>2.7152634770428916</v>
      </c>
      <c r="C20" s="102">
        <v>2.4508296268934839</v>
      </c>
      <c r="D20" s="102">
        <v>2.4789708749478012</v>
      </c>
      <c r="E20" s="102">
        <v>2.1640987491883488</v>
      </c>
      <c r="F20" s="102">
        <v>2.3050940855955928</v>
      </c>
      <c r="G20" s="102">
        <v>2.3175991294247789</v>
      </c>
      <c r="H20" s="102">
        <v>3.0503760982693997</v>
      </c>
      <c r="I20" s="102">
        <v>3.069085334300095</v>
      </c>
      <c r="J20" s="102">
        <v>2.9333276102122436</v>
      </c>
      <c r="K20" s="102">
        <v>2.5727546243320187</v>
      </c>
      <c r="L20" s="102">
        <v>2.6510526066081566</v>
      </c>
      <c r="M20" s="102">
        <v>2.1194634178664162</v>
      </c>
      <c r="N20" s="102">
        <v>1.9071069257099968</v>
      </c>
      <c r="O20" s="102">
        <v>1.6778850685222182</v>
      </c>
      <c r="P20" s="102">
        <v>1.5635872261752246</v>
      </c>
      <c r="Q20" s="102">
        <v>1.6133580445035662</v>
      </c>
      <c r="R20" s="102">
        <v>1.4724698335678625</v>
      </c>
      <c r="S20" s="102">
        <v>1.7111560994680968</v>
      </c>
      <c r="T20" s="102">
        <v>1.8225645947922366</v>
      </c>
      <c r="U20" s="102">
        <v>1.7724604364912282</v>
      </c>
      <c r="V20" s="102">
        <v>1.7504824093654696</v>
      </c>
      <c r="W20" s="102">
        <v>2.0974130381899756</v>
      </c>
      <c r="X20" s="102">
        <v>2.0744767246146525</v>
      </c>
      <c r="Y20" s="102">
        <v>2.1466851084937937</v>
      </c>
      <c r="DA20" s="175" t="s">
        <v>205</v>
      </c>
    </row>
    <row r="21" spans="1:105" ht="11.45" customHeight="1" x14ac:dyDescent="0.25">
      <c r="A21" s="85" t="s">
        <v>182</v>
      </c>
      <c r="B21" s="86">
        <v>1.236248381224806</v>
      </c>
      <c r="C21" s="86">
        <v>1.1974133535423515</v>
      </c>
      <c r="D21" s="86">
        <v>1.223303371997321</v>
      </c>
      <c r="E21" s="86">
        <v>1.1585783258598965</v>
      </c>
      <c r="F21" s="86">
        <v>1.2750834089072605</v>
      </c>
      <c r="G21" s="86">
        <v>1.6531933980582527</v>
      </c>
      <c r="H21" s="86">
        <v>2.1588393981783316</v>
      </c>
      <c r="I21" s="86">
        <v>2.6809443054392088</v>
      </c>
      <c r="J21" s="86">
        <v>3.2633878120302517</v>
      </c>
      <c r="K21" s="86">
        <v>2.7115624590477871</v>
      </c>
      <c r="L21" s="86">
        <v>3.3239154095563137</v>
      </c>
      <c r="M21" s="86">
        <v>3.1797106374906186</v>
      </c>
      <c r="N21" s="86">
        <v>3.3762640239043824</v>
      </c>
      <c r="O21" s="86">
        <v>3.2238477799772918</v>
      </c>
      <c r="P21" s="86">
        <v>2.9648061211598029</v>
      </c>
      <c r="Q21" s="86">
        <v>2.6642112953176507</v>
      </c>
      <c r="R21" s="86">
        <v>2.2695001648034427</v>
      </c>
      <c r="S21" s="86">
        <v>3.1313311160411019</v>
      </c>
      <c r="T21" s="86">
        <v>3.1379384516129036</v>
      </c>
      <c r="U21" s="86">
        <v>3.1443989999999995</v>
      </c>
      <c r="V21" s="86">
        <v>2.565162316770186</v>
      </c>
      <c r="W21" s="86">
        <v>3.4997571584158416</v>
      </c>
      <c r="X21" s="86">
        <v>4.6959605066666672</v>
      </c>
      <c r="Y21" s="86">
        <v>2.1537629065155808</v>
      </c>
      <c r="DA21" s="178" t="s">
        <v>206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DA22" s="181"/>
    </row>
    <row r="23" spans="1:105" ht="11.45" customHeight="1" x14ac:dyDescent="0.25">
      <c r="A23" s="53" t="s">
        <v>138</v>
      </c>
      <c r="B23" s="54">
        <f t="shared" ref="B23:C23" si="15">SUM(B24,B28)</f>
        <v>118927</v>
      </c>
      <c r="C23" s="54">
        <f t="shared" si="15"/>
        <v>116539</v>
      </c>
      <c r="D23" s="54">
        <f t="shared" ref="D23:V23" si="16">SUM(D24,D28)</f>
        <v>116616</v>
      </c>
      <c r="E23" s="54">
        <f t="shared" si="16"/>
        <v>117412</v>
      </c>
      <c r="F23" s="54">
        <f t="shared" si="16"/>
        <v>123320</v>
      </c>
      <c r="G23" s="54">
        <f t="shared" si="16"/>
        <v>132511</v>
      </c>
      <c r="H23" s="54">
        <f t="shared" si="16"/>
        <v>136776</v>
      </c>
      <c r="I23" s="54">
        <f t="shared" si="16"/>
        <v>144768</v>
      </c>
      <c r="J23" s="54">
        <f t="shared" si="16"/>
        <v>144890</v>
      </c>
      <c r="K23" s="54">
        <f t="shared" si="16"/>
        <v>133607</v>
      </c>
      <c r="L23" s="54">
        <f t="shared" si="16"/>
        <v>138631</v>
      </c>
      <c r="M23" s="54">
        <f t="shared" si="16"/>
        <v>141488</v>
      </c>
      <c r="N23" s="54">
        <f t="shared" si="16"/>
        <v>140454</v>
      </c>
      <c r="O23" s="54">
        <f t="shared" si="16"/>
        <v>143095</v>
      </c>
      <c r="P23" s="54">
        <f t="shared" si="16"/>
        <v>150646</v>
      </c>
      <c r="Q23" s="54">
        <f t="shared" si="16"/>
        <v>160404</v>
      </c>
      <c r="R23" s="54">
        <f t="shared" si="16"/>
        <v>189588</v>
      </c>
      <c r="S23" s="54">
        <f t="shared" si="16"/>
        <v>204679</v>
      </c>
      <c r="T23" s="54">
        <f t="shared" si="16"/>
        <v>219514</v>
      </c>
      <c r="U23" s="54">
        <f t="shared" si="16"/>
        <v>228900</v>
      </c>
      <c r="V23" s="54">
        <f t="shared" si="16"/>
        <v>98483</v>
      </c>
      <c r="W23" s="54">
        <f t="shared" ref="W23:Y23" si="17">SUM(W24,W28)</f>
        <v>129747</v>
      </c>
      <c r="X23" s="54">
        <f t="shared" si="17"/>
        <v>215028</v>
      </c>
      <c r="Y23" s="54">
        <f t="shared" si="17"/>
        <v>240697</v>
      </c>
      <c r="DA23" s="172" t="s">
        <v>207</v>
      </c>
    </row>
    <row r="24" spans="1:105" ht="11.45" customHeight="1" x14ac:dyDescent="0.25">
      <c r="A24" s="10" t="s">
        <v>33</v>
      </c>
      <c r="B24" s="11">
        <f t="shared" ref="B24:C24" si="18">SUM(B25:B27)</f>
        <v>113869</v>
      </c>
      <c r="C24" s="11">
        <f t="shared" si="18"/>
        <v>111918</v>
      </c>
      <c r="D24" s="11">
        <f t="shared" ref="D24:V24" si="19">SUM(D25:D27)</f>
        <v>112000</v>
      </c>
      <c r="E24" s="11">
        <f t="shared" si="19"/>
        <v>113139</v>
      </c>
      <c r="F24" s="11">
        <f t="shared" si="19"/>
        <v>118861</v>
      </c>
      <c r="G24" s="11">
        <f t="shared" si="19"/>
        <v>127715</v>
      </c>
      <c r="H24" s="11">
        <f t="shared" si="19"/>
        <v>131716</v>
      </c>
      <c r="I24" s="11">
        <f t="shared" si="19"/>
        <v>139817</v>
      </c>
      <c r="J24" s="11">
        <f t="shared" si="19"/>
        <v>139909</v>
      </c>
      <c r="K24" s="11">
        <f t="shared" si="19"/>
        <v>129159</v>
      </c>
      <c r="L24" s="11">
        <f t="shared" si="19"/>
        <v>134333</v>
      </c>
      <c r="M24" s="11">
        <f t="shared" si="19"/>
        <v>138135</v>
      </c>
      <c r="N24" s="11">
        <f t="shared" si="19"/>
        <v>137271</v>
      </c>
      <c r="O24" s="11">
        <f t="shared" si="19"/>
        <v>140228</v>
      </c>
      <c r="P24" s="11">
        <f t="shared" si="19"/>
        <v>148078</v>
      </c>
      <c r="Q24" s="11">
        <f t="shared" si="19"/>
        <v>157923</v>
      </c>
      <c r="R24" s="11">
        <f t="shared" si="19"/>
        <v>187368</v>
      </c>
      <c r="S24" s="11">
        <f t="shared" si="19"/>
        <v>201973</v>
      </c>
      <c r="T24" s="11">
        <f t="shared" si="19"/>
        <v>216699</v>
      </c>
      <c r="U24" s="11">
        <f t="shared" si="19"/>
        <v>225767</v>
      </c>
      <c r="V24" s="11">
        <f t="shared" si="19"/>
        <v>95588</v>
      </c>
      <c r="W24" s="11">
        <f t="shared" ref="W24:Y24" si="20">SUM(W25:W27)</f>
        <v>126193</v>
      </c>
      <c r="X24" s="11">
        <f t="shared" si="20"/>
        <v>211149</v>
      </c>
      <c r="Y24" s="11">
        <f t="shared" si="20"/>
        <v>236954</v>
      </c>
      <c r="DA24" s="189" t="s">
        <v>208</v>
      </c>
    </row>
    <row r="25" spans="1:105" ht="11.45" customHeight="1" x14ac:dyDescent="0.25">
      <c r="A25" s="83" t="s">
        <v>27</v>
      </c>
      <c r="B25" s="84">
        <v>34459</v>
      </c>
      <c r="C25" s="84">
        <v>35452</v>
      </c>
      <c r="D25" s="84">
        <v>37728</v>
      </c>
      <c r="E25" s="84">
        <v>36761</v>
      </c>
      <c r="F25" s="84">
        <v>41504</v>
      </c>
      <c r="G25" s="84">
        <v>43480</v>
      </c>
      <c r="H25" s="84">
        <v>37197</v>
      </c>
      <c r="I25" s="84">
        <v>35149</v>
      </c>
      <c r="J25" s="84">
        <v>37585</v>
      </c>
      <c r="K25" s="84">
        <v>35418</v>
      </c>
      <c r="L25" s="84">
        <v>35352</v>
      </c>
      <c r="M25" s="84">
        <v>34020</v>
      </c>
      <c r="N25" s="84">
        <v>32982</v>
      </c>
      <c r="O25" s="84">
        <v>32511</v>
      </c>
      <c r="P25" s="84">
        <v>33026</v>
      </c>
      <c r="Q25" s="84">
        <v>35294</v>
      </c>
      <c r="R25" s="84">
        <v>53834</v>
      </c>
      <c r="S25" s="84">
        <v>53347</v>
      </c>
      <c r="T25" s="84">
        <v>56312</v>
      </c>
      <c r="U25" s="84">
        <v>57936</v>
      </c>
      <c r="V25" s="84">
        <v>30094</v>
      </c>
      <c r="W25" s="84">
        <v>40382</v>
      </c>
      <c r="X25" s="84">
        <v>55281</v>
      </c>
      <c r="Y25" s="84">
        <v>60428</v>
      </c>
      <c r="DA25" s="171" t="s">
        <v>209</v>
      </c>
    </row>
    <row r="26" spans="1:105" ht="11.45" customHeight="1" x14ac:dyDescent="0.25">
      <c r="A26" s="83" t="s">
        <v>181</v>
      </c>
      <c r="B26" s="84">
        <v>71629</v>
      </c>
      <c r="C26" s="84">
        <v>68974</v>
      </c>
      <c r="D26" s="84">
        <v>66995</v>
      </c>
      <c r="E26" s="84">
        <v>68214</v>
      </c>
      <c r="F26" s="84">
        <v>69452</v>
      </c>
      <c r="G26" s="84">
        <v>74942</v>
      </c>
      <c r="H26" s="84">
        <v>84718</v>
      </c>
      <c r="I26" s="84">
        <v>93944</v>
      </c>
      <c r="J26" s="84">
        <v>91978</v>
      </c>
      <c r="K26" s="84">
        <v>83700</v>
      </c>
      <c r="L26" s="84">
        <v>87545</v>
      </c>
      <c r="M26" s="84">
        <v>92149</v>
      </c>
      <c r="N26" s="84">
        <v>91767</v>
      </c>
      <c r="O26" s="84">
        <v>95052</v>
      </c>
      <c r="P26" s="84">
        <v>101572</v>
      </c>
      <c r="Q26" s="84">
        <v>109052</v>
      </c>
      <c r="R26" s="84">
        <v>118595</v>
      </c>
      <c r="S26" s="84">
        <v>131109</v>
      </c>
      <c r="T26" s="84">
        <v>140100</v>
      </c>
      <c r="U26" s="84">
        <v>144473</v>
      </c>
      <c r="V26" s="84">
        <v>58158</v>
      </c>
      <c r="W26" s="84">
        <v>76165</v>
      </c>
      <c r="X26" s="84">
        <v>135612</v>
      </c>
      <c r="Y26" s="84">
        <v>152234</v>
      </c>
      <c r="DA26" s="171" t="s">
        <v>210</v>
      </c>
    </row>
    <row r="27" spans="1:105" ht="11.45" customHeight="1" x14ac:dyDescent="0.25">
      <c r="A27" s="83" t="s">
        <v>182</v>
      </c>
      <c r="B27" s="84">
        <v>7781</v>
      </c>
      <c r="C27" s="84">
        <v>7492</v>
      </c>
      <c r="D27" s="84">
        <v>7277</v>
      </c>
      <c r="E27" s="84">
        <v>8164</v>
      </c>
      <c r="F27" s="84">
        <v>7905</v>
      </c>
      <c r="G27" s="84">
        <v>9293</v>
      </c>
      <c r="H27" s="84">
        <v>9801</v>
      </c>
      <c r="I27" s="84">
        <v>10724</v>
      </c>
      <c r="J27" s="84">
        <v>10346</v>
      </c>
      <c r="K27" s="84">
        <v>10041</v>
      </c>
      <c r="L27" s="84">
        <v>11436</v>
      </c>
      <c r="M27" s="84">
        <v>11966</v>
      </c>
      <c r="N27" s="84">
        <v>12522</v>
      </c>
      <c r="O27" s="84">
        <v>12665</v>
      </c>
      <c r="P27" s="84">
        <v>13480</v>
      </c>
      <c r="Q27" s="84">
        <v>13577</v>
      </c>
      <c r="R27" s="84">
        <v>14939</v>
      </c>
      <c r="S27" s="84">
        <v>17517</v>
      </c>
      <c r="T27" s="84">
        <v>20287</v>
      </c>
      <c r="U27" s="84">
        <v>23358</v>
      </c>
      <c r="V27" s="84">
        <v>7336</v>
      </c>
      <c r="W27" s="84">
        <v>9646</v>
      </c>
      <c r="X27" s="84">
        <v>20256</v>
      </c>
      <c r="Y27" s="84">
        <v>24292</v>
      </c>
      <c r="DA27" s="171" t="s">
        <v>211</v>
      </c>
    </row>
    <row r="28" spans="1:105" ht="11.45" customHeight="1" x14ac:dyDescent="0.25">
      <c r="A28" s="12" t="s">
        <v>34</v>
      </c>
      <c r="B28" s="13">
        <f t="shared" ref="B28:C28" si="21">SUM(B29:B31)</f>
        <v>5058</v>
      </c>
      <c r="C28" s="13">
        <f t="shared" si="21"/>
        <v>4621</v>
      </c>
      <c r="D28" s="13">
        <f t="shared" ref="D28:V28" si="22">SUM(D29:D31)</f>
        <v>4616</v>
      </c>
      <c r="E28" s="13">
        <f t="shared" si="22"/>
        <v>4273</v>
      </c>
      <c r="F28" s="13">
        <f t="shared" si="22"/>
        <v>4459</v>
      </c>
      <c r="G28" s="13">
        <f t="shared" si="22"/>
        <v>4796</v>
      </c>
      <c r="H28" s="13">
        <f t="shared" si="22"/>
        <v>5060</v>
      </c>
      <c r="I28" s="13">
        <f t="shared" si="22"/>
        <v>4951</v>
      </c>
      <c r="J28" s="13">
        <f t="shared" si="22"/>
        <v>4981</v>
      </c>
      <c r="K28" s="13">
        <f t="shared" si="22"/>
        <v>4448</v>
      </c>
      <c r="L28" s="13">
        <f t="shared" si="22"/>
        <v>4298</v>
      </c>
      <c r="M28" s="13">
        <f t="shared" si="22"/>
        <v>3353</v>
      </c>
      <c r="N28" s="13">
        <f t="shared" si="22"/>
        <v>3183</v>
      </c>
      <c r="O28" s="13">
        <f t="shared" si="22"/>
        <v>2867</v>
      </c>
      <c r="P28" s="13">
        <f t="shared" si="22"/>
        <v>2568</v>
      </c>
      <c r="Q28" s="13">
        <f t="shared" si="22"/>
        <v>2481</v>
      </c>
      <c r="R28" s="13">
        <f t="shared" si="22"/>
        <v>2220</v>
      </c>
      <c r="S28" s="13">
        <f t="shared" si="22"/>
        <v>2706</v>
      </c>
      <c r="T28" s="13">
        <f t="shared" si="22"/>
        <v>2815</v>
      </c>
      <c r="U28" s="13">
        <f t="shared" si="22"/>
        <v>3133</v>
      </c>
      <c r="V28" s="13">
        <f t="shared" si="22"/>
        <v>2895</v>
      </c>
      <c r="W28" s="13">
        <f t="shared" ref="W28:Y28" si="23">SUM(W29:W31)</f>
        <v>3554</v>
      </c>
      <c r="X28" s="13">
        <f t="shared" si="23"/>
        <v>3879</v>
      </c>
      <c r="Y28" s="13">
        <f t="shared" si="23"/>
        <v>3743</v>
      </c>
      <c r="DA28" s="193" t="s">
        <v>212</v>
      </c>
    </row>
    <row r="29" spans="1:105" ht="11.45" customHeight="1" x14ac:dyDescent="0.25">
      <c r="A29" s="92" t="s">
        <v>27</v>
      </c>
      <c r="B29" s="102">
        <v>2568</v>
      </c>
      <c r="C29" s="102">
        <v>2350</v>
      </c>
      <c r="D29" s="102">
        <v>2315</v>
      </c>
      <c r="E29" s="102">
        <v>2241</v>
      </c>
      <c r="F29" s="102">
        <v>2296</v>
      </c>
      <c r="G29" s="102">
        <v>2506</v>
      </c>
      <c r="H29" s="102">
        <v>2248</v>
      </c>
      <c r="I29" s="102">
        <v>2128</v>
      </c>
      <c r="J29" s="102">
        <v>2229</v>
      </c>
      <c r="K29" s="102">
        <v>2151</v>
      </c>
      <c r="L29" s="102">
        <v>1878</v>
      </c>
      <c r="M29" s="102">
        <v>1297</v>
      </c>
      <c r="N29" s="102">
        <v>1231</v>
      </c>
      <c r="O29" s="102">
        <v>1087</v>
      </c>
      <c r="P29" s="102">
        <v>897</v>
      </c>
      <c r="Q29" s="102">
        <v>820</v>
      </c>
      <c r="R29" s="102">
        <v>716</v>
      </c>
      <c r="S29" s="102">
        <v>826</v>
      </c>
      <c r="T29" s="102">
        <v>846</v>
      </c>
      <c r="U29" s="102">
        <v>943</v>
      </c>
      <c r="V29" s="102">
        <v>872</v>
      </c>
      <c r="W29" s="102">
        <v>1018</v>
      </c>
      <c r="X29" s="102">
        <v>1159</v>
      </c>
      <c r="Y29" s="102">
        <v>1144</v>
      </c>
      <c r="DA29" s="175" t="s">
        <v>213</v>
      </c>
    </row>
    <row r="30" spans="1:105" ht="11.45" customHeight="1" x14ac:dyDescent="0.25">
      <c r="A30" s="92" t="s">
        <v>181</v>
      </c>
      <c r="B30" s="102">
        <v>2108</v>
      </c>
      <c r="C30" s="102">
        <v>1901</v>
      </c>
      <c r="D30" s="102">
        <v>1923</v>
      </c>
      <c r="E30" s="102">
        <v>1674</v>
      </c>
      <c r="F30" s="102">
        <v>1769</v>
      </c>
      <c r="G30" s="102">
        <v>1786</v>
      </c>
      <c r="H30" s="102">
        <v>2230</v>
      </c>
      <c r="I30" s="102">
        <v>2187</v>
      </c>
      <c r="J30" s="102">
        <v>2019</v>
      </c>
      <c r="K30" s="102">
        <v>1711</v>
      </c>
      <c r="L30" s="102">
        <v>1711</v>
      </c>
      <c r="M30" s="102">
        <v>1401</v>
      </c>
      <c r="N30" s="102">
        <v>1267</v>
      </c>
      <c r="O30" s="102">
        <v>1118</v>
      </c>
      <c r="P30" s="102">
        <v>1060</v>
      </c>
      <c r="Q30" s="102">
        <v>1110</v>
      </c>
      <c r="R30" s="102">
        <v>1012</v>
      </c>
      <c r="S30" s="102">
        <v>1180</v>
      </c>
      <c r="T30" s="102">
        <v>1273</v>
      </c>
      <c r="U30" s="102">
        <v>1274</v>
      </c>
      <c r="V30" s="102">
        <v>1270</v>
      </c>
      <c r="W30" s="102">
        <v>1485</v>
      </c>
      <c r="X30" s="102">
        <v>1426</v>
      </c>
      <c r="Y30" s="102">
        <v>1405</v>
      </c>
      <c r="DA30" s="175" t="s">
        <v>214</v>
      </c>
    </row>
    <row r="31" spans="1:105" ht="11.45" customHeight="1" x14ac:dyDescent="0.25">
      <c r="A31" s="85" t="s">
        <v>182</v>
      </c>
      <c r="B31" s="86">
        <v>382</v>
      </c>
      <c r="C31" s="86">
        <v>370</v>
      </c>
      <c r="D31" s="86">
        <v>378</v>
      </c>
      <c r="E31" s="86">
        <v>358</v>
      </c>
      <c r="F31" s="86">
        <v>394</v>
      </c>
      <c r="G31" s="86">
        <v>504</v>
      </c>
      <c r="H31" s="86">
        <v>582</v>
      </c>
      <c r="I31" s="86">
        <v>636</v>
      </c>
      <c r="J31" s="86">
        <v>733</v>
      </c>
      <c r="K31" s="86">
        <v>586</v>
      </c>
      <c r="L31" s="86">
        <v>709</v>
      </c>
      <c r="M31" s="86">
        <v>655</v>
      </c>
      <c r="N31" s="86">
        <v>685</v>
      </c>
      <c r="O31" s="86">
        <v>662</v>
      </c>
      <c r="P31" s="86">
        <v>611</v>
      </c>
      <c r="Q31" s="86">
        <v>551</v>
      </c>
      <c r="R31" s="86">
        <v>492</v>
      </c>
      <c r="S31" s="86">
        <v>700</v>
      </c>
      <c r="T31" s="86">
        <v>696</v>
      </c>
      <c r="U31" s="86">
        <v>916</v>
      </c>
      <c r="V31" s="86">
        <v>753</v>
      </c>
      <c r="W31" s="86">
        <v>1051</v>
      </c>
      <c r="X31" s="86">
        <v>1294</v>
      </c>
      <c r="Y31" s="86">
        <v>1194</v>
      </c>
      <c r="DA31" s="178" t="s">
        <v>215</v>
      </c>
    </row>
    <row r="32" spans="1:105" x14ac:dyDescent="0.25">
      <c r="A32" s="50"/>
      <c r="B32" s="50"/>
      <c r="C32" s="50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DA32" s="181"/>
    </row>
    <row r="33" spans="1:105" ht="11.45" customHeight="1" x14ac:dyDescent="0.25">
      <c r="A33" s="53" t="s">
        <v>140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DA33" s="172"/>
    </row>
    <row r="34" spans="1:105" ht="11.45" customHeight="1" x14ac:dyDescent="0.25">
      <c r="A34" s="10" t="s">
        <v>79</v>
      </c>
      <c r="B34" s="11">
        <f t="shared" ref="B34:C34" si="24">SUM(B35:B37)</f>
        <v>10080469</v>
      </c>
      <c r="C34" s="11">
        <f t="shared" si="24"/>
        <v>9949629</v>
      </c>
      <c r="D34" s="11">
        <f t="shared" ref="D34:V34" si="25">SUM(D35:D37)</f>
        <v>10167890</v>
      </c>
      <c r="E34" s="11">
        <f t="shared" si="25"/>
        <v>10292388</v>
      </c>
      <c r="F34" s="11">
        <f t="shared" si="25"/>
        <v>10772720</v>
      </c>
      <c r="G34" s="11">
        <f t="shared" si="25"/>
        <v>11396575</v>
      </c>
      <c r="H34" s="11">
        <f t="shared" si="25"/>
        <v>11732269</v>
      </c>
      <c r="I34" s="11">
        <f t="shared" si="25"/>
        <v>13041481</v>
      </c>
      <c r="J34" s="11">
        <f t="shared" si="25"/>
        <v>13485154</v>
      </c>
      <c r="K34" s="11">
        <f t="shared" si="25"/>
        <v>13231860</v>
      </c>
      <c r="L34" s="11">
        <f t="shared" si="25"/>
        <v>14009837</v>
      </c>
      <c r="M34" s="11">
        <f t="shared" si="25"/>
        <v>14772782</v>
      </c>
      <c r="N34" s="11">
        <f t="shared" si="25"/>
        <v>15190251</v>
      </c>
      <c r="O34" s="11">
        <f t="shared" si="25"/>
        <v>16007129</v>
      </c>
      <c r="P34" s="11">
        <f t="shared" si="25"/>
        <v>17360965</v>
      </c>
      <c r="Q34" s="11">
        <f t="shared" si="25"/>
        <v>19296333</v>
      </c>
      <c r="R34" s="11">
        <f t="shared" si="25"/>
        <v>22168327</v>
      </c>
      <c r="S34" s="11">
        <f t="shared" si="25"/>
        <v>25905112</v>
      </c>
      <c r="T34" s="11">
        <f t="shared" si="25"/>
        <v>27853612</v>
      </c>
      <c r="U34" s="11">
        <f t="shared" si="25"/>
        <v>29664209</v>
      </c>
      <c r="V34" s="11">
        <f t="shared" si="25"/>
        <v>9092064</v>
      </c>
      <c r="W34" s="11">
        <f t="shared" ref="W34:Y34" si="26">SUM(W35:W37)</f>
        <v>12526920</v>
      </c>
      <c r="X34" s="11">
        <f t="shared" si="26"/>
        <v>28136729</v>
      </c>
      <c r="Y34" s="11">
        <f t="shared" si="26"/>
        <v>33543149</v>
      </c>
      <c r="DA34" s="189" t="s">
        <v>216</v>
      </c>
    </row>
    <row r="35" spans="1:105" ht="11.45" customHeight="1" x14ac:dyDescent="0.25">
      <c r="A35" s="83" t="s">
        <v>27</v>
      </c>
      <c r="B35" s="84">
        <v>2692000</v>
      </c>
      <c r="C35" s="84">
        <v>2771016</v>
      </c>
      <c r="D35" s="84">
        <v>2816761</v>
      </c>
      <c r="E35" s="84">
        <v>2749249</v>
      </c>
      <c r="F35" s="84">
        <v>2887728</v>
      </c>
      <c r="G35" s="84">
        <v>2910035</v>
      </c>
      <c r="H35" s="84">
        <v>2349173</v>
      </c>
      <c r="I35" s="84">
        <v>2352457</v>
      </c>
      <c r="J35" s="84">
        <v>2504187</v>
      </c>
      <c r="K35" s="84">
        <v>2784067</v>
      </c>
      <c r="L35" s="84">
        <v>2792103</v>
      </c>
      <c r="M35" s="84">
        <v>2537076</v>
      </c>
      <c r="N35" s="84">
        <v>2601484</v>
      </c>
      <c r="O35" s="84">
        <v>2686720</v>
      </c>
      <c r="P35" s="84">
        <v>2707012</v>
      </c>
      <c r="Q35" s="84">
        <v>3308494</v>
      </c>
      <c r="R35" s="84">
        <v>4118214</v>
      </c>
      <c r="S35" s="84">
        <v>4737288</v>
      </c>
      <c r="T35" s="84">
        <v>5066801</v>
      </c>
      <c r="U35" s="84">
        <v>4982478</v>
      </c>
      <c r="V35" s="84">
        <v>1760850</v>
      </c>
      <c r="W35" s="84">
        <v>3013027</v>
      </c>
      <c r="X35" s="84">
        <v>5438541</v>
      </c>
      <c r="Y35" s="84">
        <v>6243062</v>
      </c>
      <c r="DA35" s="171" t="s">
        <v>217</v>
      </c>
    </row>
    <row r="36" spans="1:105" ht="11.45" customHeight="1" x14ac:dyDescent="0.25">
      <c r="A36" s="83" t="s">
        <v>181</v>
      </c>
      <c r="B36" s="84">
        <v>6526513</v>
      </c>
      <c r="C36" s="84">
        <v>6335972</v>
      </c>
      <c r="D36" s="84">
        <v>6423524</v>
      </c>
      <c r="E36" s="84">
        <v>6525261</v>
      </c>
      <c r="F36" s="84">
        <v>6802674</v>
      </c>
      <c r="G36" s="84">
        <v>7250122</v>
      </c>
      <c r="H36" s="84">
        <v>8112829</v>
      </c>
      <c r="I36" s="84">
        <v>9276606</v>
      </c>
      <c r="J36" s="84">
        <v>9459392</v>
      </c>
      <c r="K36" s="84">
        <v>8971948</v>
      </c>
      <c r="L36" s="84">
        <v>9503453</v>
      </c>
      <c r="M36" s="84">
        <v>10417068</v>
      </c>
      <c r="N36" s="84">
        <v>10648753</v>
      </c>
      <c r="O36" s="84">
        <v>11287242</v>
      </c>
      <c r="P36" s="84">
        <v>12480810</v>
      </c>
      <c r="Q36" s="84">
        <v>13821125</v>
      </c>
      <c r="R36" s="84">
        <v>15680193</v>
      </c>
      <c r="S36" s="84">
        <v>18226705</v>
      </c>
      <c r="T36" s="84">
        <v>19362857</v>
      </c>
      <c r="U36" s="84">
        <v>20639325</v>
      </c>
      <c r="V36" s="84">
        <v>6318660</v>
      </c>
      <c r="W36" s="84">
        <v>8256880</v>
      </c>
      <c r="X36" s="84">
        <v>19181938</v>
      </c>
      <c r="Y36" s="84">
        <v>22849005</v>
      </c>
      <c r="DA36" s="171" t="s">
        <v>218</v>
      </c>
    </row>
    <row r="37" spans="1:105" ht="11.45" customHeight="1" x14ac:dyDescent="0.25">
      <c r="A37" s="83" t="s">
        <v>182</v>
      </c>
      <c r="B37" s="84">
        <v>861956</v>
      </c>
      <c r="C37" s="84">
        <v>842641</v>
      </c>
      <c r="D37" s="84">
        <v>927605</v>
      </c>
      <c r="E37" s="84">
        <v>1017878</v>
      </c>
      <c r="F37" s="84">
        <v>1082318</v>
      </c>
      <c r="G37" s="84">
        <v>1236418</v>
      </c>
      <c r="H37" s="84">
        <v>1270267</v>
      </c>
      <c r="I37" s="84">
        <v>1412418</v>
      </c>
      <c r="J37" s="84">
        <v>1521575</v>
      </c>
      <c r="K37" s="84">
        <v>1475845</v>
      </c>
      <c r="L37" s="84">
        <v>1714281</v>
      </c>
      <c r="M37" s="84">
        <v>1818638</v>
      </c>
      <c r="N37" s="84">
        <v>1940014</v>
      </c>
      <c r="O37" s="84">
        <v>2033167</v>
      </c>
      <c r="P37" s="84">
        <v>2173143</v>
      </c>
      <c r="Q37" s="84">
        <v>2166714</v>
      </c>
      <c r="R37" s="84">
        <v>2369920</v>
      </c>
      <c r="S37" s="84">
        <v>2941119</v>
      </c>
      <c r="T37" s="84">
        <v>3423954</v>
      </c>
      <c r="U37" s="84">
        <v>4042406</v>
      </c>
      <c r="V37" s="84">
        <v>1012554</v>
      </c>
      <c r="W37" s="84">
        <v>1257013</v>
      </c>
      <c r="X37" s="84">
        <v>3516250</v>
      </c>
      <c r="Y37" s="84">
        <v>4451082</v>
      </c>
      <c r="DA37" s="171" t="s">
        <v>219</v>
      </c>
    </row>
    <row r="38" spans="1:105" ht="11.45" customHeight="1" x14ac:dyDescent="0.25">
      <c r="A38" s="12" t="s">
        <v>80</v>
      </c>
      <c r="B38" s="13">
        <f t="shared" ref="B38:C38" si="27">SUM(B39:B41)</f>
        <v>79738.372816077783</v>
      </c>
      <c r="C38" s="13">
        <f t="shared" si="27"/>
        <v>74382.673654729617</v>
      </c>
      <c r="D38" s="13">
        <f t="shared" ref="D38:V38" si="28">SUM(D39:D41)</f>
        <v>75146.829594230236</v>
      </c>
      <c r="E38" s="13">
        <f t="shared" si="28"/>
        <v>70655.572243767441</v>
      </c>
      <c r="F38" s="13">
        <f t="shared" si="28"/>
        <v>70879.347054584417</v>
      </c>
      <c r="G38" s="13">
        <f t="shared" si="28"/>
        <v>74562.379481959229</v>
      </c>
      <c r="H38" s="13">
        <f t="shared" si="28"/>
        <v>79225.702275866439</v>
      </c>
      <c r="I38" s="13">
        <f t="shared" si="28"/>
        <v>79336.869567611924</v>
      </c>
      <c r="J38" s="13">
        <f t="shared" si="28"/>
        <v>81199.273370994313</v>
      </c>
      <c r="K38" s="13">
        <f t="shared" si="28"/>
        <v>72736.307817704059</v>
      </c>
      <c r="L38" s="13">
        <f t="shared" si="28"/>
        <v>80788.686261000694</v>
      </c>
      <c r="M38" s="13">
        <f t="shared" si="28"/>
        <v>72047.064299748919</v>
      </c>
      <c r="N38" s="13">
        <f t="shared" si="28"/>
        <v>75366.438184956438</v>
      </c>
      <c r="O38" s="13">
        <f t="shared" si="28"/>
        <v>70703.082187384163</v>
      </c>
      <c r="P38" s="13">
        <f t="shared" si="28"/>
        <v>71706.328145629348</v>
      </c>
      <c r="Q38" s="13">
        <f t="shared" si="28"/>
        <v>67878.888625805179</v>
      </c>
      <c r="R38" s="13">
        <f t="shared" si="28"/>
        <v>68158.751549879104</v>
      </c>
      <c r="S38" s="13">
        <f t="shared" si="28"/>
        <v>85788.529777904841</v>
      </c>
      <c r="T38" s="13">
        <f t="shared" si="28"/>
        <v>87782.013712710017</v>
      </c>
      <c r="U38" s="13">
        <f t="shared" si="28"/>
        <v>109071.52030550496</v>
      </c>
      <c r="V38" s="13">
        <f t="shared" si="28"/>
        <v>73152.363146119314</v>
      </c>
      <c r="W38" s="13">
        <f t="shared" ref="W38:Y38" si="29">SUM(W39:W41)</f>
        <v>97705.114752579713</v>
      </c>
      <c r="X38" s="13">
        <f t="shared" si="29"/>
        <v>121073.7143357887</v>
      </c>
      <c r="Y38" s="13">
        <f t="shared" si="29"/>
        <v>117471.72388787701</v>
      </c>
      <c r="DA38" s="193" t="s">
        <v>220</v>
      </c>
    </row>
    <row r="39" spans="1:105" ht="11.45" customHeight="1" x14ac:dyDescent="0.25">
      <c r="A39" s="92" t="s">
        <v>27</v>
      </c>
      <c r="B39" s="102">
        <v>25739.794753723043</v>
      </c>
      <c r="C39" s="102">
        <v>23375.084393066049</v>
      </c>
      <c r="D39" s="102">
        <v>23679.252578406671</v>
      </c>
      <c r="E39" s="102">
        <v>24382.32740943108</v>
      </c>
      <c r="F39" s="102">
        <v>23523.188618371772</v>
      </c>
      <c r="G39" s="102">
        <v>25126.124719704887</v>
      </c>
      <c r="H39" s="102">
        <v>21680.376357403798</v>
      </c>
      <c r="I39" s="102">
        <v>20446.859378566471</v>
      </c>
      <c r="J39" s="102">
        <v>20605.442612211766</v>
      </c>
      <c r="K39" s="102">
        <v>20056.138742710384</v>
      </c>
      <c r="L39" s="102">
        <v>18728.717922675438</v>
      </c>
      <c r="M39" s="102">
        <v>14131.382073303383</v>
      </c>
      <c r="N39" s="102">
        <v>13776.528620475139</v>
      </c>
      <c r="O39" s="102">
        <v>12470.723328086691</v>
      </c>
      <c r="P39" s="102">
        <v>11541.786053641032</v>
      </c>
      <c r="Q39" s="102">
        <v>10857.044868949994</v>
      </c>
      <c r="R39" s="102">
        <v>10927.037246191387</v>
      </c>
      <c r="S39" s="102">
        <v>11594.898415598971</v>
      </c>
      <c r="T39" s="102">
        <v>12087.454007738526</v>
      </c>
      <c r="U39" s="102">
        <v>14902.614483169249</v>
      </c>
      <c r="V39" s="102">
        <v>12701.159237196907</v>
      </c>
      <c r="W39" s="102">
        <v>14999.097398743947</v>
      </c>
      <c r="X39" s="102">
        <v>17272.731990631361</v>
      </c>
      <c r="Y39" s="102">
        <v>16921.297224512924</v>
      </c>
      <c r="DA39" s="175" t="s">
        <v>221</v>
      </c>
    </row>
    <row r="40" spans="1:105" ht="11.45" customHeight="1" x14ac:dyDescent="0.25">
      <c r="A40" s="92" t="s">
        <v>181</v>
      </c>
      <c r="B40" s="102">
        <v>34081.738769529758</v>
      </c>
      <c r="C40" s="102">
        <v>31076.657914246218</v>
      </c>
      <c r="D40" s="102">
        <v>31470.171787151819</v>
      </c>
      <c r="E40" s="102">
        <v>28829.120237814761</v>
      </c>
      <c r="F40" s="102">
        <v>28420.660643358191</v>
      </c>
      <c r="G40" s="102">
        <v>27151.621946761392</v>
      </c>
      <c r="H40" s="102">
        <v>31259.800688253552</v>
      </c>
      <c r="I40" s="102">
        <v>30151.827308164586</v>
      </c>
      <c r="J40" s="102">
        <v>27672.513972099918</v>
      </c>
      <c r="K40" s="102">
        <v>23438.808069113144</v>
      </c>
      <c r="L40" s="102">
        <v>24817.669064403737</v>
      </c>
      <c r="M40" s="102">
        <v>21847.181358731501</v>
      </c>
      <c r="N40" s="102">
        <v>21118.701187434228</v>
      </c>
      <c r="O40" s="102">
        <v>18734.333362086927</v>
      </c>
      <c r="P40" s="102">
        <v>19556.377439384378</v>
      </c>
      <c r="Q40" s="102">
        <v>20510.143279927888</v>
      </c>
      <c r="R40" s="102">
        <v>21098.09443585933</v>
      </c>
      <c r="S40" s="102">
        <v>22865.47971839083</v>
      </c>
      <c r="T40" s="102">
        <v>24474.012102900564</v>
      </c>
      <c r="U40" s="102">
        <v>25101.110638863112</v>
      </c>
      <c r="V40" s="102">
        <v>22403.442765400694</v>
      </c>
      <c r="W40" s="102">
        <v>26386.067696872648</v>
      </c>
      <c r="X40" s="102">
        <v>25511.816109581101</v>
      </c>
      <c r="Y40" s="102">
        <v>25247.902326896496</v>
      </c>
      <c r="DA40" s="175" t="s">
        <v>222</v>
      </c>
    </row>
    <row r="41" spans="1:105" ht="11.45" customHeight="1" x14ac:dyDescent="0.25">
      <c r="A41" s="85" t="s">
        <v>182</v>
      </c>
      <c r="B41" s="86">
        <v>19916.839292824989</v>
      </c>
      <c r="C41" s="86">
        <v>19930.931347417354</v>
      </c>
      <c r="D41" s="86">
        <v>19997.405228671749</v>
      </c>
      <c r="E41" s="86">
        <v>17444.124596521597</v>
      </c>
      <c r="F41" s="86">
        <v>18935.497792854461</v>
      </c>
      <c r="G41" s="86">
        <v>22284.632815492951</v>
      </c>
      <c r="H41" s="86">
        <v>26285.525230209081</v>
      </c>
      <c r="I41" s="86">
        <v>28738.18288088086</v>
      </c>
      <c r="J41" s="86">
        <v>32921.316786682626</v>
      </c>
      <c r="K41" s="86">
        <v>29241.361005880532</v>
      </c>
      <c r="L41" s="86">
        <v>37242.299273921511</v>
      </c>
      <c r="M41" s="86">
        <v>36068.500867714036</v>
      </c>
      <c r="N41" s="86">
        <v>40471.208377047071</v>
      </c>
      <c r="O41" s="86">
        <v>39498.025497210554</v>
      </c>
      <c r="P41" s="86">
        <v>40608.164652603933</v>
      </c>
      <c r="Q41" s="86">
        <v>36511.700476927297</v>
      </c>
      <c r="R41" s="86">
        <v>36133.619867828384</v>
      </c>
      <c r="S41" s="86">
        <v>51328.151643915044</v>
      </c>
      <c r="T41" s="86">
        <v>51220.547602070925</v>
      </c>
      <c r="U41" s="86">
        <v>69067.795183472597</v>
      </c>
      <c r="V41" s="86">
        <v>38047.761143521719</v>
      </c>
      <c r="W41" s="86">
        <v>56319.949656963108</v>
      </c>
      <c r="X41" s="86">
        <v>78289.166235576238</v>
      </c>
      <c r="Y41" s="86">
        <v>75302.524336467599</v>
      </c>
      <c r="DA41" s="178" t="s">
        <v>223</v>
      </c>
    </row>
    <row r="42" spans="1:105" x14ac:dyDescent="0.25">
      <c r="A42" s="50"/>
      <c r="B42" s="50"/>
      <c r="C42" s="50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DA42" s="181"/>
    </row>
    <row r="43" spans="1:105" ht="11.45" customHeight="1" x14ac:dyDescent="0.25">
      <c r="A43" s="53" t="s">
        <v>81</v>
      </c>
      <c r="B43" s="54">
        <f t="shared" ref="B43:C43" si="30">SUM(B44,B48)</f>
        <v>108.25082323504502</v>
      </c>
      <c r="C43" s="54">
        <f t="shared" si="30"/>
        <v>105.21073808518577</v>
      </c>
      <c r="D43" s="54">
        <f t="shared" ref="D43:V43" si="31">SUM(D44,D48)</f>
        <v>104.03004898341815</v>
      </c>
      <c r="E43" s="54">
        <f t="shared" si="31"/>
        <v>106.71274105849031</v>
      </c>
      <c r="F43" s="54">
        <f t="shared" si="31"/>
        <v>109.8749303055131</v>
      </c>
      <c r="G43" s="54">
        <f t="shared" si="31"/>
        <v>120.13866865168227</v>
      </c>
      <c r="H43" s="54">
        <f t="shared" si="31"/>
        <v>130.25238430719011</v>
      </c>
      <c r="I43" s="54">
        <f t="shared" si="31"/>
        <v>140.48721074896068</v>
      </c>
      <c r="J43" s="54">
        <f t="shared" si="31"/>
        <v>138.81839880560509</v>
      </c>
      <c r="K43" s="54">
        <f t="shared" si="31"/>
        <v>129.60843247101695</v>
      </c>
      <c r="L43" s="54">
        <f t="shared" si="31"/>
        <v>134.87901923736567</v>
      </c>
      <c r="M43" s="54">
        <f t="shared" si="31"/>
        <v>138.92965427366772</v>
      </c>
      <c r="N43" s="54">
        <f t="shared" si="31"/>
        <v>139.34846913135749</v>
      </c>
      <c r="O43" s="54">
        <f t="shared" si="31"/>
        <v>142.38952576406737</v>
      </c>
      <c r="P43" s="54">
        <f t="shared" si="31"/>
        <v>150.81159728600375</v>
      </c>
      <c r="Q43" s="54">
        <f t="shared" si="31"/>
        <v>159.11588242298922</v>
      </c>
      <c r="R43" s="54">
        <f t="shared" si="31"/>
        <v>180.46599359043856</v>
      </c>
      <c r="S43" s="54">
        <f t="shared" si="31"/>
        <v>199.27719832518721</v>
      </c>
      <c r="T43" s="54">
        <f t="shared" si="31"/>
        <v>217.31991140378028</v>
      </c>
      <c r="U43" s="54">
        <f t="shared" si="31"/>
        <v>231.49754076252611</v>
      </c>
      <c r="V43" s="54">
        <f t="shared" si="31"/>
        <v>226.2142145313596</v>
      </c>
      <c r="W43" s="54">
        <f t="shared" ref="W43:Y43" si="32">SUM(W44,W48)</f>
        <v>221.68486603715934</v>
      </c>
      <c r="X43" s="54">
        <f t="shared" si="32"/>
        <v>221.74988578645483</v>
      </c>
      <c r="Y43" s="54">
        <f t="shared" si="32"/>
        <v>246.11052164657178</v>
      </c>
      <c r="DA43" s="172" t="s">
        <v>224</v>
      </c>
    </row>
    <row r="44" spans="1:105" ht="11.45" customHeight="1" x14ac:dyDescent="0.25">
      <c r="A44" s="10" t="s">
        <v>33</v>
      </c>
      <c r="B44" s="11">
        <f t="shared" ref="B44:C44" si="33">SUM(B45:B47)</f>
        <v>103.6731600382184</v>
      </c>
      <c r="C44" s="11">
        <f t="shared" si="33"/>
        <v>101.00394371723712</v>
      </c>
      <c r="D44" s="11">
        <f t="shared" ref="D44:V44" si="34">SUM(D45:D47)</f>
        <v>99.810349951963175</v>
      </c>
      <c r="E44" s="11">
        <f t="shared" si="34"/>
        <v>102.77676681782597</v>
      </c>
      <c r="F44" s="11">
        <f t="shared" si="34"/>
        <v>105.77966720744818</v>
      </c>
      <c r="G44" s="11">
        <f t="shared" si="34"/>
        <v>115.64826985044253</v>
      </c>
      <c r="H44" s="11">
        <f t="shared" si="34"/>
        <v>125.08524379039653</v>
      </c>
      <c r="I44" s="11">
        <f t="shared" si="34"/>
        <v>135.10124852746952</v>
      </c>
      <c r="J44" s="11">
        <f t="shared" si="34"/>
        <v>133.07525068274578</v>
      </c>
      <c r="K44" s="11">
        <f t="shared" si="34"/>
        <v>124.16507246164132</v>
      </c>
      <c r="L44" s="11">
        <f t="shared" si="34"/>
        <v>129.52307849129556</v>
      </c>
      <c r="M44" s="11">
        <f t="shared" si="34"/>
        <v>134.02388327324718</v>
      </c>
      <c r="N44" s="11">
        <f t="shared" si="34"/>
        <v>134.71061846826368</v>
      </c>
      <c r="O44" s="11">
        <f t="shared" si="34"/>
        <v>138.20944142065622</v>
      </c>
      <c r="P44" s="11">
        <f t="shared" si="34"/>
        <v>147.00967410823733</v>
      </c>
      <c r="Q44" s="11">
        <f t="shared" si="34"/>
        <v>155.55116703679232</v>
      </c>
      <c r="R44" s="11">
        <f t="shared" si="34"/>
        <v>177.2215775774593</v>
      </c>
      <c r="S44" s="11">
        <f t="shared" si="34"/>
        <v>195.59296506415117</v>
      </c>
      <c r="T44" s="11">
        <f t="shared" si="34"/>
        <v>213.53275270790465</v>
      </c>
      <c r="U44" s="11">
        <f t="shared" si="34"/>
        <v>227.51761175017478</v>
      </c>
      <c r="V44" s="11">
        <f t="shared" si="34"/>
        <v>222.33395374826384</v>
      </c>
      <c r="W44" s="11">
        <f t="shared" ref="W44:Y44" si="35">SUM(W45:W47)</f>
        <v>217.15029574635295</v>
      </c>
      <c r="X44" s="11">
        <f t="shared" si="35"/>
        <v>216.50613512671347</v>
      </c>
      <c r="Y44" s="11">
        <f t="shared" si="35"/>
        <v>240.88118010296236</v>
      </c>
      <c r="DA44" s="189" t="s">
        <v>225</v>
      </c>
    </row>
    <row r="45" spans="1:105" ht="11.45" customHeight="1" x14ac:dyDescent="0.25">
      <c r="A45" s="83" t="s">
        <v>27</v>
      </c>
      <c r="B45" s="84">
        <v>17.835921325051761</v>
      </c>
      <c r="C45" s="84">
        <v>18.349896480331264</v>
      </c>
      <c r="D45" s="84">
        <v>19.527950310559007</v>
      </c>
      <c r="E45" s="84">
        <v>19.027432712215322</v>
      </c>
      <c r="F45" s="84">
        <v>21.4824016563147</v>
      </c>
      <c r="G45" s="84">
        <v>22.657634184471078</v>
      </c>
      <c r="H45" s="84">
        <v>20.874042051965901</v>
      </c>
      <c r="I45" s="84">
        <v>19.090449919460724</v>
      </c>
      <c r="J45" s="84">
        <v>19.647151071615266</v>
      </c>
      <c r="K45" s="84">
        <v>18.379865075246496</v>
      </c>
      <c r="L45" s="84">
        <v>18.431699687174138</v>
      </c>
      <c r="M45" s="84">
        <v>17.599586135540612</v>
      </c>
      <c r="N45" s="84">
        <v>17.124610591900311</v>
      </c>
      <c r="O45" s="84">
        <v>16.950469238790408</v>
      </c>
      <c r="P45" s="84">
        <v>17.455602536997887</v>
      </c>
      <c r="Q45" s="84">
        <v>18.853632478632477</v>
      </c>
      <c r="R45" s="84">
        <v>28.289017341040463</v>
      </c>
      <c r="S45" s="84">
        <v>28.421417155034629</v>
      </c>
      <c r="T45" s="84">
        <v>30.017057569296377</v>
      </c>
      <c r="U45" s="84">
        <v>31.486956521739131</v>
      </c>
      <c r="V45" s="84">
        <v>30.595160455486543</v>
      </c>
      <c r="W45" s="84">
        <v>29.703364389233954</v>
      </c>
      <c r="X45" s="84">
        <v>30.728738187882158</v>
      </c>
      <c r="Y45" s="84">
        <v>33.23872387238724</v>
      </c>
      <c r="DA45" s="171" t="s">
        <v>226</v>
      </c>
    </row>
    <row r="46" spans="1:105" ht="11.45" customHeight="1" x14ac:dyDescent="0.25">
      <c r="A46" s="83" t="s">
        <v>181</v>
      </c>
      <c r="B46" s="84">
        <v>65.143089776996433</v>
      </c>
      <c r="C46" s="84">
        <v>62.728515322012242</v>
      </c>
      <c r="D46" s="84">
        <v>60.928676237148842</v>
      </c>
      <c r="E46" s="84">
        <v>62.036568148163838</v>
      </c>
      <c r="F46" s="84">
        <v>63.273329380920728</v>
      </c>
      <c r="G46" s="84">
        <v>68.143042083083756</v>
      </c>
      <c r="H46" s="84">
        <v>77.211201738430631</v>
      </c>
      <c r="I46" s="84">
        <v>85.283004911733713</v>
      </c>
      <c r="J46" s="84">
        <v>83.868099611130518</v>
      </c>
      <c r="K46" s="84">
        <v>77.500700344141293</v>
      </c>
      <c r="L46" s="84">
        <v>79.930615861342147</v>
      </c>
      <c r="M46" s="84">
        <v>83.460109809882852</v>
      </c>
      <c r="N46" s="84">
        <v>83.184908975264463</v>
      </c>
      <c r="O46" s="84">
        <v>86.560342044879505</v>
      </c>
      <c r="P46" s="84">
        <v>92.521104538272425</v>
      </c>
      <c r="Q46" s="84">
        <v>99.295330701410521</v>
      </c>
      <c r="R46" s="84">
        <v>108.98870996903918</v>
      </c>
      <c r="S46" s="84">
        <v>121.19516995636064</v>
      </c>
      <c r="T46" s="84">
        <v>129.56090790456571</v>
      </c>
      <c r="U46" s="84">
        <v>133.071086495282</v>
      </c>
      <c r="V46" s="84">
        <v>129.81393200643217</v>
      </c>
      <c r="W46" s="84">
        <v>126.55677751758236</v>
      </c>
      <c r="X46" s="84">
        <v>125.92195054610319</v>
      </c>
      <c r="Y46" s="84">
        <v>140.53748385488453</v>
      </c>
      <c r="DA46" s="171" t="s">
        <v>227</v>
      </c>
    </row>
    <row r="47" spans="1:105" ht="11.45" customHeight="1" x14ac:dyDescent="0.25">
      <c r="A47" s="83" t="s">
        <v>182</v>
      </c>
      <c r="B47" s="84">
        <v>20.694148936170212</v>
      </c>
      <c r="C47" s="84">
        <v>19.925531914893618</v>
      </c>
      <c r="D47" s="84">
        <v>19.353723404255319</v>
      </c>
      <c r="E47" s="84">
        <v>21.712765957446809</v>
      </c>
      <c r="F47" s="84">
        <v>21.023936170212767</v>
      </c>
      <c r="G47" s="84">
        <v>24.847593582887701</v>
      </c>
      <c r="H47" s="84">
        <v>27</v>
      </c>
      <c r="I47" s="84">
        <v>30.727793696275072</v>
      </c>
      <c r="J47" s="84">
        <v>29.56</v>
      </c>
      <c r="K47" s="84">
        <v>28.284507042253519</v>
      </c>
      <c r="L47" s="84">
        <v>31.160762942779293</v>
      </c>
      <c r="M47" s="84">
        <v>32.964187327823694</v>
      </c>
      <c r="N47" s="84">
        <v>34.401098901098898</v>
      </c>
      <c r="O47" s="84">
        <v>34.698630136986303</v>
      </c>
      <c r="P47" s="84">
        <v>37.032967032967036</v>
      </c>
      <c r="Q47" s="84">
        <v>37.40220385674931</v>
      </c>
      <c r="R47" s="84">
        <v>39.94385026737968</v>
      </c>
      <c r="S47" s="84">
        <v>45.976377952755904</v>
      </c>
      <c r="T47" s="84">
        <v>53.954787234042556</v>
      </c>
      <c r="U47" s="84">
        <v>62.959568733153638</v>
      </c>
      <c r="V47" s="84">
        <v>61.924861286345127</v>
      </c>
      <c r="W47" s="84">
        <v>60.890153839536616</v>
      </c>
      <c r="X47" s="84">
        <v>59.855446392728105</v>
      </c>
      <c r="Y47" s="84">
        <v>67.104972375690608</v>
      </c>
      <c r="DA47" s="171" t="s">
        <v>228</v>
      </c>
    </row>
    <row r="48" spans="1:105" ht="11.45" customHeight="1" x14ac:dyDescent="0.25">
      <c r="A48" s="12" t="s">
        <v>34</v>
      </c>
      <c r="B48" s="13">
        <f t="shared" ref="B48:C48" si="36">SUM(B49:B51)</f>
        <v>4.5776631968266237</v>
      </c>
      <c r="C48" s="13">
        <f t="shared" si="36"/>
        <v>4.2067943679486435</v>
      </c>
      <c r="D48" s="13">
        <f t="shared" ref="D48:V48" si="37">SUM(D49:D51)</f>
        <v>4.2196990314549838</v>
      </c>
      <c r="E48" s="13">
        <f t="shared" si="37"/>
        <v>3.9359742406643314</v>
      </c>
      <c r="F48" s="13">
        <f t="shared" si="37"/>
        <v>4.0952630980649154</v>
      </c>
      <c r="G48" s="13">
        <f t="shared" si="37"/>
        <v>4.4903988012397331</v>
      </c>
      <c r="H48" s="13">
        <f t="shared" si="37"/>
        <v>5.1671405167935704</v>
      </c>
      <c r="I48" s="13">
        <f t="shared" si="37"/>
        <v>5.3859622214911553</v>
      </c>
      <c r="J48" s="13">
        <f t="shared" si="37"/>
        <v>5.7431481228593171</v>
      </c>
      <c r="K48" s="13">
        <f t="shared" si="37"/>
        <v>5.4433600093756516</v>
      </c>
      <c r="L48" s="13">
        <f t="shared" si="37"/>
        <v>5.3559407460701038</v>
      </c>
      <c r="M48" s="13">
        <f t="shared" si="37"/>
        <v>4.9057710004205397</v>
      </c>
      <c r="N48" s="13">
        <f t="shared" si="37"/>
        <v>4.6378506630938139</v>
      </c>
      <c r="O48" s="13">
        <f t="shared" si="37"/>
        <v>4.180084343411151</v>
      </c>
      <c r="P48" s="13">
        <f t="shared" si="37"/>
        <v>3.80192317776641</v>
      </c>
      <c r="Q48" s="13">
        <f t="shared" si="37"/>
        <v>3.5647153861969008</v>
      </c>
      <c r="R48" s="13">
        <f t="shared" si="37"/>
        <v>3.244416012979257</v>
      </c>
      <c r="S48" s="13">
        <f t="shared" si="37"/>
        <v>3.6842332610360335</v>
      </c>
      <c r="T48" s="13">
        <f t="shared" si="37"/>
        <v>3.7871586958756369</v>
      </c>
      <c r="U48" s="13">
        <f t="shared" si="37"/>
        <v>3.9799290123513411</v>
      </c>
      <c r="V48" s="13">
        <f t="shared" si="37"/>
        <v>3.8802607830957534</v>
      </c>
      <c r="W48" s="13">
        <f t="shared" ref="W48:Y48" si="38">SUM(W49:W51)</f>
        <v>4.5345702908063927</v>
      </c>
      <c r="X48" s="13">
        <f t="shared" si="38"/>
        <v>5.2437506597413437</v>
      </c>
      <c r="Y48" s="13">
        <f t="shared" si="38"/>
        <v>5.2293415436094222</v>
      </c>
      <c r="DA48" s="193" t="s">
        <v>229</v>
      </c>
    </row>
    <row r="49" spans="1:105" ht="11.45" customHeight="1" x14ac:dyDescent="0.25">
      <c r="A49" s="92" t="s">
        <v>27</v>
      </c>
      <c r="B49" s="102">
        <v>1.6090225563909775</v>
      </c>
      <c r="C49" s="102">
        <v>1.4724310776942355</v>
      </c>
      <c r="D49" s="102">
        <v>1.4505012531328321</v>
      </c>
      <c r="E49" s="102">
        <v>1.4041353383458646</v>
      </c>
      <c r="F49" s="102">
        <v>1.4385964912280702</v>
      </c>
      <c r="G49" s="102">
        <v>1.579080025204789</v>
      </c>
      <c r="H49" s="102">
        <v>1.4799210006583279</v>
      </c>
      <c r="I49" s="102">
        <v>1.4535519125683061</v>
      </c>
      <c r="J49" s="102">
        <v>1.5686136523574947</v>
      </c>
      <c r="K49" s="102">
        <v>1.55756698044895</v>
      </c>
      <c r="L49" s="102">
        <v>1.4088522130532632</v>
      </c>
      <c r="M49" s="102">
        <v>1.2479499574141655</v>
      </c>
      <c r="N49" s="102">
        <v>1.0870477017750677</v>
      </c>
      <c r="O49" s="102">
        <v>0.92614544613596994</v>
      </c>
      <c r="P49" s="102">
        <v>0.76524319049687217</v>
      </c>
      <c r="Q49" s="102">
        <v>0.6043409348577744</v>
      </c>
      <c r="R49" s="102">
        <v>0.49826026443980515</v>
      </c>
      <c r="S49" s="102">
        <v>0.57843137254901966</v>
      </c>
      <c r="T49" s="102">
        <v>0.58954703832752609</v>
      </c>
      <c r="U49" s="102">
        <v>0.65851955307262566</v>
      </c>
      <c r="V49" s="102">
        <v>0.60597637248088954</v>
      </c>
      <c r="W49" s="102">
        <v>0.70891364902506959</v>
      </c>
      <c r="X49" s="102">
        <v>0.81048951048951046</v>
      </c>
      <c r="Y49" s="102">
        <v>0.82242990654205606</v>
      </c>
      <c r="DA49" s="175" t="s">
        <v>230</v>
      </c>
    </row>
    <row r="50" spans="1:105" ht="11.45" customHeight="1" x14ac:dyDescent="0.25">
      <c r="A50" s="92" t="s">
        <v>181</v>
      </c>
      <c r="B50" s="102">
        <v>2.1874545463661166</v>
      </c>
      <c r="C50" s="102">
        <v>1.9777170734854914</v>
      </c>
      <c r="D50" s="102">
        <v>1.9961916433528268</v>
      </c>
      <c r="E50" s="102">
        <v>1.7997325628501644</v>
      </c>
      <c r="F50" s="102">
        <v>1.8509406354667017</v>
      </c>
      <c r="G50" s="102">
        <v>1.8721435183029855</v>
      </c>
      <c r="H50" s="102">
        <v>2.3764087053244318</v>
      </c>
      <c r="I50" s="102">
        <v>2.3581528831802752</v>
      </c>
      <c r="J50" s="102">
        <v>2.2853592127698636</v>
      </c>
      <c r="K50" s="102">
        <v>2.0747363806016961</v>
      </c>
      <c r="L50" s="102">
        <v>2.0462842434726047</v>
      </c>
      <c r="M50" s="102">
        <v>1.8351353628690916</v>
      </c>
      <c r="N50" s="102">
        <v>1.637395140089696</v>
      </c>
      <c r="O50" s="102">
        <v>1.4186496854530843</v>
      </c>
      <c r="P50" s="102">
        <v>1.2795093848543939</v>
      </c>
      <c r="Q50" s="102">
        <v>1.2813224583309355</v>
      </c>
      <c r="R50" s="102">
        <v>1.1452223649382138</v>
      </c>
      <c r="S50" s="102">
        <v>1.2923303858963406</v>
      </c>
      <c r="T50" s="102">
        <v>1.3851116575481108</v>
      </c>
      <c r="U50" s="102">
        <v>1.3683177748437474</v>
      </c>
      <c r="V50" s="102">
        <v>1.3602520308833725</v>
      </c>
      <c r="W50" s="102">
        <v>1.6315021532635776</v>
      </c>
      <c r="X50" s="102">
        <v>1.5640815483649155</v>
      </c>
      <c r="Y50" s="102">
        <v>1.5767913408839249</v>
      </c>
      <c r="DA50" s="175" t="s">
        <v>231</v>
      </c>
    </row>
    <row r="51" spans="1:105" ht="11.45" customHeight="1" x14ac:dyDescent="0.25">
      <c r="A51" s="85" t="s">
        <v>182</v>
      </c>
      <c r="B51" s="86">
        <v>0.78118609406952966</v>
      </c>
      <c r="C51" s="86">
        <v>0.75664621676891619</v>
      </c>
      <c r="D51" s="86">
        <v>0.77300613496932513</v>
      </c>
      <c r="E51" s="86">
        <v>0.73210633946830261</v>
      </c>
      <c r="F51" s="86">
        <v>0.80572597137014312</v>
      </c>
      <c r="G51" s="86">
        <v>1.0391752577319588</v>
      </c>
      <c r="H51" s="86">
        <v>1.3108108108108107</v>
      </c>
      <c r="I51" s="86">
        <v>1.5742574257425743</v>
      </c>
      <c r="J51" s="86">
        <v>1.8891752577319587</v>
      </c>
      <c r="K51" s="86">
        <v>1.8110566483250057</v>
      </c>
      <c r="L51" s="86">
        <v>1.9008042895442359</v>
      </c>
      <c r="M51" s="86">
        <v>1.8226856801372828</v>
      </c>
      <c r="N51" s="86">
        <v>1.9134078212290502</v>
      </c>
      <c r="O51" s="86">
        <v>1.8352892118220971</v>
      </c>
      <c r="P51" s="86">
        <v>1.7571706024151441</v>
      </c>
      <c r="Q51" s="86">
        <v>1.6790519930081911</v>
      </c>
      <c r="R51" s="86">
        <v>1.600933383601238</v>
      </c>
      <c r="S51" s="86">
        <v>1.8134715025906736</v>
      </c>
      <c r="T51" s="86">
        <v>1.8125</v>
      </c>
      <c r="U51" s="86">
        <v>1.9530916844349679</v>
      </c>
      <c r="V51" s="86">
        <v>1.9140323797314915</v>
      </c>
      <c r="W51" s="86">
        <v>2.1941544885177451</v>
      </c>
      <c r="X51" s="86">
        <v>2.8691796008869179</v>
      </c>
      <c r="Y51" s="86">
        <v>2.8301202961834413</v>
      </c>
      <c r="DA51" s="178" t="s">
        <v>232</v>
      </c>
    </row>
    <row r="52" spans="1:105" x14ac:dyDescent="0.25">
      <c r="A52" s="50"/>
      <c r="B52" s="50"/>
      <c r="C52" s="50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DA52" s="181"/>
    </row>
    <row r="53" spans="1:105" ht="11.45" customHeight="1" x14ac:dyDescent="0.25">
      <c r="A53" s="53" t="s">
        <v>82</v>
      </c>
      <c r="B53" s="54">
        <f t="shared" ref="B53:C53" si="39">SUM(B54,B58)</f>
        <v>10.137713321152733</v>
      </c>
      <c r="C53" s="54">
        <f t="shared" si="39"/>
        <v>1.1285245195357012</v>
      </c>
      <c r="D53" s="54">
        <f t="shared" ref="D53:V53" si="40">SUM(D54,D58)</f>
        <v>2.3263355010713869</v>
      </c>
      <c r="E53" s="54">
        <f t="shared" si="40"/>
        <v>6.5017569235120209</v>
      </c>
      <c r="F53" s="54">
        <f t="shared" si="40"/>
        <v>6.8924988426782461</v>
      </c>
      <c r="G53" s="54">
        <f t="shared" si="40"/>
        <v>13.777566445777342</v>
      </c>
      <c r="H53" s="54">
        <f t="shared" si="40"/>
        <v>14.842747163464457</v>
      </c>
      <c r="I53" s="54">
        <f t="shared" si="40"/>
        <v>14.916906850799826</v>
      </c>
      <c r="J53" s="54">
        <f t="shared" si="40"/>
        <v>3.4361777392698536</v>
      </c>
      <c r="K53" s="54">
        <f t="shared" si="40"/>
        <v>3.8034364014455369E-2</v>
      </c>
      <c r="L53" s="54">
        <f t="shared" si="40"/>
        <v>8.9269233160007602</v>
      </c>
      <c r="M53" s="54">
        <f t="shared" si="40"/>
        <v>8.1197886534861681</v>
      </c>
      <c r="N53" s="54">
        <f t="shared" si="40"/>
        <v>5.2300714320076276</v>
      </c>
      <c r="O53" s="54">
        <f t="shared" si="40"/>
        <v>6.8656210763005534</v>
      </c>
      <c r="P53" s="54">
        <f t="shared" si="40"/>
        <v>12.197973146229288</v>
      </c>
      <c r="Q53" s="54">
        <f t="shared" si="40"/>
        <v>12.020145882759342</v>
      </c>
      <c r="R53" s="54">
        <f t="shared" si="40"/>
        <v>25.068150999315161</v>
      </c>
      <c r="S53" s="54">
        <f t="shared" si="40"/>
        <v>22.361562417430559</v>
      </c>
      <c r="T53" s="54">
        <f t="shared" si="40"/>
        <v>21.558203852133765</v>
      </c>
      <c r="U53" s="54">
        <f t="shared" si="40"/>
        <v>17.684653961584829</v>
      </c>
      <c r="V53" s="54">
        <f t="shared" si="40"/>
        <v>5.958753895221236E-2</v>
      </c>
      <c r="W53" s="54">
        <f t="shared" ref="W53:Y53" si="41">SUM(W54,W58)</f>
        <v>0.79830042082198505</v>
      </c>
      <c r="X53" s="54">
        <f t="shared" si="41"/>
        <v>4.0365988761336693</v>
      </c>
      <c r="Y53" s="54">
        <f t="shared" si="41"/>
        <v>27.882127707762621</v>
      </c>
      <c r="DA53" s="172" t="s">
        <v>233</v>
      </c>
    </row>
    <row r="54" spans="1:105" ht="11.45" customHeight="1" x14ac:dyDescent="0.25">
      <c r="A54" s="10" t="s">
        <v>33</v>
      </c>
      <c r="B54" s="11">
        <f t="shared" ref="B54:C54" si="42">SUM(B55:B57)</f>
        <v>9.4817360495035281</v>
      </c>
      <c r="C54" s="11">
        <f t="shared" si="42"/>
        <v>1.1256383712905027</v>
      </c>
      <c r="D54" s="11">
        <f t="shared" ref="D54:V54" si="43">SUM(D55:D57)</f>
        <v>2.1732043586340462</v>
      </c>
      <c r="E54" s="11">
        <f t="shared" si="43"/>
        <v>6.4899309478727316</v>
      </c>
      <c r="F54" s="11">
        <f t="shared" si="43"/>
        <v>6.5861800095774878</v>
      </c>
      <c r="G54" s="11">
        <f t="shared" si="43"/>
        <v>13.23540076690235</v>
      </c>
      <c r="H54" s="11">
        <f t="shared" si="43"/>
        <v>13.975700980356159</v>
      </c>
      <c r="I54" s="11">
        <f t="shared" si="43"/>
        <v>14.55473177747516</v>
      </c>
      <c r="J54" s="11">
        <f t="shared" si="43"/>
        <v>2.9187863425708249</v>
      </c>
      <c r="K54" s="11">
        <f t="shared" si="43"/>
        <v>0</v>
      </c>
      <c r="L54" s="11">
        <f t="shared" si="43"/>
        <v>8.755746488302437</v>
      </c>
      <c r="M54" s="11">
        <f t="shared" si="43"/>
        <v>8.1189955762222432</v>
      </c>
      <c r="N54" s="11">
        <f t="shared" si="43"/>
        <v>5.0999260152688182</v>
      </c>
      <c r="O54" s="11">
        <f t="shared" si="43"/>
        <v>6.8656210763005534</v>
      </c>
      <c r="P54" s="11">
        <f t="shared" si="43"/>
        <v>12.197973146229288</v>
      </c>
      <c r="Q54" s="11">
        <f t="shared" si="43"/>
        <v>11.939233387203108</v>
      </c>
      <c r="R54" s="11">
        <f t="shared" si="43"/>
        <v>25.068150999315161</v>
      </c>
      <c r="S54" s="11">
        <f t="shared" si="43"/>
        <v>21.769127945340042</v>
      </c>
      <c r="T54" s="11">
        <f t="shared" si="43"/>
        <v>21.306585767661446</v>
      </c>
      <c r="U54" s="11">
        <f t="shared" si="43"/>
        <v>17.351657166178125</v>
      </c>
      <c r="V54" s="11">
        <f t="shared" si="43"/>
        <v>0</v>
      </c>
      <c r="W54" s="11">
        <f t="shared" ref="W54:Y54" si="44">SUM(W55:W57)</f>
        <v>0</v>
      </c>
      <c r="X54" s="11">
        <f t="shared" si="44"/>
        <v>3.1736994710103161</v>
      </c>
      <c r="Y54" s="11">
        <f t="shared" si="44"/>
        <v>27.741843100156917</v>
      </c>
      <c r="DA54" s="189" t="s">
        <v>234</v>
      </c>
    </row>
    <row r="55" spans="1:105" ht="11.45" customHeight="1" x14ac:dyDescent="0.25">
      <c r="A55" s="83" t="s">
        <v>27</v>
      </c>
      <c r="B55" s="84">
        <v>3.1049344375430916</v>
      </c>
      <c r="C55" s="84">
        <v>1.1256383712905027</v>
      </c>
      <c r="D55" s="84">
        <v>1.7897170462387422</v>
      </c>
      <c r="E55" s="84">
        <v>0.11114561766731512</v>
      </c>
      <c r="F55" s="84">
        <v>3.0666321601103768</v>
      </c>
      <c r="G55" s="84">
        <v>1.7868957441673778</v>
      </c>
      <c r="H55" s="84">
        <v>0</v>
      </c>
      <c r="I55" s="84">
        <v>0</v>
      </c>
      <c r="J55" s="84">
        <v>1.1683643681655411</v>
      </c>
      <c r="K55" s="84">
        <v>0</v>
      </c>
      <c r="L55" s="84">
        <v>0.66349782793864165</v>
      </c>
      <c r="M55" s="84">
        <v>0</v>
      </c>
      <c r="N55" s="84">
        <v>0.13668767237069801</v>
      </c>
      <c r="O55" s="84">
        <v>0.43752186290109663</v>
      </c>
      <c r="P55" s="84">
        <v>1.1167965142184784</v>
      </c>
      <c r="Q55" s="84">
        <v>2.0096931576455894</v>
      </c>
      <c r="R55" s="84">
        <v>10.047048078418985</v>
      </c>
      <c r="S55" s="84">
        <v>0.74406303000516516</v>
      </c>
      <c r="T55" s="84">
        <v>2.2073036302727473</v>
      </c>
      <c r="U55" s="84">
        <v>2.0815621684537575</v>
      </c>
      <c r="V55" s="84">
        <v>0</v>
      </c>
      <c r="W55" s="84">
        <v>0</v>
      </c>
      <c r="X55" s="84">
        <v>1.637037014659203</v>
      </c>
      <c r="Y55" s="84">
        <v>3.1216489005160852</v>
      </c>
      <c r="DA55" s="171" t="s">
        <v>235</v>
      </c>
    </row>
    <row r="56" spans="1:105" ht="11.45" customHeight="1" x14ac:dyDescent="0.25">
      <c r="A56" s="83" t="s">
        <v>181</v>
      </c>
      <c r="B56" s="84">
        <v>4.8376172147974339</v>
      </c>
      <c r="C56" s="84">
        <v>0</v>
      </c>
      <c r="D56" s="84">
        <v>0.29111142587060068</v>
      </c>
      <c r="E56" s="84">
        <v>3.3555583798509252</v>
      </c>
      <c r="F56" s="84">
        <v>3.5195478494671111</v>
      </c>
      <c r="G56" s="84">
        <v>6.9606632128970372</v>
      </c>
      <c r="H56" s="84">
        <v>11.159110166080858</v>
      </c>
      <c r="I56" s="84">
        <v>10.162753684037087</v>
      </c>
      <c r="J56" s="84">
        <v>1.7504219744052838</v>
      </c>
      <c r="K56" s="84">
        <v>0</v>
      </c>
      <c r="L56" s="84">
        <v>4.5518083626750201</v>
      </c>
      <c r="M56" s="84">
        <v>5.6513867940148446</v>
      </c>
      <c r="N56" s="84">
        <v>2.8621423724599184</v>
      </c>
      <c r="O56" s="84">
        <v>5.4663835803490537</v>
      </c>
      <c r="P56" s="84">
        <v>8.0826553388670774</v>
      </c>
      <c r="Q56" s="84">
        <v>8.8961190086122475</v>
      </c>
      <c r="R56" s="84">
        <v>11.815272113102807</v>
      </c>
      <c r="S56" s="84">
        <v>14.328352832795655</v>
      </c>
      <c r="T56" s="84">
        <v>10.456688458939048</v>
      </c>
      <c r="U56" s="84">
        <v>5.6011291014502866</v>
      </c>
      <c r="V56" s="84">
        <v>0</v>
      </c>
      <c r="W56" s="84">
        <v>0</v>
      </c>
      <c r="X56" s="84">
        <v>1.5366624563511131</v>
      </c>
      <c r="Y56" s="84">
        <v>16.706483819515331</v>
      </c>
      <c r="DA56" s="171" t="s">
        <v>236</v>
      </c>
    </row>
    <row r="57" spans="1:105" ht="11.45" customHeight="1" x14ac:dyDescent="0.25">
      <c r="A57" s="83" t="s">
        <v>182</v>
      </c>
      <c r="B57" s="84">
        <v>1.5391843971630017</v>
      </c>
      <c r="C57" s="84">
        <v>0</v>
      </c>
      <c r="D57" s="84">
        <v>9.2375886524703077E-2</v>
      </c>
      <c r="E57" s="84">
        <v>3.0232269503544913</v>
      </c>
      <c r="F57" s="84">
        <v>0</v>
      </c>
      <c r="G57" s="84">
        <v>4.4878418098379349</v>
      </c>
      <c r="H57" s="84">
        <v>2.8165908142753011</v>
      </c>
      <c r="I57" s="84">
        <v>4.3919780934380732</v>
      </c>
      <c r="J57" s="84">
        <v>0</v>
      </c>
      <c r="K57" s="84">
        <v>0</v>
      </c>
      <c r="L57" s="84">
        <v>3.5404402976887752</v>
      </c>
      <c r="M57" s="84">
        <v>2.4676087822073995</v>
      </c>
      <c r="N57" s="84">
        <v>2.1010959704382017</v>
      </c>
      <c r="O57" s="84">
        <v>0.96171563305040308</v>
      </c>
      <c r="P57" s="84">
        <v>2.9985212931437317</v>
      </c>
      <c r="Q57" s="84">
        <v>1.0334212209452716</v>
      </c>
      <c r="R57" s="84">
        <v>3.2058308077933688</v>
      </c>
      <c r="S57" s="84">
        <v>6.6967120825392215</v>
      </c>
      <c r="T57" s="84">
        <v>8.64259367844965</v>
      </c>
      <c r="U57" s="84">
        <v>9.6689658962740808</v>
      </c>
      <c r="V57" s="84">
        <v>0</v>
      </c>
      <c r="W57" s="84">
        <v>0</v>
      </c>
      <c r="X57" s="84">
        <v>0</v>
      </c>
      <c r="Y57" s="84">
        <v>7.9137103801255009</v>
      </c>
      <c r="DA57" s="171" t="s">
        <v>237</v>
      </c>
    </row>
    <row r="58" spans="1:105" ht="11.45" customHeight="1" x14ac:dyDescent="0.25">
      <c r="A58" s="12" t="s">
        <v>34</v>
      </c>
      <c r="B58" s="13">
        <f t="shared" ref="B58:C58" si="45">SUM(B59:B61)</f>
        <v>0.65597727164920372</v>
      </c>
      <c r="C58" s="13">
        <f t="shared" si="45"/>
        <v>2.8861482451984499E-3</v>
      </c>
      <c r="D58" s="13">
        <f t="shared" ref="D58:V58" si="46">SUM(D59:D61)</f>
        <v>0.15313114243734088</v>
      </c>
      <c r="E58" s="13">
        <f t="shared" si="46"/>
        <v>1.1825975639288916E-2</v>
      </c>
      <c r="F58" s="13">
        <f t="shared" si="46"/>
        <v>0.30631883310075814</v>
      </c>
      <c r="G58" s="13">
        <f t="shared" si="46"/>
        <v>0.54216567887499267</v>
      </c>
      <c r="H58" s="13">
        <f t="shared" si="46"/>
        <v>0.86704618310829795</v>
      </c>
      <c r="I58" s="13">
        <f t="shared" si="46"/>
        <v>0.36217507332466642</v>
      </c>
      <c r="J58" s="13">
        <f t="shared" si="46"/>
        <v>0.51739139669902867</v>
      </c>
      <c r="K58" s="13">
        <f t="shared" si="46"/>
        <v>3.8034364014455369E-2</v>
      </c>
      <c r="L58" s="13">
        <f t="shared" si="46"/>
        <v>0.17117682769832343</v>
      </c>
      <c r="M58" s="13">
        <f t="shared" si="46"/>
        <v>7.9307726392424671E-4</v>
      </c>
      <c r="N58" s="13">
        <f t="shared" si="46"/>
        <v>0.13014541673880903</v>
      </c>
      <c r="O58" s="13">
        <f t="shared" si="46"/>
        <v>0</v>
      </c>
      <c r="P58" s="13">
        <f t="shared" si="46"/>
        <v>0</v>
      </c>
      <c r="Q58" s="13">
        <f t="shared" si="46"/>
        <v>8.0912495556234421E-2</v>
      </c>
      <c r="R58" s="13">
        <f t="shared" si="46"/>
        <v>0</v>
      </c>
      <c r="S58" s="13">
        <f t="shared" si="46"/>
        <v>0.59243447209051658</v>
      </c>
      <c r="T58" s="13">
        <f t="shared" si="46"/>
        <v>0.25161808447232009</v>
      </c>
      <c r="U58" s="13">
        <f t="shared" si="46"/>
        <v>0.33299679540670418</v>
      </c>
      <c r="V58" s="13">
        <f t="shared" si="46"/>
        <v>5.958753895221236E-2</v>
      </c>
      <c r="W58" s="13">
        <f t="shared" ref="W58:Y58" si="47">SUM(W59:W61)</f>
        <v>0.79830042082198505</v>
      </c>
      <c r="X58" s="13">
        <f t="shared" si="47"/>
        <v>0.8628994051233535</v>
      </c>
      <c r="Y58" s="13">
        <f t="shared" si="47"/>
        <v>0.14028460760570505</v>
      </c>
      <c r="DA58" s="193" t="s">
        <v>238</v>
      </c>
    </row>
    <row r="59" spans="1:105" ht="11.45" customHeight="1" x14ac:dyDescent="0.25">
      <c r="A59" s="92" t="s">
        <v>27</v>
      </c>
      <c r="B59" s="102">
        <v>0.34168755221372682</v>
      </c>
      <c r="C59" s="102">
        <v>0</v>
      </c>
      <c r="D59" s="102">
        <v>2.7151211361596594E-2</v>
      </c>
      <c r="E59" s="102">
        <v>2.7151211360325611E-3</v>
      </c>
      <c r="F59" s="102">
        <v>8.3542188805205697E-2</v>
      </c>
      <c r="G59" s="102">
        <v>0.18956456989971882</v>
      </c>
      <c r="H59" s="102">
        <v>0</v>
      </c>
      <c r="I59" s="102">
        <v>2.2711947832978252E-2</v>
      </c>
      <c r="J59" s="102">
        <v>0.16414277571218872</v>
      </c>
      <c r="K59" s="102">
        <v>3.8034364014455369E-2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02">
        <v>0</v>
      </c>
      <c r="R59" s="102">
        <v>0</v>
      </c>
      <c r="S59" s="102">
        <v>0.12925214403221447</v>
      </c>
      <c r="T59" s="102">
        <v>6.0196701701506372E-2</v>
      </c>
      <c r="U59" s="102">
        <v>0.11805355066809953</v>
      </c>
      <c r="V59" s="102">
        <v>0</v>
      </c>
      <c r="W59" s="102">
        <v>0.15201831246718001</v>
      </c>
      <c r="X59" s="102">
        <v>0.15065689738744081</v>
      </c>
      <c r="Y59" s="102">
        <v>6.1021431975545548E-2</v>
      </c>
      <c r="DA59" s="175" t="s">
        <v>239</v>
      </c>
    </row>
    <row r="60" spans="1:105" ht="11.45" customHeight="1" x14ac:dyDescent="0.25">
      <c r="A60" s="92" t="s">
        <v>181</v>
      </c>
      <c r="B60" s="102">
        <v>0.28702318910142594</v>
      </c>
      <c r="C60" s="102">
        <v>2.204484986811861E-3</v>
      </c>
      <c r="D60" s="102">
        <v>8.4398472316335418E-2</v>
      </c>
      <c r="E60" s="102">
        <v>9.1108545032563548E-3</v>
      </c>
      <c r="F60" s="102">
        <v>0.1239354718347119</v>
      </c>
      <c r="G60" s="102">
        <v>9.3930282054458164E-2</v>
      </c>
      <c r="H60" s="102">
        <v>0.57018908947044611</v>
      </c>
      <c r="I60" s="102">
        <v>5.0794970000924644E-2</v>
      </c>
      <c r="J60" s="102">
        <v>1.3109248438455623E-2</v>
      </c>
      <c r="K60" s="102">
        <v>0</v>
      </c>
      <c r="L60" s="102">
        <v>5.6207645920093308E-2</v>
      </c>
      <c r="M60" s="102">
        <v>7.9307726392424671E-4</v>
      </c>
      <c r="N60" s="102">
        <v>1.420173508804172E-2</v>
      </c>
      <c r="O60" s="102">
        <v>0</v>
      </c>
      <c r="P60" s="102">
        <v>0</v>
      </c>
      <c r="Q60" s="102">
        <v>8.0912495556234421E-2</v>
      </c>
      <c r="R60" s="102">
        <v>0</v>
      </c>
      <c r="S60" s="102">
        <v>0.22542266850986659</v>
      </c>
      <c r="T60" s="102">
        <v>0.16717134480248735</v>
      </c>
      <c r="U60" s="102">
        <v>4.9130019744636773E-2</v>
      </c>
      <c r="V60" s="102">
        <v>5.958753895221236E-2</v>
      </c>
      <c r="W60" s="102">
        <v>0.3409384590095515</v>
      </c>
      <c r="X60" s="102">
        <v>1.1995854807739896E-2</v>
      </c>
      <c r="Y60" s="102">
        <v>7.9263175630159499E-2</v>
      </c>
      <c r="DA60" s="175" t="s">
        <v>240</v>
      </c>
    </row>
    <row r="61" spans="1:105" ht="11.45" customHeight="1" x14ac:dyDescent="0.25">
      <c r="A61" s="85" t="s">
        <v>182</v>
      </c>
      <c r="B61" s="86">
        <v>2.726653033405102E-2</v>
      </c>
      <c r="C61" s="86">
        <v>6.8166325838658892E-4</v>
      </c>
      <c r="D61" s="86">
        <v>4.1581458759408885E-2</v>
      </c>
      <c r="E61" s="86">
        <v>0</v>
      </c>
      <c r="F61" s="86">
        <v>9.8841172460840565E-2</v>
      </c>
      <c r="G61" s="86">
        <v>0.25867082692081567</v>
      </c>
      <c r="H61" s="86">
        <v>0.29685709363785184</v>
      </c>
      <c r="I61" s="86">
        <v>0.28866815549076352</v>
      </c>
      <c r="J61" s="86">
        <v>0.34013937254838433</v>
      </c>
      <c r="K61" s="86">
        <v>0</v>
      </c>
      <c r="L61" s="86">
        <v>0.11496918177823012</v>
      </c>
      <c r="M61" s="86">
        <v>0</v>
      </c>
      <c r="N61" s="86">
        <v>0.11594368165076729</v>
      </c>
      <c r="O61" s="86">
        <v>0</v>
      </c>
      <c r="P61" s="86">
        <v>0</v>
      </c>
      <c r="Q61" s="86">
        <v>0</v>
      </c>
      <c r="R61" s="86">
        <v>0</v>
      </c>
      <c r="S61" s="86">
        <v>0.23775965954843548</v>
      </c>
      <c r="T61" s="86">
        <v>2.4250037968326366E-2</v>
      </c>
      <c r="U61" s="86">
        <v>0.16581322499396789</v>
      </c>
      <c r="V61" s="86">
        <v>0</v>
      </c>
      <c r="W61" s="86">
        <v>0.30534364934525349</v>
      </c>
      <c r="X61" s="86">
        <v>0.70024665292817279</v>
      </c>
      <c r="Y61" s="86">
        <v>0</v>
      </c>
      <c r="DA61" s="178" t="s">
        <v>241</v>
      </c>
    </row>
    <row r="62" spans="1:105" x14ac:dyDescent="0.25">
      <c r="A62" s="50"/>
      <c r="B62" s="50"/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DA62" s="181"/>
    </row>
    <row r="63" spans="1:105" ht="11.45" customHeight="1" x14ac:dyDescent="0.25">
      <c r="A63" s="68" t="s">
        <v>36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DA63" s="179"/>
    </row>
    <row r="64" spans="1:105" x14ac:dyDescent="0.25">
      <c r="A64" s="50"/>
      <c r="B64" s="50"/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DA64" s="181"/>
    </row>
    <row r="65" spans="1:105" ht="11.45" customHeight="1" x14ac:dyDescent="0.25">
      <c r="A65" s="53" t="s">
        <v>83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DA65" s="172"/>
    </row>
    <row r="66" spans="1:105" ht="11.45" customHeight="1" x14ac:dyDescent="0.25">
      <c r="A66" s="10" t="s">
        <v>84</v>
      </c>
      <c r="B66" s="14">
        <f t="shared" ref="B66:C73" si="48">IF(B34=0,0,B34/B24)</f>
        <v>88.526894940677451</v>
      </c>
      <c r="C66" s="14">
        <f t="shared" si="48"/>
        <v>88.901061491449099</v>
      </c>
      <c r="D66" s="14">
        <f t="shared" ref="D66:V66" si="49">IF(D34=0,0,D34/D24)</f>
        <v>90.784732142857138</v>
      </c>
      <c r="E66" s="14">
        <f t="shared" si="49"/>
        <v>90.971177047702383</v>
      </c>
      <c r="F66" s="14">
        <f t="shared" si="49"/>
        <v>90.632924171931919</v>
      </c>
      <c r="G66" s="14">
        <f t="shared" si="49"/>
        <v>89.234428219081551</v>
      </c>
      <c r="H66" s="14">
        <f t="shared" si="49"/>
        <v>89.072466518873938</v>
      </c>
      <c r="I66" s="14">
        <f t="shared" si="49"/>
        <v>93.275359934771885</v>
      </c>
      <c r="J66" s="14">
        <f t="shared" si="49"/>
        <v>96.385178937738104</v>
      </c>
      <c r="K66" s="14">
        <f t="shared" si="49"/>
        <v>102.44628713446217</v>
      </c>
      <c r="L66" s="14">
        <f t="shared" si="49"/>
        <v>104.29184935942769</v>
      </c>
      <c r="M66" s="14">
        <f t="shared" si="49"/>
        <v>106.94452528323741</v>
      </c>
      <c r="N66" s="14">
        <f t="shared" si="49"/>
        <v>110.65885001202003</v>
      </c>
      <c r="O66" s="14">
        <f t="shared" si="49"/>
        <v>114.15073309182189</v>
      </c>
      <c r="P66" s="14">
        <f t="shared" si="49"/>
        <v>117.24202785018706</v>
      </c>
      <c r="Q66" s="14">
        <f t="shared" si="49"/>
        <v>122.18823730552231</v>
      </c>
      <c r="R66" s="14">
        <f t="shared" si="49"/>
        <v>118.31437065027113</v>
      </c>
      <c r="S66" s="14">
        <f t="shared" si="49"/>
        <v>128.26027241264921</v>
      </c>
      <c r="T66" s="14">
        <f t="shared" si="49"/>
        <v>128.53595078888227</v>
      </c>
      <c r="U66" s="14">
        <f t="shared" si="49"/>
        <v>131.39302466702398</v>
      </c>
      <c r="V66" s="14">
        <f t="shared" si="49"/>
        <v>95.117211365443367</v>
      </c>
      <c r="W66" s="14">
        <f t="shared" ref="W66:Y66" si="50">IF(W34=0,0,W34/W24)</f>
        <v>99.267946716537367</v>
      </c>
      <c r="X66" s="14">
        <f t="shared" si="50"/>
        <v>133.25532680713619</v>
      </c>
      <c r="Y66" s="14">
        <f t="shared" si="50"/>
        <v>141.55974999366967</v>
      </c>
      <c r="DA66" s="189" t="s">
        <v>242</v>
      </c>
    </row>
    <row r="67" spans="1:105" ht="11.45" customHeight="1" x14ac:dyDescent="0.25">
      <c r="A67" s="83" t="s">
        <v>27</v>
      </c>
      <c r="B67" s="87">
        <f t="shared" si="48"/>
        <v>78.121825938071325</v>
      </c>
      <c r="C67" s="87">
        <f t="shared" si="48"/>
        <v>78.162473203204328</v>
      </c>
      <c r="D67" s="87">
        <f t="shared" ref="D67:V67" si="51">IF(D35=0,0,D35/D25)</f>
        <v>74.659695716709081</v>
      </c>
      <c r="E67" s="87">
        <f t="shared" si="51"/>
        <v>74.787111340823159</v>
      </c>
      <c r="F67" s="87">
        <f t="shared" si="51"/>
        <v>69.577101002313029</v>
      </c>
      <c r="G67" s="87">
        <f t="shared" si="51"/>
        <v>66.928127874885007</v>
      </c>
      <c r="H67" s="87">
        <f t="shared" si="51"/>
        <v>63.1549049654542</v>
      </c>
      <c r="I67" s="87">
        <f t="shared" si="51"/>
        <v>66.928134513072919</v>
      </c>
      <c r="J67" s="87">
        <f t="shared" si="51"/>
        <v>66.627298124251695</v>
      </c>
      <c r="K67" s="87">
        <f t="shared" si="51"/>
        <v>78.605991303856797</v>
      </c>
      <c r="L67" s="87">
        <f t="shared" si="51"/>
        <v>78.980057705363208</v>
      </c>
      <c r="M67" s="87">
        <f t="shared" si="51"/>
        <v>74.57601410934744</v>
      </c>
      <c r="N67" s="87">
        <f t="shared" si="51"/>
        <v>78.875871687587164</v>
      </c>
      <c r="O67" s="87">
        <f t="shared" si="51"/>
        <v>82.640337116668206</v>
      </c>
      <c r="P67" s="87">
        <f t="shared" si="51"/>
        <v>81.966087325137764</v>
      </c>
      <c r="Q67" s="87">
        <f t="shared" si="51"/>
        <v>93.740975803252681</v>
      </c>
      <c r="R67" s="87">
        <f t="shared" si="51"/>
        <v>76.49838392094216</v>
      </c>
      <c r="S67" s="87">
        <f t="shared" si="51"/>
        <v>88.801394642622824</v>
      </c>
      <c r="T67" s="87">
        <f t="shared" si="51"/>
        <v>89.9772872567126</v>
      </c>
      <c r="U67" s="87">
        <f t="shared" si="51"/>
        <v>85.999689312344657</v>
      </c>
      <c r="V67" s="87">
        <f t="shared" si="51"/>
        <v>58.511663454509204</v>
      </c>
      <c r="W67" s="87">
        <f t="shared" ref="W67:Y67" si="52">IF(W35=0,0,W35/W25)</f>
        <v>74.613119706800063</v>
      </c>
      <c r="X67" s="87">
        <f t="shared" si="52"/>
        <v>98.379931622076299</v>
      </c>
      <c r="Y67" s="87">
        <f t="shared" si="52"/>
        <v>103.3140597074204</v>
      </c>
      <c r="DA67" s="171" t="s">
        <v>243</v>
      </c>
    </row>
    <row r="68" spans="1:105" ht="11.45" customHeight="1" x14ac:dyDescent="0.25">
      <c r="A68" s="83" t="s">
        <v>181</v>
      </c>
      <c r="B68" s="87">
        <f t="shared" si="48"/>
        <v>91.115511873682451</v>
      </c>
      <c r="C68" s="87">
        <f t="shared" si="48"/>
        <v>91.860295183692401</v>
      </c>
      <c r="D68" s="87">
        <f t="shared" ref="D68:V68" si="53">IF(D36=0,0,D36/D26)</f>
        <v>95.880647809538019</v>
      </c>
      <c r="E68" s="87">
        <f t="shared" si="53"/>
        <v>95.658677104406721</v>
      </c>
      <c r="F68" s="87">
        <f t="shared" si="53"/>
        <v>97.947848874042506</v>
      </c>
      <c r="G68" s="87">
        <f t="shared" si="53"/>
        <v>96.743108003522721</v>
      </c>
      <c r="H68" s="87">
        <f t="shared" si="53"/>
        <v>95.762754078236028</v>
      </c>
      <c r="I68" s="87">
        <f t="shared" si="53"/>
        <v>98.746125351273093</v>
      </c>
      <c r="J68" s="87">
        <f t="shared" si="53"/>
        <v>102.84407140838026</v>
      </c>
      <c r="K68" s="87">
        <f t="shared" si="53"/>
        <v>107.19173237753883</v>
      </c>
      <c r="L68" s="87">
        <f t="shared" si="53"/>
        <v>108.55506311040037</v>
      </c>
      <c r="M68" s="87">
        <f t="shared" si="53"/>
        <v>113.0459147684728</v>
      </c>
      <c r="N68" s="87">
        <f t="shared" si="53"/>
        <v>116.04120217507383</v>
      </c>
      <c r="O68" s="87">
        <f t="shared" si="53"/>
        <v>118.74807473803813</v>
      </c>
      <c r="P68" s="87">
        <f t="shared" si="53"/>
        <v>122.8764817075572</v>
      </c>
      <c r="Q68" s="87">
        <f t="shared" si="53"/>
        <v>126.73884935627041</v>
      </c>
      <c r="R68" s="87">
        <f t="shared" si="53"/>
        <v>132.21630760150092</v>
      </c>
      <c r="S68" s="87">
        <f t="shared" si="53"/>
        <v>139.01947997467755</v>
      </c>
      <c r="T68" s="87">
        <f t="shared" si="53"/>
        <v>138.20740185581727</v>
      </c>
      <c r="U68" s="87">
        <f t="shared" si="53"/>
        <v>142.85939241242309</v>
      </c>
      <c r="V68" s="87">
        <f t="shared" si="53"/>
        <v>108.64644588878572</v>
      </c>
      <c r="W68" s="87">
        <f t="shared" ref="W68:Y68" si="54">IF(W36=0,0,W36/W26)</f>
        <v>108.40779885774306</v>
      </c>
      <c r="X68" s="87">
        <f t="shared" si="54"/>
        <v>141.44720231247973</v>
      </c>
      <c r="Y68" s="87">
        <f t="shared" si="54"/>
        <v>150.0913396481732</v>
      </c>
      <c r="DA68" s="171" t="s">
        <v>244</v>
      </c>
    </row>
    <row r="69" spans="1:105" ht="11.45" customHeight="1" x14ac:dyDescent="0.25">
      <c r="A69" s="83" t="s">
        <v>182</v>
      </c>
      <c r="B69" s="87">
        <f t="shared" si="48"/>
        <v>110.77702094846421</v>
      </c>
      <c r="C69" s="87">
        <f t="shared" si="48"/>
        <v>112.47210357714896</v>
      </c>
      <c r="D69" s="87">
        <f t="shared" ref="D69:V69" si="55">IF(D37=0,0,D37/D27)</f>
        <v>127.47079840593651</v>
      </c>
      <c r="E69" s="87">
        <f t="shared" si="55"/>
        <v>124.67883390494856</v>
      </c>
      <c r="F69" s="87">
        <f t="shared" si="55"/>
        <v>136.9156230234029</v>
      </c>
      <c r="G69" s="87">
        <f t="shared" si="55"/>
        <v>133.04831593672657</v>
      </c>
      <c r="H69" s="87">
        <f t="shared" si="55"/>
        <v>129.60585654525048</v>
      </c>
      <c r="I69" s="87">
        <f t="shared" si="55"/>
        <v>131.70626631853787</v>
      </c>
      <c r="J69" s="87">
        <f t="shared" si="55"/>
        <v>147.06891552290742</v>
      </c>
      <c r="K69" s="87">
        <f t="shared" si="55"/>
        <v>146.98187431530724</v>
      </c>
      <c r="L69" s="87">
        <f t="shared" si="55"/>
        <v>149.90215110178383</v>
      </c>
      <c r="M69" s="87">
        <f t="shared" si="55"/>
        <v>151.9837873976266</v>
      </c>
      <c r="N69" s="87">
        <f t="shared" si="55"/>
        <v>154.92844593515412</v>
      </c>
      <c r="O69" s="87">
        <f t="shared" si="55"/>
        <v>160.53430714567708</v>
      </c>
      <c r="P69" s="87">
        <f t="shared" si="55"/>
        <v>161.21238872403561</v>
      </c>
      <c r="Q69" s="87">
        <f t="shared" si="55"/>
        <v>159.58709582381971</v>
      </c>
      <c r="R69" s="87">
        <f t="shared" si="55"/>
        <v>158.639801860901</v>
      </c>
      <c r="S69" s="87">
        <f t="shared" si="55"/>
        <v>167.90083918479192</v>
      </c>
      <c r="T69" s="87">
        <f t="shared" si="55"/>
        <v>168.77576773303102</v>
      </c>
      <c r="U69" s="87">
        <f t="shared" si="55"/>
        <v>173.06301909410053</v>
      </c>
      <c r="V69" s="87">
        <f t="shared" si="55"/>
        <v>138.02535441657579</v>
      </c>
      <c r="W69" s="87">
        <f t="shared" ref="W69:Y69" si="56">IF(W37=0,0,W37/W27)</f>
        <v>130.31443085216671</v>
      </c>
      <c r="X69" s="87">
        <f t="shared" si="56"/>
        <v>173.59054107424961</v>
      </c>
      <c r="Y69" s="87">
        <f t="shared" si="56"/>
        <v>183.23242219660793</v>
      </c>
      <c r="DA69" s="171" t="s">
        <v>245</v>
      </c>
    </row>
    <row r="70" spans="1:105" ht="11.45" customHeight="1" x14ac:dyDescent="0.25">
      <c r="A70" s="12" t="s">
        <v>85</v>
      </c>
      <c r="B70" s="15">
        <f t="shared" si="48"/>
        <v>15.764802850153773</v>
      </c>
      <c r="C70" s="15">
        <f t="shared" si="48"/>
        <v>16.096661686805803</v>
      </c>
      <c r="D70" s="15">
        <f t="shared" ref="D70:V70" si="57">IF(D38=0,0,D38/D28)</f>
        <v>16.279642459755252</v>
      </c>
      <c r="E70" s="15">
        <f t="shared" si="57"/>
        <v>16.535355076940661</v>
      </c>
      <c r="F70" s="15">
        <f t="shared" si="57"/>
        <v>15.895794360750038</v>
      </c>
      <c r="G70" s="15">
        <f t="shared" si="57"/>
        <v>15.54678471266873</v>
      </c>
      <c r="H70" s="15">
        <f t="shared" si="57"/>
        <v>15.657253414202854</v>
      </c>
      <c r="I70" s="15">
        <f t="shared" si="57"/>
        <v>16.024413162515032</v>
      </c>
      <c r="J70" s="15">
        <f t="shared" si="57"/>
        <v>16.301801519974767</v>
      </c>
      <c r="K70" s="15">
        <f t="shared" si="57"/>
        <v>16.352587189232029</v>
      </c>
      <c r="L70" s="15">
        <f t="shared" si="57"/>
        <v>18.796809274313794</v>
      </c>
      <c r="M70" s="15">
        <f t="shared" si="57"/>
        <v>21.487343960557386</v>
      </c>
      <c r="N70" s="15">
        <f t="shared" si="57"/>
        <v>23.677800246608996</v>
      </c>
      <c r="O70" s="15">
        <f t="shared" si="57"/>
        <v>24.660998321375711</v>
      </c>
      <c r="P70" s="15">
        <f t="shared" si="57"/>
        <v>27.923024978827627</v>
      </c>
      <c r="Q70" s="15">
        <f t="shared" si="57"/>
        <v>27.359487555745741</v>
      </c>
      <c r="R70" s="15">
        <f t="shared" si="57"/>
        <v>30.70214033778338</v>
      </c>
      <c r="S70" s="15">
        <f t="shared" si="57"/>
        <v>31.703078262344732</v>
      </c>
      <c r="T70" s="15">
        <f t="shared" si="57"/>
        <v>31.183663841104803</v>
      </c>
      <c r="U70" s="15">
        <f t="shared" si="57"/>
        <v>34.813763263806244</v>
      </c>
      <c r="V70" s="15">
        <f t="shared" si="57"/>
        <v>25.268519221457449</v>
      </c>
      <c r="W70" s="15">
        <f t="shared" ref="W70:Y70" si="58">IF(W38=0,0,W38/W28)</f>
        <v>27.491591095267225</v>
      </c>
      <c r="X70" s="15">
        <f t="shared" si="58"/>
        <v>31.212610037584092</v>
      </c>
      <c r="Y70" s="15">
        <f t="shared" si="58"/>
        <v>31.384377207554639</v>
      </c>
      <c r="DA70" s="193" t="s">
        <v>246</v>
      </c>
    </row>
    <row r="71" spans="1:105" ht="11.45" customHeight="1" x14ac:dyDescent="0.25">
      <c r="A71" s="42" t="s">
        <v>27</v>
      </c>
      <c r="B71" s="41">
        <f t="shared" si="48"/>
        <v>10.023284561418631</v>
      </c>
      <c r="C71" s="41">
        <f t="shared" si="48"/>
        <v>9.9468444225812966</v>
      </c>
      <c r="D71" s="41">
        <f t="shared" ref="D71:V71" si="59">IF(D39=0,0,D39/D29)</f>
        <v>10.228618824365732</v>
      </c>
      <c r="E71" s="41">
        <f t="shared" si="59"/>
        <v>10.880110401352557</v>
      </c>
      <c r="F71" s="41">
        <f t="shared" si="59"/>
        <v>10.245291210092235</v>
      </c>
      <c r="G71" s="41">
        <f t="shared" si="59"/>
        <v>10.026386560137624</v>
      </c>
      <c r="H71" s="41">
        <f t="shared" si="59"/>
        <v>9.6442955326529347</v>
      </c>
      <c r="I71" s="41">
        <f t="shared" si="59"/>
        <v>9.6084865500782293</v>
      </c>
      <c r="J71" s="41">
        <f t="shared" si="59"/>
        <v>9.2442542001847308</v>
      </c>
      <c r="K71" s="41">
        <f t="shared" si="59"/>
        <v>9.3240998338960406</v>
      </c>
      <c r="L71" s="41">
        <f t="shared" si="59"/>
        <v>9.9726932495609368</v>
      </c>
      <c r="M71" s="41">
        <f t="shared" si="59"/>
        <v>10.895437219200758</v>
      </c>
      <c r="N71" s="41">
        <f t="shared" si="59"/>
        <v>11.19133112954926</v>
      </c>
      <c r="O71" s="41">
        <f t="shared" si="59"/>
        <v>11.472606557577453</v>
      </c>
      <c r="P71" s="41">
        <f t="shared" si="59"/>
        <v>12.867097049767036</v>
      </c>
      <c r="Q71" s="41">
        <f t="shared" si="59"/>
        <v>13.240298620670725</v>
      </c>
      <c r="R71" s="41">
        <f t="shared" si="59"/>
        <v>15.261225204177915</v>
      </c>
      <c r="S71" s="41">
        <f t="shared" si="59"/>
        <v>14.037407282807472</v>
      </c>
      <c r="T71" s="41">
        <f t="shared" si="59"/>
        <v>14.28777069472639</v>
      </c>
      <c r="U71" s="41">
        <f t="shared" si="59"/>
        <v>15.803408783848621</v>
      </c>
      <c r="V71" s="41">
        <f t="shared" si="59"/>
        <v>14.565549583941408</v>
      </c>
      <c r="W71" s="41">
        <f t="shared" ref="W71:Y71" si="60">IF(W39=0,0,W39/W29)</f>
        <v>14.733887425092286</v>
      </c>
      <c r="X71" s="41">
        <f t="shared" si="60"/>
        <v>14.903133727895911</v>
      </c>
      <c r="Y71" s="41">
        <f t="shared" si="60"/>
        <v>14.791343727721088</v>
      </c>
      <c r="DA71" s="196" t="s">
        <v>247</v>
      </c>
    </row>
    <row r="72" spans="1:105" ht="11.45" customHeight="1" x14ac:dyDescent="0.25">
      <c r="A72" s="42" t="s">
        <v>181</v>
      </c>
      <c r="B72" s="41">
        <f t="shared" si="48"/>
        <v>16.167807765431576</v>
      </c>
      <c r="C72" s="41">
        <f t="shared" si="48"/>
        <v>16.347531780245248</v>
      </c>
      <c r="D72" s="41">
        <f t="shared" ref="D72:V72" si="61">IF(D40=0,0,D40/D30)</f>
        <v>16.36514393507635</v>
      </c>
      <c r="E72" s="41">
        <f t="shared" si="61"/>
        <v>17.221696677308699</v>
      </c>
      <c r="F72" s="41">
        <f t="shared" si="61"/>
        <v>16.065947226318933</v>
      </c>
      <c r="G72" s="41">
        <f t="shared" si="61"/>
        <v>15.202475894043333</v>
      </c>
      <c r="H72" s="41">
        <f t="shared" si="61"/>
        <v>14.017847842266168</v>
      </c>
      <c r="I72" s="41">
        <f t="shared" si="61"/>
        <v>13.786843762306624</v>
      </c>
      <c r="J72" s="41">
        <f t="shared" si="61"/>
        <v>13.706049515651271</v>
      </c>
      <c r="K72" s="41">
        <f t="shared" si="61"/>
        <v>13.698894254303415</v>
      </c>
      <c r="L72" s="41">
        <f t="shared" si="61"/>
        <v>14.504774438576117</v>
      </c>
      <c r="M72" s="41">
        <f t="shared" si="61"/>
        <v>15.593990976967524</v>
      </c>
      <c r="N72" s="41">
        <f t="shared" si="61"/>
        <v>16.668272444699468</v>
      </c>
      <c r="O72" s="41">
        <f t="shared" si="61"/>
        <v>16.75700658505092</v>
      </c>
      <c r="P72" s="41">
        <f t="shared" si="61"/>
        <v>18.449412678664508</v>
      </c>
      <c r="Q72" s="41">
        <f t="shared" si="61"/>
        <v>18.477606558493594</v>
      </c>
      <c r="R72" s="41">
        <f t="shared" si="61"/>
        <v>20.847919403023052</v>
      </c>
      <c r="S72" s="41">
        <f t="shared" si="61"/>
        <v>19.377525185076976</v>
      </c>
      <c r="T72" s="41">
        <f t="shared" si="61"/>
        <v>19.225461196308377</v>
      </c>
      <c r="U72" s="41">
        <f t="shared" si="61"/>
        <v>19.702598617631956</v>
      </c>
      <c r="V72" s="41">
        <f t="shared" si="61"/>
        <v>17.640506114488737</v>
      </c>
      <c r="W72" s="41">
        <f t="shared" ref="W72:Y72" si="62">IF(W40=0,0,W40/W30)</f>
        <v>17.768395755469797</v>
      </c>
      <c r="X72" s="41">
        <f t="shared" si="62"/>
        <v>17.890474130141026</v>
      </c>
      <c r="Y72" s="41">
        <f t="shared" si="62"/>
        <v>17.970037243342702</v>
      </c>
      <c r="DA72" s="196" t="s">
        <v>248</v>
      </c>
    </row>
    <row r="73" spans="1:105" ht="11.45" customHeight="1" x14ac:dyDescent="0.25">
      <c r="A73" s="38" t="s">
        <v>182</v>
      </c>
      <c r="B73" s="40">
        <f t="shared" si="48"/>
        <v>52.13832275608636</v>
      </c>
      <c r="C73" s="40">
        <f t="shared" si="48"/>
        <v>53.867382020046904</v>
      </c>
      <c r="D73" s="40">
        <f t="shared" ref="D73:V73" si="63">IF(D41=0,0,D41/D31)</f>
        <v>52.903188435639549</v>
      </c>
      <c r="E73" s="40">
        <f t="shared" si="63"/>
        <v>48.726605018216752</v>
      </c>
      <c r="F73" s="40">
        <f t="shared" si="63"/>
        <v>48.059639068158532</v>
      </c>
      <c r="G73" s="40">
        <f t="shared" si="63"/>
        <v>44.215541300581251</v>
      </c>
      <c r="H73" s="40">
        <f t="shared" si="63"/>
        <v>45.164132697953747</v>
      </c>
      <c r="I73" s="40">
        <f t="shared" si="63"/>
        <v>45.185822139749781</v>
      </c>
      <c r="J73" s="40">
        <f t="shared" si="63"/>
        <v>44.913119763550647</v>
      </c>
      <c r="K73" s="40">
        <f t="shared" si="63"/>
        <v>49.899933457134011</v>
      </c>
      <c r="L73" s="40">
        <f t="shared" si="63"/>
        <v>52.527925633175613</v>
      </c>
      <c r="M73" s="40">
        <f t="shared" si="63"/>
        <v>55.066413538494714</v>
      </c>
      <c r="N73" s="40">
        <f t="shared" si="63"/>
        <v>59.082056024886235</v>
      </c>
      <c r="O73" s="40">
        <f t="shared" si="63"/>
        <v>59.664691083399632</v>
      </c>
      <c r="P73" s="40">
        <f t="shared" si="63"/>
        <v>66.461807942068631</v>
      </c>
      <c r="Q73" s="40">
        <f t="shared" si="63"/>
        <v>66.264429177726498</v>
      </c>
      <c r="R73" s="40">
        <f t="shared" si="63"/>
        <v>73.442316804529241</v>
      </c>
      <c r="S73" s="40">
        <f t="shared" si="63"/>
        <v>73.32593091987863</v>
      </c>
      <c r="T73" s="40">
        <f t="shared" si="63"/>
        <v>73.592740807573165</v>
      </c>
      <c r="U73" s="40">
        <f t="shared" si="63"/>
        <v>75.40152312606179</v>
      </c>
      <c r="V73" s="40">
        <f t="shared" si="63"/>
        <v>50.528235250360851</v>
      </c>
      <c r="W73" s="40">
        <f t="shared" ref="W73:Y73" si="64">IF(W41=0,0,W41/W31)</f>
        <v>53.587012042781261</v>
      </c>
      <c r="X73" s="40">
        <f t="shared" si="64"/>
        <v>60.501674061496317</v>
      </c>
      <c r="Y73" s="40">
        <f t="shared" si="64"/>
        <v>63.067440817812063</v>
      </c>
      <c r="DA73" s="197" t="s">
        <v>249</v>
      </c>
    </row>
    <row r="74" spans="1:105" x14ac:dyDescent="0.25">
      <c r="A74" s="50"/>
      <c r="B74" s="50"/>
      <c r="C74" s="50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DA74" s="181"/>
    </row>
    <row r="75" spans="1:105" ht="11.45" customHeight="1" x14ac:dyDescent="0.25">
      <c r="A75" s="53" t="s">
        <v>139</v>
      </c>
      <c r="B75" s="62">
        <f t="shared" ref="B75:C83" si="65">IF(B13=0,0,B13*1000000/B23)</f>
        <v>1512.1738809466751</v>
      </c>
      <c r="C75" s="62">
        <f t="shared" si="65"/>
        <v>1496.5450799809375</v>
      </c>
      <c r="D75" s="62">
        <f t="shared" ref="D75:V75" si="66">IF(D13=0,0,D13*1000000/D23)</f>
        <v>1471.5557844079792</v>
      </c>
      <c r="E75" s="62">
        <f t="shared" si="66"/>
        <v>1506.3420680516435</v>
      </c>
      <c r="F75" s="62">
        <f t="shared" si="66"/>
        <v>1469.3243728780012</v>
      </c>
      <c r="G75" s="62">
        <f t="shared" si="66"/>
        <v>1501.8279106052116</v>
      </c>
      <c r="H75" s="62">
        <f t="shared" si="66"/>
        <v>1590.4934134009914</v>
      </c>
      <c r="I75" s="62">
        <f t="shared" si="66"/>
        <v>1645.5105378591602</v>
      </c>
      <c r="J75" s="62">
        <f t="shared" si="66"/>
        <v>1624.2214602597121</v>
      </c>
      <c r="K75" s="62">
        <f t="shared" si="66"/>
        <v>1624.680267478321</v>
      </c>
      <c r="L75" s="62">
        <f t="shared" si="66"/>
        <v>1650.9514207625944</v>
      </c>
      <c r="M75" s="62">
        <f t="shared" si="66"/>
        <v>1665.3467537931108</v>
      </c>
      <c r="N75" s="62">
        <f t="shared" si="66"/>
        <v>1687.322157453674</v>
      </c>
      <c r="O75" s="62">
        <f t="shared" si="66"/>
        <v>1707.6370256825489</v>
      </c>
      <c r="P75" s="62">
        <f t="shared" si="66"/>
        <v>1725.0491661987605</v>
      </c>
      <c r="Q75" s="62">
        <f t="shared" si="66"/>
        <v>1712.1194489560482</v>
      </c>
      <c r="R75" s="62">
        <f t="shared" si="66"/>
        <v>1622.6740202401757</v>
      </c>
      <c r="S75" s="62">
        <f t="shared" si="66"/>
        <v>1678.969624501796</v>
      </c>
      <c r="T75" s="62">
        <f t="shared" si="66"/>
        <v>1711.5898759541585</v>
      </c>
      <c r="U75" s="62">
        <f t="shared" si="66"/>
        <v>1751.7467595531457</v>
      </c>
      <c r="V75" s="62">
        <f t="shared" si="66"/>
        <v>1624.3250051482003</v>
      </c>
      <c r="W75" s="62">
        <f t="shared" ref="W75:Y75" si="67">IF(W13=0,0,W13*1000000/W23)</f>
        <v>1630.0077134771209</v>
      </c>
      <c r="X75" s="62">
        <f t="shared" si="67"/>
        <v>1751.3041853795571</v>
      </c>
      <c r="Y75" s="62">
        <f t="shared" si="67"/>
        <v>1767.5677843543751</v>
      </c>
      <c r="DA75" s="172" t="s">
        <v>250</v>
      </c>
    </row>
    <row r="76" spans="1:105" ht="11.45" customHeight="1" x14ac:dyDescent="0.25">
      <c r="A76" s="10" t="s">
        <v>33</v>
      </c>
      <c r="B76" s="14">
        <f t="shared" si="65"/>
        <v>1541.8532550799207</v>
      </c>
      <c r="C76" s="14">
        <f t="shared" si="65"/>
        <v>1523.1426066543206</v>
      </c>
      <c r="D76" s="14">
        <f t="shared" ref="D76:V76" si="68">IF(D14=0,0,D14*1000000/D24)</f>
        <v>1496.5933268013605</v>
      </c>
      <c r="E76" s="14">
        <f t="shared" si="68"/>
        <v>1531.4160858973103</v>
      </c>
      <c r="F76" s="14">
        <f t="shared" si="68"/>
        <v>1491.9362178459423</v>
      </c>
      <c r="G76" s="14">
        <f t="shared" si="68"/>
        <v>1524.5028000822297</v>
      </c>
      <c r="H76" s="14">
        <f t="shared" si="68"/>
        <v>1608.3840822006925</v>
      </c>
      <c r="I76" s="14">
        <f t="shared" si="68"/>
        <v>1658.3375867881077</v>
      </c>
      <c r="J76" s="14">
        <f t="shared" si="68"/>
        <v>1632.2960355885475</v>
      </c>
      <c r="K76" s="14">
        <f t="shared" si="68"/>
        <v>1633.061712713054</v>
      </c>
      <c r="L76" s="14">
        <f t="shared" si="68"/>
        <v>1652.6650537130834</v>
      </c>
      <c r="M76" s="14">
        <f t="shared" si="68"/>
        <v>1663.6608238895617</v>
      </c>
      <c r="N76" s="14">
        <f t="shared" si="68"/>
        <v>1684.9018319725569</v>
      </c>
      <c r="O76" s="14">
        <f t="shared" si="68"/>
        <v>1704.9797342959689</v>
      </c>
      <c r="P76" s="14">
        <f t="shared" si="68"/>
        <v>1722.2706649393438</v>
      </c>
      <c r="Q76" s="14">
        <f t="shared" si="68"/>
        <v>1710.0860181456396</v>
      </c>
      <c r="R76" s="14">
        <f t="shared" si="68"/>
        <v>1620.7034948156786</v>
      </c>
      <c r="S76" s="14">
        <f t="shared" si="68"/>
        <v>1676.1297979662463</v>
      </c>
      <c r="T76" s="14">
        <f t="shared" si="68"/>
        <v>1709.6723699469128</v>
      </c>
      <c r="U76" s="14">
        <f t="shared" si="68"/>
        <v>1752.9090573255785</v>
      </c>
      <c r="V76" s="14">
        <f t="shared" si="68"/>
        <v>1625.4764860158027</v>
      </c>
      <c r="W76" s="14">
        <f t="shared" ref="W76:Y76" si="69">IF(W14=0,0,W14*1000000/W24)</f>
        <v>1628.9641364257343</v>
      </c>
      <c r="X76" s="14">
        <f t="shared" si="69"/>
        <v>1749.6039189079158</v>
      </c>
      <c r="Y76" s="14">
        <f t="shared" si="69"/>
        <v>1775.4768514559635</v>
      </c>
      <c r="DA76" s="189" t="s">
        <v>251</v>
      </c>
    </row>
    <row r="77" spans="1:105" ht="11.45" customHeight="1" x14ac:dyDescent="0.25">
      <c r="A77" s="37" t="s">
        <v>27</v>
      </c>
      <c r="B77" s="39">
        <f t="shared" si="65"/>
        <v>620.28482640199491</v>
      </c>
      <c r="C77" s="39">
        <f t="shared" si="65"/>
        <v>620.28482640199491</v>
      </c>
      <c r="D77" s="39">
        <f t="shared" ref="D77:V77" si="70">IF(D15=0,0,D15*1000000/D25)</f>
        <v>620.28482640199491</v>
      </c>
      <c r="E77" s="39">
        <f t="shared" si="70"/>
        <v>620.28482640199491</v>
      </c>
      <c r="F77" s="39">
        <f t="shared" si="70"/>
        <v>620.28482640199491</v>
      </c>
      <c r="G77" s="39">
        <f t="shared" si="70"/>
        <v>630.74500764321931</v>
      </c>
      <c r="H77" s="39">
        <f t="shared" si="70"/>
        <v>643.22524428674285</v>
      </c>
      <c r="I77" s="39">
        <f t="shared" si="70"/>
        <v>644.38360012177816</v>
      </c>
      <c r="J77" s="39">
        <f t="shared" si="70"/>
        <v>635.56191745946398</v>
      </c>
      <c r="K77" s="39">
        <f t="shared" si="70"/>
        <v>624.64966937692714</v>
      </c>
      <c r="L77" s="39">
        <f t="shared" si="70"/>
        <v>631.28517814726843</v>
      </c>
      <c r="M77" s="39">
        <f t="shared" si="70"/>
        <v>619.80546319916039</v>
      </c>
      <c r="N77" s="39">
        <f t="shared" si="70"/>
        <v>625.26065304446035</v>
      </c>
      <c r="O77" s="39">
        <f t="shared" si="70"/>
        <v>631.47777486155655</v>
      </c>
      <c r="P77" s="39">
        <f t="shared" si="70"/>
        <v>652.79293550046407</v>
      </c>
      <c r="Q77" s="39">
        <f t="shared" si="70"/>
        <v>668.91233910032281</v>
      </c>
      <c r="R77" s="39">
        <f t="shared" si="70"/>
        <v>644.03129196251939</v>
      </c>
      <c r="S77" s="39">
        <f t="shared" si="70"/>
        <v>665.31040845847474</v>
      </c>
      <c r="T77" s="39">
        <f t="shared" si="70"/>
        <v>665.75586752669517</v>
      </c>
      <c r="U77" s="39">
        <f t="shared" si="70"/>
        <v>696.61480359748111</v>
      </c>
      <c r="V77" s="39">
        <f t="shared" si="70"/>
        <v>670.26797520661148</v>
      </c>
      <c r="W77" s="39">
        <f t="shared" ref="W77:Y77" si="71">IF(W15=0,0,W15*1000000/W25)</f>
        <v>702.06472729110851</v>
      </c>
      <c r="X77" s="39">
        <f t="shared" si="71"/>
        <v>732.96731723576045</v>
      </c>
      <c r="Y77" s="39">
        <f t="shared" si="71"/>
        <v>716.16908253751706</v>
      </c>
      <c r="DA77" s="198" t="s">
        <v>252</v>
      </c>
    </row>
    <row r="78" spans="1:105" ht="11.45" customHeight="1" x14ac:dyDescent="0.25">
      <c r="A78" s="37" t="s">
        <v>181</v>
      </c>
      <c r="B78" s="39">
        <f t="shared" si="65"/>
        <v>1631.2243706344807</v>
      </c>
      <c r="C78" s="39">
        <f t="shared" si="65"/>
        <v>1631.2252378440239</v>
      </c>
      <c r="D78" s="39">
        <f t="shared" ref="D78:V78" si="72">IF(D16=0,0,D16*1000000/D26)</f>
        <v>1631.2236127169986</v>
      </c>
      <c r="E78" s="39">
        <f t="shared" si="72"/>
        <v>1631.1917977310409</v>
      </c>
      <c r="F78" s="39">
        <f t="shared" si="72"/>
        <v>1636.2603893269459</v>
      </c>
      <c r="G78" s="39">
        <f t="shared" si="72"/>
        <v>1631.3822906799192</v>
      </c>
      <c r="H78" s="39">
        <f t="shared" si="72"/>
        <v>1638.412831076053</v>
      </c>
      <c r="I78" s="39">
        <f t="shared" si="72"/>
        <v>1627.0096852462316</v>
      </c>
      <c r="J78" s="39">
        <f t="shared" si="72"/>
        <v>1634.7736504572129</v>
      </c>
      <c r="K78" s="39">
        <f t="shared" si="72"/>
        <v>1638.507940437489</v>
      </c>
      <c r="L78" s="39">
        <f t="shared" si="72"/>
        <v>1635.1761507754341</v>
      </c>
      <c r="M78" s="39">
        <f t="shared" si="72"/>
        <v>1613.5817339412981</v>
      </c>
      <c r="N78" s="39">
        <f t="shared" si="72"/>
        <v>1613.6387480829972</v>
      </c>
      <c r="O78" s="39">
        <f t="shared" si="72"/>
        <v>1636.2212101703728</v>
      </c>
      <c r="P78" s="39">
        <f t="shared" si="72"/>
        <v>1635.4433091773535</v>
      </c>
      <c r="Q78" s="39">
        <f t="shared" si="72"/>
        <v>1635.3310013649173</v>
      </c>
      <c r="R78" s="39">
        <f t="shared" si="72"/>
        <v>1659.5047670862466</v>
      </c>
      <c r="S78" s="39">
        <f t="shared" si="72"/>
        <v>1679.3733196969372</v>
      </c>
      <c r="T78" s="39">
        <f t="shared" si="72"/>
        <v>1681.3451729665931</v>
      </c>
      <c r="U78" s="39">
        <f t="shared" si="72"/>
        <v>1669.6843121343938</v>
      </c>
      <c r="V78" s="39">
        <f t="shared" si="72"/>
        <v>1652.9888356465917</v>
      </c>
      <c r="W78" s="39">
        <f t="shared" ref="W78:Y78" si="73">IF(W16=0,0,W16*1000000/W26)</f>
        <v>1677.6862802280023</v>
      </c>
      <c r="X78" s="39">
        <f t="shared" si="73"/>
        <v>1674.1918556339579</v>
      </c>
      <c r="Y78" s="39">
        <f t="shared" si="73"/>
        <v>1675.7766171314636</v>
      </c>
      <c r="DA78" s="198" t="s">
        <v>253</v>
      </c>
    </row>
    <row r="79" spans="1:105" ht="11.45" customHeight="1" x14ac:dyDescent="0.25">
      <c r="A79" s="37" t="s">
        <v>182</v>
      </c>
      <c r="B79" s="39">
        <f t="shared" si="65"/>
        <v>4800.4013655740819</v>
      </c>
      <c r="C79" s="39">
        <f t="shared" si="65"/>
        <v>4800.4013655740828</v>
      </c>
      <c r="D79" s="39">
        <f t="shared" ref="D79:V79" si="74">IF(D17=0,0,D17*1000000/D27)</f>
        <v>4800.4013655740819</v>
      </c>
      <c r="E79" s="39">
        <f t="shared" si="74"/>
        <v>4800.4013655740819</v>
      </c>
      <c r="F79" s="39">
        <f t="shared" si="74"/>
        <v>4800.4013655740819</v>
      </c>
      <c r="G79" s="39">
        <f t="shared" si="74"/>
        <v>4844.2946897708216</v>
      </c>
      <c r="H79" s="39">
        <f t="shared" si="74"/>
        <v>5011.8161551179865</v>
      </c>
      <c r="I79" s="39">
        <f t="shared" si="74"/>
        <v>5256.1123965405177</v>
      </c>
      <c r="J79" s="39">
        <f t="shared" si="74"/>
        <v>5231.2101830360116</v>
      </c>
      <c r="K79" s="39">
        <f t="shared" si="74"/>
        <v>5144.6729556513837</v>
      </c>
      <c r="L79" s="39">
        <f t="shared" si="74"/>
        <v>4943.9283773121761</v>
      </c>
      <c r="M79" s="39">
        <f t="shared" si="74"/>
        <v>5017.0535558242127</v>
      </c>
      <c r="N79" s="39">
        <f t="shared" si="74"/>
        <v>4998.1652709359605</v>
      </c>
      <c r="O79" s="39">
        <f t="shared" si="74"/>
        <v>4976.6937049519793</v>
      </c>
      <c r="P79" s="39">
        <f t="shared" si="74"/>
        <v>4996.7365159708943</v>
      </c>
      <c r="Q79" s="39">
        <f t="shared" si="74"/>
        <v>5017.1028788804624</v>
      </c>
      <c r="R79" s="39">
        <f t="shared" si="74"/>
        <v>4832.1992096204822</v>
      </c>
      <c r="S79" s="39">
        <f t="shared" si="74"/>
        <v>4730.2444912060655</v>
      </c>
      <c r="T79" s="39">
        <f t="shared" si="74"/>
        <v>4802.9669123252861</v>
      </c>
      <c r="U79" s="39">
        <f t="shared" si="74"/>
        <v>4887.646299212598</v>
      </c>
      <c r="V79" s="39">
        <f t="shared" si="74"/>
        <v>5325.855670103093</v>
      </c>
      <c r="W79" s="39">
        <f t="shared" ref="W79:Y79" si="75">IF(W17=0,0,W17*1000000/W27)</f>
        <v>5124.6234622576521</v>
      </c>
      <c r="X79" s="39">
        <f t="shared" si="75"/>
        <v>5029.0010704554306</v>
      </c>
      <c r="Y79" s="39">
        <f t="shared" si="75"/>
        <v>5035.381977932162</v>
      </c>
      <c r="DA79" s="198" t="s">
        <v>254</v>
      </c>
    </row>
    <row r="80" spans="1:105" ht="11.45" customHeight="1" x14ac:dyDescent="0.25">
      <c r="A80" s="12" t="s">
        <v>34</v>
      </c>
      <c r="B80" s="15">
        <f t="shared" si="65"/>
        <v>844.0124232205925</v>
      </c>
      <c r="C80" s="15">
        <f t="shared" si="65"/>
        <v>852.36806413335387</v>
      </c>
      <c r="D80" s="15">
        <f t="shared" ref="D80:V80" si="76">IF(D18=0,0,D18*1000000/D28)</f>
        <v>864.05908855470386</v>
      </c>
      <c r="E80" s="15">
        <f t="shared" si="76"/>
        <v>842.44099034491092</v>
      </c>
      <c r="F80" s="15">
        <f t="shared" si="76"/>
        <v>866.57341868772312</v>
      </c>
      <c r="G80" s="15">
        <f t="shared" si="76"/>
        <v>898.0073289627303</v>
      </c>
      <c r="H80" s="15">
        <f t="shared" si="76"/>
        <v>1124.7844545825303</v>
      </c>
      <c r="I80" s="15">
        <f t="shared" si="76"/>
        <v>1283.2727070979747</v>
      </c>
      <c r="J80" s="15">
        <f t="shared" si="76"/>
        <v>1397.4184569105828</v>
      </c>
      <c r="K80" s="15">
        <f t="shared" si="76"/>
        <v>1381.3036746112102</v>
      </c>
      <c r="L80" s="15">
        <f t="shared" si="76"/>
        <v>1597.3922176127514</v>
      </c>
      <c r="M80" s="15">
        <f t="shared" si="76"/>
        <v>1734.8027416328723</v>
      </c>
      <c r="N80" s="15">
        <f t="shared" si="76"/>
        <v>1791.7018304409312</v>
      </c>
      <c r="O80" s="15">
        <f t="shared" si="76"/>
        <v>1837.6079557688256</v>
      </c>
      <c r="P80" s="15">
        <f t="shared" si="76"/>
        <v>1885.2652524495118</v>
      </c>
      <c r="Q80" s="15">
        <f t="shared" si="76"/>
        <v>1841.5533441080638</v>
      </c>
      <c r="R80" s="15">
        <f t="shared" si="76"/>
        <v>1788.9863660677147</v>
      </c>
      <c r="S80" s="15">
        <f t="shared" si="76"/>
        <v>1890.9312966616778</v>
      </c>
      <c r="T80" s="15">
        <f t="shared" si="76"/>
        <v>1859.1996927442599</v>
      </c>
      <c r="U80" s="15">
        <f t="shared" si="76"/>
        <v>1667.9904616952529</v>
      </c>
      <c r="V80" s="15">
        <f t="shared" si="76"/>
        <v>1586.3050558658661</v>
      </c>
      <c r="W80" s="15">
        <f t="shared" ref="W80:Y80" si="77">IF(W18=0,0,W18*1000000/W28)</f>
        <v>1667.0623332986258</v>
      </c>
      <c r="X80" s="15">
        <f t="shared" si="77"/>
        <v>1843.856277470448</v>
      </c>
      <c r="Y80" s="15">
        <f t="shared" si="77"/>
        <v>1266.8771388855512</v>
      </c>
      <c r="DA80" s="193" t="s">
        <v>255</v>
      </c>
    </row>
    <row r="81" spans="1:105" ht="11.45" customHeight="1" x14ac:dyDescent="0.25">
      <c r="A81" s="42" t="s">
        <v>27</v>
      </c>
      <c r="B81" s="41">
        <f t="shared" si="65"/>
        <v>123.63823145718837</v>
      </c>
      <c r="C81" s="41">
        <f t="shared" si="65"/>
        <v>123.63823145718837</v>
      </c>
      <c r="D81" s="41">
        <f t="shared" ref="D81:V81" si="78">IF(D19=0,0,D19*1000000/D29)</f>
        <v>123.63823145718835</v>
      </c>
      <c r="E81" s="41">
        <f t="shared" si="78"/>
        <v>123.63823145718835</v>
      </c>
      <c r="F81" s="41">
        <f t="shared" si="78"/>
        <v>123.63823145718837</v>
      </c>
      <c r="G81" s="41">
        <f t="shared" si="78"/>
        <v>134.09841269841269</v>
      </c>
      <c r="H81" s="41">
        <f t="shared" si="78"/>
        <v>214.49904080955173</v>
      </c>
      <c r="I81" s="41">
        <f t="shared" si="78"/>
        <v>283.577788112203</v>
      </c>
      <c r="J81" s="41">
        <f t="shared" si="78"/>
        <v>342.67649691750455</v>
      </c>
      <c r="K81" s="41">
        <f t="shared" si="78"/>
        <v>399.68464030258372</v>
      </c>
      <c r="L81" s="41">
        <f t="shared" si="78"/>
        <v>474.24054054054051</v>
      </c>
      <c r="M81" s="41">
        <f t="shared" si="78"/>
        <v>399.08985145565583</v>
      </c>
      <c r="N81" s="41">
        <f t="shared" si="78"/>
        <v>340.87406716417905</v>
      </c>
      <c r="O81" s="41">
        <f t="shared" si="78"/>
        <v>337.34053421316725</v>
      </c>
      <c r="P81" s="41">
        <f t="shared" si="78"/>
        <v>348.90504008396704</v>
      </c>
      <c r="Q81" s="41">
        <f t="shared" si="78"/>
        <v>355.27378891571794</v>
      </c>
      <c r="R81" s="41">
        <f t="shared" si="78"/>
        <v>320.64208700980674</v>
      </c>
      <c r="S81" s="41">
        <f t="shared" si="78"/>
        <v>332.17054873765431</v>
      </c>
      <c r="T81" s="41">
        <f t="shared" si="78"/>
        <v>322.86535303776679</v>
      </c>
      <c r="U81" s="41">
        <f t="shared" si="78"/>
        <v>327.6295652173913</v>
      </c>
      <c r="V81" s="41">
        <f t="shared" si="78"/>
        <v>317.32615894039736</v>
      </c>
      <c r="W81" s="41">
        <f t="shared" ref="W81:Y81" si="79">IF(W19=0,0,W19*1000000/W29)</f>
        <v>321.77734375</v>
      </c>
      <c r="X81" s="41">
        <f t="shared" si="79"/>
        <v>329.49203539823009</v>
      </c>
      <c r="Y81" s="41">
        <f t="shared" si="79"/>
        <v>385.90307328605195</v>
      </c>
      <c r="DA81" s="196" t="s">
        <v>256</v>
      </c>
    </row>
    <row r="82" spans="1:105" ht="11.45" customHeight="1" x14ac:dyDescent="0.25">
      <c r="A82" s="42" t="s">
        <v>181</v>
      </c>
      <c r="B82" s="41">
        <f t="shared" si="65"/>
        <v>1288.0756532461535</v>
      </c>
      <c r="C82" s="41">
        <f t="shared" si="65"/>
        <v>1289.2317868982032</v>
      </c>
      <c r="D82" s="41">
        <f t="shared" ref="D82:V82" si="80">IF(D20=0,0,D20*1000000/D30)</f>
        <v>1289.1164196296418</v>
      </c>
      <c r="E82" s="41">
        <f t="shared" si="80"/>
        <v>1292.7710568628129</v>
      </c>
      <c r="F82" s="41">
        <f t="shared" si="80"/>
        <v>1303.0492287142979</v>
      </c>
      <c r="G82" s="41">
        <f t="shared" si="80"/>
        <v>1297.6478888156655</v>
      </c>
      <c r="H82" s="41">
        <f t="shared" si="80"/>
        <v>1367.8816584167712</v>
      </c>
      <c r="I82" s="41">
        <f t="shared" si="80"/>
        <v>1403.3311999543189</v>
      </c>
      <c r="J82" s="41">
        <f t="shared" si="80"/>
        <v>1452.8616197187932</v>
      </c>
      <c r="K82" s="41">
        <f t="shared" si="80"/>
        <v>1503.6555373068491</v>
      </c>
      <c r="L82" s="41">
        <f t="shared" si="80"/>
        <v>1549.41706990541</v>
      </c>
      <c r="M82" s="41">
        <f t="shared" si="80"/>
        <v>1512.8218542943728</v>
      </c>
      <c r="N82" s="41">
        <f t="shared" si="80"/>
        <v>1505.2146217127047</v>
      </c>
      <c r="O82" s="41">
        <f t="shared" si="80"/>
        <v>1500.7916534187998</v>
      </c>
      <c r="P82" s="41">
        <f t="shared" si="80"/>
        <v>1475.0822888445516</v>
      </c>
      <c r="Q82" s="41">
        <f t="shared" si="80"/>
        <v>1453.4757157689787</v>
      </c>
      <c r="R82" s="41">
        <f t="shared" si="80"/>
        <v>1455.0097169642911</v>
      </c>
      <c r="S82" s="41">
        <f t="shared" si="80"/>
        <v>1450.1322876848278</v>
      </c>
      <c r="T82" s="41">
        <f t="shared" si="80"/>
        <v>1431.7082441415841</v>
      </c>
      <c r="U82" s="41">
        <f t="shared" si="80"/>
        <v>1391.2562295849514</v>
      </c>
      <c r="V82" s="41">
        <f t="shared" si="80"/>
        <v>1378.3326057995823</v>
      </c>
      <c r="W82" s="41">
        <f t="shared" ref="W82:Y82" si="81">IF(W20=0,0,W20*1000000/W30)</f>
        <v>1412.3993523164818</v>
      </c>
      <c r="X82" s="41">
        <f t="shared" si="81"/>
        <v>1454.7522613005979</v>
      </c>
      <c r="Y82" s="41">
        <f t="shared" si="81"/>
        <v>1527.8897569350845</v>
      </c>
      <c r="DA82" s="196" t="s">
        <v>257</v>
      </c>
    </row>
    <row r="83" spans="1:105" ht="11.45" customHeight="1" x14ac:dyDescent="0.25">
      <c r="A83" s="38" t="s">
        <v>182</v>
      </c>
      <c r="B83" s="40">
        <f t="shared" si="65"/>
        <v>3236.2523068712198</v>
      </c>
      <c r="C83" s="40">
        <f t="shared" si="65"/>
        <v>3236.2523068712198</v>
      </c>
      <c r="D83" s="40">
        <f t="shared" ref="D83:V83" si="82">IF(D21=0,0,D21*1000000/D31)</f>
        <v>3236.2523068712198</v>
      </c>
      <c r="E83" s="40">
        <f t="shared" si="82"/>
        <v>3236.2523068712194</v>
      </c>
      <c r="F83" s="40">
        <f t="shared" si="82"/>
        <v>3236.2523068712194</v>
      </c>
      <c r="G83" s="40">
        <f t="shared" si="82"/>
        <v>3280.1456310679614</v>
      </c>
      <c r="H83" s="40">
        <f t="shared" si="82"/>
        <v>3709.3460449799513</v>
      </c>
      <c r="I83" s="40">
        <f t="shared" si="82"/>
        <v>4215.3212349673095</v>
      </c>
      <c r="J83" s="40">
        <f t="shared" si="82"/>
        <v>4452.0979700276284</v>
      </c>
      <c r="K83" s="40">
        <f t="shared" si="82"/>
        <v>4627.2396912078284</v>
      </c>
      <c r="L83" s="40">
        <f t="shared" si="82"/>
        <v>4688.1740614334467</v>
      </c>
      <c r="M83" s="40">
        <f t="shared" si="82"/>
        <v>4854.5200572375852</v>
      </c>
      <c r="N83" s="40">
        <f t="shared" si="82"/>
        <v>4928.852589641434</v>
      </c>
      <c r="O83" s="40">
        <f t="shared" si="82"/>
        <v>4869.8606948297456</v>
      </c>
      <c r="P83" s="40">
        <f t="shared" si="82"/>
        <v>4852.3831770209545</v>
      </c>
      <c r="Q83" s="40">
        <f t="shared" si="82"/>
        <v>4835.2292111028146</v>
      </c>
      <c r="R83" s="40">
        <f t="shared" si="82"/>
        <v>4612.8052130151273</v>
      </c>
      <c r="S83" s="40">
        <f t="shared" si="82"/>
        <v>4473.3301657730026</v>
      </c>
      <c r="T83" s="40">
        <f t="shared" si="82"/>
        <v>4508.532258064517</v>
      </c>
      <c r="U83" s="40">
        <f t="shared" si="82"/>
        <v>3432.7499999999995</v>
      </c>
      <c r="V83" s="40">
        <f t="shared" si="82"/>
        <v>3406.5900621118012</v>
      </c>
      <c r="W83" s="40">
        <f t="shared" ref="W83:Y83" si="83">IF(W21=0,0,W21*1000000/W31)</f>
        <v>3329.9306930693069</v>
      </c>
      <c r="X83" s="40">
        <f t="shared" si="83"/>
        <v>3629.0266666666666</v>
      </c>
      <c r="Y83" s="40">
        <f t="shared" si="83"/>
        <v>1803.8215297450424</v>
      </c>
      <c r="DA83" s="197" t="s">
        <v>258</v>
      </c>
    </row>
    <row r="84" spans="1:105" x14ac:dyDescent="0.25">
      <c r="A84" s="50"/>
      <c r="B84" s="50"/>
      <c r="C84" s="50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DA84" s="181"/>
    </row>
    <row r="85" spans="1:105" ht="11.45" customHeight="1" x14ac:dyDescent="0.25">
      <c r="A85" s="53" t="s">
        <v>86</v>
      </c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DA85" s="172"/>
    </row>
    <row r="86" spans="1:105" ht="11.45" customHeight="1" x14ac:dyDescent="0.25">
      <c r="A86" s="10" t="s">
        <v>87</v>
      </c>
      <c r="B86" s="11">
        <f t="shared" ref="B86:C93" si="84">IF(B4=0,0,B4*1000000/B24)</f>
        <v>177701.54380637954</v>
      </c>
      <c r="C86" s="11">
        <f t="shared" si="84"/>
        <v>176716.09004287736</v>
      </c>
      <c r="D86" s="11">
        <f t="shared" ref="D86:V86" si="85">IF(D4=0,0,D4*1000000/D24)</f>
        <v>180994.23445018314</v>
      </c>
      <c r="E86" s="11">
        <f t="shared" si="85"/>
        <v>182419.41559041981</v>
      </c>
      <c r="F86" s="11">
        <f t="shared" si="85"/>
        <v>180317.25710240207</v>
      </c>
      <c r="G86" s="11">
        <f t="shared" si="85"/>
        <v>180643.8846347972</v>
      </c>
      <c r="H86" s="11">
        <f t="shared" si="85"/>
        <v>184359.95649419248</v>
      </c>
      <c r="I86" s="11">
        <f t="shared" si="85"/>
        <v>192108.28534973101</v>
      </c>
      <c r="J86" s="11">
        <f t="shared" si="85"/>
        <v>197137.16284901346</v>
      </c>
      <c r="K86" s="11">
        <f t="shared" si="85"/>
        <v>205606.55771214241</v>
      </c>
      <c r="L86" s="11">
        <f t="shared" si="85"/>
        <v>211745.15776375018</v>
      </c>
      <c r="M86" s="11">
        <f t="shared" si="85"/>
        <v>221238.37086932806</v>
      </c>
      <c r="N86" s="11">
        <f t="shared" si="85"/>
        <v>230141.29232975253</v>
      </c>
      <c r="O86" s="11">
        <f t="shared" si="85"/>
        <v>238614.85569993011</v>
      </c>
      <c r="P86" s="11">
        <f t="shared" si="85"/>
        <v>242486.6390226596</v>
      </c>
      <c r="Q86" s="11">
        <f t="shared" si="85"/>
        <v>242655.59564587707</v>
      </c>
      <c r="R86" s="11">
        <f t="shared" si="85"/>
        <v>230276.04138069786</v>
      </c>
      <c r="S86" s="11">
        <f t="shared" si="85"/>
        <v>250718.41027270685</v>
      </c>
      <c r="T86" s="11">
        <f t="shared" si="85"/>
        <v>254459.76263998245</v>
      </c>
      <c r="U86" s="11">
        <f t="shared" si="85"/>
        <v>269002.77850107459</v>
      </c>
      <c r="V86" s="11">
        <f t="shared" si="85"/>
        <v>191175.54610613326</v>
      </c>
      <c r="W86" s="11">
        <f t="shared" ref="W86:Y86" si="86">IF(W4=0,0,W4*1000000/W24)</f>
        <v>189578.16670053508</v>
      </c>
      <c r="X86" s="11">
        <f t="shared" si="86"/>
        <v>267212.26052536705</v>
      </c>
      <c r="Y86" s="11">
        <f t="shared" si="86"/>
        <v>287607.26928748155</v>
      </c>
      <c r="DA86" s="189" t="s">
        <v>259</v>
      </c>
    </row>
    <row r="87" spans="1:105" ht="11.45" customHeight="1" x14ac:dyDescent="0.25">
      <c r="A87" s="37" t="s">
        <v>27</v>
      </c>
      <c r="B87" s="36">
        <f t="shared" si="84"/>
        <v>66580.372739402985</v>
      </c>
      <c r="C87" s="36">
        <f t="shared" si="84"/>
        <v>66615.014915656502</v>
      </c>
      <c r="D87" s="36">
        <f t="shared" ref="D87:V87" si="87">IF(D5=0,0,D5*1000000/D25)</f>
        <v>63629.725876727505</v>
      </c>
      <c r="E87" s="36">
        <f t="shared" si="87"/>
        <v>63738.317549342326</v>
      </c>
      <c r="F87" s="36">
        <f t="shared" si="87"/>
        <v>59298.016440800275</v>
      </c>
      <c r="G87" s="36">
        <f t="shared" si="87"/>
        <v>58002.295024920124</v>
      </c>
      <c r="H87" s="36">
        <f t="shared" si="87"/>
        <v>55815.246329937552</v>
      </c>
      <c r="I87" s="36">
        <f t="shared" si="87"/>
        <v>59256.483900214786</v>
      </c>
      <c r="J87" s="36">
        <f t="shared" si="87"/>
        <v>58182.549533306701</v>
      </c>
      <c r="K87" s="36">
        <f t="shared" si="87"/>
        <v>67464.428018116407</v>
      </c>
      <c r="L87" s="36">
        <f t="shared" si="87"/>
        <v>68505.543881934456</v>
      </c>
      <c r="M87" s="36">
        <f t="shared" si="87"/>
        <v>65333.177913437932</v>
      </c>
      <c r="N87" s="36">
        <f t="shared" si="87"/>
        <v>67679.743383392648</v>
      </c>
      <c r="O87" s="36">
        <f t="shared" si="87"/>
        <v>71427.183718190718</v>
      </c>
      <c r="P87" s="36">
        <f t="shared" si="87"/>
        <v>70218.261163521558</v>
      </c>
      <c r="Q87" s="36">
        <f t="shared" si="87"/>
        <v>82432.473109393701</v>
      </c>
      <c r="R87" s="36">
        <f t="shared" si="87"/>
        <v>66985.267245784547</v>
      </c>
      <c r="S87" s="36">
        <f t="shared" si="87"/>
        <v>78388.813507513973</v>
      </c>
      <c r="T87" s="36">
        <f t="shared" si="87"/>
        <v>77306.028831005417</v>
      </c>
      <c r="U87" s="36">
        <f t="shared" si="87"/>
        <v>76077.057233161453</v>
      </c>
      <c r="V87" s="36">
        <f t="shared" si="87"/>
        <v>50941.312709090394</v>
      </c>
      <c r="W87" s="36">
        <f t="shared" ref="W87:Y87" si="88">IF(W5=0,0,W5*1000000/W25)</f>
        <v>70311.329687406804</v>
      </c>
      <c r="X87" s="36">
        <f t="shared" si="88"/>
        <v>94179.500853408201</v>
      </c>
      <c r="Y87" s="36">
        <f t="shared" si="88"/>
        <v>93959.158648938304</v>
      </c>
      <c r="DA87" s="198" t="s">
        <v>260</v>
      </c>
    </row>
    <row r="88" spans="1:105" ht="11.45" customHeight="1" x14ac:dyDescent="0.25">
      <c r="A88" s="37" t="s">
        <v>181</v>
      </c>
      <c r="B88" s="36">
        <f t="shared" si="84"/>
        <v>183261.51260456417</v>
      </c>
      <c r="C88" s="36">
        <f t="shared" si="84"/>
        <v>184277.7670198789</v>
      </c>
      <c r="D88" s="36">
        <f t="shared" ref="D88:V88" si="89">IF(D6=0,0,D6*1000000/D26)</f>
        <v>189425.361925871</v>
      </c>
      <c r="E88" s="36">
        <f t="shared" si="89"/>
        <v>184879.34308852107</v>
      </c>
      <c r="F88" s="36">
        <f t="shared" si="89"/>
        <v>186134.52580624612</v>
      </c>
      <c r="G88" s="36">
        <f t="shared" si="89"/>
        <v>181221.7888721076</v>
      </c>
      <c r="H88" s="36">
        <f t="shared" si="89"/>
        <v>174706.84828266143</v>
      </c>
      <c r="I88" s="36">
        <f t="shared" si="89"/>
        <v>171813.11229846714</v>
      </c>
      <c r="J88" s="36">
        <f t="shared" si="89"/>
        <v>175419.25244549027</v>
      </c>
      <c r="K88" s="36">
        <f t="shared" si="89"/>
        <v>183197.06364308079</v>
      </c>
      <c r="L88" s="36">
        <f t="shared" si="89"/>
        <v>184624.76337172723</v>
      </c>
      <c r="M88" s="36">
        <f t="shared" si="89"/>
        <v>190813.47679282937</v>
      </c>
      <c r="N88" s="36">
        <f t="shared" si="89"/>
        <v>196935.27552387345</v>
      </c>
      <c r="O88" s="36">
        <f t="shared" si="89"/>
        <v>204107.45075574817</v>
      </c>
      <c r="P88" s="36">
        <f t="shared" si="89"/>
        <v>208498.80127705046</v>
      </c>
      <c r="Q88" s="36">
        <f t="shared" si="89"/>
        <v>210725.35749903406</v>
      </c>
      <c r="R88" s="36">
        <f t="shared" si="89"/>
        <v>222857.12201034138</v>
      </c>
      <c r="S88" s="36">
        <f t="shared" si="89"/>
        <v>233923.22008396237</v>
      </c>
      <c r="T88" s="36">
        <f t="shared" si="89"/>
        <v>230968.37525176239</v>
      </c>
      <c r="U88" s="36">
        <f t="shared" si="89"/>
        <v>237209.47484944414</v>
      </c>
      <c r="V88" s="36">
        <f t="shared" si="89"/>
        <v>186354.3368014369</v>
      </c>
      <c r="W88" s="36">
        <f t="shared" ref="W88:Y88" si="90">IF(W6=0,0,W6*1000000/W26)</f>
        <v>183336.18811021032</v>
      </c>
      <c r="X88" s="36">
        <f t="shared" si="90"/>
        <v>232819.35014957687</v>
      </c>
      <c r="Y88" s="36">
        <f t="shared" si="90"/>
        <v>246031.39197296498</v>
      </c>
      <c r="DA88" s="198" t="s">
        <v>261</v>
      </c>
    </row>
    <row r="89" spans="1:105" ht="11.45" customHeight="1" x14ac:dyDescent="0.25">
      <c r="A89" s="37" t="s">
        <v>182</v>
      </c>
      <c r="B89" s="36">
        <f t="shared" si="84"/>
        <v>618630.65687048226</v>
      </c>
      <c r="C89" s="36">
        <f t="shared" si="84"/>
        <v>628096.79046980361</v>
      </c>
      <c r="D89" s="36">
        <f t="shared" ref="D89:V89" si="91">IF(D7=0,0,D7*1000000/D27)</f>
        <v>711856.51206810668</v>
      </c>
      <c r="E89" s="36">
        <f t="shared" si="91"/>
        <v>696264.87746359094</v>
      </c>
      <c r="F89" s="36">
        <f t="shared" si="91"/>
        <v>764600.82679243886</v>
      </c>
      <c r="G89" s="36">
        <f t="shared" si="91"/>
        <v>749797.76571571175</v>
      </c>
      <c r="H89" s="36">
        <f t="shared" si="91"/>
        <v>755655.70238178351</v>
      </c>
      <c r="I89" s="36">
        <f t="shared" si="91"/>
        <v>805332.61454377964</v>
      </c>
      <c r="J89" s="36">
        <f t="shared" si="91"/>
        <v>895008.71751420735</v>
      </c>
      <c r="K89" s="36">
        <f t="shared" si="91"/>
        <v>879682.10826323042</v>
      </c>
      <c r="L89" s="36">
        <f t="shared" si="91"/>
        <v>862152.79653601337</v>
      </c>
      <c r="M89" s="36">
        <f t="shared" si="91"/>
        <v>898784.60424845736</v>
      </c>
      <c r="N89" s="36">
        <f t="shared" si="91"/>
        <v>901401.74206413585</v>
      </c>
      <c r="O89" s="36">
        <f t="shared" si="91"/>
        <v>926766.15917823347</v>
      </c>
      <c r="P89" s="36">
        <f t="shared" si="91"/>
        <v>920643.02646130254</v>
      </c>
      <c r="Q89" s="36">
        <f t="shared" si="91"/>
        <v>915629.83275217249</v>
      </c>
      <c r="R89" s="36">
        <f t="shared" si="91"/>
        <v>877604.66294213792</v>
      </c>
      <c r="S89" s="36">
        <f t="shared" si="91"/>
        <v>901244.61847552948</v>
      </c>
      <c r="T89" s="36">
        <f t="shared" si="91"/>
        <v>908426.56065549736</v>
      </c>
      <c r="U89" s="36">
        <f t="shared" si="91"/>
        <v>944172.67942751641</v>
      </c>
      <c r="V89" s="36">
        <f t="shared" si="91"/>
        <v>804670.76292635361</v>
      </c>
      <c r="W89" s="36">
        <f t="shared" ref="W89:Y89" si="92">IF(W7=0,0,W7*1000000/W27)</f>
        <v>738163.45714177832</v>
      </c>
      <c r="X89" s="36">
        <f t="shared" si="92"/>
        <v>969696.23314124485</v>
      </c>
      <c r="Y89" s="36">
        <f t="shared" si="92"/>
        <v>1029869.336501544</v>
      </c>
      <c r="DA89" s="198" t="s">
        <v>262</v>
      </c>
    </row>
    <row r="90" spans="1:105" ht="11.45" customHeight="1" x14ac:dyDescent="0.25">
      <c r="A90" s="12" t="s">
        <v>88</v>
      </c>
      <c r="B90" s="13">
        <f t="shared" si="84"/>
        <v>32686.403077311046</v>
      </c>
      <c r="C90" s="13">
        <f t="shared" si="84"/>
        <v>35101.937395754561</v>
      </c>
      <c r="D90" s="13">
        <f t="shared" ref="D90:V90" si="93">IF(D8=0,0,D8*1000000/D28)</f>
        <v>33754.593508343525</v>
      </c>
      <c r="E90" s="13">
        <f t="shared" si="93"/>
        <v>31980.255404482938</v>
      </c>
      <c r="F90" s="13">
        <f t="shared" si="93"/>
        <v>31265.8503664692</v>
      </c>
      <c r="G90" s="13">
        <f t="shared" si="93"/>
        <v>32854.598506872091</v>
      </c>
      <c r="H90" s="13">
        <f t="shared" si="93"/>
        <v>37903.00726130612</v>
      </c>
      <c r="I90" s="13">
        <f t="shared" si="93"/>
        <v>44536.936233909102</v>
      </c>
      <c r="J90" s="13">
        <f t="shared" si="93"/>
        <v>50070.765917344739</v>
      </c>
      <c r="K90" s="13">
        <f t="shared" si="93"/>
        <v>52600.390328060341</v>
      </c>
      <c r="L90" s="13">
        <f t="shared" si="93"/>
        <v>65309.83301856053</v>
      </c>
      <c r="M90" s="13">
        <f t="shared" si="93"/>
        <v>80835.65937507464</v>
      </c>
      <c r="N90" s="13">
        <f t="shared" si="93"/>
        <v>94588.089098560304</v>
      </c>
      <c r="O90" s="13">
        <f t="shared" si="93"/>
        <v>99601.040446483268</v>
      </c>
      <c r="P90" s="13">
        <f t="shared" si="93"/>
        <v>115772.08114166222</v>
      </c>
      <c r="Q90" s="13">
        <f t="shared" si="93"/>
        <v>109416.73236731073</v>
      </c>
      <c r="R90" s="13">
        <f t="shared" si="93"/>
        <v>114592.70974340105</v>
      </c>
      <c r="S90" s="13">
        <f t="shared" si="93"/>
        <v>123296.52923279212</v>
      </c>
      <c r="T90" s="13">
        <f t="shared" si="93"/>
        <v>120406.6877571168</v>
      </c>
      <c r="U90" s="13">
        <f t="shared" si="93"/>
        <v>112629.3148348734</v>
      </c>
      <c r="V90" s="13">
        <f t="shared" si="93"/>
        <v>69542.814321673082</v>
      </c>
      <c r="W90" s="13">
        <f t="shared" ref="W90:Y90" si="94">IF(W8=0,0,W8*1000000/W28)</f>
        <v>78034.095149252666</v>
      </c>
      <c r="X90" s="13">
        <f t="shared" si="94"/>
        <v>100927.35119259171</v>
      </c>
      <c r="Y90" s="13">
        <f t="shared" si="94"/>
        <v>57612.741673682634</v>
      </c>
      <c r="DA90" s="193" t="s">
        <v>263</v>
      </c>
    </row>
    <row r="91" spans="1:105" ht="11.45" customHeight="1" x14ac:dyDescent="0.25">
      <c r="A91" s="42" t="s">
        <v>27</v>
      </c>
      <c r="B91" s="34">
        <f t="shared" si="84"/>
        <v>1702.7289640599115</v>
      </c>
      <c r="C91" s="34">
        <f t="shared" si="84"/>
        <v>1689.7435162640777</v>
      </c>
      <c r="D91" s="34">
        <f t="shared" ref="D91:V91" si="95">IF(D9=0,0,D9*1000000/D29)</f>
        <v>1737.6106033760002</v>
      </c>
      <c r="E91" s="34">
        <f t="shared" si="95"/>
        <v>1848.2842624125276</v>
      </c>
      <c r="F91" s="34">
        <f t="shared" si="95"/>
        <v>1740.4428639890298</v>
      </c>
      <c r="G91" s="34">
        <f t="shared" si="95"/>
        <v>1847.3567039130523</v>
      </c>
      <c r="H91" s="34">
        <f t="shared" si="95"/>
        <v>2842.3564724501157</v>
      </c>
      <c r="I91" s="34">
        <f t="shared" si="95"/>
        <v>3743.776177929662</v>
      </c>
      <c r="J91" s="34">
        <f t="shared" si="95"/>
        <v>4352.5009751367306</v>
      </c>
      <c r="K91" s="34">
        <f t="shared" si="95"/>
        <v>5120.4373048987436</v>
      </c>
      <c r="L91" s="34">
        <f t="shared" si="95"/>
        <v>6498.2111193583623</v>
      </c>
      <c r="M91" s="34">
        <f t="shared" si="95"/>
        <v>6146.0283969843877</v>
      </c>
      <c r="N91" s="34">
        <f t="shared" si="95"/>
        <v>5235.1501223709638</v>
      </c>
      <c r="O91" s="34">
        <f t="shared" si="95"/>
        <v>5297.1711505389321</v>
      </c>
      <c r="P91" s="34">
        <f t="shared" si="95"/>
        <v>5891.5319893991236</v>
      </c>
      <c r="Q91" s="34">
        <f t="shared" si="95"/>
        <v>6183.8735477521368</v>
      </c>
      <c r="R91" s="34">
        <f t="shared" si="95"/>
        <v>6653.1910159776789</v>
      </c>
      <c r="S91" s="34">
        <f t="shared" si="95"/>
        <v>6186.6851032731547</v>
      </c>
      <c r="T91" s="34">
        <f t="shared" si="95"/>
        <v>5953.2124434067637</v>
      </c>
      <c r="U91" s="34">
        <f t="shared" si="95"/>
        <v>6575.0336996017686</v>
      </c>
      <c r="V91" s="34">
        <f t="shared" si="95"/>
        <v>6003.6030314378722</v>
      </c>
      <c r="W91" s="34">
        <f t="shared" ref="W91:Y91" si="96">IF(W9=0,0,W9*1000000/W29)</f>
        <v>6363.6424129827492</v>
      </c>
      <c r="X91" s="34">
        <f t="shared" si="96"/>
        <v>6413.3918795013624</v>
      </c>
      <c r="Y91" s="34">
        <f t="shared" si="96"/>
        <v>7248.5308280097443</v>
      </c>
      <c r="DA91" s="196" t="s">
        <v>264</v>
      </c>
    </row>
    <row r="92" spans="1:105" ht="11.45" customHeight="1" x14ac:dyDescent="0.25">
      <c r="A92" s="42" t="s">
        <v>181</v>
      </c>
      <c r="B92" s="34">
        <f t="shared" si="84"/>
        <v>31941.475529944011</v>
      </c>
      <c r="C92" s="34">
        <f t="shared" si="84"/>
        <v>33249.909675562267</v>
      </c>
      <c r="D92" s="34">
        <f t="shared" ref="D92:V92" si="97">IF(D10=0,0,D10*1000000/D30)</f>
        <v>31266.843086594996</v>
      </c>
      <c r="E92" s="34">
        <f t="shared" si="97"/>
        <v>32036.632685925069</v>
      </c>
      <c r="F92" s="34">
        <f t="shared" si="97"/>
        <v>28920.402129214726</v>
      </c>
      <c r="G92" s="34">
        <f t="shared" si="97"/>
        <v>28110.647078094091</v>
      </c>
      <c r="H92" s="34">
        <f t="shared" si="97"/>
        <v>24980.998497816196</v>
      </c>
      <c r="I92" s="34">
        <f t="shared" si="97"/>
        <v>24766.816041350823</v>
      </c>
      <c r="J92" s="34">
        <f t="shared" si="97"/>
        <v>25164.812484878952</v>
      </c>
      <c r="K92" s="34">
        <f t="shared" si="97"/>
        <v>26850.855781494658</v>
      </c>
      <c r="L92" s="34">
        <f t="shared" si="97"/>
        <v>28003.573238738962</v>
      </c>
      <c r="M92" s="34">
        <f t="shared" si="97"/>
        <v>28628.932235836568</v>
      </c>
      <c r="N92" s="34">
        <f t="shared" si="97"/>
        <v>31329.020137877284</v>
      </c>
      <c r="O92" s="34">
        <f t="shared" si="97"/>
        <v>31294.378557794607</v>
      </c>
      <c r="P92" s="34">
        <f t="shared" si="97"/>
        <v>35092.27143186592</v>
      </c>
      <c r="Q92" s="34">
        <f t="shared" si="97"/>
        <v>34017.831099140763</v>
      </c>
      <c r="R92" s="34">
        <f t="shared" si="97"/>
        <v>36985.007984711709</v>
      </c>
      <c r="S92" s="34">
        <f t="shared" si="97"/>
        <v>33740.098724491014</v>
      </c>
      <c r="T92" s="34">
        <f t="shared" si="97"/>
        <v>33785.210841682958</v>
      </c>
      <c r="U92" s="34">
        <f t="shared" si="97"/>
        <v>34456.579515714213</v>
      </c>
      <c r="V92" s="34">
        <f t="shared" si="97"/>
        <v>29487.646920292947</v>
      </c>
      <c r="W92" s="34">
        <f t="shared" ref="W92:Y92" si="98">IF(W10=0,0,W10*1000000/W30)</f>
        <v>29842.286253336544</v>
      </c>
      <c r="X92" s="34">
        <f t="shared" si="98"/>
        <v>30279.145152619989</v>
      </c>
      <c r="Y92" s="34">
        <f t="shared" si="98"/>
        <v>31595.185704689757</v>
      </c>
      <c r="DA92" s="196" t="s">
        <v>265</v>
      </c>
    </row>
    <row r="93" spans="1:105" ht="11.45" customHeight="1" x14ac:dyDescent="0.25">
      <c r="A93" s="38" t="s">
        <v>182</v>
      </c>
      <c r="B93" s="35">
        <f t="shared" si="84"/>
        <v>245085.30986442792</v>
      </c>
      <c r="C93" s="35">
        <f t="shared" si="84"/>
        <v>256829.93824139834</v>
      </c>
      <c r="D93" s="35">
        <f t="shared" ref="D93:V93" si="99">IF(D11=0,0,D11*1000000/D31)</f>
        <v>242493.37521739706</v>
      </c>
      <c r="E93" s="35">
        <f t="shared" si="99"/>
        <v>220336.04244427528</v>
      </c>
      <c r="F93" s="35">
        <f t="shared" si="99"/>
        <v>213853.24518219929</v>
      </c>
      <c r="G93" s="35">
        <f t="shared" si="99"/>
        <v>203840.40249499286</v>
      </c>
      <c r="H93" s="35">
        <f t="shared" si="99"/>
        <v>222838.44113747595</v>
      </c>
      <c r="I93" s="35">
        <f t="shared" si="99"/>
        <v>249010.35991354624</v>
      </c>
      <c r="J93" s="35">
        <f t="shared" si="99"/>
        <v>257698.50471179231</v>
      </c>
      <c r="K93" s="35">
        <f t="shared" si="99"/>
        <v>302065.97490484273</v>
      </c>
      <c r="L93" s="35">
        <f t="shared" si="99"/>
        <v>311119.75743319577</v>
      </c>
      <c r="M93" s="35">
        <f t="shared" si="99"/>
        <v>340399.1343379076</v>
      </c>
      <c r="N93" s="35">
        <f t="shared" si="99"/>
        <v>372168.685088158</v>
      </c>
      <c r="O93" s="35">
        <f t="shared" si="99"/>
        <v>369805.20044081163</v>
      </c>
      <c r="P93" s="35">
        <f t="shared" si="99"/>
        <v>417054.32481099776</v>
      </c>
      <c r="Q93" s="35">
        <f t="shared" si="99"/>
        <v>414940.73352830292</v>
      </c>
      <c r="R93" s="35">
        <f t="shared" si="99"/>
        <v>431307.52598045132</v>
      </c>
      <c r="S93" s="35">
        <f t="shared" si="99"/>
        <v>412452.69959104637</v>
      </c>
      <c r="T93" s="35">
        <f t="shared" si="99"/>
        <v>417959.53291336104</v>
      </c>
      <c r="U93" s="35">
        <f t="shared" si="99"/>
        <v>330534.61167676206</v>
      </c>
      <c r="V93" s="35">
        <f t="shared" si="99"/>
        <v>210679.93894961179</v>
      </c>
      <c r="W93" s="35">
        <f t="shared" ref="W93:Y93" si="100">IF(W11=0,0,W11*1000000/W31)</f>
        <v>215546.32835187699</v>
      </c>
      <c r="X93" s="35">
        <f t="shared" si="100"/>
        <v>263435.86792896839</v>
      </c>
      <c r="Y93" s="35">
        <f t="shared" si="100"/>
        <v>136483.19673556267</v>
      </c>
      <c r="DA93" s="197" t="s">
        <v>266</v>
      </c>
    </row>
    <row r="94" spans="1:105" x14ac:dyDescent="0.25">
      <c r="A94" s="50"/>
      <c r="B94" s="50"/>
      <c r="C94" s="50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DA94" s="181"/>
    </row>
    <row r="95" spans="1:105" ht="11.45" customHeight="1" x14ac:dyDescent="0.25">
      <c r="A95" s="53" t="s">
        <v>89</v>
      </c>
      <c r="B95" s="62">
        <f t="shared" ref="B95:C95" si="101">IF(B23=0,0,B23/B43)</f>
        <v>1098.6244394813866</v>
      </c>
      <c r="C95" s="62">
        <f t="shared" si="101"/>
        <v>1107.6721076288059</v>
      </c>
      <c r="D95" s="62">
        <f t="shared" ref="D95:V95" si="102">IF(D23=0,0,D23/D43)</f>
        <v>1120.9838036180101</v>
      </c>
      <c r="E95" s="62">
        <f t="shared" si="102"/>
        <v>1100.2622445584573</v>
      </c>
      <c r="F95" s="62">
        <f t="shared" si="102"/>
        <v>1122.3670372950605</v>
      </c>
      <c r="G95" s="62">
        <f t="shared" si="102"/>
        <v>1102.9837560809733</v>
      </c>
      <c r="H95" s="62">
        <f t="shared" si="102"/>
        <v>1050.0844243850804</v>
      </c>
      <c r="I95" s="62">
        <f t="shared" si="102"/>
        <v>1030.4710245738222</v>
      </c>
      <c r="J95" s="62">
        <f t="shared" si="102"/>
        <v>1043.7377267468507</v>
      </c>
      <c r="K95" s="62">
        <f t="shared" si="102"/>
        <v>1030.8511371733255</v>
      </c>
      <c r="L95" s="62">
        <f t="shared" si="102"/>
        <v>1027.817378743179</v>
      </c>
      <c r="M95" s="62">
        <f t="shared" si="102"/>
        <v>1018.4146843214104</v>
      </c>
      <c r="N95" s="62">
        <f t="shared" si="102"/>
        <v>1007.9335702468347</v>
      </c>
      <c r="O95" s="62">
        <f t="shared" si="102"/>
        <v>1004.9545374362829</v>
      </c>
      <c r="P95" s="62">
        <f t="shared" si="102"/>
        <v>998.90195920616304</v>
      </c>
      <c r="Q95" s="62">
        <f t="shared" si="102"/>
        <v>1008.0954682675014</v>
      </c>
      <c r="R95" s="62">
        <f t="shared" si="102"/>
        <v>1050.5469547368771</v>
      </c>
      <c r="S95" s="62">
        <f t="shared" si="102"/>
        <v>1027.1069732022122</v>
      </c>
      <c r="T95" s="62">
        <f t="shared" si="102"/>
        <v>1010.096123185616</v>
      </c>
      <c r="U95" s="62">
        <f t="shared" si="102"/>
        <v>988.77940234712594</v>
      </c>
      <c r="V95" s="62">
        <f t="shared" si="102"/>
        <v>435.35283670844439</v>
      </c>
      <c r="W95" s="62">
        <f t="shared" ref="W95:Y95" si="103">IF(W23=0,0,W23/W43)</f>
        <v>585.2767593898426</v>
      </c>
      <c r="X95" s="62">
        <f t="shared" si="103"/>
        <v>969.68708343359413</v>
      </c>
      <c r="Y95" s="62">
        <f t="shared" si="103"/>
        <v>978.00369683362874</v>
      </c>
      <c r="DA95" s="172" t="s">
        <v>267</v>
      </c>
    </row>
    <row r="96" spans="1:105" ht="11.45" customHeight="1" x14ac:dyDescent="0.25">
      <c r="A96" s="10" t="s">
        <v>33</v>
      </c>
      <c r="B96" s="11">
        <f t="shared" ref="B96:C103" si="104">IF(B24=0,0,B24/B44)</f>
        <v>1098.3459938717308</v>
      </c>
      <c r="C96" s="11">
        <f t="shared" si="104"/>
        <v>1108.0557439748791</v>
      </c>
      <c r="D96" s="11">
        <f t="shared" ref="D96:V96" si="105">IF(D24=0,0,D24/D44)</f>
        <v>1122.1281165119997</v>
      </c>
      <c r="E96" s="11">
        <f t="shared" si="105"/>
        <v>1100.8227199882763</v>
      </c>
      <c r="F96" s="11">
        <f t="shared" si="105"/>
        <v>1123.6658531634209</v>
      </c>
      <c r="G96" s="11">
        <f t="shared" si="105"/>
        <v>1104.3399107065093</v>
      </c>
      <c r="H96" s="11">
        <f t="shared" si="105"/>
        <v>1053.0098995586923</v>
      </c>
      <c r="I96" s="11">
        <f t="shared" si="105"/>
        <v>1034.9053137845106</v>
      </c>
      <c r="J96" s="11">
        <f t="shared" si="105"/>
        <v>1051.3525188357228</v>
      </c>
      <c r="K96" s="11">
        <f t="shared" si="105"/>
        <v>1040.2200670393961</v>
      </c>
      <c r="L96" s="11">
        <f t="shared" si="105"/>
        <v>1037.1356330063425</v>
      </c>
      <c r="M96" s="11">
        <f t="shared" si="105"/>
        <v>1030.674508351404</v>
      </c>
      <c r="N96" s="11">
        <f t="shared" si="105"/>
        <v>1019.0065308945153</v>
      </c>
      <c r="O96" s="11">
        <f t="shared" si="105"/>
        <v>1014.605070092137</v>
      </c>
      <c r="P96" s="11">
        <f t="shared" si="105"/>
        <v>1007.2670448271051</v>
      </c>
      <c r="Q96" s="11">
        <f t="shared" si="105"/>
        <v>1015.2479277937315</v>
      </c>
      <c r="R96" s="11">
        <f t="shared" si="105"/>
        <v>1057.2527485718037</v>
      </c>
      <c r="S96" s="11">
        <f t="shared" si="105"/>
        <v>1032.6189386911553</v>
      </c>
      <c r="T96" s="11">
        <f t="shared" si="105"/>
        <v>1014.8279233604342</v>
      </c>
      <c r="U96" s="11">
        <f t="shared" si="105"/>
        <v>992.30559895250201</v>
      </c>
      <c r="V96" s="11">
        <f t="shared" si="105"/>
        <v>429.92983477561364</v>
      </c>
      <c r="W96" s="11">
        <f t="shared" ref="W96:Y96" si="106">IF(W24=0,0,W24/W44)</f>
        <v>581.13206600189221</v>
      </c>
      <c r="X96" s="11">
        <f t="shared" si="106"/>
        <v>975.25642807499139</v>
      </c>
      <c r="Y96" s="11">
        <f t="shared" si="106"/>
        <v>983.69660883725442</v>
      </c>
      <c r="DA96" s="189" t="s">
        <v>268</v>
      </c>
    </row>
    <row r="97" spans="1:105" ht="11.45" customHeight="1" x14ac:dyDescent="0.25">
      <c r="A97" s="37" t="s">
        <v>27</v>
      </c>
      <c r="B97" s="36">
        <f t="shared" si="104"/>
        <v>1932</v>
      </c>
      <c r="C97" s="36">
        <f t="shared" si="104"/>
        <v>1932</v>
      </c>
      <c r="D97" s="36">
        <f t="shared" ref="D97:V97" si="107">IF(D25=0,0,D25/D45)</f>
        <v>1932</v>
      </c>
      <c r="E97" s="36">
        <f t="shared" si="107"/>
        <v>1931.9999999999998</v>
      </c>
      <c r="F97" s="36">
        <f t="shared" si="107"/>
        <v>1932</v>
      </c>
      <c r="G97" s="36">
        <f t="shared" si="107"/>
        <v>1919</v>
      </c>
      <c r="H97" s="36">
        <f t="shared" si="107"/>
        <v>1781.9739898673249</v>
      </c>
      <c r="I97" s="36">
        <f t="shared" si="107"/>
        <v>1841.1823790579842</v>
      </c>
      <c r="J97" s="36">
        <f t="shared" si="107"/>
        <v>1912.9999999999998</v>
      </c>
      <c r="K97" s="36">
        <f t="shared" si="107"/>
        <v>1927.0000000000002</v>
      </c>
      <c r="L97" s="36">
        <f t="shared" si="107"/>
        <v>1918.0000000000002</v>
      </c>
      <c r="M97" s="36">
        <f t="shared" si="107"/>
        <v>1932.9999999999998</v>
      </c>
      <c r="N97" s="36">
        <f t="shared" si="107"/>
        <v>1926</v>
      </c>
      <c r="O97" s="36">
        <f t="shared" si="107"/>
        <v>1917.9999999999998</v>
      </c>
      <c r="P97" s="36">
        <f t="shared" si="107"/>
        <v>1891.9999999999998</v>
      </c>
      <c r="Q97" s="36">
        <f t="shared" si="107"/>
        <v>1872.0000000000002</v>
      </c>
      <c r="R97" s="36">
        <f t="shared" si="107"/>
        <v>1903</v>
      </c>
      <c r="S97" s="36">
        <f t="shared" si="107"/>
        <v>1877</v>
      </c>
      <c r="T97" s="36">
        <f t="shared" si="107"/>
        <v>1876</v>
      </c>
      <c r="U97" s="36">
        <f t="shared" si="107"/>
        <v>1840</v>
      </c>
      <c r="V97" s="36">
        <f t="shared" si="107"/>
        <v>983.61961669670961</v>
      </c>
      <c r="W97" s="36">
        <f t="shared" ref="W97:Y97" si="108">IF(W25=0,0,W25/W45)</f>
        <v>1359.5092956754938</v>
      </c>
      <c r="X97" s="36">
        <f t="shared" si="108"/>
        <v>1799</v>
      </c>
      <c r="Y97" s="36">
        <f t="shared" si="108"/>
        <v>1818</v>
      </c>
      <c r="DA97" s="198" t="s">
        <v>269</v>
      </c>
    </row>
    <row r="98" spans="1:105" ht="11.45" customHeight="1" x14ac:dyDescent="0.25">
      <c r="A98" s="37" t="s">
        <v>181</v>
      </c>
      <c r="B98" s="36">
        <f t="shared" si="104"/>
        <v>1099.5640557610441</v>
      </c>
      <c r="C98" s="36">
        <f t="shared" si="104"/>
        <v>1099.5637254592591</v>
      </c>
      <c r="D98" s="36">
        <f t="shared" ref="D98:V98" si="109">IF(D26=0,0,D26/D46)</f>
        <v>1099.5643453542234</v>
      </c>
      <c r="E98" s="36">
        <f t="shared" si="109"/>
        <v>1099.5772660583418</v>
      </c>
      <c r="F98" s="36">
        <f t="shared" si="109"/>
        <v>1097.6504742129528</v>
      </c>
      <c r="G98" s="36">
        <f t="shared" si="109"/>
        <v>1099.774792980721</v>
      </c>
      <c r="H98" s="36">
        <f t="shared" si="109"/>
        <v>1097.2242121939798</v>
      </c>
      <c r="I98" s="36">
        <f t="shared" si="109"/>
        <v>1101.5559324771712</v>
      </c>
      <c r="J98" s="36">
        <f t="shared" si="109"/>
        <v>1096.6982729604283</v>
      </c>
      <c r="K98" s="36">
        <f t="shared" si="109"/>
        <v>1079.990240453709</v>
      </c>
      <c r="L98" s="36">
        <f t="shared" si="109"/>
        <v>1095.2624229978003</v>
      </c>
      <c r="M98" s="36">
        <f t="shared" si="109"/>
        <v>1104.108300479234</v>
      </c>
      <c r="N98" s="36">
        <f t="shared" si="109"/>
        <v>1103.1688455328776</v>
      </c>
      <c r="O98" s="36">
        <f t="shared" si="109"/>
        <v>1098.1010212588783</v>
      </c>
      <c r="P98" s="36">
        <f t="shared" si="109"/>
        <v>1097.8251989845578</v>
      </c>
      <c r="Q98" s="36">
        <f t="shared" si="109"/>
        <v>1098.259094659029</v>
      </c>
      <c r="R98" s="36">
        <f t="shared" si="109"/>
        <v>1088.1402306137004</v>
      </c>
      <c r="S98" s="36">
        <f t="shared" si="109"/>
        <v>1081.8005374901416</v>
      </c>
      <c r="T98" s="36">
        <f t="shared" si="109"/>
        <v>1081.3446915885875</v>
      </c>
      <c r="U98" s="36">
        <f t="shared" si="109"/>
        <v>1085.6828767616792</v>
      </c>
      <c r="V98" s="36">
        <f t="shared" si="109"/>
        <v>448.01046467892462</v>
      </c>
      <c r="W98" s="36">
        <f t="shared" ref="W98:Y98" si="110">IF(W26=0,0,W26/W46)</f>
        <v>601.82474217485901</v>
      </c>
      <c r="X98" s="36">
        <f t="shared" si="110"/>
        <v>1076.952822060591</v>
      </c>
      <c r="Y98" s="36">
        <f t="shared" si="110"/>
        <v>1083.2270211781577</v>
      </c>
      <c r="DA98" s="198" t="s">
        <v>270</v>
      </c>
    </row>
    <row r="99" spans="1:105" ht="11.45" customHeight="1" x14ac:dyDescent="0.25">
      <c r="A99" s="37" t="s">
        <v>182</v>
      </c>
      <c r="B99" s="36">
        <f t="shared" si="104"/>
        <v>376</v>
      </c>
      <c r="C99" s="36">
        <f t="shared" si="104"/>
        <v>376</v>
      </c>
      <c r="D99" s="36">
        <f t="shared" ref="D99:V99" si="111">IF(D27=0,0,D27/D47)</f>
        <v>376</v>
      </c>
      <c r="E99" s="36">
        <f t="shared" si="111"/>
        <v>376</v>
      </c>
      <c r="F99" s="36">
        <f t="shared" si="111"/>
        <v>376</v>
      </c>
      <c r="G99" s="36">
        <f t="shared" si="111"/>
        <v>374</v>
      </c>
      <c r="H99" s="36">
        <f t="shared" si="111"/>
        <v>363</v>
      </c>
      <c r="I99" s="36">
        <f t="shared" si="111"/>
        <v>349</v>
      </c>
      <c r="J99" s="36">
        <f t="shared" si="111"/>
        <v>350</v>
      </c>
      <c r="K99" s="36">
        <f t="shared" si="111"/>
        <v>355</v>
      </c>
      <c r="L99" s="36">
        <f t="shared" si="111"/>
        <v>367</v>
      </c>
      <c r="M99" s="36">
        <f t="shared" si="111"/>
        <v>362.99999999999994</v>
      </c>
      <c r="N99" s="36">
        <f t="shared" si="111"/>
        <v>364.00000000000006</v>
      </c>
      <c r="O99" s="36">
        <f t="shared" si="111"/>
        <v>365</v>
      </c>
      <c r="P99" s="36">
        <f t="shared" si="111"/>
        <v>363.99999999999994</v>
      </c>
      <c r="Q99" s="36">
        <f t="shared" si="111"/>
        <v>363</v>
      </c>
      <c r="R99" s="36">
        <f t="shared" si="111"/>
        <v>374</v>
      </c>
      <c r="S99" s="36">
        <f t="shared" si="111"/>
        <v>381</v>
      </c>
      <c r="T99" s="36">
        <f t="shared" si="111"/>
        <v>376</v>
      </c>
      <c r="U99" s="36">
        <f t="shared" si="111"/>
        <v>371</v>
      </c>
      <c r="V99" s="36">
        <f t="shared" si="111"/>
        <v>118.46615151994924</v>
      </c>
      <c r="W99" s="36">
        <f t="shared" ref="W99:Y99" si="112">IF(W27=0,0,W27/W47)</f>
        <v>158.41641696981148</v>
      </c>
      <c r="X99" s="36">
        <f t="shared" si="112"/>
        <v>338.41531925256714</v>
      </c>
      <c r="Y99" s="36">
        <f t="shared" si="112"/>
        <v>362</v>
      </c>
      <c r="DA99" s="198" t="s">
        <v>271</v>
      </c>
    </row>
    <row r="100" spans="1:105" ht="11.45" customHeight="1" x14ac:dyDescent="0.25">
      <c r="A100" s="12" t="s">
        <v>34</v>
      </c>
      <c r="B100" s="13">
        <f t="shared" si="104"/>
        <v>1104.9305688339764</v>
      </c>
      <c r="C100" s="13">
        <f t="shared" si="104"/>
        <v>1098.46110739502</v>
      </c>
      <c r="D100" s="13">
        <f t="shared" ref="D100:V100" si="113">IF(D28=0,0,D28/D48)</f>
        <v>1093.916880230287</v>
      </c>
      <c r="E100" s="13">
        <f t="shared" si="113"/>
        <v>1085.6270236359026</v>
      </c>
      <c r="F100" s="13">
        <f t="shared" si="113"/>
        <v>1088.8189337839995</v>
      </c>
      <c r="G100" s="13">
        <f t="shared" si="113"/>
        <v>1068.0565830090402</v>
      </c>
      <c r="H100" s="13">
        <f t="shared" si="113"/>
        <v>979.26502744693005</v>
      </c>
      <c r="I100" s="13">
        <f t="shared" si="113"/>
        <v>919.2415015917561</v>
      </c>
      <c r="J100" s="13">
        <f t="shared" si="113"/>
        <v>867.29436424845858</v>
      </c>
      <c r="K100" s="13">
        <f t="shared" si="113"/>
        <v>817.14235184495567</v>
      </c>
      <c r="L100" s="13">
        <f t="shared" si="113"/>
        <v>802.47340360395833</v>
      </c>
      <c r="M100" s="13">
        <f t="shared" si="113"/>
        <v>683.48074129684596</v>
      </c>
      <c r="N100" s="13">
        <f t="shared" si="113"/>
        <v>686.30929092414692</v>
      </c>
      <c r="O100" s="13">
        <f t="shared" si="113"/>
        <v>685.87132805564147</v>
      </c>
      <c r="P100" s="13">
        <f t="shared" si="113"/>
        <v>675.44763003566868</v>
      </c>
      <c r="Q100" s="13">
        <f t="shared" si="113"/>
        <v>695.98824343923638</v>
      </c>
      <c r="R100" s="13">
        <f t="shared" si="113"/>
        <v>684.25257153179803</v>
      </c>
      <c r="S100" s="13">
        <f t="shared" si="113"/>
        <v>734.48118191057551</v>
      </c>
      <c r="T100" s="13">
        <f t="shared" si="113"/>
        <v>743.30130476593035</v>
      </c>
      <c r="U100" s="13">
        <f t="shared" si="113"/>
        <v>787.1999702198267</v>
      </c>
      <c r="V100" s="13">
        <f t="shared" si="113"/>
        <v>746.08387472614879</v>
      </c>
      <c r="W100" s="13">
        <f t="shared" ref="W100:Y100" si="114">IF(W28=0,0,W28/W48)</f>
        <v>783.75673373187124</v>
      </c>
      <c r="X100" s="13">
        <f t="shared" si="114"/>
        <v>739.73769000514187</v>
      </c>
      <c r="Y100" s="13">
        <f t="shared" si="114"/>
        <v>715.76889151066769</v>
      </c>
      <c r="DA100" s="193" t="s">
        <v>272</v>
      </c>
    </row>
    <row r="101" spans="1:105" ht="11.45" customHeight="1" x14ac:dyDescent="0.25">
      <c r="A101" s="42" t="s">
        <v>27</v>
      </c>
      <c r="B101" s="34">
        <f t="shared" si="104"/>
        <v>1596</v>
      </c>
      <c r="C101" s="34">
        <f t="shared" si="104"/>
        <v>1596</v>
      </c>
      <c r="D101" s="34">
        <f t="shared" ref="D101:V101" si="115">IF(D29=0,0,D29/D49)</f>
        <v>1596</v>
      </c>
      <c r="E101" s="34">
        <f t="shared" si="115"/>
        <v>1596</v>
      </c>
      <c r="F101" s="34">
        <f t="shared" si="115"/>
        <v>1596</v>
      </c>
      <c r="G101" s="34">
        <f t="shared" si="115"/>
        <v>1587</v>
      </c>
      <c r="H101" s="34">
        <f t="shared" si="115"/>
        <v>1519</v>
      </c>
      <c r="I101" s="34">
        <f t="shared" si="115"/>
        <v>1464</v>
      </c>
      <c r="J101" s="34">
        <f t="shared" si="115"/>
        <v>1421</v>
      </c>
      <c r="K101" s="34">
        <f t="shared" si="115"/>
        <v>1381</v>
      </c>
      <c r="L101" s="34">
        <f t="shared" si="115"/>
        <v>1333</v>
      </c>
      <c r="M101" s="34">
        <f t="shared" si="115"/>
        <v>1039.3044947791573</v>
      </c>
      <c r="N101" s="34">
        <f t="shared" si="115"/>
        <v>1132.4250058114919</v>
      </c>
      <c r="O101" s="34">
        <f t="shared" si="115"/>
        <v>1173.681741388614</v>
      </c>
      <c r="P101" s="34">
        <f t="shared" si="115"/>
        <v>1172.1763893352363</v>
      </c>
      <c r="Q101" s="34">
        <f t="shared" si="115"/>
        <v>1356.8500041999948</v>
      </c>
      <c r="R101" s="34">
        <f t="shared" si="115"/>
        <v>1437</v>
      </c>
      <c r="S101" s="34">
        <f t="shared" si="115"/>
        <v>1427.9999999999998</v>
      </c>
      <c r="T101" s="34">
        <f t="shared" si="115"/>
        <v>1435.0000000000002</v>
      </c>
      <c r="U101" s="34">
        <f t="shared" si="115"/>
        <v>1432</v>
      </c>
      <c r="V101" s="34">
        <f t="shared" si="115"/>
        <v>1439</v>
      </c>
      <c r="W101" s="34">
        <f t="shared" ref="W101:Y101" si="116">IF(W29=0,0,W29/W49)</f>
        <v>1436</v>
      </c>
      <c r="X101" s="34">
        <f t="shared" si="116"/>
        <v>1430</v>
      </c>
      <c r="Y101" s="34">
        <f t="shared" si="116"/>
        <v>1391</v>
      </c>
      <c r="DA101" s="196" t="s">
        <v>273</v>
      </c>
    </row>
    <row r="102" spans="1:105" ht="11.45" customHeight="1" x14ac:dyDescent="0.25">
      <c r="A102" s="42" t="s">
        <v>181</v>
      </c>
      <c r="B102" s="34">
        <f t="shared" si="104"/>
        <v>963.67716691617227</v>
      </c>
      <c r="C102" s="34">
        <f t="shared" si="104"/>
        <v>961.20927785171682</v>
      </c>
      <c r="D102" s="34">
        <f t="shared" ref="D102:V102" si="117">IF(D30=0,0,D30/D50)</f>
        <v>963.33436040745403</v>
      </c>
      <c r="E102" s="34">
        <f t="shared" si="117"/>
        <v>930.13819639344263</v>
      </c>
      <c r="F102" s="34">
        <f t="shared" si="117"/>
        <v>955.73027362596042</v>
      </c>
      <c r="G102" s="34">
        <f t="shared" si="117"/>
        <v>953.98669094500258</v>
      </c>
      <c r="H102" s="34">
        <f t="shared" si="117"/>
        <v>938.39077217803583</v>
      </c>
      <c r="I102" s="34">
        <f t="shared" si="117"/>
        <v>927.42078581883402</v>
      </c>
      <c r="J102" s="34">
        <f t="shared" si="117"/>
        <v>883.44973898128023</v>
      </c>
      <c r="K102" s="34">
        <f t="shared" si="117"/>
        <v>824.68308552231167</v>
      </c>
      <c r="L102" s="34">
        <f t="shared" si="117"/>
        <v>836.14972135854521</v>
      </c>
      <c r="M102" s="34">
        <f t="shared" si="117"/>
        <v>763.43142219745869</v>
      </c>
      <c r="N102" s="34">
        <f t="shared" si="117"/>
        <v>773.79000888606163</v>
      </c>
      <c r="O102" s="34">
        <f t="shared" si="117"/>
        <v>788.07334288657478</v>
      </c>
      <c r="P102" s="34">
        <f t="shared" si="117"/>
        <v>828.44253629341392</v>
      </c>
      <c r="Q102" s="34">
        <f t="shared" si="117"/>
        <v>866.29247211189761</v>
      </c>
      <c r="R102" s="34">
        <f t="shared" si="117"/>
        <v>883.67118123352282</v>
      </c>
      <c r="S102" s="34">
        <f t="shared" si="117"/>
        <v>913.07920395415761</v>
      </c>
      <c r="T102" s="34">
        <f t="shared" si="117"/>
        <v>919.05948019629841</v>
      </c>
      <c r="U102" s="34">
        <f t="shared" si="117"/>
        <v>931.07026994915873</v>
      </c>
      <c r="V102" s="34">
        <f t="shared" si="117"/>
        <v>933.65050826297147</v>
      </c>
      <c r="W102" s="34">
        <f t="shared" ref="W102:Y102" si="118">IF(W30=0,0,W30/W50)</f>
        <v>910.20413122316643</v>
      </c>
      <c r="X102" s="34">
        <f t="shared" si="118"/>
        <v>911.71716813022601</v>
      </c>
      <c r="Y102" s="34">
        <f t="shared" si="118"/>
        <v>891.05004801229984</v>
      </c>
      <c r="DA102" s="196" t="s">
        <v>274</v>
      </c>
    </row>
    <row r="103" spans="1:105" ht="11.45" customHeight="1" x14ac:dyDescent="0.25">
      <c r="A103" s="38" t="s">
        <v>182</v>
      </c>
      <c r="B103" s="35">
        <f t="shared" si="104"/>
        <v>489</v>
      </c>
      <c r="C103" s="35">
        <f t="shared" si="104"/>
        <v>489</v>
      </c>
      <c r="D103" s="35">
        <f t="shared" ref="D103:V103" si="119">IF(D31=0,0,D31/D51)</f>
        <v>489</v>
      </c>
      <c r="E103" s="35">
        <f t="shared" si="119"/>
        <v>489.00000000000006</v>
      </c>
      <c r="F103" s="35">
        <f t="shared" si="119"/>
        <v>489</v>
      </c>
      <c r="G103" s="35">
        <f t="shared" si="119"/>
        <v>484.99999999999994</v>
      </c>
      <c r="H103" s="35">
        <f t="shared" si="119"/>
        <v>444</v>
      </c>
      <c r="I103" s="35">
        <f t="shared" si="119"/>
        <v>404</v>
      </c>
      <c r="J103" s="35">
        <f t="shared" si="119"/>
        <v>388</v>
      </c>
      <c r="K103" s="35">
        <f t="shared" si="119"/>
        <v>323.56801237662808</v>
      </c>
      <c r="L103" s="35">
        <f t="shared" si="119"/>
        <v>373</v>
      </c>
      <c r="M103" s="35">
        <f t="shared" si="119"/>
        <v>359.35982113529639</v>
      </c>
      <c r="N103" s="35">
        <f t="shared" si="119"/>
        <v>358</v>
      </c>
      <c r="O103" s="35">
        <f t="shared" si="119"/>
        <v>360.70609238898021</v>
      </c>
      <c r="P103" s="35">
        <f t="shared" si="119"/>
        <v>347.71808676983937</v>
      </c>
      <c r="Q103" s="35">
        <f t="shared" si="119"/>
        <v>328.16136861421899</v>
      </c>
      <c r="R103" s="35">
        <f t="shared" si="119"/>
        <v>307.32071992481343</v>
      </c>
      <c r="S103" s="35">
        <f t="shared" si="119"/>
        <v>386</v>
      </c>
      <c r="T103" s="35">
        <f t="shared" si="119"/>
        <v>384</v>
      </c>
      <c r="U103" s="35">
        <f t="shared" si="119"/>
        <v>469</v>
      </c>
      <c r="V103" s="35">
        <f t="shared" si="119"/>
        <v>393.41027245611906</v>
      </c>
      <c r="W103" s="35">
        <f t="shared" ref="W103:Y103" si="120">IF(W31=0,0,W31/W51)</f>
        <v>479.00000000000006</v>
      </c>
      <c r="X103" s="35">
        <f t="shared" si="120"/>
        <v>451</v>
      </c>
      <c r="Y103" s="35">
        <f t="shared" si="120"/>
        <v>421.89019371726658</v>
      </c>
      <c r="DA103" s="197" t="s">
        <v>275</v>
      </c>
    </row>
    <row r="104" spans="1:105" x14ac:dyDescent="0.25">
      <c r="A104" s="50"/>
      <c r="B104" s="50"/>
      <c r="C104" s="50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DA104" s="181"/>
    </row>
    <row r="105" spans="1:105" ht="11.45" customHeight="1" x14ac:dyDescent="0.25">
      <c r="A105" s="53" t="s">
        <v>37</v>
      </c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DA105" s="183"/>
    </row>
    <row r="106" spans="1:105" ht="11.45" customHeight="1" x14ac:dyDescent="0.25">
      <c r="A106" s="10" t="s">
        <v>38</v>
      </c>
      <c r="B106" s="16">
        <f t="shared" ref="B106:C106" si="121">IF(B4=0,0,B4/B$4)</f>
        <v>1</v>
      </c>
      <c r="C106" s="16">
        <f t="shared" si="121"/>
        <v>1</v>
      </c>
      <c r="D106" s="16">
        <f t="shared" ref="D106:V106" si="122">IF(D4=0,0,D4/D$4)</f>
        <v>1</v>
      </c>
      <c r="E106" s="16">
        <f t="shared" si="122"/>
        <v>1</v>
      </c>
      <c r="F106" s="16">
        <f t="shared" si="122"/>
        <v>1</v>
      </c>
      <c r="G106" s="16">
        <f t="shared" si="122"/>
        <v>1</v>
      </c>
      <c r="H106" s="16">
        <f t="shared" si="122"/>
        <v>1</v>
      </c>
      <c r="I106" s="16">
        <f t="shared" si="122"/>
        <v>1</v>
      </c>
      <c r="J106" s="16">
        <f t="shared" si="122"/>
        <v>1</v>
      </c>
      <c r="K106" s="16">
        <f t="shared" si="122"/>
        <v>1</v>
      </c>
      <c r="L106" s="16">
        <f t="shared" si="122"/>
        <v>1</v>
      </c>
      <c r="M106" s="16">
        <f t="shared" si="122"/>
        <v>1</v>
      </c>
      <c r="N106" s="16">
        <f t="shared" si="122"/>
        <v>1</v>
      </c>
      <c r="O106" s="16">
        <f t="shared" si="122"/>
        <v>1</v>
      </c>
      <c r="P106" s="16">
        <f t="shared" si="122"/>
        <v>1</v>
      </c>
      <c r="Q106" s="16">
        <f t="shared" si="122"/>
        <v>1</v>
      </c>
      <c r="R106" s="16">
        <f t="shared" si="122"/>
        <v>1</v>
      </c>
      <c r="S106" s="16">
        <f t="shared" si="122"/>
        <v>1</v>
      </c>
      <c r="T106" s="16">
        <f t="shared" si="122"/>
        <v>1</v>
      </c>
      <c r="U106" s="16">
        <f t="shared" si="122"/>
        <v>1</v>
      </c>
      <c r="V106" s="16">
        <f t="shared" si="122"/>
        <v>1</v>
      </c>
      <c r="W106" s="16">
        <f t="shared" ref="W106:Y106" si="123">IF(W4=0,0,W4/W$4)</f>
        <v>1</v>
      </c>
      <c r="X106" s="16">
        <f t="shared" si="123"/>
        <v>1</v>
      </c>
      <c r="Y106" s="16">
        <f t="shared" si="123"/>
        <v>1</v>
      </c>
      <c r="DA106" s="190"/>
    </row>
    <row r="107" spans="1:105" ht="11.45" customHeight="1" x14ac:dyDescent="0.25">
      <c r="A107" s="37" t="s">
        <v>27</v>
      </c>
      <c r="B107" s="43">
        <f t="shared" ref="B107:C107" si="124">IF(B5=0,0,B5/B$4)</f>
        <v>0.11338410720116311</v>
      </c>
      <c r="C107" s="43">
        <f t="shared" si="124"/>
        <v>0.11940893792793261</v>
      </c>
      <c r="D107" s="43">
        <f t="shared" ref="D107:V107" si="125">IF(D5=0,0,D5/D$4)</f>
        <v>0.11842436707848374</v>
      </c>
      <c r="E107" s="43">
        <f t="shared" si="125"/>
        <v>0.1135283998235835</v>
      </c>
      <c r="F107" s="43">
        <f t="shared" si="125"/>
        <v>0.1148294932731974</v>
      </c>
      <c r="G107" s="43">
        <f t="shared" si="125"/>
        <v>0.10931242825368839</v>
      </c>
      <c r="H107" s="43">
        <f t="shared" si="125"/>
        <v>8.5497935902766664E-2</v>
      </c>
      <c r="I107" s="43">
        <f t="shared" si="125"/>
        <v>7.7543031725361186E-2</v>
      </c>
      <c r="J107" s="43">
        <f t="shared" si="125"/>
        <v>7.9285386571038646E-2</v>
      </c>
      <c r="K107" s="43">
        <f t="shared" si="125"/>
        <v>8.9978187426610706E-2</v>
      </c>
      <c r="L107" s="43">
        <f t="shared" si="125"/>
        <v>8.5141933000820666E-2</v>
      </c>
      <c r="M107" s="43">
        <f t="shared" si="125"/>
        <v>7.2728379169028023E-2</v>
      </c>
      <c r="N107" s="43">
        <f t="shared" si="125"/>
        <v>7.0658163563080356E-2</v>
      </c>
      <c r="O107" s="43">
        <f t="shared" si="125"/>
        <v>6.9400346118629705E-2</v>
      </c>
      <c r="P107" s="43">
        <f t="shared" si="125"/>
        <v>6.458440950657067E-2</v>
      </c>
      <c r="Q107" s="43">
        <f t="shared" si="125"/>
        <v>7.5921278830192798E-2</v>
      </c>
      <c r="R107" s="43">
        <f t="shared" si="125"/>
        <v>8.3577960376451085E-2</v>
      </c>
      <c r="S107" s="43">
        <f t="shared" si="125"/>
        <v>8.2581839204719149E-2</v>
      </c>
      <c r="T107" s="43">
        <f t="shared" si="125"/>
        <v>7.8947483588229103E-2</v>
      </c>
      <c r="U107" s="43">
        <f t="shared" si="125"/>
        <v>7.2574655787180004E-2</v>
      </c>
      <c r="V107" s="43">
        <f t="shared" si="125"/>
        <v>8.3890799703831953E-2</v>
      </c>
      <c r="W107" s="43">
        <f t="shared" ref="W107:Y107" si="126">IF(W5=0,0,W5/W$4)</f>
        <v>0.11868328306511433</v>
      </c>
      <c r="X107" s="43">
        <f t="shared" si="126"/>
        <v>9.2275597275710677E-2</v>
      </c>
      <c r="Y107" s="43">
        <f t="shared" si="126"/>
        <v>8.3313127298659972E-2</v>
      </c>
      <c r="DA107" s="199"/>
    </row>
    <row r="108" spans="1:105" ht="11.45" customHeight="1" x14ac:dyDescent="0.25">
      <c r="A108" s="37" t="s">
        <v>181</v>
      </c>
      <c r="B108" s="43">
        <f t="shared" ref="B108:C108" si="127">IF(B6=0,0,B6/B$4)</f>
        <v>0.64872920147364854</v>
      </c>
      <c r="C108" s="43">
        <f t="shared" si="127"/>
        <v>0.64266155307803541</v>
      </c>
      <c r="D108" s="43">
        <f t="shared" ref="D108:V108" si="128">IF(D6=0,0,D6/D$4)</f>
        <v>0.62603375977962605</v>
      </c>
      <c r="E108" s="43">
        <f t="shared" si="128"/>
        <v>0.61105247896653969</v>
      </c>
      <c r="F108" s="43">
        <f t="shared" si="128"/>
        <v>0.60316345685115602</v>
      </c>
      <c r="G108" s="43">
        <f t="shared" si="128"/>
        <v>0.58866812513399713</v>
      </c>
      <c r="H108" s="43">
        <f t="shared" si="128"/>
        <v>0.60950951988183488</v>
      </c>
      <c r="I108" s="43">
        <f t="shared" si="128"/>
        <v>0.600923623913034</v>
      </c>
      <c r="J108" s="43">
        <f t="shared" si="128"/>
        <v>0.5849881427099668</v>
      </c>
      <c r="K108" s="43">
        <f t="shared" si="128"/>
        <v>0.57740737986974078</v>
      </c>
      <c r="L108" s="43">
        <f t="shared" si="128"/>
        <v>0.56823122808938331</v>
      </c>
      <c r="M108" s="43">
        <f t="shared" si="128"/>
        <v>0.57535446484727371</v>
      </c>
      <c r="N108" s="43">
        <f t="shared" si="128"/>
        <v>0.57205357525889333</v>
      </c>
      <c r="O108" s="43">
        <f t="shared" si="128"/>
        <v>0.5798129345015004</v>
      </c>
      <c r="P108" s="43">
        <f t="shared" si="128"/>
        <v>0.58979245482925002</v>
      </c>
      <c r="Q108" s="43">
        <f t="shared" si="128"/>
        <v>0.5996733351031388</v>
      </c>
      <c r="R108" s="43">
        <f t="shared" si="128"/>
        <v>0.61256012269327231</v>
      </c>
      <c r="S108" s="43">
        <f t="shared" si="128"/>
        <v>0.60565638055219306</v>
      </c>
      <c r="T108" s="43">
        <f t="shared" si="128"/>
        <v>0.58683313739178433</v>
      </c>
      <c r="U108" s="43">
        <f t="shared" si="128"/>
        <v>0.56428888408994382</v>
      </c>
      <c r="V108" s="43">
        <f t="shared" si="128"/>
        <v>0.5930799643562179</v>
      </c>
      <c r="W108" s="43">
        <f t="shared" ref="W108:Y108" si="129">IF(W6=0,0,W6/W$4)</f>
        <v>0.58368705227353501</v>
      </c>
      <c r="X108" s="43">
        <f t="shared" si="129"/>
        <v>0.55959236920682986</v>
      </c>
      <c r="Y108" s="43">
        <f t="shared" si="129"/>
        <v>0.54958931345230844</v>
      </c>
      <c r="DA108" s="199"/>
    </row>
    <row r="109" spans="1:105" ht="11.45" customHeight="1" x14ac:dyDescent="0.25">
      <c r="A109" s="37" t="s">
        <v>182</v>
      </c>
      <c r="B109" s="43">
        <f t="shared" ref="B109:C109" si="130">IF(B7=0,0,B7/B$4)</f>
        <v>0.23788669132518842</v>
      </c>
      <c r="C109" s="43">
        <f t="shared" si="130"/>
        <v>0.23792950899403201</v>
      </c>
      <c r="D109" s="43">
        <f t="shared" ref="D109:V109" si="131">IF(D7=0,0,D7/D$4)</f>
        <v>0.25554187314189031</v>
      </c>
      <c r="E109" s="43">
        <f t="shared" si="131"/>
        <v>0.27541912120987672</v>
      </c>
      <c r="F109" s="43">
        <f t="shared" si="131"/>
        <v>0.28200704987564656</v>
      </c>
      <c r="G109" s="43">
        <f t="shared" si="131"/>
        <v>0.3020194466123145</v>
      </c>
      <c r="H109" s="43">
        <f t="shared" si="131"/>
        <v>0.30499254421539845</v>
      </c>
      <c r="I109" s="43">
        <f t="shared" si="131"/>
        <v>0.32153334436160486</v>
      </c>
      <c r="J109" s="43">
        <f t="shared" si="131"/>
        <v>0.33572647071899453</v>
      </c>
      <c r="K109" s="43">
        <f t="shared" si="131"/>
        <v>0.33261443270364865</v>
      </c>
      <c r="L109" s="43">
        <f t="shared" si="131"/>
        <v>0.34662683890979612</v>
      </c>
      <c r="M109" s="43">
        <f t="shared" si="131"/>
        <v>0.35191715598369822</v>
      </c>
      <c r="N109" s="43">
        <f t="shared" si="131"/>
        <v>0.3572882611780262</v>
      </c>
      <c r="O109" s="43">
        <f t="shared" si="131"/>
        <v>0.35078671937986994</v>
      </c>
      <c r="P109" s="43">
        <f t="shared" si="131"/>
        <v>0.34562313566417929</v>
      </c>
      <c r="Q109" s="43">
        <f t="shared" si="131"/>
        <v>0.32440538606666836</v>
      </c>
      <c r="R109" s="43">
        <f t="shared" si="131"/>
        <v>0.30386191693027664</v>
      </c>
      <c r="S109" s="43">
        <f t="shared" si="131"/>
        <v>0.31176178024308776</v>
      </c>
      <c r="T109" s="43">
        <f t="shared" si="131"/>
        <v>0.33421937901998655</v>
      </c>
      <c r="U109" s="43">
        <f t="shared" si="131"/>
        <v>0.3631364601228762</v>
      </c>
      <c r="V109" s="43">
        <f t="shared" si="131"/>
        <v>0.32302923593995014</v>
      </c>
      <c r="W109" s="43">
        <f t="shared" ref="W109:Y109" si="132">IF(W7=0,0,W7/W$4)</f>
        <v>0.29762966466135066</v>
      </c>
      <c r="X109" s="43">
        <f t="shared" si="132"/>
        <v>0.34813203351745953</v>
      </c>
      <c r="Y109" s="43">
        <f t="shared" si="132"/>
        <v>0.36709755924903148</v>
      </c>
      <c r="DA109" s="199"/>
    </row>
    <row r="110" spans="1:105" ht="11.45" customHeight="1" x14ac:dyDescent="0.25">
      <c r="A110" s="12" t="s">
        <v>39</v>
      </c>
      <c r="B110" s="17">
        <f t="shared" ref="B110:C110" si="133">IF(B8=0,0,B8/B$8)</f>
        <v>1</v>
      </c>
      <c r="C110" s="17">
        <f t="shared" si="133"/>
        <v>1</v>
      </c>
      <c r="D110" s="17">
        <f t="shared" ref="D110:V110" si="134">IF(D8=0,0,D8/D$8)</f>
        <v>1</v>
      </c>
      <c r="E110" s="17">
        <f t="shared" si="134"/>
        <v>1</v>
      </c>
      <c r="F110" s="17">
        <f t="shared" si="134"/>
        <v>1</v>
      </c>
      <c r="G110" s="17">
        <f t="shared" si="134"/>
        <v>1</v>
      </c>
      <c r="H110" s="17">
        <f t="shared" si="134"/>
        <v>1</v>
      </c>
      <c r="I110" s="17">
        <f t="shared" si="134"/>
        <v>1</v>
      </c>
      <c r="J110" s="17">
        <f t="shared" si="134"/>
        <v>1</v>
      </c>
      <c r="K110" s="17">
        <f t="shared" si="134"/>
        <v>1</v>
      </c>
      <c r="L110" s="17">
        <f t="shared" si="134"/>
        <v>1</v>
      </c>
      <c r="M110" s="17">
        <f t="shared" si="134"/>
        <v>1</v>
      </c>
      <c r="N110" s="17">
        <f t="shared" si="134"/>
        <v>1</v>
      </c>
      <c r="O110" s="17">
        <f t="shared" si="134"/>
        <v>1</v>
      </c>
      <c r="P110" s="17">
        <f t="shared" si="134"/>
        <v>1</v>
      </c>
      <c r="Q110" s="17">
        <f t="shared" si="134"/>
        <v>1</v>
      </c>
      <c r="R110" s="17">
        <f t="shared" si="134"/>
        <v>1</v>
      </c>
      <c r="S110" s="17">
        <f t="shared" si="134"/>
        <v>1</v>
      </c>
      <c r="T110" s="17">
        <f t="shared" si="134"/>
        <v>1</v>
      </c>
      <c r="U110" s="17">
        <f t="shared" si="134"/>
        <v>1</v>
      </c>
      <c r="V110" s="17">
        <f t="shared" si="134"/>
        <v>1</v>
      </c>
      <c r="W110" s="17">
        <f t="shared" ref="W110:Y110" si="135">IF(W8=0,0,W8/W$8)</f>
        <v>1</v>
      </c>
      <c r="X110" s="17">
        <f t="shared" si="135"/>
        <v>1</v>
      </c>
      <c r="Y110" s="17">
        <f t="shared" si="135"/>
        <v>1</v>
      </c>
      <c r="DA110" s="194"/>
    </row>
    <row r="111" spans="1:105" ht="11.45" customHeight="1" x14ac:dyDescent="0.25">
      <c r="A111" s="42" t="s">
        <v>27</v>
      </c>
      <c r="B111" s="44">
        <f t="shared" ref="B111:C111" si="136">IF(B9=0,0,B9/B$8)</f>
        <v>2.6448106560549658E-2</v>
      </c>
      <c r="C111" s="44">
        <f t="shared" si="136"/>
        <v>2.4480573918059721E-2</v>
      </c>
      <c r="D111" s="44">
        <f t="shared" ref="D111:V111" si="137">IF(D9=0,0,D9/D$8)</f>
        <v>2.5816940328958492E-2</v>
      </c>
      <c r="E111" s="44">
        <f t="shared" si="137"/>
        <v>3.0310688510253706E-2</v>
      </c>
      <c r="F111" s="44">
        <f t="shared" si="137"/>
        <v>2.8663151353106254E-2</v>
      </c>
      <c r="G111" s="44">
        <f t="shared" si="137"/>
        <v>2.938031777864784E-2</v>
      </c>
      <c r="H111" s="44">
        <f t="shared" si="137"/>
        <v>3.3315832133859656E-2</v>
      </c>
      <c r="I111" s="44">
        <f t="shared" si="137"/>
        <v>3.6130022819614305E-2</v>
      </c>
      <c r="J111" s="44">
        <f t="shared" si="137"/>
        <v>3.889987171637739E-2</v>
      </c>
      <c r="K111" s="44">
        <f t="shared" si="137"/>
        <v>4.7075367369634039E-2</v>
      </c>
      <c r="L111" s="44">
        <f t="shared" si="137"/>
        <v>4.3475483477948072E-2</v>
      </c>
      <c r="M111" s="44">
        <f t="shared" si="137"/>
        <v>2.9410201497291184E-2</v>
      </c>
      <c r="N111" s="44">
        <f t="shared" si="137"/>
        <v>2.1404944321127172E-2</v>
      </c>
      <c r="O111" s="44">
        <f t="shared" si="137"/>
        <v>2.0164245721974183E-2</v>
      </c>
      <c r="P111" s="44">
        <f t="shared" si="137"/>
        <v>1.7775499908948986E-2</v>
      </c>
      <c r="Q111" s="44">
        <f t="shared" si="137"/>
        <v>1.8679444101799458E-2</v>
      </c>
      <c r="R111" s="44">
        <f t="shared" si="137"/>
        <v>1.8725483969287797E-2</v>
      </c>
      <c r="S111" s="44">
        <f t="shared" si="137"/>
        <v>1.5316495757647252E-2</v>
      </c>
      <c r="T111" s="44">
        <f t="shared" si="137"/>
        <v>1.485910785545662E-2</v>
      </c>
      <c r="U111" s="44">
        <f t="shared" si="137"/>
        <v>1.7571055026115306E-2</v>
      </c>
      <c r="V111" s="44">
        <f t="shared" si="137"/>
        <v>2.6003249495680978E-2</v>
      </c>
      <c r="W111" s="44">
        <f t="shared" ref="W111:Y111" si="138">IF(W9=0,0,W9/W$8)</f>
        <v>2.3358864283104661E-2</v>
      </c>
      <c r="X111" s="44">
        <f t="shared" si="138"/>
        <v>1.8986397036894816E-2</v>
      </c>
      <c r="Y111" s="44">
        <f t="shared" si="138"/>
        <v>3.8453656697107735E-2</v>
      </c>
      <c r="DA111" s="200"/>
    </row>
    <row r="112" spans="1:105" ht="11.45" customHeight="1" x14ac:dyDescent="0.25">
      <c r="A112" s="42" t="s">
        <v>181</v>
      </c>
      <c r="B112" s="44">
        <f t="shared" ref="B112:C112" si="139">IF(B10=0,0,B10/B$8)</f>
        <v>0.4072673773956626</v>
      </c>
      <c r="C112" s="44">
        <f t="shared" si="139"/>
        <v>0.38967767995621061</v>
      </c>
      <c r="D112" s="44">
        <f t="shared" ref="D112:V112" si="140">IF(D10=0,0,D10/D$8)</f>
        <v>0.38589098763757734</v>
      </c>
      <c r="E112" s="44">
        <f t="shared" si="140"/>
        <v>0.39245285686701886</v>
      </c>
      <c r="F112" s="44">
        <f t="shared" si="140"/>
        <v>0.36696482958548926</v>
      </c>
      <c r="G112" s="44">
        <f t="shared" si="140"/>
        <v>0.31862287975027259</v>
      </c>
      <c r="H112" s="44">
        <f t="shared" si="140"/>
        <v>0.29046276738805821</v>
      </c>
      <c r="I112" s="44">
        <f t="shared" si="140"/>
        <v>0.24564373781810428</v>
      </c>
      <c r="J112" s="44">
        <f t="shared" si="140"/>
        <v>0.20371792366056127</v>
      </c>
      <c r="K112" s="44">
        <f t="shared" si="140"/>
        <v>0.19636062059296847</v>
      </c>
      <c r="L112" s="44">
        <f t="shared" si="140"/>
        <v>0.17069408644229236</v>
      </c>
      <c r="M112" s="44">
        <f t="shared" si="140"/>
        <v>0.1479812689946336</v>
      </c>
      <c r="N112" s="44">
        <f t="shared" si="140"/>
        <v>0.13184095383035119</v>
      </c>
      <c r="O112" s="44">
        <f t="shared" si="140"/>
        <v>0.12252270241512161</v>
      </c>
      <c r="P112" s="44">
        <f t="shared" si="140"/>
        <v>0.12511762311876107</v>
      </c>
      <c r="Q112" s="44">
        <f t="shared" si="140"/>
        <v>0.13909742624616836</v>
      </c>
      <c r="R112" s="44">
        <f t="shared" si="140"/>
        <v>0.14712831650861027</v>
      </c>
      <c r="S112" s="44">
        <f t="shared" si="140"/>
        <v>0.11933001976935828</v>
      </c>
      <c r="T112" s="44">
        <f t="shared" si="140"/>
        <v>0.12688960001076507</v>
      </c>
      <c r="U112" s="44">
        <f t="shared" si="140"/>
        <v>0.12440268504879093</v>
      </c>
      <c r="V112" s="44">
        <f t="shared" si="140"/>
        <v>0.18601287640552658</v>
      </c>
      <c r="W112" s="44">
        <f t="shared" ref="W112:Y112" si="141">IF(W10=0,0,W10/W$8)</f>
        <v>0.15979262207040187</v>
      </c>
      <c r="X112" s="44">
        <f t="shared" si="141"/>
        <v>0.11028957936004931</v>
      </c>
      <c r="Y112" s="44">
        <f t="shared" si="141"/>
        <v>0.20585378966078619</v>
      </c>
      <c r="DA112" s="200"/>
    </row>
    <row r="113" spans="1:105" ht="11.45" customHeight="1" x14ac:dyDescent="0.25">
      <c r="A113" s="38" t="s">
        <v>182</v>
      </c>
      <c r="B113" s="45">
        <f t="shared" ref="B113:C113" si="142">IF(B11=0,0,B11/B$8)</f>
        <v>0.56628451604378793</v>
      </c>
      <c r="C113" s="45">
        <f t="shared" si="142"/>
        <v>0.58584174612572981</v>
      </c>
      <c r="D113" s="45">
        <f t="shared" ref="D113:V113" si="143">IF(D11=0,0,D11/D$8)</f>
        <v>0.58829207203346423</v>
      </c>
      <c r="E113" s="45">
        <f t="shared" si="143"/>
        <v>0.57723645462272744</v>
      </c>
      <c r="F113" s="45">
        <f t="shared" si="143"/>
        <v>0.60437201906140459</v>
      </c>
      <c r="G113" s="45">
        <f t="shared" si="143"/>
        <v>0.65199680247107961</v>
      </c>
      <c r="H113" s="45">
        <f t="shared" si="143"/>
        <v>0.67622140047808221</v>
      </c>
      <c r="I113" s="45">
        <f t="shared" si="143"/>
        <v>0.71822623936228136</v>
      </c>
      <c r="J113" s="45">
        <f t="shared" si="143"/>
        <v>0.75738220462306127</v>
      </c>
      <c r="K113" s="45">
        <f t="shared" si="143"/>
        <v>0.75656401203739754</v>
      </c>
      <c r="L113" s="45">
        <f t="shared" si="143"/>
        <v>0.7858304300797595</v>
      </c>
      <c r="M113" s="45">
        <f t="shared" si="143"/>
        <v>0.82260852950807528</v>
      </c>
      <c r="N113" s="45">
        <f t="shared" si="143"/>
        <v>0.84675410184852162</v>
      </c>
      <c r="O113" s="45">
        <f t="shared" si="143"/>
        <v>0.85731305186290407</v>
      </c>
      <c r="P113" s="45">
        <f t="shared" si="143"/>
        <v>0.85710687697228993</v>
      </c>
      <c r="Q113" s="45">
        <f t="shared" si="143"/>
        <v>0.84222312965203228</v>
      </c>
      <c r="R113" s="45">
        <f t="shared" si="143"/>
        <v>0.83414619952210189</v>
      </c>
      <c r="S113" s="45">
        <f t="shared" si="143"/>
        <v>0.86535348447299443</v>
      </c>
      <c r="T113" s="45">
        <f t="shared" si="143"/>
        <v>0.85825129213377838</v>
      </c>
      <c r="U113" s="45">
        <f t="shared" si="143"/>
        <v>0.85802625992509385</v>
      </c>
      <c r="V113" s="45">
        <f t="shared" si="143"/>
        <v>0.78798387409879234</v>
      </c>
      <c r="W113" s="45">
        <f t="shared" ref="W113:Y113" si="144">IF(W11=0,0,W11/W$8)</f>
        <v>0.81684851364649347</v>
      </c>
      <c r="X113" s="45">
        <f t="shared" si="144"/>
        <v>0.8707240236030559</v>
      </c>
      <c r="Y113" s="45">
        <f t="shared" si="144"/>
        <v>0.75569255364210597</v>
      </c>
      <c r="DA113" s="201"/>
    </row>
    <row r="114" spans="1:105" x14ac:dyDescent="0.25">
      <c r="A114" s="50"/>
      <c r="B114" s="50"/>
      <c r="C114" s="50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DA114" s="181"/>
    </row>
    <row r="115" spans="1:105" ht="11.45" customHeight="1" x14ac:dyDescent="0.25">
      <c r="A115" s="53" t="s">
        <v>66</v>
      </c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DA115" s="183"/>
    </row>
    <row r="116" spans="1:105" ht="11.45" customHeight="1" x14ac:dyDescent="0.25">
      <c r="A116" s="10" t="s">
        <v>33</v>
      </c>
      <c r="B116" s="16">
        <f t="shared" ref="B116:C116" si="145">IF(B14=0,0,B14/B$14)</f>
        <v>1</v>
      </c>
      <c r="C116" s="16">
        <f t="shared" si="145"/>
        <v>1</v>
      </c>
      <c r="D116" s="16">
        <f t="shared" ref="D116:V116" si="146">IF(D14=0,0,D14/D$14)</f>
        <v>1</v>
      </c>
      <c r="E116" s="16">
        <f t="shared" si="146"/>
        <v>1</v>
      </c>
      <c r="F116" s="16">
        <f t="shared" si="146"/>
        <v>1</v>
      </c>
      <c r="G116" s="16">
        <f t="shared" si="146"/>
        <v>1</v>
      </c>
      <c r="H116" s="16">
        <f t="shared" si="146"/>
        <v>1</v>
      </c>
      <c r="I116" s="16">
        <f t="shared" si="146"/>
        <v>1</v>
      </c>
      <c r="J116" s="16">
        <f t="shared" si="146"/>
        <v>1</v>
      </c>
      <c r="K116" s="16">
        <f t="shared" si="146"/>
        <v>1</v>
      </c>
      <c r="L116" s="16">
        <f t="shared" si="146"/>
        <v>1</v>
      </c>
      <c r="M116" s="16">
        <f t="shared" si="146"/>
        <v>1</v>
      </c>
      <c r="N116" s="16">
        <f t="shared" si="146"/>
        <v>1</v>
      </c>
      <c r="O116" s="16">
        <f t="shared" si="146"/>
        <v>1</v>
      </c>
      <c r="P116" s="16">
        <f t="shared" si="146"/>
        <v>1</v>
      </c>
      <c r="Q116" s="16">
        <f t="shared" si="146"/>
        <v>1</v>
      </c>
      <c r="R116" s="16">
        <f t="shared" si="146"/>
        <v>1</v>
      </c>
      <c r="S116" s="16">
        <f t="shared" si="146"/>
        <v>1</v>
      </c>
      <c r="T116" s="16">
        <f t="shared" si="146"/>
        <v>1</v>
      </c>
      <c r="U116" s="16">
        <f t="shared" si="146"/>
        <v>1</v>
      </c>
      <c r="V116" s="16">
        <f t="shared" si="146"/>
        <v>1</v>
      </c>
      <c r="W116" s="16">
        <f t="shared" ref="W116:Y116" si="147">IF(W14=0,0,W14/W$14)</f>
        <v>1</v>
      </c>
      <c r="X116" s="16">
        <f t="shared" si="147"/>
        <v>1</v>
      </c>
      <c r="Y116" s="16">
        <f t="shared" si="147"/>
        <v>1</v>
      </c>
      <c r="DA116" s="190"/>
    </row>
    <row r="117" spans="1:105" ht="11.45" customHeight="1" x14ac:dyDescent="0.25">
      <c r="A117" s="37" t="s">
        <v>27</v>
      </c>
      <c r="B117" s="43">
        <f t="shared" ref="B117:C117" si="148">IF(B15=0,0,B15/B$14)</f>
        <v>0.12174335864559169</v>
      </c>
      <c r="C117" s="43">
        <f t="shared" si="148"/>
        <v>0.1290004991412885</v>
      </c>
      <c r="D117" s="43">
        <f t="shared" ref="D117:V117" si="149">IF(D15=0,0,D15/D$14)</f>
        <v>0.13961533212632585</v>
      </c>
      <c r="E117" s="43">
        <f t="shared" si="149"/>
        <v>0.13160516496995137</v>
      </c>
      <c r="F117" s="43">
        <f t="shared" si="149"/>
        <v>0.14517487983140703</v>
      </c>
      <c r="G117" s="43">
        <f t="shared" si="149"/>
        <v>0.14085530977285496</v>
      </c>
      <c r="H117" s="43">
        <f t="shared" si="149"/>
        <v>0.11293867688719329</v>
      </c>
      <c r="I117" s="43">
        <f t="shared" si="149"/>
        <v>9.7684246061376934E-2</v>
      </c>
      <c r="J117" s="43">
        <f t="shared" si="149"/>
        <v>0.10459907473962633</v>
      </c>
      <c r="K117" s="43">
        <f t="shared" si="149"/>
        <v>0.10488980483052314</v>
      </c>
      <c r="L117" s="43">
        <f t="shared" si="149"/>
        <v>0.10052452361113898</v>
      </c>
      <c r="M117" s="43">
        <f t="shared" si="149"/>
        <v>9.1753193151538626E-2</v>
      </c>
      <c r="N117" s="43">
        <f t="shared" si="149"/>
        <v>8.9163003044718137E-2</v>
      </c>
      <c r="O117" s="43">
        <f t="shared" si="149"/>
        <v>8.586861079943027E-2</v>
      </c>
      <c r="P117" s="43">
        <f t="shared" si="149"/>
        <v>8.4535568568741309E-2</v>
      </c>
      <c r="Q117" s="43">
        <f t="shared" si="149"/>
        <v>8.7419183716924517E-2</v>
      </c>
      <c r="R117" s="43">
        <f t="shared" si="149"/>
        <v>0.11417331994413595</v>
      </c>
      <c r="S117" s="43">
        <f t="shared" si="149"/>
        <v>0.10484153145304169</v>
      </c>
      <c r="T117" s="43">
        <f t="shared" si="149"/>
        <v>0.10119199418469182</v>
      </c>
      <c r="U117" s="43">
        <f t="shared" si="149"/>
        <v>0.10198149157361151</v>
      </c>
      <c r="V117" s="43">
        <f t="shared" si="149"/>
        <v>0.12982081163941719</v>
      </c>
      <c r="W117" s="43">
        <f t="shared" ref="W117:Y117" si="150">IF(W15=0,0,W15/W$14)</f>
        <v>0.1379171234837834</v>
      </c>
      <c r="X117" s="43">
        <f t="shared" si="150"/>
        <v>0.10968108269189406</v>
      </c>
      <c r="Y117" s="43">
        <f t="shared" si="150"/>
        <v>0.10286668161039768</v>
      </c>
      <c r="DA117" s="199"/>
    </row>
    <row r="118" spans="1:105" ht="11.45" customHeight="1" x14ac:dyDescent="0.25">
      <c r="A118" s="37" t="s">
        <v>181</v>
      </c>
      <c r="B118" s="43">
        <f t="shared" ref="B118:C118" si="151">IF(B16=0,0,B16/B$14)</f>
        <v>0.66550916492143319</v>
      </c>
      <c r="C118" s="43">
        <f t="shared" si="151"/>
        <v>0.66002264688976109</v>
      </c>
      <c r="D118" s="43">
        <f t="shared" ref="D118:V118" si="152">IF(D16=0,0,D16/D$14)</f>
        <v>0.65197968503876291</v>
      </c>
      <c r="E118" s="43">
        <f t="shared" si="152"/>
        <v>0.64220399876372269</v>
      </c>
      <c r="F118" s="43">
        <f t="shared" si="152"/>
        <v>0.64083693857634405</v>
      </c>
      <c r="G118" s="43">
        <f t="shared" si="152"/>
        <v>0.6279295027718208</v>
      </c>
      <c r="H118" s="43">
        <f t="shared" si="152"/>
        <v>0.65519524238402038</v>
      </c>
      <c r="I118" s="43">
        <f t="shared" si="152"/>
        <v>0.65921375762222534</v>
      </c>
      <c r="J118" s="43">
        <f t="shared" si="152"/>
        <v>0.65841090095572807</v>
      </c>
      <c r="K118" s="43">
        <f t="shared" si="152"/>
        <v>0.65019965936678281</v>
      </c>
      <c r="L118" s="43">
        <f t="shared" si="152"/>
        <v>0.64480490683786074</v>
      </c>
      <c r="M118" s="43">
        <f t="shared" si="152"/>
        <v>0.6470130996356509</v>
      </c>
      <c r="N118" s="43">
        <f t="shared" si="152"/>
        <v>0.64023505308005302</v>
      </c>
      <c r="O118" s="43">
        <f t="shared" si="152"/>
        <v>0.65050301859069692</v>
      </c>
      <c r="P118" s="43">
        <f t="shared" si="152"/>
        <v>0.65135470405077212</v>
      </c>
      <c r="Q118" s="43">
        <f t="shared" si="152"/>
        <v>0.66035270786082001</v>
      </c>
      <c r="R118" s="43">
        <f t="shared" si="152"/>
        <v>0.64810577910592737</v>
      </c>
      <c r="S118" s="43">
        <f t="shared" si="152"/>
        <v>0.65039739166215216</v>
      </c>
      <c r="T118" s="43">
        <f t="shared" si="152"/>
        <v>0.63580687022350857</v>
      </c>
      <c r="U118" s="43">
        <f t="shared" si="152"/>
        <v>0.6095385963255483</v>
      </c>
      <c r="V118" s="43">
        <f t="shared" si="152"/>
        <v>0.61872165603894413</v>
      </c>
      <c r="W118" s="43">
        <f t="shared" ref="W118:Y118" si="153">IF(W16=0,0,W16/W$14)</f>
        <v>0.62161203107033702</v>
      </c>
      <c r="X118" s="43">
        <f t="shared" si="153"/>
        <v>0.61457455325189103</v>
      </c>
      <c r="Y118" s="43">
        <f t="shared" si="153"/>
        <v>0.60638538607375692</v>
      </c>
      <c r="DA118" s="199"/>
    </row>
    <row r="119" spans="1:105" ht="11.45" customHeight="1" x14ac:dyDescent="0.25">
      <c r="A119" s="37" t="s">
        <v>182</v>
      </c>
      <c r="B119" s="43">
        <f t="shared" ref="B119:C119" si="154">IF(B17=0,0,B17/B$14)</f>
        <v>0.21274747643297515</v>
      </c>
      <c r="C119" s="43">
        <f t="shared" si="154"/>
        <v>0.21097685396895052</v>
      </c>
      <c r="D119" s="43">
        <f t="shared" ref="D119:V119" si="155">IF(D17=0,0,D17/D$14)</f>
        <v>0.20840498283491127</v>
      </c>
      <c r="E119" s="43">
        <f t="shared" si="155"/>
        <v>0.22619083626632591</v>
      </c>
      <c r="F119" s="43">
        <f t="shared" si="155"/>
        <v>0.21398818159224894</v>
      </c>
      <c r="G119" s="43">
        <f t="shared" si="155"/>
        <v>0.23121518745532413</v>
      </c>
      <c r="H119" s="43">
        <f t="shared" si="155"/>
        <v>0.23186608072878637</v>
      </c>
      <c r="I119" s="43">
        <f t="shared" si="155"/>
        <v>0.2431019963163977</v>
      </c>
      <c r="J119" s="43">
        <f t="shared" si="155"/>
        <v>0.23699002430464558</v>
      </c>
      <c r="K119" s="43">
        <f t="shared" si="155"/>
        <v>0.24491053580269406</v>
      </c>
      <c r="L119" s="43">
        <f t="shared" si="155"/>
        <v>0.25467056955100031</v>
      </c>
      <c r="M119" s="43">
        <f t="shared" si="155"/>
        <v>0.26123370721281047</v>
      </c>
      <c r="N119" s="43">
        <f t="shared" si="155"/>
        <v>0.27060194387522896</v>
      </c>
      <c r="O119" s="43">
        <f t="shared" si="155"/>
        <v>0.26362837060987293</v>
      </c>
      <c r="P119" s="43">
        <f t="shared" si="155"/>
        <v>0.26410972738048655</v>
      </c>
      <c r="Q119" s="43">
        <f t="shared" si="155"/>
        <v>0.25222810842225529</v>
      </c>
      <c r="R119" s="43">
        <f t="shared" si="155"/>
        <v>0.23772090094993661</v>
      </c>
      <c r="S119" s="43">
        <f t="shared" si="155"/>
        <v>0.24476107688480619</v>
      </c>
      <c r="T119" s="43">
        <f t="shared" si="155"/>
        <v>0.26300113559179972</v>
      </c>
      <c r="U119" s="43">
        <f t="shared" si="155"/>
        <v>0.28847991210084012</v>
      </c>
      <c r="V119" s="43">
        <f t="shared" si="155"/>
        <v>0.25145753232163859</v>
      </c>
      <c r="W119" s="43">
        <f t="shared" ref="W119:Y119" si="156">IF(W17=0,0,W17/W$14)</f>
        <v>0.24047084544587946</v>
      </c>
      <c r="X119" s="43">
        <f t="shared" si="156"/>
        <v>0.275744364056215</v>
      </c>
      <c r="Y119" s="43">
        <f t="shared" si="156"/>
        <v>0.29074793231584539</v>
      </c>
      <c r="DA119" s="199"/>
    </row>
    <row r="120" spans="1:105" ht="11.45" customHeight="1" x14ac:dyDescent="0.25">
      <c r="A120" s="12" t="s">
        <v>34</v>
      </c>
      <c r="B120" s="17">
        <f t="shared" ref="B120:C120" si="157">IF(B18=0,0,B18/B$18)</f>
        <v>1</v>
      </c>
      <c r="C120" s="17">
        <f t="shared" si="157"/>
        <v>1</v>
      </c>
      <c r="D120" s="17">
        <f t="shared" ref="D120:V120" si="158">IF(D18=0,0,D18/D$18)</f>
        <v>1</v>
      </c>
      <c r="E120" s="17">
        <f t="shared" si="158"/>
        <v>1</v>
      </c>
      <c r="F120" s="17">
        <f t="shared" si="158"/>
        <v>1</v>
      </c>
      <c r="G120" s="17">
        <f t="shared" si="158"/>
        <v>1</v>
      </c>
      <c r="H120" s="17">
        <f t="shared" si="158"/>
        <v>1</v>
      </c>
      <c r="I120" s="17">
        <f t="shared" si="158"/>
        <v>1</v>
      </c>
      <c r="J120" s="17">
        <f t="shared" si="158"/>
        <v>1</v>
      </c>
      <c r="K120" s="17">
        <f t="shared" si="158"/>
        <v>1</v>
      </c>
      <c r="L120" s="17">
        <f t="shared" si="158"/>
        <v>1</v>
      </c>
      <c r="M120" s="17">
        <f t="shared" si="158"/>
        <v>1</v>
      </c>
      <c r="N120" s="17">
        <f t="shared" si="158"/>
        <v>1</v>
      </c>
      <c r="O120" s="17">
        <f t="shared" si="158"/>
        <v>1</v>
      </c>
      <c r="P120" s="17">
        <f t="shared" si="158"/>
        <v>1</v>
      </c>
      <c r="Q120" s="17">
        <f t="shared" si="158"/>
        <v>1</v>
      </c>
      <c r="R120" s="17">
        <f t="shared" si="158"/>
        <v>1</v>
      </c>
      <c r="S120" s="17">
        <f t="shared" si="158"/>
        <v>1</v>
      </c>
      <c r="T120" s="17">
        <f t="shared" si="158"/>
        <v>1</v>
      </c>
      <c r="U120" s="17">
        <f t="shared" si="158"/>
        <v>1</v>
      </c>
      <c r="V120" s="17">
        <f t="shared" si="158"/>
        <v>1</v>
      </c>
      <c r="W120" s="17">
        <f t="shared" ref="W120:Y120" si="159">IF(W18=0,0,W18/W$18)</f>
        <v>1</v>
      </c>
      <c r="X120" s="17">
        <f t="shared" si="159"/>
        <v>1</v>
      </c>
      <c r="Y120" s="17">
        <f t="shared" si="159"/>
        <v>1</v>
      </c>
      <c r="DA120" s="194"/>
    </row>
    <row r="121" spans="1:105" ht="11.45" customHeight="1" x14ac:dyDescent="0.25">
      <c r="A121" s="42" t="s">
        <v>27</v>
      </c>
      <c r="B121" s="44">
        <f t="shared" ref="B121:C121" si="160">IF(B19=0,0,B19/B$18)</f>
        <v>7.437382874762509E-2</v>
      </c>
      <c r="C121" s="44">
        <f t="shared" si="160"/>
        <v>7.3766216422308586E-2</v>
      </c>
      <c r="D121" s="44">
        <f t="shared" ref="D121:V121" si="161">IF(D19=0,0,D19/D$18)</f>
        <v>7.1762000464139025E-2</v>
      </c>
      <c r="E121" s="44">
        <f t="shared" si="161"/>
        <v>7.6970136709991088E-2</v>
      </c>
      <c r="F121" s="44">
        <f t="shared" si="161"/>
        <v>7.3465228250758532E-2</v>
      </c>
      <c r="G121" s="44">
        <f t="shared" si="161"/>
        <v>7.8027132760853005E-2</v>
      </c>
      <c r="H121" s="44">
        <f t="shared" si="161"/>
        <v>8.4723100188041994E-2</v>
      </c>
      <c r="I121" s="44">
        <f t="shared" si="161"/>
        <v>9.4979952993694355E-2</v>
      </c>
      <c r="J121" s="44">
        <f t="shared" si="161"/>
        <v>0.10973656717074047</v>
      </c>
      <c r="K121" s="44">
        <f t="shared" si="161"/>
        <v>0.13992777341070314</v>
      </c>
      <c r="L121" s="44">
        <f t="shared" si="161"/>
        <v>0.12972279264442815</v>
      </c>
      <c r="M121" s="44">
        <f t="shared" si="161"/>
        <v>8.8987090411465603E-2</v>
      </c>
      <c r="N121" s="44">
        <f t="shared" si="161"/>
        <v>7.3578281364187439E-2</v>
      </c>
      <c r="O121" s="44">
        <f t="shared" si="161"/>
        <v>6.9601326554731321E-2</v>
      </c>
      <c r="P121" s="44">
        <f t="shared" si="161"/>
        <v>6.4644592724289213E-2</v>
      </c>
      <c r="Q121" s="44">
        <f t="shared" si="161"/>
        <v>6.3762590395760266E-2</v>
      </c>
      <c r="R121" s="44">
        <f t="shared" si="161"/>
        <v>5.7806083204870379E-2</v>
      </c>
      <c r="S121" s="44">
        <f t="shared" si="161"/>
        <v>5.3621335838292247E-2</v>
      </c>
      <c r="T121" s="44">
        <f t="shared" si="161"/>
        <v>5.2190008539051362E-2</v>
      </c>
      <c r="U121" s="44">
        <f t="shared" si="161"/>
        <v>5.9120870569242846E-2</v>
      </c>
      <c r="V121" s="44">
        <f t="shared" si="161"/>
        <v>6.0254166514937542E-2</v>
      </c>
      <c r="W121" s="44">
        <f t="shared" ref="W121:Y121" si="162">IF(W19=0,0,W19/W$18)</f>
        <v>5.5288394390712411E-2</v>
      </c>
      <c r="X121" s="44">
        <f t="shared" si="162"/>
        <v>5.3392654285475509E-2</v>
      </c>
      <c r="Y121" s="44">
        <f t="shared" si="162"/>
        <v>9.31000545258409E-2</v>
      </c>
      <c r="DA121" s="200"/>
    </row>
    <row r="122" spans="1:105" ht="11.45" customHeight="1" x14ac:dyDescent="0.25">
      <c r="A122" s="42" t="s">
        <v>181</v>
      </c>
      <c r="B122" s="44">
        <f t="shared" ref="B122:C122" si="163">IF(B20=0,0,B20/B$18)</f>
        <v>0.63603983142250675</v>
      </c>
      <c r="C122" s="44">
        <f t="shared" si="163"/>
        <v>0.62222862084440012</v>
      </c>
      <c r="D122" s="44">
        <f t="shared" ref="D122:V122" si="164">IF(D20=0,0,D20/D$18)</f>
        <v>0.62153012240190164</v>
      </c>
      <c r="E122" s="44">
        <f t="shared" si="164"/>
        <v>0.60118023132909992</v>
      </c>
      <c r="F122" s="44">
        <f t="shared" si="164"/>
        <v>0.59654858613494843</v>
      </c>
      <c r="G122" s="44">
        <f t="shared" si="164"/>
        <v>0.53812016107050187</v>
      </c>
      <c r="H122" s="44">
        <f t="shared" si="164"/>
        <v>0.53596146682516621</v>
      </c>
      <c r="I122" s="44">
        <f t="shared" si="164"/>
        <v>0.48305555406503364</v>
      </c>
      <c r="J122" s="44">
        <f t="shared" si="164"/>
        <v>0.42142233908417281</v>
      </c>
      <c r="K122" s="44">
        <f t="shared" si="164"/>
        <v>0.41873997402174995</v>
      </c>
      <c r="L122" s="44">
        <f t="shared" si="164"/>
        <v>0.38613606847601034</v>
      </c>
      <c r="M122" s="44">
        <f t="shared" si="164"/>
        <v>0.36436971401703672</v>
      </c>
      <c r="N122" s="44">
        <f t="shared" si="164"/>
        <v>0.33440492681428502</v>
      </c>
      <c r="O122" s="44">
        <f t="shared" si="164"/>
        <v>0.3184796255113273</v>
      </c>
      <c r="P122" s="44">
        <f t="shared" si="164"/>
        <v>0.32296438373908426</v>
      </c>
      <c r="Q122" s="44">
        <f t="shared" si="164"/>
        <v>0.35311786586101535</v>
      </c>
      <c r="R122" s="44">
        <f t="shared" si="164"/>
        <v>0.37075447436933567</v>
      </c>
      <c r="S122" s="44">
        <f t="shared" si="164"/>
        <v>0.33441526048850745</v>
      </c>
      <c r="T122" s="44">
        <f t="shared" si="164"/>
        <v>0.34823986939770768</v>
      </c>
      <c r="U122" s="44">
        <f t="shared" si="164"/>
        <v>0.33917403049179118</v>
      </c>
      <c r="V122" s="44">
        <f t="shared" si="164"/>
        <v>0.3811733020625816</v>
      </c>
      <c r="W122" s="44">
        <f t="shared" ref="W122:Y122" si="165">IF(W20=0,0,W20/W$18)</f>
        <v>0.35400932423600023</v>
      </c>
      <c r="X122" s="44">
        <f t="shared" si="165"/>
        <v>0.29004255396699091</v>
      </c>
      <c r="Y122" s="44">
        <f t="shared" si="165"/>
        <v>0.45270367204728718</v>
      </c>
      <c r="DA122" s="200"/>
    </row>
    <row r="123" spans="1:105" ht="11.45" customHeight="1" x14ac:dyDescent="0.25">
      <c r="A123" s="38" t="s">
        <v>182</v>
      </c>
      <c r="B123" s="45">
        <f t="shared" ref="B123:C123" si="166">IF(B21=0,0,B21/B$18)</f>
        <v>0.28958633982986826</v>
      </c>
      <c r="C123" s="45">
        <f t="shared" si="166"/>
        <v>0.30400516273329137</v>
      </c>
      <c r="D123" s="45">
        <f t="shared" ref="D123:V123" si="167">IF(D21=0,0,D21/D$18)</f>
        <v>0.30670787713395936</v>
      </c>
      <c r="E123" s="45">
        <f t="shared" si="167"/>
        <v>0.3218496319609091</v>
      </c>
      <c r="F123" s="45">
        <f t="shared" si="167"/>
        <v>0.3299861856142931</v>
      </c>
      <c r="G123" s="45">
        <f t="shared" si="167"/>
        <v>0.38385270616864503</v>
      </c>
      <c r="H123" s="45">
        <f t="shared" si="167"/>
        <v>0.37931543298679177</v>
      </c>
      <c r="I123" s="45">
        <f t="shared" si="167"/>
        <v>0.42196449294127197</v>
      </c>
      <c r="J123" s="45">
        <f t="shared" si="167"/>
        <v>0.4688410937450867</v>
      </c>
      <c r="K123" s="45">
        <f t="shared" si="167"/>
        <v>0.44133225256754693</v>
      </c>
      <c r="L123" s="45">
        <f t="shared" si="167"/>
        <v>0.48414113887956139</v>
      </c>
      <c r="M123" s="45">
        <f t="shared" si="167"/>
        <v>0.54664319557149765</v>
      </c>
      <c r="N123" s="45">
        <f t="shared" si="167"/>
        <v>0.59201679182152755</v>
      </c>
      <c r="O123" s="45">
        <f t="shared" si="167"/>
        <v>0.61191904793394136</v>
      </c>
      <c r="P123" s="45">
        <f t="shared" si="167"/>
        <v>0.61239102353662644</v>
      </c>
      <c r="Q123" s="45">
        <f t="shared" si="167"/>
        <v>0.58311954374322428</v>
      </c>
      <c r="R123" s="45">
        <f t="shared" si="167"/>
        <v>0.57143944242579403</v>
      </c>
      <c r="S123" s="45">
        <f t="shared" si="167"/>
        <v>0.61196340367320035</v>
      </c>
      <c r="T123" s="45">
        <f t="shared" si="167"/>
        <v>0.5995701220632409</v>
      </c>
      <c r="U123" s="45">
        <f t="shared" si="167"/>
        <v>0.60170509893896607</v>
      </c>
      <c r="V123" s="45">
        <f t="shared" si="167"/>
        <v>0.55857253142248087</v>
      </c>
      <c r="W123" s="45">
        <f t="shared" ref="W123:Y123" si="168">IF(W21=0,0,W21/W$18)</f>
        <v>0.5907022813732874</v>
      </c>
      <c r="X123" s="45">
        <f t="shared" si="168"/>
        <v>0.65656479174753357</v>
      </c>
      <c r="Y123" s="45">
        <f t="shared" si="168"/>
        <v>0.45419627342687197</v>
      </c>
      <c r="DA123" s="201"/>
    </row>
    <row r="125" spans="1:105" x14ac:dyDescent="0.25">
      <c r="A125" s="18" t="s">
        <v>183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A77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276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32</v>
      </c>
      <c r="B3" s="79">
        <f t="shared" ref="B3:C3" si="0">SUM(B4:B5)</f>
        <v>787.02450558899386</v>
      </c>
      <c r="C3" s="79">
        <f t="shared" si="0"/>
        <v>764.65915735167664</v>
      </c>
      <c r="D3" s="79">
        <f t="shared" ref="D3" si="1">SUM(D4:D5)</f>
        <v>752.95090283748914</v>
      </c>
      <c r="E3" s="79">
        <f t="shared" ref="E3" si="2">SUM(E4:E5)</f>
        <v>792.3564058469475</v>
      </c>
      <c r="F3" s="79">
        <f t="shared" ref="F3" si="3">SUM(F4:F5)</f>
        <v>859.47626827171098</v>
      </c>
      <c r="G3" s="79">
        <f t="shared" ref="G3" si="4">SUM(G4:G5)</f>
        <v>891.43164230438526</v>
      </c>
      <c r="H3" s="79">
        <f t="shared" ref="H3" si="5">SUM(H4:H5)</f>
        <v>932.96216680997441</v>
      </c>
      <c r="I3" s="79">
        <f t="shared" ref="I3" si="6">SUM(I4:I5)</f>
        <v>976.76027515047258</v>
      </c>
      <c r="J3" s="79">
        <f t="shared" ref="J3" si="7">SUM(J4:J5)</f>
        <v>997.30094582975073</v>
      </c>
      <c r="K3" s="79">
        <f t="shared" ref="K3" si="8">SUM(K4:K5)</f>
        <v>934.65176268271705</v>
      </c>
      <c r="L3" s="79">
        <f t="shared" ref="L3" si="9">SUM(L4:L5)</f>
        <v>1014.7846087704213</v>
      </c>
      <c r="M3" s="79">
        <f t="shared" ref="M3" si="10">SUM(M4:M5)</f>
        <v>1036.3284608770423</v>
      </c>
      <c r="N3" s="79">
        <f t="shared" ref="N3" si="11">SUM(N4:N5)</f>
        <v>1044.5208942390368</v>
      </c>
      <c r="O3" s="79">
        <f t="shared" ref="O3" si="12">SUM(O4:O5)</f>
        <v>1056.8691315563199</v>
      </c>
      <c r="P3" s="79">
        <f t="shared" ref="P3" si="13">SUM(P4:P5)</f>
        <v>1085.6023215821151</v>
      </c>
      <c r="Q3" s="79">
        <f t="shared" ref="Q3" si="14">SUM(Q4:Q5)</f>
        <v>1171.8735167669822</v>
      </c>
      <c r="R3" s="79">
        <f t="shared" ref="R3" si="15">SUM(R4:R5)</f>
        <v>1288.9557179707656</v>
      </c>
      <c r="S3" s="79">
        <f t="shared" ref="S3" si="16">SUM(S4:S5)</f>
        <v>1448.9865864144444</v>
      </c>
      <c r="T3" s="79">
        <f t="shared" ref="T3" si="17">SUM(T4:T5)</f>
        <v>1542.8203783319004</v>
      </c>
      <c r="U3" s="79">
        <f t="shared" ref="U3" si="18">SUM(U4:U5)</f>
        <v>1624.6048151332752</v>
      </c>
      <c r="V3" s="79">
        <f t="shared" ref="V3:W3" si="19">SUM(V4:V5)</f>
        <v>610.08787618228712</v>
      </c>
      <c r="W3" s="79">
        <f t="shared" si="19"/>
        <v>780.32923473774724</v>
      </c>
      <c r="X3" s="79">
        <f t="shared" ref="X3:Y3" si="20">SUM(X4:X5)</f>
        <v>1530.6385210662081</v>
      </c>
      <c r="Y3" s="79">
        <f t="shared" si="20"/>
        <v>1765.3506448839205</v>
      </c>
      <c r="DA3" s="172" t="s">
        <v>277</v>
      </c>
    </row>
    <row r="4" spans="1:105" ht="11.45" customHeight="1" x14ac:dyDescent="0.25">
      <c r="A4" s="95" t="s">
        <v>27</v>
      </c>
      <c r="B4" s="96">
        <f t="shared" ref="B4:C4" si="21">SUM(B7,B11)</f>
        <v>115.00077386070501</v>
      </c>
      <c r="C4" s="96">
        <f t="shared" si="21"/>
        <v>118.19578675838352</v>
      </c>
      <c r="D4" s="96">
        <f t="shared" ref="D4:V4" si="22">SUM(D7,D11)</f>
        <v>125.65778159931214</v>
      </c>
      <c r="E4" s="96">
        <f t="shared" si="22"/>
        <v>117.13766122098025</v>
      </c>
      <c r="F4" s="96">
        <f t="shared" si="22"/>
        <v>132.07179707652622</v>
      </c>
      <c r="G4" s="96">
        <f t="shared" si="22"/>
        <v>137.40180567497853</v>
      </c>
      <c r="H4" s="96">
        <f t="shared" si="22"/>
        <v>134.20180567497852</v>
      </c>
      <c r="I4" s="96">
        <f t="shared" si="22"/>
        <v>133.5625967325881</v>
      </c>
      <c r="J4" s="96">
        <f t="shared" si="22"/>
        <v>123.2921754084265</v>
      </c>
      <c r="K4" s="96">
        <f t="shared" si="22"/>
        <v>115.07592433361991</v>
      </c>
      <c r="L4" s="96">
        <f t="shared" si="22"/>
        <v>136.66766981943255</v>
      </c>
      <c r="M4" s="96">
        <f t="shared" si="22"/>
        <v>121.2381771281169</v>
      </c>
      <c r="N4" s="96">
        <f t="shared" si="22"/>
        <v>121.21427343078244</v>
      </c>
      <c r="O4" s="96">
        <f t="shared" si="22"/>
        <v>123.2921754084265</v>
      </c>
      <c r="P4" s="96">
        <f t="shared" si="22"/>
        <v>119.16018916595014</v>
      </c>
      <c r="Q4" s="96">
        <f t="shared" si="22"/>
        <v>125.32244196044715</v>
      </c>
      <c r="R4" s="96">
        <f t="shared" si="22"/>
        <v>139.70094582975065</v>
      </c>
      <c r="S4" s="96">
        <f t="shared" si="22"/>
        <v>168.48357695614789</v>
      </c>
      <c r="T4" s="96">
        <f t="shared" si="22"/>
        <v>178.94350816852963</v>
      </c>
      <c r="U4" s="96">
        <f t="shared" si="22"/>
        <v>166.44797936371452</v>
      </c>
      <c r="V4" s="96">
        <f t="shared" si="22"/>
        <v>86.994153052450542</v>
      </c>
      <c r="W4" s="96">
        <f t="shared" ref="W4:Y4" si="23">SUM(W7,W11)</f>
        <v>114.49062768701636</v>
      </c>
      <c r="X4" s="96">
        <f t="shared" si="23"/>
        <v>140.09673258813413</v>
      </c>
      <c r="Y4" s="96">
        <f t="shared" si="23"/>
        <v>161.18916595012897</v>
      </c>
      <c r="DA4" s="171" t="s">
        <v>278</v>
      </c>
    </row>
    <row r="5" spans="1:105" ht="11.45" customHeight="1" x14ac:dyDescent="0.25">
      <c r="A5" s="95" t="s">
        <v>116</v>
      </c>
      <c r="B5" s="96">
        <f t="shared" ref="B5:C5" si="24">SUM(B8:B9,B12:B13)</f>
        <v>672.02373172828879</v>
      </c>
      <c r="C5" s="96">
        <f t="shared" si="24"/>
        <v>646.46337059329312</v>
      </c>
      <c r="D5" s="96">
        <f t="shared" ref="D5:V5" si="25">SUM(D8:D9,D12:D13)</f>
        <v>627.29312123817704</v>
      </c>
      <c r="E5" s="96">
        <f t="shared" si="25"/>
        <v>675.21874462596725</v>
      </c>
      <c r="F5" s="96">
        <f t="shared" si="25"/>
        <v>727.40447119518478</v>
      </c>
      <c r="G5" s="96">
        <f t="shared" si="25"/>
        <v>754.02983662940676</v>
      </c>
      <c r="H5" s="96">
        <f t="shared" si="25"/>
        <v>798.76036113499583</v>
      </c>
      <c r="I5" s="96">
        <f t="shared" si="25"/>
        <v>843.1976784178845</v>
      </c>
      <c r="J5" s="96">
        <f t="shared" si="25"/>
        <v>874.00877042132424</v>
      </c>
      <c r="K5" s="96">
        <f t="shared" si="25"/>
        <v>819.57583834909713</v>
      </c>
      <c r="L5" s="96">
        <f t="shared" si="25"/>
        <v>878.1169389509887</v>
      </c>
      <c r="M5" s="96">
        <f t="shared" si="25"/>
        <v>915.09028374892534</v>
      </c>
      <c r="N5" s="96">
        <f t="shared" si="25"/>
        <v>923.30662080825437</v>
      </c>
      <c r="O5" s="96">
        <f t="shared" si="25"/>
        <v>933.57695614789338</v>
      </c>
      <c r="P5" s="96">
        <f t="shared" si="25"/>
        <v>966.44213241616501</v>
      </c>
      <c r="Q5" s="96">
        <f t="shared" si="25"/>
        <v>1046.5510748065351</v>
      </c>
      <c r="R5" s="96">
        <f t="shared" si="25"/>
        <v>1149.2547721410149</v>
      </c>
      <c r="S5" s="96">
        <f t="shared" si="25"/>
        <v>1280.5030094582967</v>
      </c>
      <c r="T5" s="96">
        <f t="shared" si="25"/>
        <v>1363.8768701633708</v>
      </c>
      <c r="U5" s="96">
        <f t="shared" si="25"/>
        <v>1458.1568357695608</v>
      </c>
      <c r="V5" s="96">
        <f t="shared" si="25"/>
        <v>523.09372312983658</v>
      </c>
      <c r="W5" s="96">
        <f t="shared" ref="W5:Y5" si="26">SUM(W8:W9,W12:W13)</f>
        <v>665.83860705073084</v>
      </c>
      <c r="X5" s="96">
        <f t="shared" si="26"/>
        <v>1390.5417884780741</v>
      </c>
      <c r="Y5" s="96">
        <f t="shared" si="26"/>
        <v>1604.1614789337916</v>
      </c>
      <c r="DA5" s="171" t="s">
        <v>279</v>
      </c>
    </row>
    <row r="6" spans="1:105" ht="11.45" customHeight="1" x14ac:dyDescent="0.25">
      <c r="A6" s="10" t="s">
        <v>33</v>
      </c>
      <c r="B6" s="21">
        <f t="shared" ref="B6:C6" si="27">SUM(B7:B9)</f>
        <v>766.7509334136264</v>
      </c>
      <c r="C6" s="21">
        <f t="shared" si="27"/>
        <v>745.91862794500082</v>
      </c>
      <c r="D6" s="21">
        <f t="shared" ref="D6:V6" si="28">SUM(D7:D9)</f>
        <v>734.09588811650701</v>
      </c>
      <c r="E6" s="21">
        <f t="shared" si="28"/>
        <v>774.95545783469322</v>
      </c>
      <c r="F6" s="21">
        <f t="shared" si="28"/>
        <v>839.90468908761648</v>
      </c>
      <c r="G6" s="21">
        <f t="shared" si="28"/>
        <v>870.88256994219319</v>
      </c>
      <c r="H6" s="21">
        <f t="shared" si="28"/>
        <v>907.54945308607694</v>
      </c>
      <c r="I6" s="21">
        <f t="shared" si="28"/>
        <v>948.95768783815538</v>
      </c>
      <c r="J6" s="21">
        <f t="shared" si="28"/>
        <v>965.24954437767167</v>
      </c>
      <c r="K6" s="21">
        <f t="shared" si="28"/>
        <v>906.4180541159476</v>
      </c>
      <c r="L6" s="21">
        <f t="shared" si="28"/>
        <v>983.12305782591216</v>
      </c>
      <c r="M6" s="21">
        <f t="shared" si="28"/>
        <v>1010.1878375442982</v>
      </c>
      <c r="N6" s="21">
        <f t="shared" si="28"/>
        <v>1018.9655653587149</v>
      </c>
      <c r="O6" s="21">
        <f t="shared" si="28"/>
        <v>1033.4836837384778</v>
      </c>
      <c r="P6" s="21">
        <f t="shared" si="28"/>
        <v>1065.2139406836397</v>
      </c>
      <c r="Q6" s="21">
        <f t="shared" si="28"/>
        <v>1152.0774546195494</v>
      </c>
      <c r="R6" s="21">
        <f t="shared" si="28"/>
        <v>1272.2301939904653</v>
      </c>
      <c r="S6" s="21">
        <f t="shared" si="28"/>
        <v>1428.1002869280944</v>
      </c>
      <c r="T6" s="21">
        <f t="shared" si="28"/>
        <v>1522.5704164296424</v>
      </c>
      <c r="U6" s="21">
        <f t="shared" si="28"/>
        <v>1607.2428838495644</v>
      </c>
      <c r="V6" s="21">
        <f t="shared" si="28"/>
        <v>593.9395833490546</v>
      </c>
      <c r="W6" s="21">
        <f t="shared" ref="W6:Y6" si="29">SUM(W7:W9)</f>
        <v>760.99025758578773</v>
      </c>
      <c r="X6" s="21">
        <f t="shared" si="29"/>
        <v>1507.2890218108294</v>
      </c>
      <c r="Y6" s="21">
        <f t="shared" si="29"/>
        <v>1748.2608439413859</v>
      </c>
      <c r="DA6" s="189" t="s">
        <v>280</v>
      </c>
    </row>
    <row r="7" spans="1:105" ht="11.45" customHeight="1" x14ac:dyDescent="0.25">
      <c r="A7" s="83" t="s">
        <v>27</v>
      </c>
      <c r="B7" s="96">
        <v>109.37195198873628</v>
      </c>
      <c r="C7" s="96">
        <v>113.02199114090575</v>
      </c>
      <c r="D7" s="96">
        <v>120.54953398744678</v>
      </c>
      <c r="E7" s="96">
        <v>112.40548157634504</v>
      </c>
      <c r="F7" s="96">
        <v>127.21188071157218</v>
      </c>
      <c r="G7" s="96">
        <v>132.14221081100487</v>
      </c>
      <c r="H7" s="96">
        <v>128.5804153602547</v>
      </c>
      <c r="I7" s="96">
        <v>127.70390336443678</v>
      </c>
      <c r="J7" s="96">
        <v>117.74917548520159</v>
      </c>
      <c r="K7" s="96">
        <v>109.54436494081719</v>
      </c>
      <c r="L7" s="96">
        <v>130.62412169067119</v>
      </c>
      <c r="M7" s="96">
        <v>117.52356764848616</v>
      </c>
      <c r="N7" s="96">
        <v>117.74620131736022</v>
      </c>
      <c r="O7" s="96">
        <v>120.14724834086864</v>
      </c>
      <c r="P7" s="96">
        <v>116.69848227570832</v>
      </c>
      <c r="Q7" s="96">
        <v>123.11846170528901</v>
      </c>
      <c r="R7" s="96">
        <v>138.29499218637366</v>
      </c>
      <c r="S7" s="96">
        <v>166.52832509599247</v>
      </c>
      <c r="T7" s="96">
        <v>176.94371437815846</v>
      </c>
      <c r="U7" s="96">
        <v>164.47275369265452</v>
      </c>
      <c r="V7" s="96">
        <v>85.165500291590263</v>
      </c>
      <c r="W7" s="96">
        <v>112.42750429042381</v>
      </c>
      <c r="X7" s="96">
        <v>138.01195893698741</v>
      </c>
      <c r="Y7" s="96">
        <v>158.87724253577551</v>
      </c>
      <c r="DA7" s="171" t="s">
        <v>281</v>
      </c>
    </row>
    <row r="8" spans="1:105" ht="11.45" customHeight="1" x14ac:dyDescent="0.25">
      <c r="A8" s="83" t="s">
        <v>181</v>
      </c>
      <c r="B8" s="96">
        <v>418.56730858807288</v>
      </c>
      <c r="C8" s="96">
        <v>402.99044685170981</v>
      </c>
      <c r="D8" s="96">
        <v>390.67000742435766</v>
      </c>
      <c r="E8" s="96">
        <v>406.93518352124192</v>
      </c>
      <c r="F8" s="96">
        <v>446.89948242654646</v>
      </c>
      <c r="G8" s="96">
        <v>465.66196345093255</v>
      </c>
      <c r="H8" s="96">
        <v>497.42278990467167</v>
      </c>
      <c r="I8" s="96">
        <v>536.5713700452477</v>
      </c>
      <c r="J8" s="96">
        <v>551.07188792416173</v>
      </c>
      <c r="K8" s="96">
        <v>504.82500875603444</v>
      </c>
      <c r="L8" s="96">
        <v>539.18358096642669</v>
      </c>
      <c r="M8" s="96">
        <v>568.61625689832624</v>
      </c>
      <c r="N8" s="96">
        <v>566.64464862714442</v>
      </c>
      <c r="O8" s="96">
        <v>578.60715601554602</v>
      </c>
      <c r="P8" s="96">
        <v>608.82272545615058</v>
      </c>
      <c r="Q8" s="96">
        <v>665.61760274475375</v>
      </c>
      <c r="R8" s="96">
        <v>755.90135730483394</v>
      </c>
      <c r="S8" s="96">
        <v>858.61779596917313</v>
      </c>
      <c r="T8" s="96">
        <v>908.30368278508308</v>
      </c>
      <c r="U8" s="96">
        <v>969.76366264118678</v>
      </c>
      <c r="V8" s="96">
        <v>290.0246265500179</v>
      </c>
      <c r="W8" s="96">
        <v>399.16958641927505</v>
      </c>
      <c r="X8" s="96">
        <v>942.36734329900776</v>
      </c>
      <c r="Y8" s="96">
        <v>1097.122279318241</v>
      </c>
      <c r="DA8" s="171" t="s">
        <v>282</v>
      </c>
    </row>
    <row r="9" spans="1:105" ht="11.45" customHeight="1" x14ac:dyDescent="0.25">
      <c r="A9" s="83" t="s">
        <v>182</v>
      </c>
      <c r="B9" s="96">
        <v>238.81167283681728</v>
      </c>
      <c r="C9" s="96">
        <v>229.90618995238526</v>
      </c>
      <c r="D9" s="96">
        <v>222.8763467047026</v>
      </c>
      <c r="E9" s="96">
        <v>255.61479273710631</v>
      </c>
      <c r="F9" s="96">
        <v>265.7933259494979</v>
      </c>
      <c r="G9" s="96">
        <v>273.07839568025582</v>
      </c>
      <c r="H9" s="96">
        <v>281.54624782115053</v>
      </c>
      <c r="I9" s="96">
        <v>284.68241442847091</v>
      </c>
      <c r="J9" s="96">
        <v>296.42848096830835</v>
      </c>
      <c r="K9" s="96">
        <v>292.048680419096</v>
      </c>
      <c r="L9" s="96">
        <v>313.31535516881428</v>
      </c>
      <c r="M9" s="96">
        <v>324.04801299748578</v>
      </c>
      <c r="N9" s="96">
        <v>334.57471541421023</v>
      </c>
      <c r="O9" s="96">
        <v>334.72927938206311</v>
      </c>
      <c r="P9" s="96">
        <v>339.6927329517809</v>
      </c>
      <c r="Q9" s="96">
        <v>363.34139016950661</v>
      </c>
      <c r="R9" s="96">
        <v>378.03384449925778</v>
      </c>
      <c r="S9" s="96">
        <v>402.9541658629289</v>
      </c>
      <c r="T9" s="96">
        <v>437.32301926640065</v>
      </c>
      <c r="U9" s="96">
        <v>473.00646751572287</v>
      </c>
      <c r="V9" s="96">
        <v>218.7494565074465</v>
      </c>
      <c r="W9" s="96">
        <v>249.39316687608883</v>
      </c>
      <c r="X9" s="96">
        <v>426.9097195748343</v>
      </c>
      <c r="Y9" s="96">
        <v>492.26132208736936</v>
      </c>
      <c r="DA9" s="171" t="s">
        <v>283</v>
      </c>
    </row>
    <row r="10" spans="1:105" ht="11.45" customHeight="1" x14ac:dyDescent="0.25">
      <c r="A10" s="12" t="s">
        <v>34</v>
      </c>
      <c r="B10" s="22">
        <f t="shared" ref="B10:C10" si="30">SUM(B11:B13)</f>
        <v>20.273572175367427</v>
      </c>
      <c r="C10" s="22">
        <f t="shared" si="30"/>
        <v>18.740529406675794</v>
      </c>
      <c r="D10" s="22">
        <f t="shared" ref="D10:V10" si="31">SUM(D11:D13)</f>
        <v>18.855014720982023</v>
      </c>
      <c r="E10" s="22">
        <f t="shared" si="31"/>
        <v>17.400948012254194</v>
      </c>
      <c r="F10" s="22">
        <f t="shared" si="31"/>
        <v>19.571579184094507</v>
      </c>
      <c r="G10" s="22">
        <f t="shared" si="31"/>
        <v>20.549072362192057</v>
      </c>
      <c r="H10" s="22">
        <f t="shared" si="31"/>
        <v>25.412713723897447</v>
      </c>
      <c r="I10" s="22">
        <f t="shared" si="31"/>
        <v>27.802587312317204</v>
      </c>
      <c r="J10" s="22">
        <f t="shared" si="31"/>
        <v>32.051401452079162</v>
      </c>
      <c r="K10" s="22">
        <f t="shared" si="31"/>
        <v>28.233708566769302</v>
      </c>
      <c r="L10" s="22">
        <f t="shared" si="31"/>
        <v>31.661550944509198</v>
      </c>
      <c r="M10" s="22">
        <f t="shared" si="31"/>
        <v>26.140623332744113</v>
      </c>
      <c r="N10" s="22">
        <f t="shared" si="31"/>
        <v>25.555328880322008</v>
      </c>
      <c r="O10" s="22">
        <f t="shared" si="31"/>
        <v>23.385447817841985</v>
      </c>
      <c r="P10" s="22">
        <f t="shared" si="31"/>
        <v>20.388380898475479</v>
      </c>
      <c r="Q10" s="22">
        <f t="shared" si="31"/>
        <v>19.796062147432899</v>
      </c>
      <c r="R10" s="22">
        <f t="shared" si="31"/>
        <v>16.725523980300224</v>
      </c>
      <c r="S10" s="22">
        <f t="shared" si="31"/>
        <v>20.886299486350048</v>
      </c>
      <c r="T10" s="22">
        <f t="shared" si="31"/>
        <v>20.249961902258171</v>
      </c>
      <c r="U10" s="22">
        <f t="shared" si="31"/>
        <v>17.361931283711186</v>
      </c>
      <c r="V10" s="22">
        <f t="shared" si="31"/>
        <v>16.148292833232464</v>
      </c>
      <c r="W10" s="22">
        <f t="shared" ref="W10:Y10" si="32">SUM(W11:W13)</f>
        <v>19.338977151959483</v>
      </c>
      <c r="X10" s="22">
        <f t="shared" si="32"/>
        <v>23.349499255378582</v>
      </c>
      <c r="Y10" s="22">
        <f t="shared" si="32"/>
        <v>17.089800942534794</v>
      </c>
      <c r="DA10" s="193" t="s">
        <v>284</v>
      </c>
    </row>
    <row r="11" spans="1:105" ht="11.45" customHeight="1" x14ac:dyDescent="0.25">
      <c r="A11" s="92" t="s">
        <v>27</v>
      </c>
      <c r="B11" s="97">
        <v>5.628821871968726</v>
      </c>
      <c r="C11" s="97">
        <v>5.173795617477766</v>
      </c>
      <c r="D11" s="97">
        <v>5.1082476118653659</v>
      </c>
      <c r="E11" s="97">
        <v>4.7321796446352167</v>
      </c>
      <c r="F11" s="97">
        <v>4.859916364954052</v>
      </c>
      <c r="G11" s="97">
        <v>5.2595948639736516</v>
      </c>
      <c r="H11" s="97">
        <v>5.6213903147238087</v>
      </c>
      <c r="I11" s="97">
        <v>5.8586933681513242</v>
      </c>
      <c r="J11" s="97">
        <v>5.5429999232249054</v>
      </c>
      <c r="K11" s="97">
        <v>5.5315593928027162</v>
      </c>
      <c r="L11" s="97">
        <v>6.0435481287613504</v>
      </c>
      <c r="M11" s="97">
        <v>3.7146094796307421</v>
      </c>
      <c r="N11" s="97">
        <v>3.4680721134222203</v>
      </c>
      <c r="O11" s="97">
        <v>3.144927067557862</v>
      </c>
      <c r="P11" s="97">
        <v>2.4617068902418331</v>
      </c>
      <c r="Q11" s="97">
        <v>2.2039802551581449</v>
      </c>
      <c r="R11" s="97">
        <v>1.4059536433770001</v>
      </c>
      <c r="S11" s="97">
        <v>1.9552518601554265</v>
      </c>
      <c r="T11" s="97">
        <v>1.9997937903711613</v>
      </c>
      <c r="U11" s="97">
        <v>1.9752256710600073</v>
      </c>
      <c r="V11" s="97">
        <v>1.8286527608602741</v>
      </c>
      <c r="W11" s="97">
        <v>2.0631233965925508</v>
      </c>
      <c r="X11" s="97">
        <v>2.0847736511467283</v>
      </c>
      <c r="Y11" s="97">
        <v>2.3119234143534593</v>
      </c>
      <c r="DA11" s="175" t="s">
        <v>285</v>
      </c>
    </row>
    <row r="12" spans="1:105" ht="11.45" customHeight="1" x14ac:dyDescent="0.25">
      <c r="A12" s="92" t="s">
        <v>181</v>
      </c>
      <c r="B12" s="97">
        <v>9.4071616696131048</v>
      </c>
      <c r="C12" s="97">
        <v>8.4944621135677991</v>
      </c>
      <c r="D12" s="97">
        <v>8.5748531372076524</v>
      </c>
      <c r="E12" s="97">
        <v>7.6613497349066773</v>
      </c>
      <c r="F12" s="97">
        <v>8.793508216297699</v>
      </c>
      <c r="G12" s="97">
        <v>8.5701344724936632</v>
      </c>
      <c r="H12" s="97">
        <v>10.585260966141446</v>
      </c>
      <c r="I12" s="97">
        <v>10.329163905723039</v>
      </c>
      <c r="J12" s="97">
        <v>10.138566186842972</v>
      </c>
      <c r="K12" s="97">
        <v>8.8999500681774126</v>
      </c>
      <c r="L12" s="97">
        <v>9.3608040964711972</v>
      </c>
      <c r="M12" s="97">
        <v>7.5854391799751228</v>
      </c>
      <c r="N12" s="97">
        <v>6.8197139534271951</v>
      </c>
      <c r="O12" s="97">
        <v>5.7736278594944119</v>
      </c>
      <c r="P12" s="97">
        <v>5.315964379739059</v>
      </c>
      <c r="Q12" s="97">
        <v>5.6289894922743526</v>
      </c>
      <c r="R12" s="97">
        <v>5.3404696282389548</v>
      </c>
      <c r="S12" s="97">
        <v>6.1770437410853649</v>
      </c>
      <c r="T12" s="97">
        <v>6.4597110399093127</v>
      </c>
      <c r="U12" s="97">
        <v>6.5824863188299068</v>
      </c>
      <c r="V12" s="97">
        <v>5.1174841947833203</v>
      </c>
      <c r="W12" s="97">
        <v>6.3131843220553563</v>
      </c>
      <c r="X12" s="97">
        <v>7.846372927998849</v>
      </c>
      <c r="Y12" s="97">
        <v>8.3015927595924435</v>
      </c>
      <c r="DA12" s="175" t="s">
        <v>286</v>
      </c>
    </row>
    <row r="13" spans="1:105" ht="11.45" customHeight="1" x14ac:dyDescent="0.25">
      <c r="A13" s="85" t="s">
        <v>182</v>
      </c>
      <c r="B13" s="98">
        <v>5.2375886337855935</v>
      </c>
      <c r="C13" s="98">
        <v>5.0722716756302288</v>
      </c>
      <c r="D13" s="98">
        <v>5.1719139719090039</v>
      </c>
      <c r="E13" s="98">
        <v>5.0074186327123007</v>
      </c>
      <c r="F13" s="98">
        <v>5.9181546028427539</v>
      </c>
      <c r="G13" s="98">
        <v>6.7193430257247435</v>
      </c>
      <c r="H13" s="98">
        <v>9.2060624430321898</v>
      </c>
      <c r="I13" s="98">
        <v>11.61473003844284</v>
      </c>
      <c r="J13" s="98">
        <v>16.369835342011285</v>
      </c>
      <c r="K13" s="98">
        <v>13.802199105789175</v>
      </c>
      <c r="L13" s="98">
        <v>16.257198719276651</v>
      </c>
      <c r="M13" s="98">
        <v>14.840574673138248</v>
      </c>
      <c r="N13" s="98">
        <v>15.267542813472591</v>
      </c>
      <c r="O13" s="98">
        <v>14.466892890789712</v>
      </c>
      <c r="P13" s="98">
        <v>12.610709628494586</v>
      </c>
      <c r="Q13" s="98">
        <v>11.963092400000402</v>
      </c>
      <c r="R13" s="98">
        <v>9.9791007086842676</v>
      </c>
      <c r="S13" s="98">
        <v>12.754003885109258</v>
      </c>
      <c r="T13" s="98">
        <v>11.790457071977695</v>
      </c>
      <c r="U13" s="98">
        <v>8.8042192938212729</v>
      </c>
      <c r="V13" s="98">
        <v>9.2021558775888703</v>
      </c>
      <c r="W13" s="98">
        <v>10.962669433311575</v>
      </c>
      <c r="X13" s="98">
        <v>13.418352676233006</v>
      </c>
      <c r="Y13" s="98">
        <v>6.4762847685888909</v>
      </c>
      <c r="DA13" s="178" t="s">
        <v>287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73</v>
      </c>
      <c r="B17" s="62">
        <f>IF(B3=0,0,B3/TrAvia_act!B13*100)</f>
        <v>437.62896549306225</v>
      </c>
      <c r="C17" s="62">
        <f>IF(C3=0,0,C3/TrAvia_act!C13*100)</f>
        <v>438.43660203180548</v>
      </c>
      <c r="D17" s="62">
        <f>IF(D3=0,0,D3/TrAvia_act!D13*100)</f>
        <v>438.76480857542441</v>
      </c>
      <c r="E17" s="62">
        <f>IF(E3=0,0,E3/TrAvia_act!E13*100)</f>
        <v>448.00667270476777</v>
      </c>
      <c r="F17" s="62">
        <f>IF(F3=0,0,F3/TrAvia_act!F13*100)</f>
        <v>474.33229077536475</v>
      </c>
      <c r="G17" s="62">
        <f>IF(G3=0,0,G3/TrAvia_act!G13*100)</f>
        <v>447.93597491033779</v>
      </c>
      <c r="H17" s="62">
        <f>IF(H3=0,0,H3/TrAvia_act!H13*100)</f>
        <v>428.86663384769184</v>
      </c>
      <c r="I17" s="62">
        <f>IF(I3=0,0,I3/TrAvia_act!I13*100)</f>
        <v>410.02916246036489</v>
      </c>
      <c r="J17" s="62">
        <f>IF(J3=0,0,J3/TrAvia_act!J13*100)</f>
        <v>423.78206623216056</v>
      </c>
      <c r="K17" s="62">
        <f>IF(K3=0,0,K3/TrAvia_act!K13*100)</f>
        <v>430.57886742655438</v>
      </c>
      <c r="L17" s="62">
        <f>IF(L3=0,0,L3/TrAvia_act!L13*100)</f>
        <v>443.38318761434181</v>
      </c>
      <c r="M17" s="62">
        <f>IF(M3=0,0,M3/TrAvia_act!M13*100)</f>
        <v>439.81814542178597</v>
      </c>
      <c r="N17" s="62">
        <f>IF(N3=0,0,N3/TrAvia_act!N13*100)</f>
        <v>440.74258069691518</v>
      </c>
      <c r="O17" s="62">
        <f>IF(O3=0,0,O3/TrAvia_act!O13*100)</f>
        <v>432.51501783735586</v>
      </c>
      <c r="P17" s="62">
        <f>IF(P3=0,0,P3/TrAvia_act!P13*100)</f>
        <v>417.7454046582688</v>
      </c>
      <c r="Q17" s="62">
        <f>IF(Q3=0,0,Q3/TrAvia_act!Q13*100)</f>
        <v>426.70868753423622</v>
      </c>
      <c r="R17" s="62">
        <f>IF(R3=0,0,R3/TrAvia_act!R13*100)</f>
        <v>418.98248604912612</v>
      </c>
      <c r="S17" s="62">
        <f>IF(S3=0,0,S3/TrAvia_act!S13*100)</f>
        <v>421.64624748065683</v>
      </c>
      <c r="T17" s="62">
        <f>IF(T3=0,0,T3/TrAvia_act!T13*100)</f>
        <v>410.63260865528133</v>
      </c>
      <c r="U17" s="62">
        <f>IF(U3=0,0,U3/TrAvia_act!U13*100)</f>
        <v>405.16378594586274</v>
      </c>
      <c r="V17" s="62">
        <f>IF(V3=0,0,V3/TrAvia_act!V13*100)</f>
        <v>381.380246447297</v>
      </c>
      <c r="W17" s="62">
        <f>IF(W3=0,0,W3/TrAvia_act!W13*100)</f>
        <v>368.9698616791157</v>
      </c>
      <c r="X17" s="62">
        <f>IF(X3=0,0,X3/TrAvia_act!X13*100)</f>
        <v>406.45833872534814</v>
      </c>
      <c r="Y17" s="62">
        <f>IF(Y3=0,0,Y3/TrAvia_act!Y13*100)</f>
        <v>414.93897106880962</v>
      </c>
      <c r="DA17" s="172" t="s">
        <v>288</v>
      </c>
    </row>
    <row r="18" spans="1:105" ht="11.45" customHeight="1" x14ac:dyDescent="0.25">
      <c r="A18" s="10" t="s">
        <v>33</v>
      </c>
      <c r="B18" s="14">
        <f>IF(B6=0,0,B6/TrAvia_act!B14*100)</f>
        <v>436.72269838656888</v>
      </c>
      <c r="C18" s="14">
        <f>IF(C6=0,0,C6/TrAvia_act!C14*100)</f>
        <v>437.57343241800254</v>
      </c>
      <c r="D18" s="14">
        <f>IF(D6=0,0,D6/TrAvia_act!D14*100)</f>
        <v>437.95648791762699</v>
      </c>
      <c r="E18" s="14">
        <f>IF(E6=0,0,E6/TrAvia_act!E14*100)</f>
        <v>447.27147414271371</v>
      </c>
      <c r="F18" s="14">
        <f>IF(F6=0,0,F6/TrAvia_act!F14*100)</f>
        <v>473.63127182163129</v>
      </c>
      <c r="G18" s="14">
        <f>IF(G6=0,0,G6/TrAvia_act!G14*100)</f>
        <v>447.29028389633277</v>
      </c>
      <c r="H18" s="14">
        <f>IF(H6=0,0,H6/TrAvia_act!H14*100)</f>
        <v>428.39263882390026</v>
      </c>
      <c r="I18" s="14">
        <f>IF(I6=0,0,I6/TrAvia_act!I14*100)</f>
        <v>409.27378211440475</v>
      </c>
      <c r="J18" s="14">
        <f>IF(J6=0,0,J6/TrAvia_act!J14*100)</f>
        <v>422.66377439504936</v>
      </c>
      <c r="K18" s="14">
        <f>IF(K6=0,0,K6/TrAvia_act!K14*100)</f>
        <v>429.73554427884733</v>
      </c>
      <c r="L18" s="14">
        <f>IF(L6=0,0,L6/TrAvia_act!L14*100)</f>
        <v>442.83335410047317</v>
      </c>
      <c r="M18" s="14">
        <f>IF(M6=0,0,M6/TrAvia_act!M14*100)</f>
        <v>439.5756363296307</v>
      </c>
      <c r="N18" s="14">
        <f>IF(N6=0,0,N6/TrAvia_act!N14*100)</f>
        <v>440.56105946137086</v>
      </c>
      <c r="O18" s="14">
        <f>IF(O6=0,0,O6/TrAvia_act!O14*100)</f>
        <v>432.26459260123534</v>
      </c>
      <c r="P18" s="14">
        <f>IF(P6=0,0,P6/TrAvia_act!P14*100)</f>
        <v>417.68117031683005</v>
      </c>
      <c r="Q18" s="14">
        <f>IF(Q6=0,0,Q6/TrAvia_act!Q14*100)</f>
        <v>426.59752962437301</v>
      </c>
      <c r="R18" s="14">
        <f>IF(R6=0,0,R6/TrAvia_act!R14*100)</f>
        <v>418.95435460839462</v>
      </c>
      <c r="S18" s="14">
        <f>IF(S6=0,0,S6/TrAvia_act!S14*100)</f>
        <v>421.8496985890136</v>
      </c>
      <c r="T18" s="14">
        <f>IF(T6=0,0,T6/TrAvia_act!T14*100)</f>
        <v>410.96760257543235</v>
      </c>
      <c r="U18" s="14">
        <f>IF(U6=0,0,U6/TrAvia_act!U14*100)</f>
        <v>406.12681424227901</v>
      </c>
      <c r="V18" s="14">
        <f>IF(V6=0,0,V6/TrAvia_act!V14*100)</f>
        <v>382.25942628839636</v>
      </c>
      <c r="W18" s="14">
        <f>IF(W6=0,0,W6/TrAvia_act!W14*100)</f>
        <v>370.19650043161636</v>
      </c>
      <c r="X18" s="14">
        <f>IF(X6=0,0,X6/TrAvia_act!X14*100)</f>
        <v>408.007141026125</v>
      </c>
      <c r="Y18" s="14">
        <f>IF(Y6=0,0,Y6/TrAvia_act!Y14*100)</f>
        <v>415.55371763889212</v>
      </c>
      <c r="DA18" s="189" t="s">
        <v>289</v>
      </c>
    </row>
    <row r="19" spans="1:105" ht="11.45" customHeight="1" x14ac:dyDescent="0.25">
      <c r="A19" s="83" t="s">
        <v>27</v>
      </c>
      <c r="B19" s="87">
        <f>IF(B7=0,0,B7/TrAvia_act!B15*100)</f>
        <v>511.69613382431976</v>
      </c>
      <c r="C19" s="87">
        <f>IF(C7=0,0,C7/TrAvia_act!C15*100)</f>
        <v>513.96205396923301</v>
      </c>
      <c r="D19" s="87">
        <f>IF(D7=0,0,D7/TrAvia_act!D15*100)</f>
        <v>515.12258916135795</v>
      </c>
      <c r="E19" s="87">
        <f>IF(E7=0,0,E7/TrAvia_act!E15*100)</f>
        <v>492.95697535194228</v>
      </c>
      <c r="F19" s="87">
        <f>IF(F7=0,0,F7/TrAvia_act!F15*100)</f>
        <v>494.13607525074224</v>
      </c>
      <c r="G19" s="87">
        <f>IF(G7=0,0,G7/TrAvia_act!G15*100)</f>
        <v>481.83485336453077</v>
      </c>
      <c r="H19" s="87">
        <f>IF(H7=0,0,H7/TrAvia_act!H15*100)</f>
        <v>537.4076311035094</v>
      </c>
      <c r="I19" s="87">
        <f>IF(I7=0,0,I7/TrAvia_act!I15*100)</f>
        <v>563.82810390348141</v>
      </c>
      <c r="J19" s="87">
        <f>IF(J7=0,0,J7/TrAvia_act!J15*100)</f>
        <v>492.93023062028618</v>
      </c>
      <c r="K19" s="87">
        <f>IF(K7=0,0,K7/TrAvia_act!K15*100)</f>
        <v>495.14168918025609</v>
      </c>
      <c r="L19" s="87">
        <f>IF(L7=0,0,L7/TrAvia_act!L15*100)</f>
        <v>585.3071131045898</v>
      </c>
      <c r="M19" s="87">
        <f>IF(M7=0,0,M7/TrAvia_act!M15*100)</f>
        <v>557.3593070427213</v>
      </c>
      <c r="N19" s="87">
        <f>IF(N7=0,0,N7/TrAvia_act!N15*100)</f>
        <v>570.96412025295558</v>
      </c>
      <c r="O19" s="87">
        <f>IF(O7=0,0,O7/TrAvia_act!O15*100)</f>
        <v>585.22845036551598</v>
      </c>
      <c r="P19" s="87">
        <f>IF(P7=0,0,P7/TrAvia_act!P15*100)</f>
        <v>541.29471327711758</v>
      </c>
      <c r="Q19" s="87">
        <f>IF(Q7=0,0,Q7/TrAvia_act!Q15*100)</f>
        <v>521.49853410814171</v>
      </c>
      <c r="R19" s="87">
        <f>IF(R7=0,0,R7/TrAvia_act!R15*100)</f>
        <v>398.8805267915244</v>
      </c>
      <c r="S19" s="87">
        <f>IF(S7=0,0,S7/TrAvia_act!S15*100)</f>
        <v>469.19545287108679</v>
      </c>
      <c r="T19" s="87">
        <f>IF(T7=0,0,T7/TrAvia_act!T15*100)</f>
        <v>471.97520609164945</v>
      </c>
      <c r="U19" s="87">
        <f>IF(U7=0,0,U7/TrAvia_act!U15*100)</f>
        <v>407.52359321442935</v>
      </c>
      <c r="V19" s="87">
        <f>IF(V7=0,0,V7/TrAvia_act!V15*100)</f>
        <v>422.21661114349115</v>
      </c>
      <c r="W19" s="87">
        <f>IF(W7=0,0,W7/TrAvia_act!W15*100)</f>
        <v>396.55879995344179</v>
      </c>
      <c r="X19" s="87">
        <f>IF(X7=0,0,X7/TrAvia_act!X15*100)</f>
        <v>340.60907876880913</v>
      </c>
      <c r="Y19" s="87">
        <f>IF(Y7=0,0,Y7/TrAvia_act!Y15*100)</f>
        <v>367.1198817250463</v>
      </c>
      <c r="DA19" s="171" t="s">
        <v>290</v>
      </c>
    </row>
    <row r="20" spans="1:105" ht="11.45" customHeight="1" x14ac:dyDescent="0.25">
      <c r="A20" s="83" t="s">
        <v>181</v>
      </c>
      <c r="B20" s="87">
        <f>IF(B8=0,0,B8/TrAvia_act!B16*100)</f>
        <v>358.23062953371863</v>
      </c>
      <c r="C20" s="87">
        <f>IF(C8=0,0,C8/TrAvia_act!C16*100)</f>
        <v>358.17511271486609</v>
      </c>
      <c r="D20" s="87">
        <f>IF(D8=0,0,D8/TrAvia_act!D16*100)</f>
        <v>357.48200073118232</v>
      </c>
      <c r="E20" s="87">
        <f>IF(E8=0,0,E8/TrAvia_act!E16*100)</f>
        <v>365.71830194004718</v>
      </c>
      <c r="F20" s="87">
        <f>IF(F8=0,0,F8/TrAvia_act!F16*100)</f>
        <v>393.253573742122</v>
      </c>
      <c r="G20" s="87">
        <f>IF(G8=0,0,G8/TrAvia_act!G16*100)</f>
        <v>380.88138035562309</v>
      </c>
      <c r="H20" s="87">
        <f>IF(H8=0,0,H8/TrAvia_act!H16*100)</f>
        <v>358.36587195734091</v>
      </c>
      <c r="I20" s="87">
        <f>IF(I8=0,0,I8/TrAvia_act!I16*100)</f>
        <v>351.04946065294439</v>
      </c>
      <c r="J20" s="87">
        <f>IF(J8=0,0,J8/TrAvia_act!J16*100)</f>
        <v>366.49382845210988</v>
      </c>
      <c r="K20" s="87">
        <f>IF(K8=0,0,K8/TrAvia_act!K16*100)</f>
        <v>368.10087781266282</v>
      </c>
      <c r="L20" s="87">
        <f>IF(L8=0,0,L8/TrAvia_act!L16*100)</f>
        <v>376.65242458647947</v>
      </c>
      <c r="M20" s="87">
        <f>IF(M8=0,0,M8/TrAvia_act!M16*100)</f>
        <v>382.41742827881302</v>
      </c>
      <c r="N20" s="87">
        <f>IF(N8=0,0,N8/TrAvia_act!N16*100)</f>
        <v>382.66429657139594</v>
      </c>
      <c r="O20" s="87">
        <f>IF(O8=0,0,O8/TrAvia_act!O16*100)</f>
        <v>372.03219376743442</v>
      </c>
      <c r="P20" s="87">
        <f>IF(P8=0,0,P8/TrAvia_act!P16*100)</f>
        <v>366.50622596068649</v>
      </c>
      <c r="Q20" s="87">
        <f>IF(Q8=0,0,Q8/TrAvia_act!Q16*100)</f>
        <v>373.23769089932227</v>
      </c>
      <c r="R20" s="87">
        <f>IF(R8=0,0,R8/TrAvia_act!R16*100)</f>
        <v>384.07871630676465</v>
      </c>
      <c r="S20" s="87">
        <f>IF(S8=0,0,S8/TrAvia_act!S16*100)</f>
        <v>389.96006254874891</v>
      </c>
      <c r="T20" s="87">
        <f>IF(T8=0,0,T8/TrAvia_act!T16*100)</f>
        <v>385.59914156974958</v>
      </c>
      <c r="U20" s="87">
        <f>IF(U8=0,0,U8/TrAvia_act!U16*100)</f>
        <v>402.01739878627268</v>
      </c>
      <c r="V20" s="87">
        <f>IF(V8=0,0,V8/TrAvia_act!V16*100)</f>
        <v>301.68623337392427</v>
      </c>
      <c r="W20" s="87">
        <f>IF(W8=0,0,W8/TrAvia_act!W16*100)</f>
        <v>312.38577163188137</v>
      </c>
      <c r="X20" s="87">
        <f>IF(X8=0,0,X8/TrAvia_act!X16*100)</f>
        <v>415.06573439595502</v>
      </c>
      <c r="Y20" s="87">
        <f>IF(Y8=0,0,Y8/TrAvia_act!Y16*100)</f>
        <v>430.05821638728622</v>
      </c>
      <c r="DA20" s="171" t="s">
        <v>291</v>
      </c>
    </row>
    <row r="21" spans="1:105" ht="11.45" customHeight="1" x14ac:dyDescent="0.25">
      <c r="A21" s="83" t="s">
        <v>182</v>
      </c>
      <c r="B21" s="87">
        <f>IF(B9=0,0,B9/TrAvia_act!B17*100)</f>
        <v>639.3557640220489</v>
      </c>
      <c r="C21" s="87">
        <f>IF(C9=0,0,C9/TrAvia_act!C17*100)</f>
        <v>639.25678307836426</v>
      </c>
      <c r="D21" s="87">
        <f>IF(D9=0,0,D9/TrAvia_act!D17*100)</f>
        <v>638.01965045949953</v>
      </c>
      <c r="E21" s="87">
        <f>IF(E9=0,0,E9/TrAvia_act!E17*100)</f>
        <v>652.23700741682001</v>
      </c>
      <c r="F21" s="87">
        <f>IF(F9=0,0,F9/TrAvia_act!F17*100)</f>
        <v>700.42985122063726</v>
      </c>
      <c r="G21" s="87">
        <f>IF(G9=0,0,G9/TrAvia_act!G17*100)</f>
        <v>606.59782831810207</v>
      </c>
      <c r="H21" s="87">
        <f>IF(H9=0,0,H9/TrAvia_act!H17*100)</f>
        <v>573.1710186372195</v>
      </c>
      <c r="I21" s="87">
        <f>IF(I9=0,0,I9/TrAvia_act!I17*100)</f>
        <v>505.05560081166936</v>
      </c>
      <c r="J21" s="87">
        <f>IF(J9=0,0,J9/TrAvia_act!J17*100)</f>
        <v>547.70320799770764</v>
      </c>
      <c r="K21" s="87">
        <f>IF(K9=0,0,K9/TrAvia_act!K17*100)</f>
        <v>565.3540519074088</v>
      </c>
      <c r="L21" s="87">
        <f>IF(L9=0,0,L9/TrAvia_act!L17*100)</f>
        <v>554.16023960876896</v>
      </c>
      <c r="M21" s="87">
        <f>IF(M9=0,0,M9/TrAvia_act!M17*100)</f>
        <v>539.77358456079219</v>
      </c>
      <c r="N21" s="87">
        <f>IF(N9=0,0,N9/TrAvia_act!N17*100)</f>
        <v>534.5751976870589</v>
      </c>
      <c r="O21" s="87">
        <f>IF(O9=0,0,O9/TrAvia_act!O17*100)</f>
        <v>531.06489709558934</v>
      </c>
      <c r="P21" s="87">
        <f>IF(P9=0,0,P9/TrAvia_act!P17*100)</f>
        <v>504.32432362257583</v>
      </c>
      <c r="Q21" s="87">
        <f>IF(Q9=0,0,Q9/TrAvia_act!Q17*100)</f>
        <v>533.40618713575611</v>
      </c>
      <c r="R21" s="87">
        <f>IF(R9=0,0,R9/TrAvia_act!R17*100)</f>
        <v>523.6779956498541</v>
      </c>
      <c r="S21" s="87">
        <f>IF(S9=0,0,S9/TrAvia_act!S17*100)</f>
        <v>486.30902731772682</v>
      </c>
      <c r="T21" s="87">
        <f>IF(T9=0,0,T9/TrAvia_act!T17*100)</f>
        <v>448.82280313102115</v>
      </c>
      <c r="U21" s="87">
        <f>IF(U9=0,0,U9/TrAvia_act!U17*100)</f>
        <v>414.31595194892202</v>
      </c>
      <c r="V21" s="87">
        <f>IF(V9=0,0,V9/TrAvia_act!V17*100)</f>
        <v>559.88427121267534</v>
      </c>
      <c r="W21" s="87">
        <f>IF(W9=0,0,W9/TrAvia_act!W17*100)</f>
        <v>504.51645081271596</v>
      </c>
      <c r="X21" s="87">
        <f>IF(X9=0,0,X9/TrAvia_act!X17*100)</f>
        <v>419.08356169322303</v>
      </c>
      <c r="Y21" s="87">
        <f>IF(Y9=0,0,Y9/TrAvia_act!Y17*100)</f>
        <v>402.4389619642439</v>
      </c>
      <c r="DA21" s="171" t="s">
        <v>292</v>
      </c>
    </row>
    <row r="22" spans="1:105" ht="11.45" customHeight="1" x14ac:dyDescent="0.25">
      <c r="A22" s="12" t="s">
        <v>34</v>
      </c>
      <c r="B22" s="15">
        <f>IF(B10=0,0,B10/TrAvia_act!B18*100)</f>
        <v>474.90048526694153</v>
      </c>
      <c r="C22" s="15">
        <f>IF(C10=0,0,C10/TrAvia_act!C18*100)</f>
        <v>475.7937328099959</v>
      </c>
      <c r="D22" s="15">
        <f>IF(D10=0,0,D10/TrAvia_act!D18*100)</f>
        <v>472.73486452995843</v>
      </c>
      <c r="E22" s="15">
        <f>IF(E10=0,0,E10/TrAvia_act!E18*100)</f>
        <v>483.39318874779087</v>
      </c>
      <c r="F22" s="15">
        <f>IF(F10=0,0,F10/TrAvia_act!F18*100)</f>
        <v>506.5041797494813</v>
      </c>
      <c r="G22" s="15">
        <f>IF(G10=0,0,G10/TrAvia_act!G18*100)</f>
        <v>477.12609091878272</v>
      </c>
      <c r="H22" s="15">
        <f>IF(H10=0,0,H10/TrAvia_act!H18*100)</f>
        <v>446.5100330151227</v>
      </c>
      <c r="I22" s="15">
        <f>IF(I10=0,0,I10/TrAvia_act!I18*100)</f>
        <v>437.59598563445019</v>
      </c>
      <c r="J22" s="15">
        <f>IF(J10=0,0,J10/TrAvia_act!J18*100)</f>
        <v>460.47282696404068</v>
      </c>
      <c r="K22" s="15">
        <f>IF(K10=0,0,K10/TrAvia_act!K18*100)</f>
        <v>459.53011919495481</v>
      </c>
      <c r="L22" s="15">
        <f>IF(L10=0,0,L10/TrAvia_act!L18*100)</f>
        <v>461.1627386454474</v>
      </c>
      <c r="M22" s="15">
        <f>IF(M10=0,0,M10/TrAvia_act!M18*100)</f>
        <v>449.39919074269079</v>
      </c>
      <c r="N22" s="15">
        <f>IF(N10=0,0,N10/TrAvia_act!N18*100)</f>
        <v>448.10428658883615</v>
      </c>
      <c r="O22" s="15">
        <f>IF(O10=0,0,O10/TrAvia_act!O18*100)</f>
        <v>443.87954831736909</v>
      </c>
      <c r="P22" s="15">
        <f>IF(P10=0,0,P10/TrAvia_act!P18*100)</f>
        <v>421.12910377383247</v>
      </c>
      <c r="Q22" s="15">
        <f>IF(Q10=0,0,Q10/TrAvia_act!Q18*100)</f>
        <v>433.27910018290316</v>
      </c>
      <c r="R22" s="15">
        <f>IF(R10=0,0,R10/TrAvia_act!R18*100)</f>
        <v>421.1334392394624</v>
      </c>
      <c r="S22" s="15">
        <f>IF(S10=0,0,S10/TrAvia_act!S18*100)</f>
        <v>408.18586250195904</v>
      </c>
      <c r="T22" s="15">
        <f>IF(T10=0,0,T10/TrAvia_act!T18*100)</f>
        <v>386.91874671003455</v>
      </c>
      <c r="U22" s="15">
        <f>IF(U10=0,0,U10/TrAvia_act!U18*100)</f>
        <v>332.2340002282462</v>
      </c>
      <c r="V22" s="15">
        <f>IF(V10=0,0,V10/TrAvia_act!V18*100)</f>
        <v>351.63438769704442</v>
      </c>
      <c r="W22" s="15">
        <f>IF(W10=0,0,W10/TrAvia_act!W18*100)</f>
        <v>326.41058810661042</v>
      </c>
      <c r="X22" s="15">
        <f>IF(X10=0,0,X10/TrAvia_act!X18*100)</f>
        <v>326.46056316386796</v>
      </c>
      <c r="Y22" s="15">
        <f>IF(Y10=0,0,Y10/TrAvia_act!Y18*100)</f>
        <v>360.39825359719532</v>
      </c>
      <c r="DA22" s="193" t="s">
        <v>293</v>
      </c>
    </row>
    <row r="23" spans="1:105" ht="11.45" customHeight="1" x14ac:dyDescent="0.25">
      <c r="A23" s="92" t="s">
        <v>27</v>
      </c>
      <c r="B23" s="101">
        <f>IF(B11=0,0,B11/TrAvia_act!B19*100)</f>
        <v>1772.840651968756</v>
      </c>
      <c r="C23" s="101">
        <f>IF(C11=0,0,C11/TrAvia_act!C19*100)</f>
        <v>1780.6912396153616</v>
      </c>
      <c r="D23" s="101">
        <f>IF(D11=0,0,D11/TrAvia_act!D19*100)</f>
        <v>1784.7120711804987</v>
      </c>
      <c r="E23" s="101">
        <f>IF(E11=0,0,E11/TrAvia_act!E19*100)</f>
        <v>1707.9162960326962</v>
      </c>
      <c r="F23" s="101">
        <f>IF(F11=0,0,F11/TrAvia_act!F19*100)</f>
        <v>1712.0014475418582</v>
      </c>
      <c r="G23" s="101">
        <f>IF(G11=0,0,G11/TrAvia_act!G19*100)</f>
        <v>1565.1198111740464</v>
      </c>
      <c r="H23" s="101">
        <f>IF(H11=0,0,H11/TrAvia_act!H19*100)</f>
        <v>1165.7947084360464</v>
      </c>
      <c r="I23" s="101">
        <f>IF(I11=0,0,I11/TrAvia_act!I19*100)</f>
        <v>970.86072858464638</v>
      </c>
      <c r="J23" s="101">
        <f>IF(J11=0,0,J11/TrAvia_act!J19*100)</f>
        <v>725.6889087989407</v>
      </c>
      <c r="K23" s="101">
        <f>IF(K11=0,0,K11/TrAvia_act!K19*100)</f>
        <v>643.41282090033337</v>
      </c>
      <c r="L23" s="101">
        <f>IF(L11=0,0,L11/TrAvia_act!L19*100)</f>
        <v>678.57478869506633</v>
      </c>
      <c r="M23" s="101">
        <f>IF(M11=0,0,M11/TrAvia_act!M19*100)</f>
        <v>717.63316715868962</v>
      </c>
      <c r="N23" s="101">
        <f>IF(N11=0,0,N11/TrAvia_act!N19*100)</f>
        <v>826.4871468596109</v>
      </c>
      <c r="O23" s="101">
        <f>IF(O11=0,0,O11/TrAvia_act!O19*100)</f>
        <v>857.65476722641802</v>
      </c>
      <c r="P23" s="101">
        <f>IF(P11=0,0,P11/TrAvia_act!P19*100)</f>
        <v>786.56869026585468</v>
      </c>
      <c r="Q23" s="101">
        <f>IF(Q11=0,0,Q11/TrAvia_act!Q19*100)</f>
        <v>756.53788228406938</v>
      </c>
      <c r="R23" s="101">
        <f>IF(R11=0,0,R11/TrAvia_act!R19*100)</f>
        <v>612.40320173285943</v>
      </c>
      <c r="S23" s="101">
        <f>IF(S11=0,0,S11/TrAvia_act!S19*100)</f>
        <v>712.62579166192688</v>
      </c>
      <c r="T23" s="101">
        <f>IF(T11=0,0,T11/TrAvia_act!T19*100)</f>
        <v>732.13877704949346</v>
      </c>
      <c r="U23" s="101">
        <f>IF(U11=0,0,U11/TrAvia_act!U19*100)</f>
        <v>639.32537647916763</v>
      </c>
      <c r="V23" s="101">
        <f>IF(V11=0,0,V11/TrAvia_act!V19*100)</f>
        <v>660.85911769771599</v>
      </c>
      <c r="W23" s="101">
        <f>IF(W11=0,0,W11/TrAvia_act!W19*100)</f>
        <v>629.82799983029963</v>
      </c>
      <c r="X23" s="101">
        <f>IF(X11=0,0,X11/TrAvia_act!X19*100)</f>
        <v>545.92194491785699</v>
      </c>
      <c r="Y23" s="101">
        <f>IF(Y11=0,0,Y11/TrAvia_act!Y19*100)</f>
        <v>523.68385104458218</v>
      </c>
      <c r="DA23" s="175" t="s">
        <v>294</v>
      </c>
    </row>
    <row r="24" spans="1:105" ht="11.45" customHeight="1" x14ac:dyDescent="0.25">
      <c r="A24" s="92" t="s">
        <v>181</v>
      </c>
      <c r="B24" s="101">
        <f>IF(B12=0,0,B12/TrAvia_act!B20*100)</f>
        <v>346.45483759307768</v>
      </c>
      <c r="C24" s="101">
        <f>IF(C12=0,0,C12/TrAvia_act!C20*100)</f>
        <v>346.59537408705313</v>
      </c>
      <c r="D24" s="101">
        <f>IF(D12=0,0,D12/TrAvia_act!D20*100)</f>
        <v>345.90374674685154</v>
      </c>
      <c r="E24" s="101">
        <f>IF(E12=0,0,E12/TrAvia_act!E20*100)</f>
        <v>354.02033931123003</v>
      </c>
      <c r="F24" s="101">
        <f>IF(F12=0,0,F12/TrAvia_act!F20*100)</f>
        <v>381.48153132871465</v>
      </c>
      <c r="G24" s="101">
        <f>IF(G12=0,0,G12/TrAvia_act!G20*100)</f>
        <v>369.78502294401301</v>
      </c>
      <c r="H24" s="101">
        <f>IF(H12=0,0,H12/TrAvia_act!H20*100)</f>
        <v>347.01494586673715</v>
      </c>
      <c r="I24" s="101">
        <f>IF(I12=0,0,I12/TrAvia_act!I20*100)</f>
        <v>336.55512247523103</v>
      </c>
      <c r="J24" s="101">
        <f>IF(J12=0,0,J12/TrAvia_act!J20*100)</f>
        <v>345.63361254112993</v>
      </c>
      <c r="K24" s="101">
        <f>IF(K12=0,0,K12/TrAvia_act!K20*100)</f>
        <v>345.93077723019019</v>
      </c>
      <c r="L24" s="101">
        <f>IF(L12=0,0,L12/TrAvia_act!L20*100)</f>
        <v>353.09763650626746</v>
      </c>
      <c r="M24" s="101">
        <f>IF(M12=0,0,M12/TrAvia_act!M20*100)</f>
        <v>357.89431966752687</v>
      </c>
      <c r="N24" s="101">
        <f>IF(N12=0,0,N12/TrAvia_act!N20*100)</f>
        <v>357.59473480430489</v>
      </c>
      <c r="O24" s="101">
        <f>IF(O12=0,0,O12/TrAvia_act!O20*100)</f>
        <v>344.10151015763444</v>
      </c>
      <c r="P24" s="101">
        <f>IF(P12=0,0,P12/TrAvia_act!P20*100)</f>
        <v>339.98515022041511</v>
      </c>
      <c r="Q24" s="101">
        <f>IF(Q12=0,0,Q12/TrAvia_act!Q20*100)</f>
        <v>348.898963342412</v>
      </c>
      <c r="R24" s="101">
        <f>IF(R12=0,0,R12/TrAvia_act!R20*100)</f>
        <v>362.68788035533129</v>
      </c>
      <c r="S24" s="101">
        <f>IF(S12=0,0,S12/TrAvia_act!S20*100)</f>
        <v>360.9865717689616</v>
      </c>
      <c r="T24" s="101">
        <f>IF(T12=0,0,T12/TrAvia_act!T20*100)</f>
        <v>354.42974467775656</v>
      </c>
      <c r="U24" s="101">
        <f>IF(U12=0,0,U12/TrAvia_act!U20*100)</f>
        <v>371.37564163974406</v>
      </c>
      <c r="V24" s="101">
        <f>IF(V12=0,0,V12/TrAvia_act!V20*100)</f>
        <v>292.347079148219</v>
      </c>
      <c r="W24" s="101">
        <f>IF(W12=0,0,W12/TrAvia_act!W20*100)</f>
        <v>300.99862102046933</v>
      </c>
      <c r="X24" s="101">
        <f>IF(X12=0,0,X12/TrAvia_act!X20*100)</f>
        <v>378.23383771424881</v>
      </c>
      <c r="Y24" s="101">
        <f>IF(Y12=0,0,Y12/TrAvia_act!Y20*100)</f>
        <v>386.71683735753851</v>
      </c>
      <c r="DA24" s="175" t="s">
        <v>295</v>
      </c>
    </row>
    <row r="25" spans="1:105" ht="11.45" customHeight="1" x14ac:dyDescent="0.25">
      <c r="A25" s="85" t="s">
        <v>182</v>
      </c>
      <c r="B25" s="88">
        <f>IF(B13=0,0,B13/TrAvia_act!B21*100)</f>
        <v>423.66798722085946</v>
      </c>
      <c r="C25" s="88">
        <f>IF(C13=0,0,C13/TrAvia_act!C21*100)</f>
        <v>423.60239767034028</v>
      </c>
      <c r="D25" s="88">
        <f>IF(D13=0,0,D13/TrAvia_act!D21*100)</f>
        <v>422.78261388789258</v>
      </c>
      <c r="E25" s="88">
        <f>IF(E13=0,0,E13/TrAvia_act!E21*100)</f>
        <v>432.20372079684779</v>
      </c>
      <c r="F25" s="88">
        <f>IF(F13=0,0,F13/TrAvia_act!F21*100)</f>
        <v>464.13862508920732</v>
      </c>
      <c r="G25" s="88">
        <f>IF(G13=0,0,G13/TrAvia_act!G21*100)</f>
        <v>406.44627746619983</v>
      </c>
      <c r="H25" s="88">
        <f>IF(H13=0,0,H13/TrAvia_act!H21*100)</f>
        <v>426.43572517716859</v>
      </c>
      <c r="I25" s="88">
        <f>IF(I13=0,0,I13/TrAvia_act!I21*100)</f>
        <v>433.23279841652823</v>
      </c>
      <c r="J25" s="88">
        <f>IF(J13=0,0,J13/TrAvia_act!J21*100)</f>
        <v>501.62090088297288</v>
      </c>
      <c r="K25" s="88">
        <f>IF(K13=0,0,K13/TrAvia_act!K21*100)</f>
        <v>509.01276714961085</v>
      </c>
      <c r="L25" s="88">
        <f>IF(L13=0,0,L13/TrAvia_act!L21*100)</f>
        <v>489.09784745234271</v>
      </c>
      <c r="M25" s="88">
        <f>IF(M13=0,0,M13/TrAvia_act!M21*100)</f>
        <v>466.72720775781704</v>
      </c>
      <c r="N25" s="88">
        <f>IF(N13=0,0,N13/TrAvia_act!N21*100)</f>
        <v>452.20227758778424</v>
      </c>
      <c r="O25" s="88">
        <f>IF(O13=0,0,O13/TrAvia_act!O21*100)</f>
        <v>448.74615298652884</v>
      </c>
      <c r="P25" s="88">
        <f>IF(P13=0,0,P13/TrAvia_act!P21*100)</f>
        <v>425.34685619042773</v>
      </c>
      <c r="Q25" s="88">
        <f>IF(Q13=0,0,Q13/TrAvia_act!Q21*100)</f>
        <v>449.02941523540301</v>
      </c>
      <c r="R25" s="88">
        <f>IF(R13=0,0,R13/TrAvia_act!R21*100)</f>
        <v>439.70478008528983</v>
      </c>
      <c r="S25" s="88">
        <f>IF(S13=0,0,S13/TrAvia_act!S21*100)</f>
        <v>407.30294601466375</v>
      </c>
      <c r="T25" s="88">
        <f>IF(T13=0,0,T13/TrAvia_act!T21*100)</f>
        <v>375.73895262086438</v>
      </c>
      <c r="U25" s="88">
        <f>IF(U13=0,0,U13/TrAvia_act!U21*100)</f>
        <v>279.99688633094195</v>
      </c>
      <c r="V25" s="88">
        <f>IF(V13=0,0,V13/TrAvia_act!V21*100)</f>
        <v>358.73581244462412</v>
      </c>
      <c r="W25" s="88">
        <f>IF(W13=0,0,W13/TrAvia_act!W21*100)</f>
        <v>313.24086035368828</v>
      </c>
      <c r="X25" s="88">
        <f>IF(X13=0,0,X13/TrAvia_act!X21*100)</f>
        <v>285.74245156413707</v>
      </c>
      <c r="Y25" s="88">
        <f>IF(Y13=0,0,Y13/TrAvia_act!Y21*100)</f>
        <v>300.69627204539472</v>
      </c>
      <c r="DA25" s="178" t="s">
        <v>296</v>
      </c>
    </row>
    <row r="26" spans="1:105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DA26" s="181"/>
    </row>
    <row r="27" spans="1:105" ht="11.45" customHeight="1" x14ac:dyDescent="0.25">
      <c r="A27" s="53" t="s">
        <v>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DA27" s="172"/>
    </row>
    <row r="28" spans="1:105" ht="11.45" customHeight="1" x14ac:dyDescent="0.25">
      <c r="A28" s="10" t="s">
        <v>155</v>
      </c>
      <c r="B28" s="14">
        <f>IF(B6=0,0,B6/TrAvia_act!B4*1000)</f>
        <v>37.892879242979525</v>
      </c>
      <c r="C28" s="14">
        <f>IF(C6=0,0,C6/TrAvia_act!C4*1000)</f>
        <v>37.715113450853394</v>
      </c>
      <c r="D28" s="14">
        <f>IF(D6=0,0,D6/TrAvia_act!D4*1000)</f>
        <v>36.213460568948967</v>
      </c>
      <c r="E28" s="14">
        <f>IF(E6=0,0,E6/TrAvia_act!E4*1000)</f>
        <v>37.548565104663496</v>
      </c>
      <c r="F28" s="14">
        <f>IF(F6=0,0,F6/TrAvia_act!F4*1000)</f>
        <v>39.188021140640721</v>
      </c>
      <c r="G28" s="14">
        <f>IF(G6=0,0,G6/TrAvia_act!G4*1000)</f>
        <v>37.748041768925852</v>
      </c>
      <c r="H28" s="14">
        <f>IF(H6=0,0,H6/TrAvia_act!H4*1000)</f>
        <v>37.373620297964017</v>
      </c>
      <c r="I28" s="14">
        <f>IF(I6=0,0,I6/TrAvia_act!I4*1000)</f>
        <v>35.329767007792114</v>
      </c>
      <c r="J28" s="14">
        <f>IF(J6=0,0,J6/TrAvia_act!J4*1000)</f>
        <v>34.996567535078725</v>
      </c>
      <c r="K28" s="14">
        <f>IF(K6=0,0,K6/TrAvia_act!K4*1000)</f>
        <v>34.13240665875152</v>
      </c>
      <c r="L28" s="14">
        <f>IF(L6=0,0,L6/TrAvia_act!L4*1000)</f>
        <v>34.563019842793963</v>
      </c>
      <c r="M28" s="14">
        <f>IF(M6=0,0,M6/TrAvia_act!M4*1000)</f>
        <v>33.055060133753592</v>
      </c>
      <c r="N28" s="14">
        <f>IF(N6=0,0,N6/TrAvia_act!N4*1000)</f>
        <v>32.254191704053014</v>
      </c>
      <c r="O28" s="14">
        <f>IF(O6=0,0,O6/TrAvia_act!O4*1000)</f>
        <v>30.886692619240193</v>
      </c>
      <c r="P28" s="14">
        <f>IF(P6=0,0,P6/TrAvia_act!P4*1000)</f>
        <v>29.665965507773329</v>
      </c>
      <c r="Q28" s="14">
        <f>IF(Q6=0,0,Q6/TrAvia_act!Q4*1000)</f>
        <v>30.063945933097035</v>
      </c>
      <c r="R28" s="14">
        <f>IF(R6=0,0,R6/TrAvia_act!R4*1000)</f>
        <v>29.4863843676873</v>
      </c>
      <c r="S28" s="14">
        <f>IF(S6=0,0,S6/TrAvia_act!S4*1000)</f>
        <v>28.201951715434006</v>
      </c>
      <c r="T28" s="14">
        <f>IF(T6=0,0,T6/TrAvia_act!T4*1000)</f>
        <v>27.612222371700817</v>
      </c>
      <c r="U28" s="14">
        <f>IF(U6=0,0,U6/TrAvia_act!U4*1000)</f>
        <v>26.464535982673116</v>
      </c>
      <c r="V28" s="14">
        <f>IF(V6=0,0,V6/TrAvia_act!V4*1000)</f>
        <v>32.50173579442675</v>
      </c>
      <c r="W28" s="14">
        <f>IF(W6=0,0,W6/TrAvia_act!W4*1000)</f>
        <v>31.809402587271393</v>
      </c>
      <c r="X28" s="14">
        <f>IF(X6=0,0,X6/TrAvia_act!X4*1000)</f>
        <v>26.714750718332237</v>
      </c>
      <c r="Y28" s="14">
        <f>IF(Y6=0,0,Y6/TrAvia_act!Y4*1000)</f>
        <v>25.653246109952704</v>
      </c>
      <c r="DA28" s="189" t="s">
        <v>297</v>
      </c>
    </row>
    <row r="29" spans="1:105" ht="11.45" customHeight="1" x14ac:dyDescent="0.25">
      <c r="A29" s="83" t="s">
        <v>27</v>
      </c>
      <c r="B29" s="87">
        <f>IF(B7=0,0,B7/TrAvia_act!B5*1000)</f>
        <v>47.671308297129869</v>
      </c>
      <c r="C29" s="87">
        <f>IF(C7=0,0,C7/TrAvia_act!C5*1000)</f>
        <v>47.857508375126137</v>
      </c>
      <c r="D29" s="87">
        <f>IF(D7=0,0,D7/TrAvia_act!D5*1000)</f>
        <v>50.215951961308718</v>
      </c>
      <c r="E29" s="87">
        <f>IF(E7=0,0,E7/TrAvia_act!E5*1000)</f>
        <v>47.973298266481635</v>
      </c>
      <c r="F29" s="87">
        <f>IF(F7=0,0,F7/TrAvia_act!F5*1000)</f>
        <v>51.688931275107116</v>
      </c>
      <c r="G29" s="87">
        <f>IF(G7=0,0,G7/TrAvia_act!G5*1000)</f>
        <v>52.397052243813178</v>
      </c>
      <c r="H29" s="87">
        <f>IF(H7=0,0,H7/TrAvia_act!H5*1000)</f>
        <v>61.931851515041302</v>
      </c>
      <c r="I29" s="87">
        <f>IF(I7=0,0,I7/TrAvia_act!I5*1000)</f>
        <v>61.313388768557097</v>
      </c>
      <c r="J29" s="87">
        <f>IF(J7=0,0,J7/TrAvia_act!J5*1000)</f>
        <v>53.84564359240099</v>
      </c>
      <c r="K29" s="87">
        <f>IF(K7=0,0,K7/TrAvia_act!K5*1000)</f>
        <v>45.844914353698456</v>
      </c>
      <c r="L29" s="87">
        <f>IF(L7=0,0,L7/TrAvia_act!L5*1000)</f>
        <v>53.936613627051834</v>
      </c>
      <c r="M29" s="87">
        <f>IF(M7=0,0,M7/TrAvia_act!M5*1000)</f>
        <v>52.875790601779805</v>
      </c>
      <c r="N29" s="87">
        <f>IF(N7=0,0,N7/TrAvia_act!N5*1000)</f>
        <v>52.748633615818392</v>
      </c>
      <c r="O29" s="87">
        <f>IF(O7=0,0,O7/TrAvia_act!O5*1000)</f>
        <v>51.739231534110658</v>
      </c>
      <c r="P29" s="87">
        <f>IF(P7=0,0,P7/TrAvia_act!P5*1000)</f>
        <v>50.322146831317291</v>
      </c>
      <c r="Q29" s="87">
        <f>IF(Q7=0,0,Q7/TrAvia_act!Q5*1000)</f>
        <v>42.317886523280144</v>
      </c>
      <c r="R29" s="87">
        <f>IF(R7=0,0,R7/TrAvia_act!R5*1000)</f>
        <v>38.350453998435349</v>
      </c>
      <c r="S29" s="87">
        <f>IF(S7=0,0,S7/TrAvia_act!S5*1000)</f>
        <v>39.822087416414284</v>
      </c>
      <c r="T29" s="87">
        <f>IF(T7=0,0,T7/TrAvia_act!T5*1000)</f>
        <v>40.64628173690528</v>
      </c>
      <c r="U29" s="87">
        <f>IF(U7=0,0,U7/TrAvia_act!U5*1000)</f>
        <v>37.315713590018454</v>
      </c>
      <c r="V29" s="87">
        <f>IF(V7=0,0,V7/TrAvia_act!V5*1000)</f>
        <v>55.55378493401966</v>
      </c>
      <c r="W29" s="87">
        <f>IF(W7=0,0,W7/TrAvia_act!W5*1000)</f>
        <v>39.596740238304349</v>
      </c>
      <c r="X29" s="87">
        <f>IF(X7=0,0,X7/TrAvia_act!X5*1000)</f>
        <v>26.508456769155114</v>
      </c>
      <c r="Y29" s="87">
        <f>IF(Y7=0,0,Y7/TrAvia_act!Y5*1000)</f>
        <v>27.982360916902383</v>
      </c>
      <c r="DA29" s="171" t="s">
        <v>298</v>
      </c>
    </row>
    <row r="30" spans="1:105" ht="11.45" customHeight="1" x14ac:dyDescent="0.25">
      <c r="A30" s="83" t="s">
        <v>181</v>
      </c>
      <c r="B30" s="87">
        <f>IF(B8=0,0,B8/TrAvia_act!B6*1000)</f>
        <v>31.886375098520304</v>
      </c>
      <c r="C30" s="87">
        <f>IF(C8=0,0,C8/TrAvia_act!C6*1000)</f>
        <v>31.70563073759681</v>
      </c>
      <c r="D30" s="87">
        <f>IF(D8=0,0,D8/TrAvia_act!D6*1000)</f>
        <v>30.784319205483214</v>
      </c>
      <c r="E30" s="87">
        <f>IF(E8=0,0,E8/TrAvia_act!E6*1000)</f>
        <v>32.267352557559398</v>
      </c>
      <c r="F30" s="87">
        <f>IF(F8=0,0,F8/TrAvia_act!F6*1000)</f>
        <v>34.569902756531192</v>
      </c>
      <c r="G30" s="87">
        <f>IF(G8=0,0,G8/TrAvia_act!G6*1000)</f>
        <v>34.287440965522983</v>
      </c>
      <c r="H30" s="87">
        <f>IF(H8=0,0,H8/TrAvia_act!H6*1000)</f>
        <v>33.607797782757906</v>
      </c>
      <c r="I30" s="87">
        <f>IF(I8=0,0,I8/TrAvia_act!I6*1000)</f>
        <v>33.243148025315307</v>
      </c>
      <c r="J30" s="87">
        <f>IF(J8=0,0,J8/TrAvia_act!J6*1000)</f>
        <v>34.154429770749942</v>
      </c>
      <c r="K30" s="87">
        <f>IF(K8=0,0,K8/TrAvia_act!K6*1000)</f>
        <v>32.922809961252227</v>
      </c>
      <c r="L30" s="87">
        <f>IF(L8=0,0,L8/TrAvia_act!L6*1000)</f>
        <v>33.359179482088351</v>
      </c>
      <c r="M30" s="87">
        <f>IF(M8=0,0,M8/TrAvia_act!M6*1000)</f>
        <v>32.338479827683109</v>
      </c>
      <c r="N30" s="87">
        <f>IF(N8=0,0,N8/TrAvia_act!N6*1000)</f>
        <v>31.354562295299601</v>
      </c>
      <c r="O30" s="87">
        <f>IF(O8=0,0,O8/TrAvia_act!O6*1000)</f>
        <v>29.823848372734961</v>
      </c>
      <c r="P30" s="87">
        <f>IF(P8=0,0,P8/TrAvia_act!P6*1000)</f>
        <v>28.748374156011234</v>
      </c>
      <c r="Q30" s="87">
        <f>IF(Q8=0,0,Q8/TrAvia_act!Q6*1000)</f>
        <v>28.965055466014149</v>
      </c>
      <c r="R30" s="87">
        <f>IF(R8=0,0,R8/TrAvia_act!R6*1000)</f>
        <v>28.600407960839828</v>
      </c>
      <c r="S30" s="87">
        <f>IF(S8=0,0,S8/TrAvia_act!S6*1000)</f>
        <v>27.995875080578049</v>
      </c>
      <c r="T30" s="87">
        <f>IF(T8=0,0,T8/TrAvia_act!T6*1000)</f>
        <v>28.069871239803575</v>
      </c>
      <c r="U30" s="87">
        <f>IF(U8=0,0,U8/TrAvia_act!U6*1000)</f>
        <v>28.2974423506713</v>
      </c>
      <c r="V30" s="87">
        <f>IF(V8=0,0,V8/TrAvia_act!V6*1000)</f>
        <v>26.759987676955625</v>
      </c>
      <c r="W30" s="87">
        <f>IF(W8=0,0,W8/TrAvia_act!W6*1000)</f>
        <v>28.586027047218725</v>
      </c>
      <c r="X30" s="87">
        <f>IF(X8=0,0,X8/TrAvia_act!X6*1000)</f>
        <v>29.847161399256155</v>
      </c>
      <c r="Y30" s="87">
        <f>IF(Y8=0,0,Y8/TrAvia_act!Y6*1000)</f>
        <v>29.292258083320892</v>
      </c>
      <c r="DA30" s="171" t="s">
        <v>299</v>
      </c>
    </row>
    <row r="31" spans="1:105" ht="11.45" customHeight="1" x14ac:dyDescent="0.25">
      <c r="A31" s="83" t="s">
        <v>182</v>
      </c>
      <c r="B31" s="87">
        <f>IF(B9=0,0,B9/TrAvia_act!B7*1000)</f>
        <v>49.612224169835642</v>
      </c>
      <c r="C31" s="87">
        <f>IF(C9=0,0,C9/TrAvia_act!C7*1000)</f>
        <v>48.85694658854343</v>
      </c>
      <c r="D31" s="87">
        <f>IF(D9=0,0,D9/TrAvia_act!D7*1000)</f>
        <v>43.024828029329761</v>
      </c>
      <c r="E31" s="87">
        <f>IF(E9=0,0,E9/TrAvia_act!E7*1000)</f>
        <v>44.968510152163766</v>
      </c>
      <c r="F31" s="87">
        <f>IF(F9=0,0,F9/TrAvia_act!F7*1000)</f>
        <v>43.975160586651462</v>
      </c>
      <c r="G31" s="87">
        <f>IF(G9=0,0,G9/TrAvia_act!G7*1000)</f>
        <v>39.191082888103068</v>
      </c>
      <c r="H31" s="87">
        <f>IF(H9=0,0,H9/TrAvia_act!H7*1000)</f>
        <v>38.01503464867784</v>
      </c>
      <c r="I31" s="87">
        <f>IF(I9=0,0,I9/TrAvia_act!I7*1000)</f>
        <v>32.963137918762669</v>
      </c>
      <c r="J31" s="87">
        <f>IF(J9=0,0,J9/TrAvia_act!J7*1000)</f>
        <v>32.012544044450799</v>
      </c>
      <c r="K31" s="87">
        <f>IF(K9=0,0,K9/TrAvia_act!K7*1000)</f>
        <v>33.063781494412702</v>
      </c>
      <c r="L31" s="87">
        <f>IF(L9=0,0,L9/TrAvia_act!L7*1000)</f>
        <v>31.777760800494789</v>
      </c>
      <c r="M31" s="87">
        <f>IF(M9=0,0,M9/TrAvia_act!M7*1000)</f>
        <v>30.130389071641147</v>
      </c>
      <c r="N31" s="87">
        <f>IF(N9=0,0,N9/TrAvia_act!N7*1000)</f>
        <v>29.641557843728627</v>
      </c>
      <c r="O31" s="87">
        <f>IF(O9=0,0,O9/TrAvia_act!O7*1000)</f>
        <v>28.517952496669707</v>
      </c>
      <c r="P31" s="87">
        <f>IF(P9=0,0,P9/TrAvia_act!P7*1000)</f>
        <v>27.371909538307566</v>
      </c>
      <c r="Q31" s="87">
        <f>IF(Q9=0,0,Q9/TrAvia_act!Q7*1000)</f>
        <v>29.227463122816253</v>
      </c>
      <c r="R31" s="87">
        <f>IF(R9=0,0,R9/TrAvia_act!R7*1000)</f>
        <v>28.834354505266624</v>
      </c>
      <c r="S31" s="87">
        <f>IF(S9=0,0,S9/TrAvia_act!S7*1000)</f>
        <v>25.524264448697139</v>
      </c>
      <c r="T31" s="87">
        <f>IF(T9=0,0,T9/TrAvia_act!T7*1000)</f>
        <v>23.729833167580395</v>
      </c>
      <c r="U31" s="87">
        <f>IF(U9=0,0,U9/TrAvia_act!U7*1000)</f>
        <v>21.447663900587941</v>
      </c>
      <c r="V31" s="87">
        <f>IF(V9=0,0,V9/TrAvia_act!V7*1000)</f>
        <v>37.056930086479063</v>
      </c>
      <c r="W31" s="87">
        <f>IF(W9=0,0,W9/TrAvia_act!W7*1000)</f>
        <v>35.025532839851984</v>
      </c>
      <c r="X31" s="87">
        <f>IF(X9=0,0,X9/TrAvia_act!X7*1000)</f>
        <v>21.734349462596157</v>
      </c>
      <c r="Y31" s="87">
        <f>IF(Y9=0,0,Y9/TrAvia_act!Y7*1000)</f>
        <v>19.676611628968939</v>
      </c>
      <c r="DA31" s="171" t="s">
        <v>300</v>
      </c>
    </row>
    <row r="32" spans="1:105" ht="11.45" customHeight="1" x14ac:dyDescent="0.25">
      <c r="A32" s="12" t="s">
        <v>156</v>
      </c>
      <c r="B32" s="15">
        <f>IF(B10=0,0,B10/TrAvia_act!B8*1000)</f>
        <v>122.62649653152361</v>
      </c>
      <c r="C32" s="15">
        <f>IF(C10=0,0,C10/TrAvia_act!C8*1000)</f>
        <v>115.53532740648335</v>
      </c>
      <c r="D32" s="15">
        <f>IF(D10=0,0,D10/TrAvia_act!D8*1000)</f>
        <v>121.01193162726749</v>
      </c>
      <c r="E32" s="15">
        <f>IF(E10=0,0,E10/TrAvia_act!E8*1000)</f>
        <v>127.33801888198445</v>
      </c>
      <c r="F32" s="15">
        <f>IF(F10=0,0,F10/TrAvia_act!F8*1000)</f>
        <v>140.3841742605691</v>
      </c>
      <c r="G32" s="15">
        <f>IF(G10=0,0,G10/TrAvia_act!G8*1000)</f>
        <v>130.41179803027717</v>
      </c>
      <c r="H32" s="15">
        <f>IF(H10=0,0,H10/TrAvia_act!H8*1000)</f>
        <v>132.50335006089327</v>
      </c>
      <c r="I32" s="15">
        <f>IF(I10=0,0,I10/TrAvia_act!I8*1000)</f>
        <v>126.08747538246151</v>
      </c>
      <c r="J32" s="15">
        <f>IF(J10=0,0,J10/TrAvia_act!J8*1000)</f>
        <v>128.5127589954524</v>
      </c>
      <c r="K32" s="15">
        <f>IF(K10=0,0,K10/TrAvia_act!K8*1000)</f>
        <v>120.67413155675818</v>
      </c>
      <c r="L32" s="15">
        <f>IF(L10=0,0,L10/TrAvia_act!L8*1000)</f>
        <v>112.79431223715865</v>
      </c>
      <c r="M32" s="15">
        <f>IF(M10=0,0,M10/TrAvia_act!M8*1000)</f>
        <v>96.444929652965328</v>
      </c>
      <c r="N32" s="15">
        <f>IF(N10=0,0,N10/TrAvia_act!N8*1000)</f>
        <v>84.880588894555189</v>
      </c>
      <c r="O32" s="15">
        <f>IF(O10=0,0,O10/TrAvia_act!O8*1000)</f>
        <v>81.894384409502464</v>
      </c>
      <c r="P32" s="15">
        <f>IF(P10=0,0,P10/TrAvia_act!P8*1000)</f>
        <v>68.577852130732794</v>
      </c>
      <c r="Q32" s="15">
        <f>IF(Q10=0,0,Q10/TrAvia_act!Q8*1000)</f>
        <v>72.923634128955229</v>
      </c>
      <c r="R32" s="15">
        <f>IF(R10=0,0,R10/TrAvia_act!R8*1000)</f>
        <v>65.746065590179512</v>
      </c>
      <c r="S32" s="15">
        <f>IF(S10=0,0,S10/TrAvia_act!S8*1000)</f>
        <v>62.60122868523635</v>
      </c>
      <c r="T32" s="15">
        <f>IF(T10=0,0,T10/TrAvia_act!T8*1000)</f>
        <v>59.744124549906616</v>
      </c>
      <c r="U32" s="15">
        <f>IF(U10=0,0,U10/TrAvia_act!U8*1000)</f>
        <v>49.202389648204409</v>
      </c>
      <c r="V32" s="15">
        <f>IF(V10=0,0,V10/TrAvia_act!V8*1000)</f>
        <v>80.209495756095819</v>
      </c>
      <c r="W32" s="15">
        <f>IF(W10=0,0,W10/TrAvia_act!W8*1000)</f>
        <v>69.731928791077181</v>
      </c>
      <c r="X32" s="15">
        <f>IF(X10=0,0,X10/TrAvia_act!X8*1000)</f>
        <v>59.641549255324136</v>
      </c>
      <c r="Y32" s="15">
        <f>IF(Y10=0,0,Y10/TrAvia_act!Y8*1000)</f>
        <v>79.249883812616545</v>
      </c>
      <c r="DA32" s="193" t="s">
        <v>301</v>
      </c>
    </row>
    <row r="33" spans="1:105" ht="11.45" customHeight="1" x14ac:dyDescent="0.25">
      <c r="A33" s="92" t="s">
        <v>27</v>
      </c>
      <c r="B33" s="101">
        <f>IF(B11=0,0,B11/TrAvia_act!B9*1000)</f>
        <v>1287.2916799523794</v>
      </c>
      <c r="C33" s="101">
        <f>IF(C11=0,0,C11/TrAvia_act!C9*1000)</f>
        <v>1302.9286014016834</v>
      </c>
      <c r="D33" s="101">
        <f>IF(D11=0,0,D11/TrAvia_act!D9*1000)</f>
        <v>1269.8969706580708</v>
      </c>
      <c r="E33" s="101">
        <f>IF(E11=0,0,E11/TrAvia_act!E9*1000)</f>
        <v>1142.4852476034537</v>
      </c>
      <c r="F33" s="101">
        <f>IF(F11=0,0,F11/TrAvia_act!F9*1000)</f>
        <v>1216.1779947264959</v>
      </c>
      <c r="G33" s="101">
        <f>IF(G11=0,0,G11/TrAvia_act!G9*1000)</f>
        <v>1136.1102158381925</v>
      </c>
      <c r="H33" s="101">
        <f>IF(H11=0,0,H11/TrAvia_act!H9*1000)</f>
        <v>879.76947706643296</v>
      </c>
      <c r="I33" s="101">
        <f>IF(I11=0,0,I11/TrAvia_act!I9*1000)</f>
        <v>735.3926220271187</v>
      </c>
      <c r="J33" s="101">
        <f>IF(J11=0,0,J11/TrAvia_act!J9*1000)</f>
        <v>571.3417056989756</v>
      </c>
      <c r="K33" s="101">
        <f>IF(K11=0,0,K11/TrAvia_act!K9*1000)</f>
        <v>502.2270688513114</v>
      </c>
      <c r="L33" s="101">
        <f>IF(L11=0,0,L11/TrAvia_act!L9*1000)</f>
        <v>495.22502220535245</v>
      </c>
      <c r="M33" s="101">
        <f>IF(M11=0,0,M11/TrAvia_act!M9*1000)</f>
        <v>465.9921750793381</v>
      </c>
      <c r="N33" s="101">
        <f>IF(N11=0,0,N11/TrAvia_act!N9*1000)</f>
        <v>538.14700366483669</v>
      </c>
      <c r="O33" s="101">
        <f>IF(O11=0,0,O11/TrAvia_act!O9*1000)</f>
        <v>546.18155450233837</v>
      </c>
      <c r="P33" s="101">
        <f>IF(P11=0,0,P11/TrAvia_act!P9*1000)</f>
        <v>465.81734750792947</v>
      </c>
      <c r="Q33" s="101">
        <f>IF(Q11=0,0,Q11/TrAvia_act!Q9*1000)</f>
        <v>434.64355766950746</v>
      </c>
      <c r="R33" s="101">
        <f>IF(R11=0,0,R11/TrAvia_act!R9*1000)</f>
        <v>295.13994145598195</v>
      </c>
      <c r="S33" s="101">
        <f>IF(S11=0,0,S11/TrAvia_act!S9*1000)</f>
        <v>382.61734080454642</v>
      </c>
      <c r="T33" s="101">
        <f>IF(T11=0,0,T11/TrAvia_act!T9*1000)</f>
        <v>397.06670469406646</v>
      </c>
      <c r="U33" s="101">
        <f>IF(U11=0,0,U11/TrAvia_act!U9*1000)</f>
        <v>318.57159171823133</v>
      </c>
      <c r="V33" s="101">
        <f>IF(V11=0,0,V11/TrAvia_act!V9*1000)</f>
        <v>349.30338385403013</v>
      </c>
      <c r="W33" s="101">
        <f>IF(W11=0,0,W11/TrAvia_act!W9*1000)</f>
        <v>318.472295664044</v>
      </c>
      <c r="X33" s="101">
        <f>IF(X11=0,0,X11/TrAvia_act!X9*1000)</f>
        <v>280.47082757327235</v>
      </c>
      <c r="Y33" s="101">
        <f>IF(Y11=0,0,Y11/TrAvia_act!Y9*1000)</f>
        <v>278.80299103848637</v>
      </c>
      <c r="DA33" s="175" t="s">
        <v>302</v>
      </c>
    </row>
    <row r="34" spans="1:105" ht="11.45" customHeight="1" x14ac:dyDescent="0.25">
      <c r="A34" s="92" t="s">
        <v>181</v>
      </c>
      <c r="B34" s="101">
        <f>IF(B12=0,0,B12/TrAvia_act!B10*1000)</f>
        <v>139.71178032606554</v>
      </c>
      <c r="C34" s="101">
        <f>IF(C12=0,0,C12/TrAvia_act!C10*1000)</f>
        <v>134.38886836836087</v>
      </c>
      <c r="D34" s="101">
        <f>IF(D12=0,0,D12/TrAvia_act!D10*1000)</f>
        <v>142.61439772087331</v>
      </c>
      <c r="E34" s="101">
        <f>IF(E12=0,0,E12/TrAvia_act!E10*1000)</f>
        <v>142.85747590550656</v>
      </c>
      <c r="F34" s="101">
        <f>IF(F12=0,0,F12/TrAvia_act!F10*1000)</f>
        <v>171.88184761251387</v>
      </c>
      <c r="G34" s="101">
        <f>IF(G12=0,0,G12/TrAvia_act!G10*1000)</f>
        <v>170.70071457475854</v>
      </c>
      <c r="H34" s="101">
        <f>IF(H12=0,0,H12/TrAvia_act!H10*1000)</f>
        <v>190.01457435302032</v>
      </c>
      <c r="I34" s="101">
        <f>IF(I12=0,0,I12/TrAvia_act!I10*1000)</f>
        <v>190.69803041512748</v>
      </c>
      <c r="J34" s="101">
        <f>IF(J12=0,0,J12/TrAvia_act!J10*1000)</f>
        <v>199.54760658260449</v>
      </c>
      <c r="K34" s="101">
        <f>IF(K12=0,0,K12/TrAvia_act!K10*1000)</f>
        <v>193.72221613343407</v>
      </c>
      <c r="L34" s="101">
        <f>IF(L12=0,0,L12/TrAvia_act!L10*1000)</f>
        <v>195.36632010562056</v>
      </c>
      <c r="M34" s="101">
        <f>IF(M12=0,0,M12/TrAvia_act!M10*1000)</f>
        <v>189.11999366958923</v>
      </c>
      <c r="N34" s="101">
        <f>IF(N12=0,0,N12/TrAvia_act!N10*1000)</f>
        <v>171.80774282313274</v>
      </c>
      <c r="O34" s="101">
        <f>IF(O12=0,0,O12/TrAvia_act!O10*1000)</f>
        <v>165.021546415963</v>
      </c>
      <c r="P34" s="101">
        <f>IF(P12=0,0,P12/TrAvia_act!P10*1000)</f>
        <v>142.9106903307748</v>
      </c>
      <c r="Q34" s="101">
        <f>IF(Q12=0,0,Q12/TrAvia_act!Q10*1000)</f>
        <v>149.07363405892619</v>
      </c>
      <c r="R34" s="101">
        <f>IF(R12=0,0,R12/TrAvia_act!R10*1000)</f>
        <v>142.68332464882195</v>
      </c>
      <c r="S34" s="101">
        <f>IF(S12=0,0,S12/TrAvia_act!S10*1000)</f>
        <v>155.15019307363471</v>
      </c>
      <c r="T34" s="101">
        <f>IF(T12=0,0,T12/TrAvia_act!T10*1000)</f>
        <v>150.19589186582195</v>
      </c>
      <c r="U34" s="101">
        <f>IF(U12=0,0,U12/TrAvia_act!U10*1000)</f>
        <v>149.95065738076721</v>
      </c>
      <c r="V34" s="101">
        <f>IF(V12=0,0,V12/TrAvia_act!V10*1000)</f>
        <v>136.65095505567669</v>
      </c>
      <c r="W34" s="101">
        <f>IF(W12=0,0,W12/TrAvia_act!W10*1000)</f>
        <v>142.45901060275938</v>
      </c>
      <c r="X34" s="101">
        <f>IF(X12=0,0,X12/TrAvia_act!X10*1000)</f>
        <v>181.72128966712128</v>
      </c>
      <c r="Y34" s="101">
        <f>IF(Y12=0,0,Y12/TrAvia_act!Y10*1000)</f>
        <v>187.00972361913074</v>
      </c>
      <c r="DA34" s="175" t="s">
        <v>303</v>
      </c>
    </row>
    <row r="35" spans="1:105" ht="11.45" customHeight="1" x14ac:dyDescent="0.25">
      <c r="A35" s="85" t="s">
        <v>182</v>
      </c>
      <c r="B35" s="88">
        <f>IF(B13=0,0,B13/TrAvia_act!B11*1000)</f>
        <v>55.943642715650022</v>
      </c>
      <c r="C35" s="88">
        <f>IF(C13=0,0,C13/TrAvia_act!C11*1000)</f>
        <v>53.377119740935491</v>
      </c>
      <c r="D35" s="88">
        <f>IF(D13=0,0,D13/TrAvia_act!D11*1000)</f>
        <v>56.423446961101817</v>
      </c>
      <c r="E35" s="88">
        <f>IF(E13=0,0,E13/TrAvia_act!E11*1000)</f>
        <v>63.481229532425246</v>
      </c>
      <c r="F35" s="88">
        <f>IF(F13=0,0,F13/TrAvia_act!F11*1000)</f>
        <v>70.238340076310067</v>
      </c>
      <c r="G35" s="88">
        <f>IF(G13=0,0,G13/TrAvia_act!G11*1000)</f>
        <v>65.404255730280994</v>
      </c>
      <c r="H35" s="88">
        <f>IF(H13=0,0,H13/TrAvia_act!H11*1000)</f>
        <v>70.984057443133324</v>
      </c>
      <c r="I35" s="88">
        <f>IF(I13=0,0,I13/TrAvia_act!I11*1000)</f>
        <v>73.338933186697361</v>
      </c>
      <c r="J35" s="88">
        <f>IF(J13=0,0,J13/TrAvia_act!J11*1000)</f>
        <v>86.66194617784754</v>
      </c>
      <c r="K35" s="88">
        <f>IF(K13=0,0,K13/TrAvia_act!K11*1000)</f>
        <v>77.973829400288636</v>
      </c>
      <c r="L35" s="88">
        <f>IF(L13=0,0,L13/TrAvia_act!L11*1000)</f>
        <v>73.700746646453595</v>
      </c>
      <c r="M35" s="88">
        <f>IF(M13=0,0,M13/TrAvia_act!M11*1000)</f>
        <v>66.561173715255805</v>
      </c>
      <c r="N35" s="88">
        <f>IF(N13=0,0,N13/TrAvia_act!N11*1000)</f>
        <v>59.887853444798722</v>
      </c>
      <c r="O35" s="88">
        <f>IF(O13=0,0,O13/TrAvia_act!O11*1000)</f>
        <v>59.094119005904062</v>
      </c>
      <c r="P35" s="88">
        <f>IF(P13=0,0,P13/TrAvia_act!P11*1000)</f>
        <v>49.48865906887621</v>
      </c>
      <c r="Q35" s="88">
        <f>IF(Q13=0,0,Q13/TrAvia_act!Q11*1000)</f>
        <v>52.324584446769954</v>
      </c>
      <c r="R35" s="88">
        <f>IF(R13=0,0,R13/TrAvia_act!R11*1000)</f>
        <v>47.02613285391697</v>
      </c>
      <c r="S35" s="88">
        <f>IF(S13=0,0,S13/TrAvia_act!S11*1000)</f>
        <v>44.174775842712428</v>
      </c>
      <c r="T35" s="88">
        <f>IF(T13=0,0,T13/TrAvia_act!T11*1000)</f>
        <v>40.530985779757259</v>
      </c>
      <c r="U35" s="88">
        <f>IF(U13=0,0,U13/TrAvia_act!U11*1000)</f>
        <v>29.078930847111472</v>
      </c>
      <c r="V35" s="88">
        <f>IF(V13=0,0,V13/TrAvia_act!V11*1000)</f>
        <v>58.005800632481687</v>
      </c>
      <c r="W35" s="88">
        <f>IF(W13=0,0,W13/TrAvia_act!W11*1000)</f>
        <v>48.391933334739171</v>
      </c>
      <c r="X35" s="88">
        <f>IF(X13=0,0,X13/TrAvia_act!X11*1000)</f>
        <v>39.363165869446625</v>
      </c>
      <c r="Y35" s="88">
        <f>IF(Y13=0,0,Y13/TrAvia_act!Y11*1000)</f>
        <v>39.741332442591045</v>
      </c>
      <c r="DA35" s="178" t="s">
        <v>304</v>
      </c>
    </row>
    <row r="36" spans="1:105" x14ac:dyDescent="0.25">
      <c r="A36" s="50"/>
      <c r="B36" s="50"/>
      <c r="C36" s="50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DA36" s="181"/>
    </row>
    <row r="37" spans="1:105" ht="11.45" customHeight="1" x14ac:dyDescent="0.25">
      <c r="A37" s="53" t="s">
        <v>75</v>
      </c>
      <c r="B37" s="62">
        <f>IF(B3=0,0,B3/TrAvia_act!B23*1000000)</f>
        <v>6617.7109116432248</v>
      </c>
      <c r="C37" s="62">
        <f>IF(C3=0,0,C3/TrAvia_act!C23*1000000)</f>
        <v>6561.4013965425875</v>
      </c>
      <c r="D37" s="62">
        <f>IF(D3=0,0,D3/TrAvia_act!D23*1000000)</f>
        <v>6456.6689205382545</v>
      </c>
      <c r="E37" s="62">
        <f>IF(E3=0,0,E3/TrAvia_act!E23*1000000)</f>
        <v>6748.5129786303569</v>
      </c>
      <c r="F37" s="62">
        <f>IF(F3=0,0,F3/TrAvia_act!F23*1000000)</f>
        <v>6969.4799567929858</v>
      </c>
      <c r="G37" s="62">
        <f>IF(G3=0,0,G3/TrAvia_act!G23*1000000)</f>
        <v>6727.2274928450106</v>
      </c>
      <c r="H37" s="62">
        <f>IF(H3=0,0,H3/TrAvia_act!H23*1000000)</f>
        <v>6821.095563622086</v>
      </c>
      <c r="I37" s="62">
        <f>IF(I3=0,0,I3/TrAvia_act!I23*1000000)</f>
        <v>6747.0730765809612</v>
      </c>
      <c r="J37" s="62">
        <f>IF(J3=0,0,J3/TrAvia_act!J23*1000000)</f>
        <v>6883.1592644747789</v>
      </c>
      <c r="K37" s="62">
        <f>IF(K3=0,0,K3/TrAvia_act!K23*1000000)</f>
        <v>6995.5298950108681</v>
      </c>
      <c r="L37" s="62">
        <f>IF(L3=0,0,L3/TrAvia_act!L23*1000000)</f>
        <v>7320.0410353414554</v>
      </c>
      <c r="M37" s="62">
        <f>IF(M3=0,0,M3/TrAvia_act!M23*1000000)</f>
        <v>7324.4972073747758</v>
      </c>
      <c r="N37" s="62">
        <f>IF(N3=0,0,N3/TrAvia_act!N23*1000000)</f>
        <v>7436.7472214321897</v>
      </c>
      <c r="O37" s="62">
        <f>IF(O3=0,0,O3/TrAvia_act!O23*1000000)</f>
        <v>7385.7865862281697</v>
      </c>
      <c r="P37" s="62">
        <f>IF(P3=0,0,P3/TrAvia_act!P23*1000000)</f>
        <v>7206.3136198911025</v>
      </c>
      <c r="Q37" s="62">
        <f>IF(Q3=0,0,Q3/TrAvia_act!Q23*1000000)</f>
        <v>7305.762429658751</v>
      </c>
      <c r="R37" s="62">
        <f>IF(R3=0,0,R3/TrAvia_act!R23*1000000)</f>
        <v>6798.7199504755872</v>
      </c>
      <c r="S37" s="62">
        <f>IF(S3=0,0,S3/TrAvia_act!S23*1000000)</f>
        <v>7079.312418051898</v>
      </c>
      <c r="T37" s="62">
        <f>IF(T3=0,0,T3/TrAvia_act!T23*1000000)</f>
        <v>7028.3461571102553</v>
      </c>
      <c r="U37" s="62">
        <f>IF(U3=0,0,U3/TrAvia_act!U23*1000000)</f>
        <v>7097.443491189495</v>
      </c>
      <c r="V37" s="62">
        <f>IF(V3=0,0,V3/TrAvia_act!V23*1000000)</f>
        <v>6194.8547077392759</v>
      </c>
      <c r="W37" s="62">
        <f>IF(W3=0,0,W3/TrAvia_act!W23*1000000)</f>
        <v>6014.2372057754492</v>
      </c>
      <c r="X37" s="62">
        <f>IF(X3=0,0,X3/TrAvia_act!X23*1000000)</f>
        <v>7118.3218979212388</v>
      </c>
      <c r="Y37" s="62">
        <f>IF(Y3=0,0,Y3/TrAvia_act!Y23*1000000)</f>
        <v>7334.327577343799</v>
      </c>
      <c r="DA37" s="172" t="s">
        <v>305</v>
      </c>
    </row>
    <row r="38" spans="1:105" ht="11.45" customHeight="1" x14ac:dyDescent="0.25">
      <c r="A38" s="10" t="s">
        <v>33</v>
      </c>
      <c r="B38" s="14">
        <f>IF(B6=0,0,B6/TrAvia_act!B24*1000000)</f>
        <v>6733.6231407461773</v>
      </c>
      <c r="C38" s="14">
        <f>IF(C6=0,0,C6/TrAvia_act!C24*1000000)</f>
        <v>6664.8673845583453</v>
      </c>
      <c r="D38" s="14">
        <f>IF(D6=0,0,D6/TrAvia_act!D24*1000000)</f>
        <v>6554.4275724688123</v>
      </c>
      <c r="E38" s="14">
        <f>IF(E6=0,0,E6/TrAvia_act!E24*1000000)</f>
        <v>6849.5873026515465</v>
      </c>
      <c r="F38" s="14">
        <f>IF(F6=0,0,F6/TrAvia_act!F24*1000000)</f>
        <v>7066.2764833512801</v>
      </c>
      <c r="G38" s="14">
        <f>IF(G6=0,0,G6/TrAvia_act!G24*1000000)</f>
        <v>6818.9529024953463</v>
      </c>
      <c r="H38" s="14">
        <f>IF(H6=0,0,H6/TrAvia_act!H24*1000000)</f>
        <v>6890.1990121631152</v>
      </c>
      <c r="I38" s="14">
        <f>IF(I6=0,0,I6/TrAvia_act!I24*1000000)</f>
        <v>6787.1409616724386</v>
      </c>
      <c r="J38" s="14">
        <f>IF(J6=0,0,J6/TrAvia_act!J24*1000000)</f>
        <v>6899.1240333193118</v>
      </c>
      <c r="K38" s="14">
        <f>IF(K6=0,0,K6/TrAvia_act!K24*1000000)</f>
        <v>7017.8466395369087</v>
      </c>
      <c r="L38" s="14">
        <f>IF(L6=0,0,L6/TrAvia_act!L24*1000000)</f>
        <v>7318.5520894040346</v>
      </c>
      <c r="M38" s="14">
        <f>IF(M6=0,0,M6/TrAvia_act!M24*1000000)</f>
        <v>7313.0476529793186</v>
      </c>
      <c r="N38" s="14">
        <f>IF(N6=0,0,N6/TrAvia_act!N24*1000000)</f>
        <v>7423.0213618223434</v>
      </c>
      <c r="O38" s="14">
        <f>IF(O6=0,0,O6/TrAvia_act!O24*1000000)</f>
        <v>7370.0237023880954</v>
      </c>
      <c r="P38" s="14">
        <f>IF(P6=0,0,P6/TrAvia_act!P24*1000000)</f>
        <v>7193.6002693421024</v>
      </c>
      <c r="Q38" s="14">
        <f>IF(Q6=0,0,Q6/TrAvia_act!Q24*1000000)</f>
        <v>7295.1847078611054</v>
      </c>
      <c r="R38" s="14">
        <f>IF(R6=0,0,R6/TrAvia_act!R24*1000000)</f>
        <v>6790.0078668207234</v>
      </c>
      <c r="S38" s="14">
        <f>IF(S6=0,0,S6/TrAvia_act!S24*1000000)</f>
        <v>7070.7485006812512</v>
      </c>
      <c r="T38" s="14">
        <f>IF(T6=0,0,T6/TrAvia_act!T24*1000000)</f>
        <v>7026.1995506654039</v>
      </c>
      <c r="U38" s="14">
        <f>IF(U6=0,0,U6/TrAvia_act!U24*1000000)</f>
        <v>7119.033711080735</v>
      </c>
      <c r="V38" s="14">
        <f>IF(V6=0,0,V6/TrAvia_act!V24*1000000)</f>
        <v>6213.5370898967922</v>
      </c>
      <c r="W38" s="14">
        <f>IF(W6=0,0,W6/TrAvia_act!W24*1000000)</f>
        <v>6030.3682263341689</v>
      </c>
      <c r="X38" s="14">
        <f>IF(X6=0,0,X6/TrAvia_act!X24*1000000)</f>
        <v>7138.5089288172303</v>
      </c>
      <c r="Y38" s="14">
        <f>IF(Y6=0,0,Y6/TrAvia_act!Y24*1000000)</f>
        <v>7378.060062043206</v>
      </c>
      <c r="DA38" s="189" t="s">
        <v>306</v>
      </c>
    </row>
    <row r="39" spans="1:105" ht="11.45" customHeight="1" x14ac:dyDescent="0.25">
      <c r="A39" s="83" t="s">
        <v>27</v>
      </c>
      <c r="B39" s="87">
        <f>IF(B7=0,0,B7/TrAvia_act!B25*1000000)</f>
        <v>3173.9734753979014</v>
      </c>
      <c r="C39" s="87">
        <f>IF(C7=0,0,C7/TrAvia_act!C25*1000000)</f>
        <v>3188.0286342351842</v>
      </c>
      <c r="D39" s="87">
        <f>IF(D7=0,0,D7/TrAvia_act!D25*1000000)</f>
        <v>3195.2272579369906</v>
      </c>
      <c r="E39" s="87">
        <f>IF(E7=0,0,E7/TrAvia_act!E25*1000000)</f>
        <v>3057.7373187983198</v>
      </c>
      <c r="F39" s="87">
        <f>IF(F7=0,0,F7/TrAvia_act!F25*1000000)</f>
        <v>3065.0510965586973</v>
      </c>
      <c r="G39" s="87">
        <f>IF(G7=0,0,G7/TrAvia_act!G25*1000000)</f>
        <v>3039.1492826818048</v>
      </c>
      <c r="H39" s="87">
        <f>IF(H7=0,0,H7/TrAvia_act!H25*1000000)</f>
        <v>3456.7415479811461</v>
      </c>
      <c r="I39" s="87">
        <f>IF(I7=0,0,I7/TrAvia_act!I25*1000000)</f>
        <v>3633.2158344316135</v>
      </c>
      <c r="J39" s="87">
        <f>IF(J7=0,0,J7/TrAvia_act!J25*1000000)</f>
        <v>3132.8768254676493</v>
      </c>
      <c r="K39" s="87">
        <f>IF(K7=0,0,K7/TrAvia_act!K25*1000000)</f>
        <v>3092.9009244118015</v>
      </c>
      <c r="L39" s="87">
        <f>IF(L7=0,0,L7/TrAvia_act!L25*1000000)</f>
        <v>3694.9570516709432</v>
      </c>
      <c r="M39" s="87">
        <f>IF(M7=0,0,M7/TrAvia_act!M25*1000000)</f>
        <v>3454.5434346997695</v>
      </c>
      <c r="N39" s="87">
        <f>IF(N7=0,0,N7/TrAvia_act!N25*1000000)</f>
        <v>3570.0139869431878</v>
      </c>
      <c r="O39" s="87">
        <f>IF(O7=0,0,O7/TrAvia_act!O25*1000000)</f>
        <v>3695.5875962249279</v>
      </c>
      <c r="P39" s="87">
        <f>IF(P7=0,0,P7/TrAvia_act!P25*1000000)</f>
        <v>3533.5336485105163</v>
      </c>
      <c r="Q39" s="87">
        <f>IF(Q7=0,0,Q7/TrAvia_act!Q25*1000000)</f>
        <v>3488.3680428766647</v>
      </c>
      <c r="R39" s="87">
        <f>IF(R7=0,0,R7/TrAvia_act!R25*1000000)</f>
        <v>2568.915410082358</v>
      </c>
      <c r="S39" s="87">
        <f>IF(S7=0,0,S7/TrAvia_act!S25*1000000)</f>
        <v>3121.606183965218</v>
      </c>
      <c r="T39" s="87">
        <f>IF(T7=0,0,T7/TrAvia_act!T25*1000000)</f>
        <v>3142.2026278263684</v>
      </c>
      <c r="U39" s="87">
        <f>IF(U7=0,0,U7/TrAvia_act!U25*1000000)</f>
        <v>2838.8696784840949</v>
      </c>
      <c r="V39" s="87">
        <f>IF(V7=0,0,V7/TrAvia_act!V25*1000000)</f>
        <v>2829.9827304974501</v>
      </c>
      <c r="W39" s="87">
        <f>IF(W7=0,0,W7/TrAvia_act!W25*1000000)</f>
        <v>2784.0994574420238</v>
      </c>
      <c r="X39" s="87">
        <f>IF(X7=0,0,X7/TrAvia_act!X25*1000000)</f>
        <v>2496.5532269131782</v>
      </c>
      <c r="Y39" s="87">
        <f>IF(Y7=0,0,Y7/TrAvia_act!Y25*1000000)</f>
        <v>2629.1990887630818</v>
      </c>
      <c r="DA39" s="171" t="s">
        <v>307</v>
      </c>
    </row>
    <row r="40" spans="1:105" ht="11.45" customHeight="1" x14ac:dyDescent="0.25">
      <c r="A40" s="83" t="s">
        <v>181</v>
      </c>
      <c r="B40" s="87">
        <f>IF(B8=0,0,B8/TrAvia_act!B26*1000000)</f>
        <v>5843.54533203134</v>
      </c>
      <c r="C40" s="87">
        <f>IF(C8=0,0,C8/TrAvia_act!C26*1000000)</f>
        <v>5842.642834281176</v>
      </c>
      <c r="D40" s="87">
        <f>IF(D8=0,0,D8/TrAvia_act!D26*1000000)</f>
        <v>5831.3308071401989</v>
      </c>
      <c r="E40" s="87">
        <f>IF(E8=0,0,E8/TrAvia_act!E26*1000000)</f>
        <v>5965.5669440472911</v>
      </c>
      <c r="F40" s="87">
        <f>IF(F8=0,0,F8/TrAvia_act!F26*1000000)</f>
        <v>6434.6524567549741</v>
      </c>
      <c r="G40" s="87">
        <f>IF(G8=0,0,G8/TrAvia_act!G26*1000000)</f>
        <v>6213.6313876188597</v>
      </c>
      <c r="H40" s="87">
        <f>IF(H8=0,0,H8/TrAvia_act!H26*1000000)</f>
        <v>5871.5124283466521</v>
      </c>
      <c r="I40" s="87">
        <f>IF(I8=0,0,I8/TrAvia_act!I26*1000000)</f>
        <v>5711.6087248280646</v>
      </c>
      <c r="J40" s="87">
        <f>IF(J8=0,0,J8/TrAvia_act!J26*1000000)</f>
        <v>5991.3445380869525</v>
      </c>
      <c r="K40" s="87">
        <f>IF(K8=0,0,K8/TrAvia_act!K26*1000000)</f>
        <v>6031.3621117805787</v>
      </c>
      <c r="L40" s="87">
        <f>IF(L8=0,0,L8/TrAvia_act!L26*1000000)</f>
        <v>6158.9306181555394</v>
      </c>
      <c r="M40" s="87">
        <f>IF(M8=0,0,M8/TrAvia_act!M26*1000000)</f>
        <v>6170.6177701149909</v>
      </c>
      <c r="N40" s="87">
        <f>IF(N8=0,0,N8/TrAvia_act!N26*1000000)</f>
        <v>6174.819364555281</v>
      </c>
      <c r="O40" s="87">
        <f>IF(O8=0,0,O8/TrAvia_act!O26*1000000)</f>
        <v>6087.2696630849014</v>
      </c>
      <c r="P40" s="87">
        <f>IF(P8=0,0,P8/TrAvia_act!P26*1000000)</f>
        <v>5994.00155019248</v>
      </c>
      <c r="Q40" s="87">
        <f>IF(Q8=0,0,Q8/TrAvia_act!Q26*1000000)</f>
        <v>6103.6716680551817</v>
      </c>
      <c r="R40" s="87">
        <f>IF(R8=0,0,R8/TrAvia_act!R26*1000000)</f>
        <v>6373.8046064744203</v>
      </c>
      <c r="S40" s="87">
        <f>IF(S8=0,0,S8/TrAvia_act!S26*1000000)</f>
        <v>6548.8852479171774</v>
      </c>
      <c r="T40" s="87">
        <f>IF(T8=0,0,T8/TrAvia_act!T26*1000000)</f>
        <v>6483.2525537836054</v>
      </c>
      <c r="U40" s="87">
        <f>IF(U8=0,0,U8/TrAvia_act!U26*1000000)</f>
        <v>6712.4214395851595</v>
      </c>
      <c r="V40" s="87">
        <f>IF(V8=0,0,V8/TrAvia_act!V26*1000000)</f>
        <v>4986.8397563536892</v>
      </c>
      <c r="W40" s="87">
        <f>IF(W8=0,0,W8/TrAvia_act!W26*1000000)</f>
        <v>5240.8532320524528</v>
      </c>
      <c r="X40" s="87">
        <f>IF(X8=0,0,X8/TrAvia_act!X26*1000000)</f>
        <v>6948.9967207843538</v>
      </c>
      <c r="Y40" s="87">
        <f>IF(Y8=0,0,Y8/TrAvia_act!Y26*1000000)</f>
        <v>7206.8150302707736</v>
      </c>
      <c r="DA40" s="171" t="s">
        <v>308</v>
      </c>
    </row>
    <row r="41" spans="1:105" ht="11.45" customHeight="1" x14ac:dyDescent="0.25">
      <c r="A41" s="83" t="s">
        <v>182</v>
      </c>
      <c r="B41" s="87">
        <f>IF(B9=0,0,B9/TrAvia_act!B27*1000000)</f>
        <v>30691.642826991039</v>
      </c>
      <c r="C41" s="87">
        <f>IF(C9=0,0,C9/TrAvia_act!C27*1000000)</f>
        <v>30686.891344418749</v>
      </c>
      <c r="D41" s="87">
        <f>IF(D9=0,0,D9/TrAvia_act!D27*1000000)</f>
        <v>30627.504013288799</v>
      </c>
      <c r="E41" s="87">
        <f>IF(E9=0,0,E9/TrAvia_act!E27*1000000)</f>
        <v>31309.994210816552</v>
      </c>
      <c r="F41" s="87">
        <f>IF(F9=0,0,F9/TrAvia_act!F27*1000000)</f>
        <v>33623.444142883985</v>
      </c>
      <c r="G41" s="87">
        <f>IF(G9=0,0,G9/TrAvia_act!G27*1000000)</f>
        <v>29385.386385478945</v>
      </c>
      <c r="H41" s="87">
        <f>IF(H9=0,0,H9/TrAvia_act!H27*1000000)</f>
        <v>28726.277708514492</v>
      </c>
      <c r="I41" s="87">
        <f>IF(I9=0,0,I9/TrAvia_act!I27*1000000)</f>
        <v>26546.290043684345</v>
      </c>
      <c r="J41" s="87">
        <f>IF(J9=0,0,J9/TrAvia_act!J27*1000000)</f>
        <v>28651.505989590987</v>
      </c>
      <c r="K41" s="87">
        <f>IF(K9=0,0,K9/TrAvia_act!K27*1000000)</f>
        <v>29085.617012159746</v>
      </c>
      <c r="L41" s="87">
        <f>IF(L9=0,0,L9/TrAvia_act!L27*1000000)</f>
        <v>27397.285341799077</v>
      </c>
      <c r="M41" s="87">
        <f>IF(M9=0,0,M9/TrAvia_act!M27*1000000)</f>
        <v>27080.729817607036</v>
      </c>
      <c r="N41" s="87">
        <f>IF(N9=0,0,N9/TrAvia_act!N27*1000000)</f>
        <v>26718.951877831838</v>
      </c>
      <c r="O41" s="87">
        <f>IF(O9=0,0,O9/TrAvia_act!O27*1000000)</f>
        <v>26429.473302965896</v>
      </c>
      <c r="P41" s="87">
        <f>IF(P9=0,0,P9/TrAvia_act!P27*1000000)</f>
        <v>25199.75763737247</v>
      </c>
      <c r="Q41" s="87">
        <f>IF(Q9=0,0,Q9/TrAvia_act!Q27*1000000)</f>
        <v>26761.537170914529</v>
      </c>
      <c r="R41" s="87">
        <f>IF(R9=0,0,R9/TrAvia_act!R27*1000000)</f>
        <v>25305.163966748631</v>
      </c>
      <c r="S41" s="87">
        <f>IF(S9=0,0,S9/TrAvia_act!S27*1000000)</f>
        <v>23003.605974934573</v>
      </c>
      <c r="T41" s="87">
        <f>IF(T9=0,0,T9/TrAvia_act!T27*1000000)</f>
        <v>21556.810729353805</v>
      </c>
      <c r="U41" s="87">
        <f>IF(U9=0,0,U9/TrAvia_act!U27*1000000)</f>
        <v>20250.298292478928</v>
      </c>
      <c r="V41" s="87">
        <f>IF(V9=0,0,V9/TrAvia_act!V27*1000000)</f>
        <v>29818.628204395649</v>
      </c>
      <c r="W41" s="87">
        <f>IF(W9=0,0,W9/TrAvia_act!W27*1000000)</f>
        <v>25854.568409298034</v>
      </c>
      <c r="X41" s="87">
        <f>IF(X9=0,0,X9/TrAvia_act!X27*1000000)</f>
        <v>21075.716803654934</v>
      </c>
      <c r="Y41" s="87">
        <f>IF(Y9=0,0,Y9/TrAvia_act!Y27*1000000)</f>
        <v>20264.338962924805</v>
      </c>
      <c r="DA41" s="171" t="s">
        <v>309</v>
      </c>
    </row>
    <row r="42" spans="1:105" ht="11.45" customHeight="1" x14ac:dyDescent="0.25">
      <c r="A42" s="12" t="s">
        <v>34</v>
      </c>
      <c r="B42" s="15">
        <f>IF(B10=0,0,B10/TrAvia_act!B28*1000000)</f>
        <v>4008.2190935878662</v>
      </c>
      <c r="C42" s="15">
        <f>IF(C10=0,0,C10/TrAvia_act!C28*1000000)</f>
        <v>4055.5138296203841</v>
      </c>
      <c r="D42" s="15">
        <f>IF(D10=0,0,D10/TrAvia_act!D28*1000000)</f>
        <v>4084.7085617378734</v>
      </c>
      <c r="E42" s="15">
        <f>IF(E10=0,0,E10/TrAvia_act!E28*1000000)</f>
        <v>4072.302366546734</v>
      </c>
      <c r="F42" s="15">
        <f>IF(F10=0,0,F10/TrAvia_act!F28*1000000)</f>
        <v>4389.2305862512903</v>
      </c>
      <c r="G42" s="15">
        <f>IF(G10=0,0,G10/TrAvia_act!G28*1000000)</f>
        <v>4284.627264844049</v>
      </c>
      <c r="H42" s="15">
        <f>IF(H10=0,0,H10/TrAvia_act!H28*1000000)</f>
        <v>5022.2754395054235</v>
      </c>
      <c r="I42" s="15">
        <f>IF(I10=0,0,I10/TrAvia_act!I28*1000000)</f>
        <v>5615.549851003273</v>
      </c>
      <c r="J42" s="15">
        <f>IF(J10=0,0,J10/TrAvia_act!J28*1000000)</f>
        <v>6434.7322730534352</v>
      </c>
      <c r="K42" s="15">
        <f>IF(K10=0,0,K10/TrAvia_act!K28*1000000)</f>
        <v>6347.506422385185</v>
      </c>
      <c r="L42" s="15">
        <f>IF(L10=0,0,L10/TrAvia_act!L28*1000000)</f>
        <v>7366.5776976522093</v>
      </c>
      <c r="M42" s="15">
        <f>IF(M10=0,0,M10/TrAvia_act!M28*1000000)</f>
        <v>7796.1894818801411</v>
      </c>
      <c r="N42" s="15">
        <f>IF(N10=0,0,N10/TrAvia_act!N28*1000000)</f>
        <v>8028.6927050964523</v>
      </c>
      <c r="O42" s="15">
        <f>IF(O10=0,0,O10/TrAvia_act!O28*1000000)</f>
        <v>8156.7658939107023</v>
      </c>
      <c r="P42" s="15">
        <f>IF(P10=0,0,P10/TrAvia_act!P28*1000000)</f>
        <v>7939.4006614001091</v>
      </c>
      <c r="Q42" s="15">
        <f>IF(Q10=0,0,Q10/TrAvia_act!Q28*1000000)</f>
        <v>7979.0657587395799</v>
      </c>
      <c r="R42" s="15">
        <f>IF(R10=0,0,R10/TrAvia_act!R28*1000000)</f>
        <v>7534.0198109460471</v>
      </c>
      <c r="S42" s="15">
        <f>IF(S10=0,0,S10/TrAvia_act!S28*1000000)</f>
        <v>7718.514222597948</v>
      </c>
      <c r="T42" s="15">
        <f>IF(T10=0,0,T10/TrAvia_act!T28*1000000)</f>
        <v>7193.5921500029026</v>
      </c>
      <c r="U42" s="15">
        <f>IF(U10=0,0,U10/TrAvia_act!U28*1000000)</f>
        <v>5541.631434315731</v>
      </c>
      <c r="V42" s="15">
        <f>IF(V10=0,0,V10/TrAvia_act!V28*1000000)</f>
        <v>5577.9940702011963</v>
      </c>
      <c r="W42" s="15">
        <f>IF(W10=0,0,W10/TrAvia_act!W28*1000000)</f>
        <v>5441.4679662238277</v>
      </c>
      <c r="X42" s="15">
        <f>IF(X10=0,0,X10/TrAvia_act!X28*1000000)</f>
        <v>6019.4635873623565</v>
      </c>
      <c r="Y42" s="15">
        <f>IF(Y10=0,0,Y10/TrAvia_act!Y28*1000000)</f>
        <v>4565.8030837656406</v>
      </c>
      <c r="DA42" s="193" t="s">
        <v>310</v>
      </c>
    </row>
    <row r="43" spans="1:105" ht="11.45" customHeight="1" x14ac:dyDescent="0.25">
      <c r="A43" s="92" t="s">
        <v>27</v>
      </c>
      <c r="B43" s="101">
        <f>IF(B11=0,0,B11/TrAvia_act!B29*1000000)</f>
        <v>2191.9088286482579</v>
      </c>
      <c r="C43" s="101">
        <f>IF(C11=0,0,C11/TrAvia_act!C29*1000000)</f>
        <v>2201.6151563735175</v>
      </c>
      <c r="D43" s="101">
        <f>IF(D11=0,0,D11/TrAvia_act!D29*1000000)</f>
        <v>2206.5864414105254</v>
      </c>
      <c r="E43" s="101">
        <f>IF(E11=0,0,E11/TrAvia_act!E29*1000000)</f>
        <v>2111.6375031839434</v>
      </c>
      <c r="F43" s="101">
        <f>IF(F11=0,0,F11/TrAvia_act!F29*1000000)</f>
        <v>2116.6883122622176</v>
      </c>
      <c r="G43" s="101">
        <f>IF(G11=0,0,G11/TrAvia_act!G29*1000000)</f>
        <v>2098.8008236127898</v>
      </c>
      <c r="H43" s="101">
        <f>IF(H11=0,0,H11/TrAvia_act!H29*1000000)</f>
        <v>2500.6184674038295</v>
      </c>
      <c r="I43" s="101">
        <f>IF(I11=0,0,I11/TrAvia_act!I29*1000000)</f>
        <v>2753.1453797703589</v>
      </c>
      <c r="J43" s="101">
        <f>IF(J11=0,0,J11/TrAvia_act!J29*1000000)</f>
        <v>2486.7653311910749</v>
      </c>
      <c r="K43" s="101">
        <f>IF(K11=0,0,K11/TrAvia_act!K29*1000000)</f>
        <v>2571.6222188762044</v>
      </c>
      <c r="L43" s="101">
        <f>IF(L11=0,0,L11/TrAvia_act!L29*1000000)</f>
        <v>3218.0767458793134</v>
      </c>
      <c r="M43" s="101">
        <f>IF(M11=0,0,M11/TrAvia_act!M29*1000000)</f>
        <v>2864.0011408101327</v>
      </c>
      <c r="N43" s="101">
        <f>IF(N11=0,0,N11/TrAvia_act!N29*1000000)</f>
        <v>2817.2803520895372</v>
      </c>
      <c r="O43" s="101">
        <f>IF(O11=0,0,O11/TrAvia_act!O29*1000000)</f>
        <v>2893.2171734662943</v>
      </c>
      <c r="P43" s="101">
        <f>IF(P11=0,0,P11/TrAvia_act!P29*1000000)</f>
        <v>2744.3778040600146</v>
      </c>
      <c r="Q43" s="101">
        <f>IF(Q11=0,0,Q11/TrAvia_act!Q29*1000000)</f>
        <v>2687.7807989733474</v>
      </c>
      <c r="R43" s="101">
        <f>IF(R11=0,0,R11/TrAvia_act!R29*1000000)</f>
        <v>1963.6224069511177</v>
      </c>
      <c r="S43" s="101">
        <f>IF(S11=0,0,S11/TrAvia_act!S29*1000000)</f>
        <v>2367.1330026094752</v>
      </c>
      <c r="T43" s="101">
        <f>IF(T11=0,0,T11/TrAvia_act!T29*1000000)</f>
        <v>2363.8224472472357</v>
      </c>
      <c r="U43" s="101">
        <f>IF(U11=0,0,U11/TrAvia_act!U29*1000000)</f>
        <v>2094.618951283147</v>
      </c>
      <c r="V43" s="101">
        <f>IF(V11=0,0,V11/TrAvia_act!V29*1000000)</f>
        <v>2097.0788541975621</v>
      </c>
      <c r="W43" s="101">
        <f>IF(W11=0,0,W11/TrAvia_act!W29*1000000)</f>
        <v>2026.6438080476923</v>
      </c>
      <c r="X43" s="101">
        <f>IF(X11=0,0,X11/TrAvia_act!X29*1000000)</f>
        <v>1798.7693279954515</v>
      </c>
      <c r="Y43" s="101">
        <f>IF(Y11=0,0,Y11/TrAvia_act!Y29*1000000)</f>
        <v>2020.9120754837929</v>
      </c>
      <c r="DA43" s="175" t="s">
        <v>311</v>
      </c>
    </row>
    <row r="44" spans="1:105" ht="11.45" customHeight="1" x14ac:dyDescent="0.25">
      <c r="A44" s="92" t="s">
        <v>181</v>
      </c>
      <c r="B44" s="101">
        <f>IF(B12=0,0,B12/TrAvia_act!B30*1000000)</f>
        <v>4462.600412529936</v>
      </c>
      <c r="C44" s="101">
        <f>IF(C12=0,0,C12/TrAvia_act!C30*1000000)</f>
        <v>4468.417734649026</v>
      </c>
      <c r="D44" s="101">
        <f>IF(D12=0,0,D12/TrAvia_act!D30*1000000)</f>
        <v>4459.1019954277963</v>
      </c>
      <c r="E44" s="101">
        <f>IF(E12=0,0,E12/TrAvia_act!E30*1000000)</f>
        <v>4576.6724820231047</v>
      </c>
      <c r="F44" s="101">
        <f>IF(F12=0,0,F12/TrAvia_act!F30*1000000)</f>
        <v>4970.8921516663086</v>
      </c>
      <c r="G44" s="101">
        <f>IF(G12=0,0,G12/TrAvia_act!G30*1000000)</f>
        <v>4798.507543389509</v>
      </c>
      <c r="H44" s="101">
        <f>IF(H12=0,0,H12/TrAvia_act!H30*1000000)</f>
        <v>4746.753796475984</v>
      </c>
      <c r="I44" s="101">
        <f>IF(I12=0,0,I12/TrAvia_act!I30*1000000)</f>
        <v>4722.9830387393868</v>
      </c>
      <c r="J44" s="101">
        <f>IF(J12=0,0,J12/TrAvia_act!J30*1000000)</f>
        <v>5021.5781014576387</v>
      </c>
      <c r="K44" s="101">
        <f>IF(K12=0,0,K12/TrAvia_act!K30*1000000)</f>
        <v>5201.6072870703756</v>
      </c>
      <c r="L44" s="101">
        <f>IF(L12=0,0,L12/TrAvia_act!L30*1000000)</f>
        <v>5470.9550534606642</v>
      </c>
      <c r="M44" s="101">
        <f>IF(M12=0,0,M12/TrAvia_act!M30*1000000)</f>
        <v>5414.3034832085104</v>
      </c>
      <c r="N44" s="101">
        <f>IF(N12=0,0,N12/TrAvia_act!N30*1000000)</f>
        <v>5382.5682347491675</v>
      </c>
      <c r="O44" s="101">
        <f>IF(O12=0,0,O12/TrAvia_act!O30*1000000)</f>
        <v>5164.2467437338209</v>
      </c>
      <c r="P44" s="101">
        <f>IF(P12=0,0,P12/TrAvia_act!P30*1000000)</f>
        <v>5015.0607356028859</v>
      </c>
      <c r="Q44" s="101">
        <f>IF(Q12=0,0,Q12/TrAvia_act!Q30*1000000)</f>
        <v>5071.1617047516684</v>
      </c>
      <c r="R44" s="101">
        <f>IF(R12=0,0,R12/TrAvia_act!R30*1000000)</f>
        <v>5277.1439014218913</v>
      </c>
      <c r="S44" s="101">
        <f>IF(S12=0,0,S12/TrAvia_act!S30*1000000)</f>
        <v>5234.7828314282751</v>
      </c>
      <c r="T44" s="101">
        <f>IF(T12=0,0,T12/TrAvia_act!T30*1000000)</f>
        <v>5074.3998742414078</v>
      </c>
      <c r="U44" s="101">
        <f>IF(U12=0,0,U12/TrAvia_act!U30*1000000)</f>
        <v>5166.786749474024</v>
      </c>
      <c r="V44" s="101">
        <f>IF(V12=0,0,V12/TrAvia_act!V30*1000000)</f>
        <v>4029.5151140026146</v>
      </c>
      <c r="W44" s="101">
        <f>IF(W12=0,0,W12/TrAvia_act!W30*1000000)</f>
        <v>4251.3025737746502</v>
      </c>
      <c r="X44" s="101">
        <f>IF(X12=0,0,X12/TrAvia_act!X30*1000000)</f>
        <v>5502.3653071520685</v>
      </c>
      <c r="Y44" s="101">
        <f>IF(Y12=0,0,Y12/TrAvia_act!Y30*1000000)</f>
        <v>5908.6069463291415</v>
      </c>
      <c r="DA44" s="175" t="s">
        <v>312</v>
      </c>
    </row>
    <row r="45" spans="1:105" ht="11.45" customHeight="1" x14ac:dyDescent="0.25">
      <c r="A45" s="85" t="s">
        <v>182</v>
      </c>
      <c r="B45" s="88">
        <f>IF(B13=0,0,B13/TrAvia_act!B31*1000000)</f>
        <v>13710.965009909931</v>
      </c>
      <c r="C45" s="88">
        <f>IF(C13=0,0,C13/TrAvia_act!C31*1000000)</f>
        <v>13708.842366568186</v>
      </c>
      <c r="D45" s="88">
        <f>IF(D13=0,0,D13/TrAvia_act!D31*1000000)</f>
        <v>13682.312094997364</v>
      </c>
      <c r="E45" s="88">
        <f>IF(E13=0,0,E13/TrAvia_act!E31*1000000)</f>
        <v>13987.202884671231</v>
      </c>
      <c r="F45" s="88">
        <f>IF(F13=0,0,F13/TrAvia_act!F31*1000000)</f>
        <v>15020.696961529831</v>
      </c>
      <c r="G45" s="88">
        <f>IF(G13=0,0,G13/TrAvia_act!G31*1000000)</f>
        <v>13332.029812945919</v>
      </c>
      <c r="H45" s="88">
        <f>IF(H13=0,0,H13/TrAvia_act!H31*1000000)</f>
        <v>15817.976706240876</v>
      </c>
      <c r="I45" s="88">
        <f>IF(I13=0,0,I13/TrAvia_act!I31*1000000)</f>
        <v>18262.154148495032</v>
      </c>
      <c r="J45" s="88">
        <f>IF(J13=0,0,J13/TrAvia_act!J31*1000000)</f>
        <v>22332.653945445138</v>
      </c>
      <c r="K45" s="88">
        <f>IF(K13=0,0,K13/TrAvia_act!K31*1000000)</f>
        <v>23553.240794862071</v>
      </c>
      <c r="L45" s="88">
        <f>IF(L13=0,0,L13/TrAvia_act!L31*1000000)</f>
        <v>22929.758419290058</v>
      </c>
      <c r="M45" s="88">
        <f>IF(M13=0,0,M13/TrAvia_act!M31*1000000)</f>
        <v>22657.365913188161</v>
      </c>
      <c r="N45" s="88">
        <f>IF(N13=0,0,N13/TrAvia_act!N31*1000000)</f>
        <v>22288.383669303053</v>
      </c>
      <c r="O45" s="88">
        <f>IF(O13=0,0,O13/TrAvia_act!O31*1000000)</f>
        <v>21853.312523851528</v>
      </c>
      <c r="P45" s="88">
        <f>IF(P13=0,0,P13/TrAvia_act!P31*1000000)</f>
        <v>20639.459293771826</v>
      </c>
      <c r="Q45" s="88">
        <f>IF(Q13=0,0,Q13/TrAvia_act!Q31*1000000)</f>
        <v>21711.601451906357</v>
      </c>
      <c r="R45" s="88">
        <f>IF(R13=0,0,R13/TrAvia_act!R31*1000000)</f>
        <v>20282.725017650951</v>
      </c>
      <c r="S45" s="88">
        <f>IF(S13=0,0,S13/TrAvia_act!S31*1000000)</f>
        <v>18220.005550156082</v>
      </c>
      <c r="T45" s="88">
        <f>IF(T13=0,0,T13/TrAvia_act!T31*1000000)</f>
        <v>16940.311885025425</v>
      </c>
      <c r="U45" s="88">
        <f>IF(U13=0,0,U13/TrAvia_act!U31*1000000)</f>
        <v>9611.5931155254075</v>
      </c>
      <c r="V45" s="88">
        <f>IF(V13=0,0,V13/TrAvia_act!V31*1000000)</f>
        <v>12220.658535974595</v>
      </c>
      <c r="W45" s="88">
        <f>IF(W13=0,0,W13/TrAvia_act!W31*1000000)</f>
        <v>10430.703552151832</v>
      </c>
      <c r="X45" s="88">
        <f>IF(X13=0,0,X13/TrAvia_act!X31*1000000)</f>
        <v>10369.669765249619</v>
      </c>
      <c r="Y45" s="88">
        <f>IF(Y13=0,0,Y13/TrAvia_act!Y31*1000000)</f>
        <v>5424.0240942955534</v>
      </c>
      <c r="DA45" s="178" t="s">
        <v>313</v>
      </c>
    </row>
    <row r="46" spans="1:105" x14ac:dyDescent="0.25">
      <c r="A46" s="50"/>
      <c r="B46" s="50"/>
      <c r="C46" s="50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DA46" s="181"/>
    </row>
    <row r="47" spans="1:105" ht="11.45" customHeight="1" x14ac:dyDescent="0.25">
      <c r="A47" s="53" t="s">
        <v>40</v>
      </c>
      <c r="B47" s="76">
        <f t="shared" ref="B47:C47" si="33">IF(B3=0,0,B3/B$3)</f>
        <v>1</v>
      </c>
      <c r="C47" s="76">
        <f t="shared" si="33"/>
        <v>1</v>
      </c>
      <c r="D47" s="76">
        <f t="shared" ref="D47:V47" si="34">IF(D3=0,0,D3/D$3)</f>
        <v>1</v>
      </c>
      <c r="E47" s="76">
        <f t="shared" si="34"/>
        <v>1</v>
      </c>
      <c r="F47" s="76">
        <f t="shared" si="34"/>
        <v>1</v>
      </c>
      <c r="G47" s="76">
        <f t="shared" si="34"/>
        <v>1</v>
      </c>
      <c r="H47" s="76">
        <f t="shared" si="34"/>
        <v>1</v>
      </c>
      <c r="I47" s="76">
        <f t="shared" si="34"/>
        <v>1</v>
      </c>
      <c r="J47" s="76">
        <f t="shared" si="34"/>
        <v>1</v>
      </c>
      <c r="K47" s="76">
        <f t="shared" si="34"/>
        <v>1</v>
      </c>
      <c r="L47" s="76">
        <f t="shared" si="34"/>
        <v>1</v>
      </c>
      <c r="M47" s="76">
        <f t="shared" si="34"/>
        <v>1</v>
      </c>
      <c r="N47" s="76">
        <f t="shared" si="34"/>
        <v>1</v>
      </c>
      <c r="O47" s="76">
        <f t="shared" si="34"/>
        <v>1</v>
      </c>
      <c r="P47" s="76">
        <f t="shared" si="34"/>
        <v>1</v>
      </c>
      <c r="Q47" s="76">
        <f t="shared" si="34"/>
        <v>1</v>
      </c>
      <c r="R47" s="76">
        <f t="shared" si="34"/>
        <v>1</v>
      </c>
      <c r="S47" s="76">
        <f t="shared" si="34"/>
        <v>1</v>
      </c>
      <c r="T47" s="76">
        <f t="shared" si="34"/>
        <v>1</v>
      </c>
      <c r="U47" s="76">
        <f t="shared" si="34"/>
        <v>1</v>
      </c>
      <c r="V47" s="76">
        <f t="shared" si="34"/>
        <v>1</v>
      </c>
      <c r="W47" s="76">
        <f t="shared" ref="W47:Y47" si="35">IF(W3=0,0,W3/W$3)</f>
        <v>1</v>
      </c>
      <c r="X47" s="76">
        <f t="shared" si="35"/>
        <v>1</v>
      </c>
      <c r="Y47" s="76">
        <f t="shared" si="35"/>
        <v>1</v>
      </c>
      <c r="DA47" s="183"/>
    </row>
    <row r="48" spans="1:105" ht="11.45" customHeight="1" x14ac:dyDescent="0.25">
      <c r="A48" s="10" t="s">
        <v>33</v>
      </c>
      <c r="B48" s="16">
        <f t="shared" ref="B48:C48" si="36">IF(B6=0,0,B6/B$3)</f>
        <v>0.97424022755149775</v>
      </c>
      <c r="C48" s="16">
        <f t="shared" si="36"/>
        <v>0.97549165634583934</v>
      </c>
      <c r="D48" s="16">
        <f t="shared" ref="D48:V48" si="37">IF(D6=0,0,D6/D$3)</f>
        <v>0.97495850705547049</v>
      </c>
      <c r="E48" s="16">
        <f t="shared" si="37"/>
        <v>0.97803898866236283</v>
      </c>
      <c r="F48" s="16">
        <f t="shared" si="37"/>
        <v>0.97722848215058888</v>
      </c>
      <c r="G48" s="16">
        <f t="shared" si="37"/>
        <v>0.97694823541480769</v>
      </c>
      <c r="H48" s="16">
        <f t="shared" si="37"/>
        <v>0.97276126017972442</v>
      </c>
      <c r="I48" s="16">
        <f t="shared" si="37"/>
        <v>0.97153591518857163</v>
      </c>
      <c r="J48" s="16">
        <f t="shared" si="37"/>
        <v>0.96786185595621554</v>
      </c>
      <c r="K48" s="16">
        <f t="shared" si="37"/>
        <v>0.96979226949111974</v>
      </c>
      <c r="L48" s="16">
        <f t="shared" si="37"/>
        <v>0.96879973279958165</v>
      </c>
      <c r="M48" s="16">
        <f t="shared" si="37"/>
        <v>0.97477573537773787</v>
      </c>
      <c r="N48" s="16">
        <f t="shared" si="37"/>
        <v>0.97553392275705531</v>
      </c>
      <c r="O48" s="16">
        <f t="shared" si="37"/>
        <v>0.97787290108151304</v>
      </c>
      <c r="P48" s="16">
        <f t="shared" si="37"/>
        <v>0.981219291361903</v>
      </c>
      <c r="Q48" s="16">
        <f t="shared" si="37"/>
        <v>0.98310733891994839</v>
      </c>
      <c r="R48" s="16">
        <f t="shared" si="37"/>
        <v>0.987023973169046</v>
      </c>
      <c r="S48" s="16">
        <f t="shared" si="37"/>
        <v>0.98558558120400985</v>
      </c>
      <c r="T48" s="16">
        <f t="shared" si="37"/>
        <v>0.98687471193234277</v>
      </c>
      <c r="U48" s="16">
        <f t="shared" si="37"/>
        <v>0.98931313564875367</v>
      </c>
      <c r="V48" s="16">
        <f t="shared" si="37"/>
        <v>0.97353120187491216</v>
      </c>
      <c r="W48" s="16">
        <f t="shared" ref="W48:Y48" si="38">IF(W6=0,0,W6/W$3)</f>
        <v>0.97521690039146236</v>
      </c>
      <c r="X48" s="16">
        <f t="shared" si="38"/>
        <v>0.98474525569948801</v>
      </c>
      <c r="Y48" s="16">
        <f t="shared" si="38"/>
        <v>0.99031931645304483</v>
      </c>
      <c r="DA48" s="190"/>
    </row>
    <row r="49" spans="1:105" ht="11.45" customHeight="1" x14ac:dyDescent="0.25">
      <c r="A49" s="83" t="s">
        <v>27</v>
      </c>
      <c r="B49" s="103">
        <f t="shared" ref="B49:C49" si="39">IF(B7=0,0,B7/B$3)</f>
        <v>0.13896892817445938</v>
      </c>
      <c r="C49" s="103">
        <f t="shared" si="39"/>
        <v>0.14780701970842347</v>
      </c>
      <c r="D49" s="103">
        <f t="shared" ref="D49:V49" si="40">IF(D7=0,0,D7/D$3)</f>
        <v>0.16010278164639538</v>
      </c>
      <c r="E49" s="103">
        <f t="shared" si="40"/>
        <v>0.14186227403083229</v>
      </c>
      <c r="F49" s="103">
        <f t="shared" si="40"/>
        <v>0.14801092875708813</v>
      </c>
      <c r="G49" s="103">
        <f t="shared" si="40"/>
        <v>0.14823594377849561</v>
      </c>
      <c r="H49" s="103">
        <f t="shared" si="40"/>
        <v>0.13781953859919374</v>
      </c>
      <c r="I49" s="103">
        <f t="shared" si="40"/>
        <v>0.1307423188814304</v>
      </c>
      <c r="J49" s="103">
        <f t="shared" si="40"/>
        <v>0.11806784700001935</v>
      </c>
      <c r="K49" s="103">
        <f t="shared" si="40"/>
        <v>0.11720340057605373</v>
      </c>
      <c r="L49" s="103">
        <f t="shared" si="40"/>
        <v>0.12872103159797016</v>
      </c>
      <c r="M49" s="103">
        <f t="shared" si="40"/>
        <v>0.11340378276306939</v>
      </c>
      <c r="N49" s="103">
        <f t="shared" si="40"/>
        <v>0.11272747339644333</v>
      </c>
      <c r="O49" s="103">
        <f t="shared" si="40"/>
        <v>0.11368223818207532</v>
      </c>
      <c r="P49" s="103">
        <f t="shared" si="40"/>
        <v>0.10749652976574003</v>
      </c>
      <c r="Q49" s="103">
        <f t="shared" si="40"/>
        <v>0.10506122029701107</v>
      </c>
      <c r="R49" s="103">
        <f t="shared" si="40"/>
        <v>0.10729227564473265</v>
      </c>
      <c r="S49" s="103">
        <f t="shared" si="40"/>
        <v>0.11492744422712098</v>
      </c>
      <c r="T49" s="103">
        <f t="shared" si="40"/>
        <v>0.11468847369612155</v>
      </c>
      <c r="U49" s="103">
        <f t="shared" si="40"/>
        <v>0.10123862256259651</v>
      </c>
      <c r="V49" s="103">
        <f t="shared" si="40"/>
        <v>0.13959546422152438</v>
      </c>
      <c r="W49" s="103">
        <f t="shared" ref="W49:Y49" si="41">IF(W7=0,0,W7/W$3)</f>
        <v>0.14407701170930551</v>
      </c>
      <c r="X49" s="103">
        <f t="shared" si="41"/>
        <v>9.0166265279179966E-2</v>
      </c>
      <c r="Y49" s="103">
        <f t="shared" si="41"/>
        <v>8.9997555441016869E-2</v>
      </c>
      <c r="DA49" s="191"/>
    </row>
    <row r="50" spans="1:105" ht="11.45" customHeight="1" x14ac:dyDescent="0.25">
      <c r="A50" s="83" t="s">
        <v>181</v>
      </c>
      <c r="B50" s="103">
        <f t="shared" ref="B50:C50" si="42">IF(B8=0,0,B8/B$3)</f>
        <v>0.53183516601535197</v>
      </c>
      <c r="C50" s="103">
        <f t="shared" si="42"/>
        <v>0.52701970934007825</v>
      </c>
      <c r="D50" s="103">
        <f t="shared" ref="D50:V50" si="43">IF(D8=0,0,D8/D$3)</f>
        <v>0.51885190116928082</v>
      </c>
      <c r="E50" s="103">
        <f t="shared" si="43"/>
        <v>0.51357593693745696</v>
      </c>
      <c r="F50" s="103">
        <f t="shared" si="43"/>
        <v>0.51996721599445683</v>
      </c>
      <c r="G50" s="103">
        <f t="shared" si="43"/>
        <v>0.52237540306195362</v>
      </c>
      <c r="H50" s="103">
        <f t="shared" si="43"/>
        <v>0.53316501740416944</v>
      </c>
      <c r="I50" s="103">
        <f t="shared" si="43"/>
        <v>0.54933783006540415</v>
      </c>
      <c r="J50" s="103">
        <f t="shared" si="43"/>
        <v>0.5525632861660148</v>
      </c>
      <c r="K50" s="103">
        <f t="shared" si="43"/>
        <v>0.54012096153014544</v>
      </c>
      <c r="L50" s="103">
        <f t="shared" si="43"/>
        <v>0.53132810283724785</v>
      </c>
      <c r="M50" s="103">
        <f t="shared" si="43"/>
        <v>0.54868343229434002</v>
      </c>
      <c r="N50" s="103">
        <f t="shared" si="43"/>
        <v>0.54249240178193003</v>
      </c>
      <c r="O50" s="103">
        <f t="shared" si="43"/>
        <v>0.54747285045926464</v>
      </c>
      <c r="P50" s="103">
        <f t="shared" si="43"/>
        <v>0.56081560747666392</v>
      </c>
      <c r="Q50" s="103">
        <f t="shared" si="43"/>
        <v>0.56799440658159916</v>
      </c>
      <c r="R50" s="103">
        <f t="shared" si="43"/>
        <v>0.58644478376252351</v>
      </c>
      <c r="S50" s="103">
        <f t="shared" si="43"/>
        <v>0.59256435085009695</v>
      </c>
      <c r="T50" s="103">
        <f t="shared" si="43"/>
        <v>0.58872937870262143</v>
      </c>
      <c r="U50" s="103">
        <f t="shared" si="43"/>
        <v>0.59692280461549152</v>
      </c>
      <c r="V50" s="103">
        <f t="shared" si="43"/>
        <v>0.47538172429337366</v>
      </c>
      <c r="W50" s="103">
        <f t="shared" ref="W50:Y50" si="44">IF(W8=0,0,W8/W$3)</f>
        <v>0.51153996114656375</v>
      </c>
      <c r="X50" s="103">
        <f t="shared" si="44"/>
        <v>0.61566942836547456</v>
      </c>
      <c r="Y50" s="103">
        <f t="shared" si="44"/>
        <v>0.62147555925943632</v>
      </c>
      <c r="DA50" s="191"/>
    </row>
    <row r="51" spans="1:105" ht="11.45" customHeight="1" x14ac:dyDescent="0.25">
      <c r="A51" s="83" t="s">
        <v>182</v>
      </c>
      <c r="B51" s="103">
        <f t="shared" ref="B51:C51" si="45">IF(B9=0,0,B9/B$3)</f>
        <v>0.30343613336168646</v>
      </c>
      <c r="C51" s="103">
        <f t="shared" si="45"/>
        <v>0.30066492729733757</v>
      </c>
      <c r="D51" s="103">
        <f t="shared" ref="D51:V51" si="46">IF(D9=0,0,D9/D$3)</f>
        <v>0.29600382423979432</v>
      </c>
      <c r="E51" s="103">
        <f t="shared" si="46"/>
        <v>0.32260077769407364</v>
      </c>
      <c r="F51" s="103">
        <f t="shared" si="46"/>
        <v>0.30925033739904401</v>
      </c>
      <c r="G51" s="103">
        <f t="shared" si="46"/>
        <v>0.30633688857435842</v>
      </c>
      <c r="H51" s="103">
        <f t="shared" si="46"/>
        <v>0.30177670417636115</v>
      </c>
      <c r="I51" s="103">
        <f t="shared" si="46"/>
        <v>0.29145576624173708</v>
      </c>
      <c r="J51" s="103">
        <f t="shared" si="46"/>
        <v>0.29723072279018137</v>
      </c>
      <c r="K51" s="103">
        <f t="shared" si="46"/>
        <v>0.31246790738492058</v>
      </c>
      <c r="L51" s="103">
        <f t="shared" si="46"/>
        <v>0.30875059836436369</v>
      </c>
      <c r="M51" s="103">
        <f t="shared" si="46"/>
        <v>0.31268852032032851</v>
      </c>
      <c r="N51" s="103">
        <f t="shared" si="46"/>
        <v>0.32031404757868193</v>
      </c>
      <c r="O51" s="103">
        <f t="shared" si="46"/>
        <v>0.31671781244017305</v>
      </c>
      <c r="P51" s="103">
        <f t="shared" si="46"/>
        <v>0.3129071541194991</v>
      </c>
      <c r="Q51" s="103">
        <f t="shared" si="46"/>
        <v>0.31005171204133813</v>
      </c>
      <c r="R51" s="103">
        <f t="shared" si="46"/>
        <v>0.29328691376178978</v>
      </c>
      <c r="S51" s="103">
        <f t="shared" si="46"/>
        <v>0.27809378612679198</v>
      </c>
      <c r="T51" s="103">
        <f t="shared" si="46"/>
        <v>0.28345685953359973</v>
      </c>
      <c r="U51" s="103">
        <f t="shared" si="46"/>
        <v>0.29115170847066557</v>
      </c>
      <c r="V51" s="103">
        <f t="shared" si="46"/>
        <v>0.35855401336001425</v>
      </c>
      <c r="W51" s="103">
        <f t="shared" ref="W51:Y51" si="47">IF(W9=0,0,W9/W$3)</f>
        <v>0.31959992753559308</v>
      </c>
      <c r="X51" s="103">
        <f t="shared" si="47"/>
        <v>0.27890956205483358</v>
      </c>
      <c r="Y51" s="103">
        <f t="shared" si="47"/>
        <v>0.27884620175259162</v>
      </c>
      <c r="DA51" s="191"/>
    </row>
    <row r="52" spans="1:105" ht="11.45" customHeight="1" x14ac:dyDescent="0.25">
      <c r="A52" s="12" t="s">
        <v>34</v>
      </c>
      <c r="B52" s="17">
        <f t="shared" ref="B52:C52" si="48">IF(B10=0,0,B10/B$3)</f>
        <v>2.5759772448502197E-2</v>
      </c>
      <c r="C52" s="17">
        <f t="shared" si="48"/>
        <v>2.4508343654160651E-2</v>
      </c>
      <c r="D52" s="17">
        <f t="shared" ref="D52:V52" si="49">IF(D10=0,0,D10/D$3)</f>
        <v>2.5041492944529398E-2</v>
      </c>
      <c r="E52" s="17">
        <f t="shared" si="49"/>
        <v>2.1961011337637094E-2</v>
      </c>
      <c r="F52" s="17">
        <f t="shared" si="49"/>
        <v>2.2771517849411095E-2</v>
      </c>
      <c r="G52" s="17">
        <f t="shared" si="49"/>
        <v>2.3051764585192321E-2</v>
      </c>
      <c r="H52" s="17">
        <f t="shared" si="49"/>
        <v>2.7238739820275588E-2</v>
      </c>
      <c r="I52" s="17">
        <f t="shared" si="49"/>
        <v>2.8464084811428415E-2</v>
      </c>
      <c r="J52" s="17">
        <f t="shared" si="49"/>
        <v>3.2138144043784608E-2</v>
      </c>
      <c r="K52" s="17">
        <f t="shared" si="49"/>
        <v>3.0207730508880128E-2</v>
      </c>
      <c r="L52" s="17">
        <f t="shared" si="49"/>
        <v>3.1200267200418404E-2</v>
      </c>
      <c r="M52" s="17">
        <f t="shared" si="49"/>
        <v>2.5224264622262103E-2</v>
      </c>
      <c r="N52" s="17">
        <f t="shared" si="49"/>
        <v>2.4466077242944761E-2</v>
      </c>
      <c r="O52" s="17">
        <f t="shared" si="49"/>
        <v>2.2127098918486854E-2</v>
      </c>
      <c r="P52" s="17">
        <f t="shared" si="49"/>
        <v>1.8780708638097086E-2</v>
      </c>
      <c r="Q52" s="17">
        <f t="shared" si="49"/>
        <v>1.6892661080051687E-2</v>
      </c>
      <c r="R52" s="17">
        <f t="shared" si="49"/>
        <v>1.2976026830953995E-2</v>
      </c>
      <c r="S52" s="17">
        <f t="shared" si="49"/>
        <v>1.4414418795990201E-2</v>
      </c>
      <c r="T52" s="17">
        <f t="shared" si="49"/>
        <v>1.3125288067657273E-2</v>
      </c>
      <c r="U52" s="17">
        <f t="shared" si="49"/>
        <v>1.0686864351246486E-2</v>
      </c>
      <c r="V52" s="17">
        <f t="shared" si="49"/>
        <v>2.6468798125087709E-2</v>
      </c>
      <c r="W52" s="17">
        <f t="shared" ref="W52:Y52" si="50">IF(W10=0,0,W10/W$3)</f>
        <v>2.4783099608537567E-2</v>
      </c>
      <c r="X52" s="17">
        <f t="shared" si="50"/>
        <v>1.5254744300511821E-2</v>
      </c>
      <c r="Y52" s="17">
        <f t="shared" si="50"/>
        <v>9.680683546955355E-3</v>
      </c>
      <c r="DA52" s="194"/>
    </row>
    <row r="53" spans="1:105" ht="11.45" customHeight="1" x14ac:dyDescent="0.25">
      <c r="A53" s="92" t="s">
        <v>27</v>
      </c>
      <c r="B53" s="104">
        <f t="shared" ref="B53:C53" si="51">IF(B11=0,0,B11/B$3)</f>
        <v>7.1520287259114312E-3</v>
      </c>
      <c r="C53" s="104">
        <f t="shared" si="51"/>
        <v>6.7661461551009328E-3</v>
      </c>
      <c r="D53" s="104">
        <f t="shared" ref="D53:V53" si="52">IF(D11=0,0,D11/D$3)</f>
        <v>6.7843037210194952E-3</v>
      </c>
      <c r="E53" s="104">
        <f t="shared" si="52"/>
        <v>5.9722867256648271E-3</v>
      </c>
      <c r="F53" s="104">
        <f t="shared" si="52"/>
        <v>5.6545090822887733E-3</v>
      </c>
      <c r="G53" s="104">
        <f t="shared" si="52"/>
        <v>5.9001662206845107E-3</v>
      </c>
      <c r="H53" s="104">
        <f t="shared" si="52"/>
        <v>6.0253143318176727E-3</v>
      </c>
      <c r="I53" s="104">
        <f t="shared" si="52"/>
        <v>5.9980872658327309E-3</v>
      </c>
      <c r="J53" s="104">
        <f t="shared" si="52"/>
        <v>5.5580012697302216E-3</v>
      </c>
      <c r="K53" s="104">
        <f t="shared" si="52"/>
        <v>5.9183105555009746E-3</v>
      </c>
      <c r="L53" s="104">
        <f t="shared" si="52"/>
        <v>5.9554984146676249E-3</v>
      </c>
      <c r="M53" s="104">
        <f t="shared" si="52"/>
        <v>3.5843939637507176E-3</v>
      </c>
      <c r="N53" s="104">
        <f t="shared" si="52"/>
        <v>3.3202515455172483E-3</v>
      </c>
      <c r="O53" s="104">
        <f t="shared" si="52"/>
        <v>2.975701507079423E-3</v>
      </c>
      <c r="P53" s="104">
        <f t="shared" si="52"/>
        <v>2.2675954548938659E-3</v>
      </c>
      <c r="Q53" s="104">
        <f t="shared" si="52"/>
        <v>1.8807321981629771E-3</v>
      </c>
      <c r="R53" s="104">
        <f t="shared" si="52"/>
        <v>1.0907695460558003E-3</v>
      </c>
      <c r="S53" s="104">
        <f t="shared" si="52"/>
        <v>1.3493926572458817E-3</v>
      </c>
      <c r="T53" s="104">
        <f t="shared" si="52"/>
        <v>1.2961935287200063E-3</v>
      </c>
      <c r="U53" s="104">
        <f t="shared" si="52"/>
        <v>1.2158191657815373E-3</v>
      </c>
      <c r="V53" s="104">
        <f t="shared" si="52"/>
        <v>2.9973596136729226E-3</v>
      </c>
      <c r="W53" s="104">
        <f t="shared" ref="W53:Y53" si="53">IF(W11=0,0,W11/W$3)</f>
        <v>2.6439140105854481E-3</v>
      </c>
      <c r="X53" s="104">
        <f t="shared" si="53"/>
        <v>1.362028736670316E-3</v>
      </c>
      <c r="Y53" s="104">
        <f t="shared" si="53"/>
        <v>1.3096114480449172E-3</v>
      </c>
      <c r="DA53" s="195"/>
    </row>
    <row r="54" spans="1:105" ht="11.45" customHeight="1" x14ac:dyDescent="0.25">
      <c r="A54" s="92" t="s">
        <v>181</v>
      </c>
      <c r="B54" s="104">
        <f t="shared" ref="B54:C54" si="54">IF(B12=0,0,B12/B$3)</f>
        <v>1.1952819261419272E-2</v>
      </c>
      <c r="C54" s="104">
        <f t="shared" si="54"/>
        <v>1.1108821534273585E-2</v>
      </c>
      <c r="D54" s="104">
        <f t="shared" ref="D54:V54" si="55">IF(D12=0,0,D12/D$3)</f>
        <v>1.1388329710334884E-2</v>
      </c>
      <c r="E54" s="104">
        <f t="shared" si="55"/>
        <v>9.6690702294726615E-3</v>
      </c>
      <c r="F54" s="104">
        <f t="shared" si="55"/>
        <v>1.0231240280758698E-2</v>
      </c>
      <c r="G54" s="104">
        <f t="shared" si="55"/>
        <v>9.6138997829822766E-3</v>
      </c>
      <c r="H54" s="104">
        <f t="shared" si="55"/>
        <v>1.1345863040014836E-2</v>
      </c>
      <c r="I54" s="104">
        <f t="shared" si="55"/>
        <v>1.0574922187669644E-2</v>
      </c>
      <c r="J54" s="104">
        <f t="shared" si="55"/>
        <v>1.0166004784451219E-2</v>
      </c>
      <c r="K54" s="104">
        <f t="shared" si="55"/>
        <v>9.5222096865596427E-3</v>
      </c>
      <c r="L54" s="104">
        <f t="shared" si="55"/>
        <v>9.2244245878081981E-3</v>
      </c>
      <c r="M54" s="104">
        <f t="shared" si="55"/>
        <v>7.3195318534005948E-3</v>
      </c>
      <c r="N54" s="104">
        <f t="shared" si="55"/>
        <v>6.5290354563903204E-3</v>
      </c>
      <c r="O54" s="104">
        <f t="shared" si="55"/>
        <v>5.4629543877322898E-3</v>
      </c>
      <c r="P54" s="104">
        <f t="shared" si="55"/>
        <v>4.8967879619046658E-3</v>
      </c>
      <c r="Q54" s="104">
        <f t="shared" si="55"/>
        <v>4.803410446379797E-3</v>
      </c>
      <c r="R54" s="104">
        <f t="shared" si="55"/>
        <v>4.1432529867252432E-3</v>
      </c>
      <c r="S54" s="104">
        <f t="shared" si="55"/>
        <v>4.2630096089230352E-3</v>
      </c>
      <c r="T54" s="104">
        <f t="shared" si="55"/>
        <v>4.1869495183188866E-3</v>
      </c>
      <c r="U54" s="104">
        <f t="shared" si="55"/>
        <v>4.0517461585203472E-3</v>
      </c>
      <c r="V54" s="104">
        <f t="shared" si="55"/>
        <v>8.3881099667259679E-3</v>
      </c>
      <c r="W54" s="104">
        <f t="shared" ref="W54:Y54" si="56">IF(W12=0,0,W12/W$3)</f>
        <v>8.090411125218305E-3</v>
      </c>
      <c r="X54" s="104">
        <f t="shared" si="56"/>
        <v>5.1262089775012606E-3</v>
      </c>
      <c r="Y54" s="104">
        <f t="shared" si="56"/>
        <v>4.7025177596591921E-3</v>
      </c>
      <c r="DA54" s="195"/>
    </row>
    <row r="55" spans="1:105" ht="11.45" customHeight="1" x14ac:dyDescent="0.25">
      <c r="A55" s="85" t="s">
        <v>182</v>
      </c>
      <c r="B55" s="105">
        <f t="shared" ref="B55:C55" si="57">IF(B13=0,0,B13/B$3)</f>
        <v>6.6549244611714903E-3</v>
      </c>
      <c r="C55" s="105">
        <f t="shared" si="57"/>
        <v>6.6333759647861324E-3</v>
      </c>
      <c r="D55" s="105">
        <f t="shared" ref="D55:V55" si="58">IF(D13=0,0,D13/D$3)</f>
        <v>6.8688595131750152E-3</v>
      </c>
      <c r="E55" s="105">
        <f t="shared" si="58"/>
        <v>6.3196543824996093E-3</v>
      </c>
      <c r="F55" s="105">
        <f t="shared" si="58"/>
        <v>6.8857684863636226E-3</v>
      </c>
      <c r="G55" s="105">
        <f t="shared" si="58"/>
        <v>7.5376985815255359E-3</v>
      </c>
      <c r="H55" s="105">
        <f t="shared" si="58"/>
        <v>9.8675624484430777E-3</v>
      </c>
      <c r="I55" s="105">
        <f t="shared" si="58"/>
        <v>1.1891075357926037E-2</v>
      </c>
      <c r="J55" s="105">
        <f t="shared" si="58"/>
        <v>1.6414137989603169E-2</v>
      </c>
      <c r="K55" s="105">
        <f t="shared" si="58"/>
        <v>1.4767210266819514E-2</v>
      </c>
      <c r="L55" s="105">
        <f t="shared" si="58"/>
        <v>1.6020344197942581E-2</v>
      </c>
      <c r="M55" s="105">
        <f t="shared" si="58"/>
        <v>1.4320338805110789E-2</v>
      </c>
      <c r="N55" s="105">
        <f t="shared" si="58"/>
        <v>1.461679024103719E-2</v>
      </c>
      <c r="O55" s="105">
        <f t="shared" si="58"/>
        <v>1.3688443023675141E-2</v>
      </c>
      <c r="P55" s="105">
        <f t="shared" si="58"/>
        <v>1.1616325221298553E-2</v>
      </c>
      <c r="Q55" s="105">
        <f t="shared" si="58"/>
        <v>1.0208518435508913E-2</v>
      </c>
      <c r="R55" s="105">
        <f t="shared" si="58"/>
        <v>7.7420042981729501E-3</v>
      </c>
      <c r="S55" s="105">
        <f t="shared" si="58"/>
        <v>8.8020165298212851E-3</v>
      </c>
      <c r="T55" s="105">
        <f t="shared" si="58"/>
        <v>7.642145020618378E-3</v>
      </c>
      <c r="U55" s="105">
        <f t="shared" si="58"/>
        <v>5.4192990269446017E-3</v>
      </c>
      <c r="V55" s="105">
        <f t="shared" si="58"/>
        <v>1.508332854468882E-2</v>
      </c>
      <c r="W55" s="105">
        <f t="shared" ref="W55:Y55" si="59">IF(W13=0,0,W13/W$3)</f>
        <v>1.4048774472733814E-2</v>
      </c>
      <c r="X55" s="105">
        <f t="shared" si="59"/>
        <v>8.7665065863402458E-3</v>
      </c>
      <c r="Y55" s="105">
        <f t="shared" si="59"/>
        <v>3.6685543392512452E-3</v>
      </c>
      <c r="DA55" s="192"/>
    </row>
    <row r="56" spans="1:105" x14ac:dyDescent="0.25">
      <c r="A56" s="50"/>
      <c r="B56" s="50"/>
      <c r="C56" s="50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DA56" s="181"/>
    </row>
    <row r="57" spans="1:105" ht="11.45" customHeight="1" x14ac:dyDescent="0.25">
      <c r="A57" s="53" t="s">
        <v>76</v>
      </c>
      <c r="B57" s="62">
        <v>426.42916950601915</v>
      </c>
      <c r="C57" s="62">
        <v>426.54692932980066</v>
      </c>
      <c r="D57" s="62">
        <v>426.54913568150226</v>
      </c>
      <c r="E57" s="62">
        <v>432.81709691866047</v>
      </c>
      <c r="F57" s="62">
        <v>429.40757435408148</v>
      </c>
      <c r="G57" s="62">
        <v>435.90722996871449</v>
      </c>
      <c r="H57" s="62">
        <v>436.72009228890522</v>
      </c>
      <c r="I57" s="62">
        <v>445.14345879428157</v>
      </c>
      <c r="J57" s="62">
        <v>444.85129616198213</v>
      </c>
      <c r="K57" s="62">
        <v>446.9585483223396</v>
      </c>
      <c r="L57" s="62">
        <v>447.8845469984729</v>
      </c>
      <c r="M57" s="62">
        <v>450.45988062293895</v>
      </c>
      <c r="N57" s="62">
        <v>453.57972763328792</v>
      </c>
      <c r="O57" s="62">
        <v>446.93000676161745</v>
      </c>
      <c r="P57" s="62">
        <v>444.83376074319102</v>
      </c>
      <c r="Q57" s="62">
        <v>438.97375674317874</v>
      </c>
      <c r="R57" s="62">
        <v>433.02896968657734</v>
      </c>
      <c r="S57" s="62">
        <v>432.40163539289813</v>
      </c>
      <c r="T57" s="62">
        <v>438.46786783806795</v>
      </c>
      <c r="U57" s="62">
        <v>446.80367555036025</v>
      </c>
      <c r="V57" s="62">
        <v>438.6238897993702</v>
      </c>
      <c r="W57" s="62">
        <v>431.66894504107779</v>
      </c>
      <c r="X57" s="62">
        <v>442.75834990435192</v>
      </c>
      <c r="Y57" s="62">
        <v>449.24997141738373</v>
      </c>
      <c r="DA57" s="172" t="s">
        <v>314</v>
      </c>
    </row>
    <row r="58" spans="1:105" ht="11.45" customHeight="1" x14ac:dyDescent="0.25">
      <c r="A58" s="10" t="s">
        <v>33</v>
      </c>
      <c r="B58" s="14">
        <v>427.18709883437225</v>
      </c>
      <c r="C58" s="14">
        <v>427.19184324660847</v>
      </c>
      <c r="D58" s="14">
        <v>427.20578645925093</v>
      </c>
      <c r="E58" s="14">
        <v>433.44565658000084</v>
      </c>
      <c r="F58" s="14">
        <v>429.98957998852433</v>
      </c>
      <c r="G58" s="14">
        <v>436.31278506683475</v>
      </c>
      <c r="H58" s="14">
        <v>436.57260782618823</v>
      </c>
      <c r="I58" s="14">
        <v>443.59803841693332</v>
      </c>
      <c r="J58" s="14">
        <v>441.83924385941157</v>
      </c>
      <c r="K58" s="14">
        <v>444.6236432207852</v>
      </c>
      <c r="L58" s="14">
        <v>445.32180042824871</v>
      </c>
      <c r="M58" s="14">
        <v>448.08622654542711</v>
      </c>
      <c r="N58" s="14">
        <v>451.20200759191817</v>
      </c>
      <c r="O58" s="14">
        <v>444.66526070943593</v>
      </c>
      <c r="P58" s="14">
        <v>442.89048676698684</v>
      </c>
      <c r="Q58" s="14">
        <v>437.35876125764759</v>
      </c>
      <c r="R58" s="14">
        <v>431.87631120891245</v>
      </c>
      <c r="S58" s="14">
        <v>430.94399236944719</v>
      </c>
      <c r="T58" s="14">
        <v>437.25173742999476</v>
      </c>
      <c r="U58" s="14">
        <v>446.71561968909668</v>
      </c>
      <c r="V58" s="14">
        <v>438.80979631935202</v>
      </c>
      <c r="W58" s="14">
        <v>431.85865293678779</v>
      </c>
      <c r="X58" s="14">
        <v>442.23224839001887</v>
      </c>
      <c r="Y58" s="14">
        <v>449.19062480659608</v>
      </c>
      <c r="DA58" s="189" t="s">
        <v>315</v>
      </c>
    </row>
    <row r="59" spans="1:105" ht="11.45" customHeight="1" x14ac:dyDescent="0.25">
      <c r="A59" s="83" t="s">
        <v>27</v>
      </c>
      <c r="B59" s="87">
        <v>428.36881360283843</v>
      </c>
      <c r="C59" s="87">
        <v>428.36881360283837</v>
      </c>
      <c r="D59" s="87">
        <v>428.36881360283837</v>
      </c>
      <c r="E59" s="87">
        <v>428.36881360283843</v>
      </c>
      <c r="F59" s="87">
        <v>428.36881360283837</v>
      </c>
      <c r="G59" s="87">
        <v>424.12969428673119</v>
      </c>
      <c r="H59" s="87">
        <v>419.55545838685862</v>
      </c>
      <c r="I59" s="87">
        <v>419.39356310721394</v>
      </c>
      <c r="J59" s="87">
        <v>423.07131420853074</v>
      </c>
      <c r="K59" s="87">
        <v>427.71222376817315</v>
      </c>
      <c r="L59" s="87">
        <v>425.32123745720776</v>
      </c>
      <c r="M59" s="87">
        <v>430.61919874627188</v>
      </c>
      <c r="N59" s="87">
        <v>429.00106620800227</v>
      </c>
      <c r="O59" s="87">
        <v>426.77064472695633</v>
      </c>
      <c r="P59" s="87">
        <v>418.85018186894786</v>
      </c>
      <c r="Q59" s="87">
        <v>413.31790526562361</v>
      </c>
      <c r="R59" s="87">
        <v>422.69587157318597</v>
      </c>
      <c r="S59" s="87">
        <v>415.12750189842603</v>
      </c>
      <c r="T59" s="87">
        <v>415.23971833133294</v>
      </c>
      <c r="U59" s="87">
        <v>406.03944901879038</v>
      </c>
      <c r="V59" s="87">
        <v>417.18581822606637</v>
      </c>
      <c r="W59" s="87">
        <v>406.64706751441821</v>
      </c>
      <c r="X59" s="87">
        <v>395.48401059010342</v>
      </c>
      <c r="Y59" s="87">
        <v>399.76670229603724</v>
      </c>
      <c r="DA59" s="171" t="s">
        <v>316</v>
      </c>
    </row>
    <row r="60" spans="1:105" ht="11.45" customHeight="1" x14ac:dyDescent="0.25">
      <c r="A60" s="83" t="s">
        <v>181</v>
      </c>
      <c r="B60" s="87">
        <v>330.11260089427611</v>
      </c>
      <c r="C60" s="87">
        <v>330.11267108979041</v>
      </c>
      <c r="D60" s="87">
        <v>330.11248969128934</v>
      </c>
      <c r="E60" s="87">
        <v>329.9746060575315</v>
      </c>
      <c r="F60" s="87">
        <v>330.11857437841024</v>
      </c>
      <c r="G60" s="87">
        <v>329.79678758606923</v>
      </c>
      <c r="H60" s="87">
        <v>331.09584651561556</v>
      </c>
      <c r="I60" s="87">
        <v>331.49300676592418</v>
      </c>
      <c r="J60" s="87">
        <v>332.10118440744623</v>
      </c>
      <c r="K60" s="87">
        <v>332.74842196902824</v>
      </c>
      <c r="L60" s="87">
        <v>333.81796134730746</v>
      </c>
      <c r="M60" s="87">
        <v>332.81441184852815</v>
      </c>
      <c r="N60" s="87">
        <v>333.02725899022101</v>
      </c>
      <c r="O60" s="87">
        <v>332.44149383319257</v>
      </c>
      <c r="P60" s="87">
        <v>331.25316517004495</v>
      </c>
      <c r="Q60" s="87">
        <v>330.89652981205705</v>
      </c>
      <c r="R60" s="87">
        <v>330.73049256269798</v>
      </c>
      <c r="S60" s="87">
        <v>330.72832770190189</v>
      </c>
      <c r="T60" s="87">
        <v>330.55544557736459</v>
      </c>
      <c r="U60" s="87">
        <v>330.07284903894225</v>
      </c>
      <c r="V60" s="87">
        <v>327.83781103229421</v>
      </c>
      <c r="W60" s="87">
        <v>329.20036292013532</v>
      </c>
      <c r="X60" s="87">
        <v>328.84351715434292</v>
      </c>
      <c r="Y60" s="87">
        <v>329.49936707829238</v>
      </c>
      <c r="DA60" s="171" t="s">
        <v>317</v>
      </c>
    </row>
    <row r="61" spans="1:105" ht="11.45" customHeight="1" x14ac:dyDescent="0.25">
      <c r="A61" s="83" t="s">
        <v>182</v>
      </c>
      <c r="B61" s="87">
        <v>730.17589670485756</v>
      </c>
      <c r="C61" s="87">
        <v>730.17589670485756</v>
      </c>
      <c r="D61" s="87">
        <v>730.17589670485745</v>
      </c>
      <c r="E61" s="87">
        <v>730.17589670485756</v>
      </c>
      <c r="F61" s="87">
        <v>730.17589670485756</v>
      </c>
      <c r="G61" s="87">
        <v>733.00865144204488</v>
      </c>
      <c r="H61" s="87">
        <v>742.91222555542015</v>
      </c>
      <c r="I61" s="87">
        <v>757.31646212622081</v>
      </c>
      <c r="J61" s="87">
        <v>754.99944073655695</v>
      </c>
      <c r="K61" s="87">
        <v>748.87787218257517</v>
      </c>
      <c r="L61" s="87">
        <v>735.53503459022625</v>
      </c>
      <c r="M61" s="87">
        <v>739.72175289441816</v>
      </c>
      <c r="N61" s="87">
        <v>738.11465107144033</v>
      </c>
      <c r="O61" s="87">
        <v>727.40601715148296</v>
      </c>
      <c r="P61" s="87">
        <v>725.90829210981701</v>
      </c>
      <c r="Q61" s="87">
        <v>724.4173895746311</v>
      </c>
      <c r="R61" s="87">
        <v>712.0424665727412</v>
      </c>
      <c r="S61" s="87">
        <v>704.01940467493876</v>
      </c>
      <c r="T61" s="87">
        <v>703.65999965380468</v>
      </c>
      <c r="U61" s="87">
        <v>707.55349468046063</v>
      </c>
      <c r="V61" s="87">
        <v>723.02483747495603</v>
      </c>
      <c r="W61" s="87">
        <v>711.68774148433261</v>
      </c>
      <c r="X61" s="87">
        <v>713.5459575019313</v>
      </c>
      <c r="Y61" s="87">
        <v>716.30552330119519</v>
      </c>
      <c r="DA61" s="171" t="s">
        <v>318</v>
      </c>
    </row>
    <row r="62" spans="1:105" ht="11.45" customHeight="1" x14ac:dyDescent="0.25">
      <c r="A62" s="12" t="s">
        <v>34</v>
      </c>
      <c r="B62" s="15">
        <v>392.7536757872623</v>
      </c>
      <c r="C62" s="15">
        <v>396.41281021221943</v>
      </c>
      <c r="D62" s="15">
        <v>396.81962891770672</v>
      </c>
      <c r="E62" s="15">
        <v>400.0404961323249</v>
      </c>
      <c r="F62" s="15">
        <v>400.57972343028979</v>
      </c>
      <c r="G62" s="15">
        <v>416.02144205133993</v>
      </c>
      <c r="H62" s="15">
        <v>442.71803407503836</v>
      </c>
      <c r="I62" s="15">
        <v>507.4608802127546</v>
      </c>
      <c r="J62" s="15">
        <v>555.85706141351773</v>
      </c>
      <c r="K62" s="15">
        <v>540.15677209703495</v>
      </c>
      <c r="L62" s="15">
        <v>543.10662039803572</v>
      </c>
      <c r="M62" s="15">
        <v>553.39836394534814</v>
      </c>
      <c r="N62" s="15">
        <v>557.66829100051677</v>
      </c>
      <c r="O62" s="15">
        <v>557.39478743670236</v>
      </c>
      <c r="P62" s="15">
        <v>554.27521000517595</v>
      </c>
      <c r="Q62" s="15">
        <v>540.93558077653779</v>
      </c>
      <c r="R62" s="15">
        <v>526.56939437026949</v>
      </c>
      <c r="S62" s="15">
        <v>534.30385851961489</v>
      </c>
      <c r="T62" s="15">
        <v>529.29680395368928</v>
      </c>
      <c r="U62" s="15">
        <v>453.89113069834582</v>
      </c>
      <c r="V62" s="15">
        <v>431.93070213040704</v>
      </c>
      <c r="W62" s="15">
        <v>424.70165834397051</v>
      </c>
      <c r="X62" s="15">
        <v>471.4649399678371</v>
      </c>
      <c r="Y62" s="15">
        <v>455.05576082329173</v>
      </c>
      <c r="DA62" s="193" t="s">
        <v>319</v>
      </c>
    </row>
    <row r="63" spans="1:105" ht="11.45" customHeight="1" x14ac:dyDescent="0.25">
      <c r="A63" s="92" t="s">
        <v>27</v>
      </c>
      <c r="B63" s="101">
        <v>1484.1418501932101</v>
      </c>
      <c r="C63" s="101">
        <v>1484.1418501932101</v>
      </c>
      <c r="D63" s="101">
        <v>1484.1418501932101</v>
      </c>
      <c r="E63" s="101">
        <v>1484.1418501932098</v>
      </c>
      <c r="F63" s="101">
        <v>1484.1418501932098</v>
      </c>
      <c r="G63" s="101">
        <v>1377.6790582916763</v>
      </c>
      <c r="H63" s="101">
        <v>910.13879404449983</v>
      </c>
      <c r="I63" s="101">
        <v>722.15758211244156</v>
      </c>
      <c r="J63" s="101">
        <v>622.84303392344498</v>
      </c>
      <c r="K63" s="101">
        <v>555.79147230329465</v>
      </c>
      <c r="L63" s="101">
        <v>493.09544062123166</v>
      </c>
      <c r="M63" s="101">
        <v>554.44776023438249</v>
      </c>
      <c r="N63" s="101">
        <v>620.99150302631904</v>
      </c>
      <c r="O63" s="101">
        <v>625.43418340950427</v>
      </c>
      <c r="P63" s="101">
        <v>608.64152353471832</v>
      </c>
      <c r="Q63" s="101">
        <v>599.60025255775838</v>
      </c>
      <c r="R63" s="101">
        <v>648.96701574497888</v>
      </c>
      <c r="S63" s="101">
        <v>630.50603510917745</v>
      </c>
      <c r="T63" s="101">
        <v>644.1293856915953</v>
      </c>
      <c r="U63" s="101">
        <v>636.99704245771386</v>
      </c>
      <c r="V63" s="101">
        <v>652.9848529696535</v>
      </c>
      <c r="W63" s="101">
        <v>645.85052506597378</v>
      </c>
      <c r="X63" s="101">
        <v>633.87447282874587</v>
      </c>
      <c r="Y63" s="101">
        <v>570.25341475397158</v>
      </c>
      <c r="DA63" s="175" t="s">
        <v>320</v>
      </c>
    </row>
    <row r="64" spans="1:105" ht="11.45" customHeight="1" x14ac:dyDescent="0.25">
      <c r="A64" s="92" t="s">
        <v>181</v>
      </c>
      <c r="B64" s="101">
        <v>326.80078257296253</v>
      </c>
      <c r="C64" s="101">
        <v>327.42700622107475</v>
      </c>
      <c r="D64" s="101">
        <v>327.34305220911284</v>
      </c>
      <c r="E64" s="101">
        <v>326.39040823671286</v>
      </c>
      <c r="F64" s="101">
        <v>324.77971456917925</v>
      </c>
      <c r="G64" s="101">
        <v>323.50554458142426</v>
      </c>
      <c r="H64" s="101">
        <v>321.40078345621333</v>
      </c>
      <c r="I64" s="101">
        <v>320.22858349073431</v>
      </c>
      <c r="J64" s="101">
        <v>319.50274821806863</v>
      </c>
      <c r="K64" s="101">
        <v>319.87342152981574</v>
      </c>
      <c r="L64" s="101">
        <v>319.67497707641616</v>
      </c>
      <c r="M64" s="101">
        <v>317.42960597857962</v>
      </c>
      <c r="N64" s="101">
        <v>316.74841196989621</v>
      </c>
      <c r="O64" s="101">
        <v>316.16023008138075</v>
      </c>
      <c r="P64" s="101">
        <v>315.39538019678696</v>
      </c>
      <c r="Q64" s="101">
        <v>315.28195752075533</v>
      </c>
      <c r="R64" s="101">
        <v>314.29629859900245</v>
      </c>
      <c r="S64" s="101">
        <v>313.14318514554316</v>
      </c>
      <c r="T64" s="101">
        <v>313.67535896944935</v>
      </c>
      <c r="U64" s="101">
        <v>316.56868105772281</v>
      </c>
      <c r="V64" s="101">
        <v>310.58299394159957</v>
      </c>
      <c r="W64" s="101">
        <v>314.13511896108281</v>
      </c>
      <c r="X64" s="101">
        <v>315.02827331574764</v>
      </c>
      <c r="Y64" s="101">
        <v>314.97050754018318</v>
      </c>
      <c r="DA64" s="175" t="s">
        <v>321</v>
      </c>
    </row>
    <row r="65" spans="1:105" ht="11.45" customHeight="1" x14ac:dyDescent="0.25">
      <c r="A65" s="85" t="s">
        <v>182</v>
      </c>
      <c r="B65" s="88">
        <v>537.61087832828889</v>
      </c>
      <c r="C65" s="88">
        <v>537.61087832828889</v>
      </c>
      <c r="D65" s="88">
        <v>537.610878328289</v>
      </c>
      <c r="E65" s="88">
        <v>537.610878328289</v>
      </c>
      <c r="F65" s="88">
        <v>537.610878328289</v>
      </c>
      <c r="G65" s="88">
        <v>545.71876826015989</v>
      </c>
      <c r="H65" s="88">
        <v>614.13571429140291</v>
      </c>
      <c r="I65" s="88">
        <v>721.80024370159674</v>
      </c>
      <c r="J65" s="88">
        <v>768.30641546612026</v>
      </c>
      <c r="K65" s="88">
        <v>749.16357809706449</v>
      </c>
      <c r="L65" s="88">
        <v>721.3088209484971</v>
      </c>
      <c r="M65" s="88">
        <v>710.68536496146385</v>
      </c>
      <c r="N65" s="88">
        <v>693.75361092439596</v>
      </c>
      <c r="O65" s="88">
        <v>682.94781891417244</v>
      </c>
      <c r="P65" s="88">
        <v>680.25628101470124</v>
      </c>
      <c r="Q65" s="88">
        <v>677.58393482823374</v>
      </c>
      <c r="R65" s="88">
        <v>664.29387434549949</v>
      </c>
      <c r="S65" s="88">
        <v>655.15994852806182</v>
      </c>
      <c r="T65" s="88">
        <v>654.53317093986243</v>
      </c>
      <c r="U65" s="88">
        <v>531.29816747391521</v>
      </c>
      <c r="V65" s="88">
        <v>514.73911827335792</v>
      </c>
      <c r="W65" s="88">
        <v>490.96445624454969</v>
      </c>
      <c r="X65" s="88">
        <v>540.57204242011426</v>
      </c>
      <c r="Y65" s="88">
        <v>594.68065928945668</v>
      </c>
      <c r="DA65" s="178" t="s">
        <v>322</v>
      </c>
    </row>
    <row r="66" spans="1:105" x14ac:dyDescent="0.25">
      <c r="A66" s="50"/>
      <c r="B66" s="50"/>
      <c r="C66" s="50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DA66" s="181"/>
    </row>
    <row r="67" spans="1:105" ht="11.45" customHeight="1" x14ac:dyDescent="0.25">
      <c r="A67" s="53" t="s">
        <v>77</v>
      </c>
      <c r="B67" s="59">
        <f t="shared" ref="B67" si="60">IF(B3=0,0,B17/B57)</f>
        <v>1.0262641413579121</v>
      </c>
      <c r="C67" s="59">
        <f t="shared" ref="C67:W67" si="61">IF(C3=0,0,C17/C57)</f>
        <v>1.0278742428662799</v>
      </c>
      <c r="D67" s="59">
        <f t="shared" si="61"/>
        <v>1.0286383721641001</v>
      </c>
      <c r="E67" s="59">
        <f t="shared" si="61"/>
        <v>1.0350946760057445</v>
      </c>
      <c r="F67" s="59">
        <f t="shared" si="61"/>
        <v>1.1046202235460318</v>
      </c>
      <c r="G67" s="59">
        <f t="shared" si="61"/>
        <v>1.027594736023274</v>
      </c>
      <c r="H67" s="59">
        <f t="shared" si="61"/>
        <v>0.98201718084447998</v>
      </c>
      <c r="I67" s="59">
        <f t="shared" si="61"/>
        <v>0.92111689919239181</v>
      </c>
      <c r="J67" s="59">
        <f t="shared" si="61"/>
        <v>0.95263758898400575</v>
      </c>
      <c r="K67" s="59">
        <f t="shared" si="61"/>
        <v>0.96335302019109736</v>
      </c>
      <c r="L67" s="59">
        <f t="shared" si="61"/>
        <v>0.98994973277310583</v>
      </c>
      <c r="M67" s="59">
        <f t="shared" si="61"/>
        <v>0.97637584242477582</v>
      </c>
      <c r="N67" s="59">
        <f t="shared" si="61"/>
        <v>0.97169814664479148</v>
      </c>
      <c r="O67" s="59">
        <f t="shared" si="61"/>
        <v>0.96774665225834744</v>
      </c>
      <c r="P67" s="59">
        <f t="shared" si="61"/>
        <v>0.93910454089710893</v>
      </c>
      <c r="Q67" s="59">
        <f t="shared" si="61"/>
        <v>0.97205967550329397</v>
      </c>
      <c r="R67" s="59">
        <f t="shared" si="61"/>
        <v>0.96756225421218833</v>
      </c>
      <c r="S67" s="59">
        <f t="shared" si="61"/>
        <v>0.97512639400064127</v>
      </c>
      <c r="T67" s="59">
        <f t="shared" si="61"/>
        <v>0.93651699195192439</v>
      </c>
      <c r="U67" s="59">
        <f t="shared" si="61"/>
        <v>0.90680495286166418</v>
      </c>
      <c r="V67" s="59">
        <f t="shared" si="61"/>
        <v>0.86949264578758612</v>
      </c>
      <c r="W67" s="59">
        <f t="shared" si="61"/>
        <v>0.85475192486687768</v>
      </c>
      <c r="X67" s="59">
        <f t="shared" ref="X67:Y67" si="62">IF(X3=0,0,X17/X57)</f>
        <v>0.91801394330147457</v>
      </c>
      <c r="Y67" s="59">
        <f t="shared" si="62"/>
        <v>0.92362603777063601</v>
      </c>
      <c r="DA67" s="172"/>
    </row>
    <row r="68" spans="1:105" ht="11.45" customHeight="1" x14ac:dyDescent="0.25">
      <c r="A68" s="10" t="s">
        <v>33</v>
      </c>
      <c r="B68" s="23">
        <f t="shared" ref="B68:B75" si="63">IF(B6=0,0,B18/B58)</f>
        <v>1.0223218341055138</v>
      </c>
      <c r="C68" s="23">
        <f t="shared" ref="C68:W68" si="64">IF(C6=0,0,C18/C58)</f>
        <v>1.0243019367890904</v>
      </c>
      <c r="D68" s="23">
        <f t="shared" si="64"/>
        <v>1.0251651588043307</v>
      </c>
      <c r="E68" s="23">
        <f t="shared" si="64"/>
        <v>1.0318974647751742</v>
      </c>
      <c r="F68" s="23">
        <f t="shared" si="64"/>
        <v>1.1014947660691492</v>
      </c>
      <c r="G68" s="23">
        <f t="shared" si="64"/>
        <v>1.0251597001170079</v>
      </c>
      <c r="H68" s="23">
        <f t="shared" si="64"/>
        <v>0.98126321061914945</v>
      </c>
      <c r="I68" s="23">
        <f t="shared" si="64"/>
        <v>0.92262306563612995</v>
      </c>
      <c r="J68" s="23">
        <f t="shared" si="64"/>
        <v>0.95660080056070429</v>
      </c>
      <c r="K68" s="23">
        <f t="shared" si="64"/>
        <v>0.96651527832822659</v>
      </c>
      <c r="L68" s="23">
        <f t="shared" si="64"/>
        <v>0.99441202670656925</v>
      </c>
      <c r="M68" s="23">
        <f t="shared" si="64"/>
        <v>0.98100680245985283</v>
      </c>
      <c r="N68" s="23">
        <f t="shared" si="64"/>
        <v>0.97641644329700916</v>
      </c>
      <c r="O68" s="23">
        <f t="shared" si="64"/>
        <v>0.97211235236047877</v>
      </c>
      <c r="P68" s="23">
        <f t="shared" si="64"/>
        <v>0.94308002270678737</v>
      </c>
      <c r="Q68" s="23">
        <f t="shared" si="64"/>
        <v>0.97539495584281855</v>
      </c>
      <c r="R68" s="23">
        <f t="shared" si="64"/>
        <v>0.97007949668657079</v>
      </c>
      <c r="S68" s="23">
        <f t="shared" si="64"/>
        <v>0.97889680807375756</v>
      </c>
      <c r="T68" s="23">
        <f t="shared" si="64"/>
        <v>0.93988786640608701</v>
      </c>
      <c r="U68" s="23">
        <f t="shared" si="64"/>
        <v>0.90913949802098593</v>
      </c>
      <c r="V68" s="23">
        <f t="shared" si="64"/>
        <v>0.87112783145388106</v>
      </c>
      <c r="W68" s="23">
        <f t="shared" si="64"/>
        <v>0.85721681831347474</v>
      </c>
      <c r="X68" s="23">
        <f t="shared" ref="X68:Y68" si="65">IF(X6=0,0,X18/X58)</f>
        <v>0.92260829578011772</v>
      </c>
      <c r="Y68" s="23">
        <f t="shared" si="65"/>
        <v>0.92511663131396238</v>
      </c>
      <c r="DA68" s="189"/>
    </row>
    <row r="69" spans="1:105" ht="11.45" customHeight="1" x14ac:dyDescent="0.25">
      <c r="A69" s="83" t="s">
        <v>27</v>
      </c>
      <c r="B69" s="91">
        <f t="shared" si="63"/>
        <v>1.1945223778562417</v>
      </c>
      <c r="C69" s="91">
        <f t="shared" ref="C69:W69" si="66">IF(C7=0,0,C19/C59)</f>
        <v>1.1998120256386178</v>
      </c>
      <c r="D69" s="91">
        <f t="shared" si="66"/>
        <v>1.2025212219089161</v>
      </c>
      <c r="E69" s="91">
        <f t="shared" si="66"/>
        <v>1.1507769933246976</v>
      </c>
      <c r="F69" s="91">
        <f t="shared" si="66"/>
        <v>1.1535295277328006</v>
      </c>
      <c r="G69" s="91">
        <f t="shared" si="66"/>
        <v>1.1360554562793432</v>
      </c>
      <c r="H69" s="91">
        <f t="shared" si="66"/>
        <v>1.2808977224841229</v>
      </c>
      <c r="I69" s="91">
        <f t="shared" si="66"/>
        <v>1.3443890262076916</v>
      </c>
      <c r="J69" s="91">
        <f t="shared" si="66"/>
        <v>1.1651232642478855</v>
      </c>
      <c r="K69" s="91">
        <f t="shared" si="66"/>
        <v>1.1576514807503626</v>
      </c>
      <c r="L69" s="91">
        <f t="shared" si="66"/>
        <v>1.3761530381221052</v>
      </c>
      <c r="M69" s="91">
        <f t="shared" si="66"/>
        <v>1.2943206170682762</v>
      </c>
      <c r="N69" s="91">
        <f t="shared" si="66"/>
        <v>1.3309153874599513</v>
      </c>
      <c r="O69" s="91">
        <f t="shared" si="66"/>
        <v>1.3712949979020685</v>
      </c>
      <c r="P69" s="91">
        <f t="shared" si="66"/>
        <v>1.2923349128364015</v>
      </c>
      <c r="Q69" s="91">
        <f t="shared" si="66"/>
        <v>1.2617370974359181</v>
      </c>
      <c r="R69" s="91">
        <f t="shared" si="66"/>
        <v>0.94365844006702548</v>
      </c>
      <c r="S69" s="91">
        <f t="shared" si="66"/>
        <v>1.1302442038299119</v>
      </c>
      <c r="T69" s="91">
        <f t="shared" si="66"/>
        <v>1.1366330947056598</v>
      </c>
      <c r="U69" s="91">
        <f t="shared" si="66"/>
        <v>1.0036551724203779</v>
      </c>
      <c r="V69" s="91">
        <f t="shared" si="66"/>
        <v>1.0120588780769597</v>
      </c>
      <c r="W69" s="91">
        <f t="shared" si="66"/>
        <v>0.97519158905377146</v>
      </c>
      <c r="X69" s="91">
        <f t="shared" ref="X69:Y69" si="67">IF(X7=0,0,X19/X59)</f>
        <v>0.86124614307563241</v>
      </c>
      <c r="Y69" s="91">
        <f t="shared" si="67"/>
        <v>0.91833531811557645</v>
      </c>
      <c r="DA69" s="171"/>
    </row>
    <row r="70" spans="1:105" ht="11.45" customHeight="1" x14ac:dyDescent="0.25">
      <c r="A70" s="83" t="s">
        <v>181</v>
      </c>
      <c r="B70" s="91">
        <f t="shared" si="63"/>
        <v>1.0851770837080157</v>
      </c>
      <c r="C70" s="91">
        <f t="shared" ref="C70:W70" si="68">IF(C8=0,0,C20/C60)</f>
        <v>1.0850086775900909</v>
      </c>
      <c r="D70" s="91">
        <f t="shared" si="68"/>
        <v>1.0829096501786044</v>
      </c>
      <c r="E70" s="91">
        <f t="shared" si="68"/>
        <v>1.1083225655136739</v>
      </c>
      <c r="F70" s="91">
        <f t="shared" si="68"/>
        <v>1.1912494608417308</v>
      </c>
      <c r="G70" s="91">
        <f t="shared" si="68"/>
        <v>1.1548971812110873</v>
      </c>
      <c r="H70" s="91">
        <f t="shared" si="68"/>
        <v>1.0823629342642305</v>
      </c>
      <c r="I70" s="91">
        <f t="shared" si="68"/>
        <v>1.0589950722575259</v>
      </c>
      <c r="J70" s="91">
        <f t="shared" si="68"/>
        <v>1.1035607388935662</v>
      </c>
      <c r="K70" s="91">
        <f t="shared" si="68"/>
        <v>1.106243797143913</v>
      </c>
      <c r="L70" s="91">
        <f t="shared" si="68"/>
        <v>1.1283168319232728</v>
      </c>
      <c r="M70" s="91">
        <f t="shared" si="68"/>
        <v>1.149041071132642</v>
      </c>
      <c r="N70" s="91">
        <f t="shared" si="68"/>
        <v>1.1490479720239131</v>
      </c>
      <c r="O70" s="91">
        <f t="shared" si="68"/>
        <v>1.1190907292520682</v>
      </c>
      <c r="P70" s="91">
        <f t="shared" si="68"/>
        <v>1.1064233175630029</v>
      </c>
      <c r="Q70" s="91">
        <f t="shared" si="68"/>
        <v>1.1279589154691776</v>
      </c>
      <c r="R70" s="91">
        <f t="shared" si="68"/>
        <v>1.1613042188238909</v>
      </c>
      <c r="S70" s="91">
        <f t="shared" si="68"/>
        <v>1.1790948336915212</v>
      </c>
      <c r="T70" s="91">
        <f t="shared" si="68"/>
        <v>1.1665187995806359</v>
      </c>
      <c r="U70" s="91">
        <f t="shared" si="68"/>
        <v>1.2179656701749568</v>
      </c>
      <c r="V70" s="91">
        <f t="shared" si="68"/>
        <v>0.92023013582227142</v>
      </c>
      <c r="W70" s="91">
        <f t="shared" si="68"/>
        <v>0.94892292602868966</v>
      </c>
      <c r="X70" s="91">
        <f t="shared" ref="X70:Y70" si="69">IF(X8=0,0,X20/X60)</f>
        <v>1.2621983184821115</v>
      </c>
      <c r="Y70" s="91">
        <f t="shared" si="69"/>
        <v>1.3051867753211801</v>
      </c>
      <c r="DA70" s="171"/>
    </row>
    <row r="71" spans="1:105" ht="11.45" customHeight="1" x14ac:dyDescent="0.25">
      <c r="A71" s="83" t="s">
        <v>182</v>
      </c>
      <c r="B71" s="91">
        <f t="shared" si="63"/>
        <v>0.87561882952770376</v>
      </c>
      <c r="C71" s="91">
        <f t="shared" ref="C71:W71" si="70">IF(C9=0,0,C21/C61)</f>
        <v>0.87548327185710506</v>
      </c>
      <c r="D71" s="91">
        <f t="shared" si="70"/>
        <v>0.87378897788705268</v>
      </c>
      <c r="E71" s="91">
        <f t="shared" si="70"/>
        <v>0.89326011767882141</v>
      </c>
      <c r="F71" s="91">
        <f t="shared" si="70"/>
        <v>0.95926180853345278</v>
      </c>
      <c r="G71" s="91">
        <f t="shared" si="70"/>
        <v>0.82754525082991137</v>
      </c>
      <c r="H71" s="91">
        <f t="shared" si="70"/>
        <v>0.7715191632614502</v>
      </c>
      <c r="I71" s="91">
        <f t="shared" si="70"/>
        <v>0.66690165349593644</v>
      </c>
      <c r="J71" s="91">
        <f t="shared" si="70"/>
        <v>0.72543524994320963</v>
      </c>
      <c r="K71" s="91">
        <f t="shared" si="70"/>
        <v>0.75493491383275435</v>
      </c>
      <c r="L71" s="91">
        <f t="shared" si="70"/>
        <v>0.75341107295792786</v>
      </c>
      <c r="M71" s="91">
        <f t="shared" si="70"/>
        <v>0.7296981364259475</v>
      </c>
      <c r="N71" s="91">
        <f t="shared" si="70"/>
        <v>0.72424412238813374</v>
      </c>
      <c r="O71" s="91">
        <f t="shared" si="70"/>
        <v>0.73008042905011417</v>
      </c>
      <c r="P71" s="91">
        <f t="shared" si="70"/>
        <v>0.69474936311415014</v>
      </c>
      <c r="Q71" s="91">
        <f t="shared" si="70"/>
        <v>0.73632438261727207</v>
      </c>
      <c r="R71" s="91">
        <f t="shared" si="70"/>
        <v>0.7354589371199477</v>
      </c>
      <c r="S71" s="91">
        <f t="shared" si="70"/>
        <v>0.6907608285914596</v>
      </c>
      <c r="T71" s="91">
        <f t="shared" si="70"/>
        <v>0.63784043906409138</v>
      </c>
      <c r="U71" s="91">
        <f t="shared" si="70"/>
        <v>0.58556131100169595</v>
      </c>
      <c r="V71" s="91">
        <f t="shared" si="70"/>
        <v>0.77436381462077852</v>
      </c>
      <c r="W71" s="91">
        <f t="shared" si="70"/>
        <v>0.70890142039045168</v>
      </c>
      <c r="X71" s="91">
        <f t="shared" ref="X71:Y71" si="71">IF(X9=0,0,X21/X61)</f>
        <v>0.58732525534921654</v>
      </c>
      <c r="Y71" s="91">
        <f t="shared" si="71"/>
        <v>0.56182585345642333</v>
      </c>
      <c r="DA71" s="171"/>
    </row>
    <row r="72" spans="1:105" ht="11.45" customHeight="1" x14ac:dyDescent="0.25">
      <c r="A72" s="12" t="s">
        <v>34</v>
      </c>
      <c r="B72" s="24">
        <f t="shared" si="63"/>
        <v>1.2091560551661764</v>
      </c>
      <c r="C72" s="24">
        <f t="shared" ref="C72:W72" si="72">IF(C10=0,0,C22/C62)</f>
        <v>1.2002481265811766</v>
      </c>
      <c r="D72" s="24">
        <f t="shared" si="72"/>
        <v>1.1913091744460937</v>
      </c>
      <c r="E72" s="24">
        <f t="shared" si="72"/>
        <v>1.2083606370388429</v>
      </c>
      <c r="F72" s="24">
        <f t="shared" si="72"/>
        <v>1.2644279031702532</v>
      </c>
      <c r="G72" s="24">
        <f t="shared" si="72"/>
        <v>1.1468786045405372</v>
      </c>
      <c r="H72" s="24">
        <f t="shared" si="72"/>
        <v>1.0085652687449402</v>
      </c>
      <c r="I72" s="24">
        <f t="shared" si="72"/>
        <v>0.86232457061712164</v>
      </c>
      <c r="J72" s="24">
        <f t="shared" si="72"/>
        <v>0.82840150630286224</v>
      </c>
      <c r="K72" s="24">
        <f t="shared" si="72"/>
        <v>0.85073471801702005</v>
      </c>
      <c r="L72" s="24">
        <f t="shared" si="72"/>
        <v>0.84912008310167031</v>
      </c>
      <c r="M72" s="24">
        <f t="shared" si="72"/>
        <v>0.81207177328603741</v>
      </c>
      <c r="N72" s="24">
        <f t="shared" si="72"/>
        <v>0.80353194510107251</v>
      </c>
      <c r="O72" s="24">
        <f t="shared" si="72"/>
        <v>0.79634678745139131</v>
      </c>
      <c r="P72" s="24">
        <f t="shared" si="72"/>
        <v>0.75978340032544456</v>
      </c>
      <c r="Q72" s="24">
        <f t="shared" si="72"/>
        <v>0.80098095888037391</v>
      </c>
      <c r="R72" s="24">
        <f t="shared" si="72"/>
        <v>0.79976816682082486</v>
      </c>
      <c r="S72" s="24">
        <f t="shared" si="72"/>
        <v>0.7639582907615744</v>
      </c>
      <c r="T72" s="24">
        <f t="shared" si="72"/>
        <v>0.7310052579570987</v>
      </c>
      <c r="U72" s="24">
        <f t="shared" si="72"/>
        <v>0.7319684782495729</v>
      </c>
      <c r="V72" s="24">
        <f t="shared" si="72"/>
        <v>0.81409908108565099</v>
      </c>
      <c r="W72" s="24">
        <f t="shared" si="72"/>
        <v>0.76856443033299138</v>
      </c>
      <c r="X72" s="24">
        <f t="shared" ref="X72:Y72" si="73">IF(X10=0,0,X22/X62)</f>
        <v>0.69243868523105623</v>
      </c>
      <c r="Y72" s="24">
        <f t="shared" si="73"/>
        <v>0.79198701483343259</v>
      </c>
      <c r="DA72" s="193"/>
    </row>
    <row r="73" spans="1:105" ht="11.45" customHeight="1" x14ac:dyDescent="0.25">
      <c r="A73" s="92" t="s">
        <v>27</v>
      </c>
      <c r="B73" s="93">
        <f t="shared" si="63"/>
        <v>1.1945223778562422</v>
      </c>
      <c r="C73" s="93">
        <f t="shared" ref="C73:W73" si="74">IF(C11=0,0,C23/C63)</f>
        <v>1.199812025638618</v>
      </c>
      <c r="D73" s="93">
        <f t="shared" si="74"/>
        <v>1.2025212219089163</v>
      </c>
      <c r="E73" s="93">
        <f t="shared" si="74"/>
        <v>1.1507769933246978</v>
      </c>
      <c r="F73" s="93">
        <f t="shared" si="74"/>
        <v>1.1535295277328006</v>
      </c>
      <c r="G73" s="93">
        <f t="shared" si="74"/>
        <v>1.1360554562793435</v>
      </c>
      <c r="H73" s="93">
        <f t="shared" si="74"/>
        <v>1.2808977224841234</v>
      </c>
      <c r="I73" s="93">
        <f t="shared" si="74"/>
        <v>1.3443890262076916</v>
      </c>
      <c r="J73" s="93">
        <f t="shared" si="74"/>
        <v>1.1651232642478855</v>
      </c>
      <c r="K73" s="93">
        <f t="shared" si="74"/>
        <v>1.1576514807503628</v>
      </c>
      <c r="L73" s="93">
        <f t="shared" si="74"/>
        <v>1.3761530381221057</v>
      </c>
      <c r="M73" s="93">
        <f t="shared" si="74"/>
        <v>1.2943206170682762</v>
      </c>
      <c r="N73" s="93">
        <f t="shared" si="74"/>
        <v>1.3309153874599513</v>
      </c>
      <c r="O73" s="93">
        <f t="shared" si="74"/>
        <v>1.3712949979020683</v>
      </c>
      <c r="P73" s="93">
        <f t="shared" si="74"/>
        <v>1.2923349128364012</v>
      </c>
      <c r="Q73" s="93">
        <f t="shared" si="74"/>
        <v>1.2617370974359179</v>
      </c>
      <c r="R73" s="93">
        <f t="shared" si="74"/>
        <v>0.94365844006702537</v>
      </c>
      <c r="S73" s="93">
        <f t="shared" si="74"/>
        <v>1.1302442038299121</v>
      </c>
      <c r="T73" s="93">
        <f t="shared" si="74"/>
        <v>1.1366330947056598</v>
      </c>
      <c r="U73" s="93">
        <f t="shared" si="74"/>
        <v>1.0036551724203779</v>
      </c>
      <c r="V73" s="93">
        <f t="shared" si="74"/>
        <v>1.0120588780769597</v>
      </c>
      <c r="W73" s="93">
        <f t="shared" si="74"/>
        <v>0.97519158905377146</v>
      </c>
      <c r="X73" s="93">
        <f t="shared" ref="X73:Y73" si="75">IF(X11=0,0,X23/X63)</f>
        <v>0.86124614307563219</v>
      </c>
      <c r="Y73" s="93">
        <f t="shared" si="75"/>
        <v>0.91833531811557634</v>
      </c>
      <c r="DA73" s="175"/>
    </row>
    <row r="74" spans="1:105" ht="11.45" customHeight="1" x14ac:dyDescent="0.25">
      <c r="A74" s="92" t="s">
        <v>181</v>
      </c>
      <c r="B74" s="93">
        <f t="shared" si="63"/>
        <v>1.060140783217761</v>
      </c>
      <c r="C74" s="93">
        <f t="shared" ref="C74:W74" si="76">IF(C12=0,0,C24/C64)</f>
        <v>1.0585424155667726</v>
      </c>
      <c r="D74" s="93">
        <f t="shared" si="76"/>
        <v>1.0567010492890552</v>
      </c>
      <c r="E74" s="93">
        <f t="shared" si="76"/>
        <v>1.0846530117836022</v>
      </c>
      <c r="F74" s="93">
        <f t="shared" si="76"/>
        <v>1.1745854627489603</v>
      </c>
      <c r="G74" s="93">
        <f t="shared" si="76"/>
        <v>1.1430562138354339</v>
      </c>
      <c r="H74" s="93">
        <f t="shared" si="76"/>
        <v>1.0796953950612054</v>
      </c>
      <c r="I74" s="93">
        <f t="shared" si="76"/>
        <v>1.0509840152509968</v>
      </c>
      <c r="J74" s="93">
        <f t="shared" si="76"/>
        <v>1.0817860393026302</v>
      </c>
      <c r="K74" s="93">
        <f t="shared" si="76"/>
        <v>1.081461459272713</v>
      </c>
      <c r="L74" s="93">
        <f t="shared" si="76"/>
        <v>1.1045520038368903</v>
      </c>
      <c r="M74" s="93">
        <f t="shared" si="76"/>
        <v>1.1274761803146927</v>
      </c>
      <c r="N74" s="93">
        <f t="shared" si="76"/>
        <v>1.1289550990339006</v>
      </c>
      <c r="O74" s="93">
        <f t="shared" si="76"/>
        <v>1.0883769602174869</v>
      </c>
      <c r="P74" s="93">
        <f t="shared" si="76"/>
        <v>1.0779649023656772</v>
      </c>
      <c r="Q74" s="93">
        <f t="shared" si="76"/>
        <v>1.1066252128285636</v>
      </c>
      <c r="R74" s="93">
        <f t="shared" si="76"/>
        <v>1.1539680294424008</v>
      </c>
      <c r="S74" s="93">
        <f t="shared" si="76"/>
        <v>1.1527843775402034</v>
      </c>
      <c r="T74" s="93">
        <f t="shared" si="76"/>
        <v>1.1299253656461952</v>
      </c>
      <c r="U74" s="93">
        <f t="shared" si="76"/>
        <v>1.1731281831130598</v>
      </c>
      <c r="V74" s="93">
        <f t="shared" si="76"/>
        <v>0.94128488954933065</v>
      </c>
      <c r="W74" s="93">
        <f t="shared" si="76"/>
        <v>0.95818201421076732</v>
      </c>
      <c r="X74" s="93">
        <f t="shared" ref="X74:Y74" si="77">IF(X12=0,0,X24/X64)</f>
        <v>1.2006345771230231</v>
      </c>
      <c r="Y74" s="93">
        <f t="shared" si="77"/>
        <v>1.2277874534275313</v>
      </c>
      <c r="DA74" s="175"/>
    </row>
    <row r="75" spans="1:105" ht="11.45" customHeight="1" x14ac:dyDescent="0.25">
      <c r="A75" s="85" t="s">
        <v>182</v>
      </c>
      <c r="B75" s="94">
        <f t="shared" si="63"/>
        <v>0.78805694657493353</v>
      </c>
      <c r="C75" s="94">
        <f t="shared" ref="C75:W75" si="78">IF(C13=0,0,C25/C65)</f>
        <v>0.7879349446713948</v>
      </c>
      <c r="D75" s="94">
        <f t="shared" si="78"/>
        <v>0.78641008009834723</v>
      </c>
      <c r="E75" s="94">
        <f t="shared" si="78"/>
        <v>0.80393410591093928</v>
      </c>
      <c r="F75" s="94">
        <f t="shared" si="78"/>
        <v>0.86333562768010752</v>
      </c>
      <c r="G75" s="94">
        <f t="shared" si="78"/>
        <v>0.74479072574692018</v>
      </c>
      <c r="H75" s="94">
        <f t="shared" si="78"/>
        <v>0.69436724693530516</v>
      </c>
      <c r="I75" s="94">
        <f t="shared" si="78"/>
        <v>0.60021148814634273</v>
      </c>
      <c r="J75" s="94">
        <f t="shared" si="78"/>
        <v>0.65289172494888881</v>
      </c>
      <c r="K75" s="94">
        <f t="shared" si="78"/>
        <v>0.67944142244947903</v>
      </c>
      <c r="L75" s="94">
        <f t="shared" si="78"/>
        <v>0.67806996566213529</v>
      </c>
      <c r="M75" s="94">
        <f t="shared" si="78"/>
        <v>0.65672832278335269</v>
      </c>
      <c r="N75" s="94">
        <f t="shared" si="78"/>
        <v>0.6518197101493205</v>
      </c>
      <c r="O75" s="94">
        <f t="shared" si="78"/>
        <v>0.65707238614510277</v>
      </c>
      <c r="P75" s="94">
        <f t="shared" si="78"/>
        <v>0.62527442680273526</v>
      </c>
      <c r="Q75" s="94">
        <f t="shared" si="78"/>
        <v>0.6626919443555449</v>
      </c>
      <c r="R75" s="94">
        <f t="shared" si="78"/>
        <v>0.66191304340795287</v>
      </c>
      <c r="S75" s="94">
        <f t="shared" si="78"/>
        <v>0.62168474573231358</v>
      </c>
      <c r="T75" s="94">
        <f t="shared" si="78"/>
        <v>0.57405639515768214</v>
      </c>
      <c r="U75" s="94">
        <f t="shared" si="78"/>
        <v>0.52700517990152629</v>
      </c>
      <c r="V75" s="94">
        <f t="shared" si="78"/>
        <v>0.69692743315870054</v>
      </c>
      <c r="W75" s="94">
        <f t="shared" si="78"/>
        <v>0.63801127835140636</v>
      </c>
      <c r="X75" s="94">
        <f t="shared" ref="X75:Y75" si="79">IF(X13=0,0,X25/X65)</f>
        <v>0.52859272981429495</v>
      </c>
      <c r="Y75" s="94">
        <f t="shared" si="79"/>
        <v>0.50564326811078097</v>
      </c>
      <c r="DA75" s="178"/>
    </row>
    <row r="76" spans="1:105" x14ac:dyDescent="0.25">
      <c r="A76" s="50"/>
      <c r="B76" s="50"/>
      <c r="C76" s="50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DA76" s="181"/>
    </row>
    <row r="77" spans="1:105" ht="11.45" customHeight="1" x14ac:dyDescent="0.25">
      <c r="A77" s="52" t="s">
        <v>78</v>
      </c>
      <c r="B77" s="50"/>
      <c r="C77" s="50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DA77" s="181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A59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323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44</v>
      </c>
      <c r="B3" s="79">
        <f t="shared" ref="B3:C3" si="0">SUM(B4:B5)</f>
        <v>2368.9345975200008</v>
      </c>
      <c r="C3" s="79">
        <f t="shared" si="0"/>
        <v>2301.6079839599997</v>
      </c>
      <c r="D3" s="79">
        <f t="shared" ref="D3" si="1">SUM(D4:D5)</f>
        <v>2266.4466907199999</v>
      </c>
      <c r="E3" s="79">
        <f t="shared" ref="E3" si="2">SUM(E4:E5)</f>
        <v>2385.0694389600008</v>
      </c>
      <c r="F3" s="79">
        <f t="shared" ref="F3" si="3">SUM(F4:F5)</f>
        <v>2587.1190768000001</v>
      </c>
      <c r="G3" s="79">
        <f t="shared" ref="G3" si="4">SUM(G4:G5)</f>
        <v>2683.2295162800001</v>
      </c>
      <c r="H3" s="79">
        <f t="shared" ref="H3" si="5">SUM(H4:H5)</f>
        <v>2808.3343532399999</v>
      </c>
      <c r="I3" s="79">
        <f t="shared" ref="I3" si="6">SUM(I4:I5)</f>
        <v>2940.1832455200006</v>
      </c>
      <c r="J3" s="79">
        <f t="shared" ref="J3" si="7">SUM(J4:J5)</f>
        <v>3002.0170154400003</v>
      </c>
      <c r="K3" s="79">
        <f t="shared" ref="K3" si="8">SUM(K4:K5)</f>
        <v>2813.4236030399989</v>
      </c>
      <c r="L3" s="79">
        <f t="shared" ref="L3" si="9">SUM(L4:L5)</f>
        <v>3054.5646415200008</v>
      </c>
      <c r="M3" s="79">
        <f t="shared" ref="M3" si="10">SUM(M4:M5)</f>
        <v>3119.5019030400008</v>
      </c>
      <c r="N3" s="79">
        <f t="shared" ref="N3" si="11">SUM(N4:N5)</f>
        <v>3144.2472590399998</v>
      </c>
      <c r="O3" s="79">
        <f t="shared" ref="O3" si="12">SUM(O4:O5)</f>
        <v>3181.3356729600005</v>
      </c>
      <c r="P3" s="79">
        <f t="shared" ref="P3" si="13">SUM(P4:P5)</f>
        <v>3267.9150577200003</v>
      </c>
      <c r="Q3" s="79">
        <f t="shared" ref="Q3" si="14">SUM(Q4:Q5)</f>
        <v>3527.6180302800012</v>
      </c>
      <c r="R3" s="79">
        <f t="shared" ref="R3" si="15">SUM(R4:R5)</f>
        <v>3880.0716577200014</v>
      </c>
      <c r="S3" s="79">
        <f t="shared" ref="S3" si="16">SUM(S4:S5)</f>
        <v>4361.7964129199991</v>
      </c>
      <c r="T3" s="79">
        <f t="shared" ref="T3" si="17">SUM(T4:T5)</f>
        <v>4644.2991621600022</v>
      </c>
      <c r="U3" s="79">
        <f t="shared" ref="U3" si="18">SUM(U4:U5)</f>
        <v>4890.46868928</v>
      </c>
      <c r="V3" s="79">
        <f t="shared" ref="V3:W3" si="19">SUM(V4:V5)</f>
        <v>1836.46311156</v>
      </c>
      <c r="W3" s="79">
        <f t="shared" si="19"/>
        <v>2348.93295756</v>
      </c>
      <c r="X3" s="79">
        <f t="shared" ref="X3:Y3" si="20">SUM(X4:X5)</f>
        <v>4607.560289160001</v>
      </c>
      <c r="Y3" s="79">
        <f t="shared" si="20"/>
        <v>5314.1298159600028</v>
      </c>
      <c r="DA3" s="172" t="s">
        <v>324</v>
      </c>
    </row>
    <row r="4" spans="1:105" ht="11.45" customHeight="1" x14ac:dyDescent="0.25">
      <c r="A4" s="95" t="s">
        <v>27</v>
      </c>
      <c r="B4" s="96">
        <f t="shared" ref="B4:C4" si="21">SUM(B7,B11)</f>
        <v>345.9353752799999</v>
      </c>
      <c r="C4" s="96">
        <f t="shared" si="21"/>
        <v>355.55335200000013</v>
      </c>
      <c r="D4" s="96">
        <f t="shared" ref="D4:V4" si="22">SUM(D7,D11)</f>
        <v>378.10043676000009</v>
      </c>
      <c r="E4" s="96">
        <f t="shared" si="22"/>
        <v>352.45224000000013</v>
      </c>
      <c r="F4" s="96">
        <f t="shared" si="22"/>
        <v>397.40670504000008</v>
      </c>
      <c r="G4" s="96">
        <f t="shared" si="22"/>
        <v>413.36656200000016</v>
      </c>
      <c r="H4" s="96">
        <f t="shared" si="22"/>
        <v>403.81868952000008</v>
      </c>
      <c r="I4" s="96">
        <f t="shared" si="22"/>
        <v>401.89751676000003</v>
      </c>
      <c r="J4" s="96">
        <f t="shared" si="22"/>
        <v>370.98037296000007</v>
      </c>
      <c r="K4" s="96">
        <f t="shared" si="22"/>
        <v>346.24691675999992</v>
      </c>
      <c r="L4" s="96">
        <f t="shared" si="22"/>
        <v>411.16114152000023</v>
      </c>
      <c r="M4" s="96">
        <f t="shared" si="22"/>
        <v>364.79720303999994</v>
      </c>
      <c r="N4" s="96">
        <f t="shared" si="22"/>
        <v>364.80884400000002</v>
      </c>
      <c r="O4" s="96">
        <f t="shared" si="22"/>
        <v>370.98037296000012</v>
      </c>
      <c r="P4" s="96">
        <f t="shared" si="22"/>
        <v>358.62541524000011</v>
      </c>
      <c r="Q4" s="96">
        <f t="shared" si="22"/>
        <v>377.17570152000019</v>
      </c>
      <c r="R4" s="96">
        <f t="shared" si="22"/>
        <v>420.45944400000013</v>
      </c>
      <c r="S4" s="96">
        <f t="shared" si="22"/>
        <v>507.08642292000008</v>
      </c>
      <c r="T4" s="96">
        <f t="shared" si="22"/>
        <v>538.60807223999996</v>
      </c>
      <c r="U4" s="96">
        <f t="shared" si="22"/>
        <v>500.96575152000014</v>
      </c>
      <c r="V4" s="96">
        <f t="shared" si="22"/>
        <v>261.78926435999995</v>
      </c>
      <c r="W4" s="96">
        <f t="shared" ref="W4:Y4" si="23">SUM(W7,W11)</f>
        <v>344.55287304000018</v>
      </c>
      <c r="X4" s="96">
        <f t="shared" si="23"/>
        <v>421.59955032000005</v>
      </c>
      <c r="Y4" s="96">
        <f t="shared" si="23"/>
        <v>485.10775764000005</v>
      </c>
      <c r="DA4" s="171" t="s">
        <v>325</v>
      </c>
    </row>
    <row r="5" spans="1:105" ht="11.45" customHeight="1" x14ac:dyDescent="0.25">
      <c r="A5" s="95" t="s">
        <v>116</v>
      </c>
      <c r="B5" s="96">
        <f t="shared" ref="B5:C5" si="24">SUM(B8:B9,B12:B13)</f>
        <v>2022.9992222400008</v>
      </c>
      <c r="C5" s="96">
        <f t="shared" si="24"/>
        <v>1946.0546319599996</v>
      </c>
      <c r="D5" s="96">
        <f t="shared" ref="D5:V5" si="25">SUM(D8:D9,D12:D13)</f>
        <v>1888.3462539599998</v>
      </c>
      <c r="E5" s="96">
        <f t="shared" si="25"/>
        <v>2032.6171989600005</v>
      </c>
      <c r="F5" s="96">
        <f t="shared" si="25"/>
        <v>2189.7123717600002</v>
      </c>
      <c r="G5" s="96">
        <f t="shared" si="25"/>
        <v>2269.8629542799999</v>
      </c>
      <c r="H5" s="96">
        <f t="shared" si="25"/>
        <v>2404.5156637199998</v>
      </c>
      <c r="I5" s="96">
        <f t="shared" si="25"/>
        <v>2538.2857287600004</v>
      </c>
      <c r="J5" s="96">
        <f t="shared" si="25"/>
        <v>2631.0366424800004</v>
      </c>
      <c r="K5" s="96">
        <f t="shared" si="25"/>
        <v>2467.1766862799991</v>
      </c>
      <c r="L5" s="96">
        <f t="shared" si="25"/>
        <v>2643.4035000000003</v>
      </c>
      <c r="M5" s="96">
        <f t="shared" si="25"/>
        <v>2754.7047000000007</v>
      </c>
      <c r="N5" s="96">
        <f t="shared" si="25"/>
        <v>2779.4384150399997</v>
      </c>
      <c r="O5" s="96">
        <f t="shared" si="25"/>
        <v>2810.3553000000002</v>
      </c>
      <c r="P5" s="96">
        <f t="shared" si="25"/>
        <v>2909.2896424800001</v>
      </c>
      <c r="Q5" s="96">
        <f t="shared" si="25"/>
        <v>3150.4423287600011</v>
      </c>
      <c r="R5" s="96">
        <f t="shared" si="25"/>
        <v>3459.6122137200014</v>
      </c>
      <c r="S5" s="96">
        <f t="shared" si="25"/>
        <v>3854.7099899999994</v>
      </c>
      <c r="T5" s="96">
        <f t="shared" si="25"/>
        <v>4105.691089920002</v>
      </c>
      <c r="U5" s="96">
        <f t="shared" si="25"/>
        <v>4389.5029377600003</v>
      </c>
      <c r="V5" s="96">
        <f t="shared" si="25"/>
        <v>1574.6738472</v>
      </c>
      <c r="W5" s="96">
        <f t="shared" ref="W5:Y5" si="26">SUM(W8:W9,W12:W13)</f>
        <v>2004.3800845199999</v>
      </c>
      <c r="X5" s="96">
        <f t="shared" si="26"/>
        <v>4185.9607388400009</v>
      </c>
      <c r="Y5" s="96">
        <f t="shared" si="26"/>
        <v>4829.0220583200025</v>
      </c>
      <c r="DA5" s="171" t="s">
        <v>326</v>
      </c>
    </row>
    <row r="6" spans="1:105" ht="11.45" customHeight="1" x14ac:dyDescent="0.25">
      <c r="A6" s="10" t="s">
        <v>33</v>
      </c>
      <c r="B6" s="21">
        <f t="shared" ref="B6:C6" si="27">SUM(B7:B9)</f>
        <v>2307.9172361364986</v>
      </c>
      <c r="C6" s="21">
        <f t="shared" si="27"/>
        <v>2245.204249118694</v>
      </c>
      <c r="D6" s="21">
        <f t="shared" ref="D6:V6" si="28">SUM(D7:D9)</f>
        <v>2209.69410977609</v>
      </c>
      <c r="E6" s="21">
        <f t="shared" si="28"/>
        <v>2332.6940057139213</v>
      </c>
      <c r="F6" s="21">
        <f t="shared" si="28"/>
        <v>2528.2088363636453</v>
      </c>
      <c r="G6" s="21">
        <f t="shared" si="28"/>
        <v>2621.3802295183336</v>
      </c>
      <c r="H6" s="21">
        <f t="shared" si="28"/>
        <v>2731.8413582952703</v>
      </c>
      <c r="I6" s="21">
        <f t="shared" si="28"/>
        <v>2856.4961952071026</v>
      </c>
      <c r="J6" s="21">
        <f t="shared" si="28"/>
        <v>2905.5399036579324</v>
      </c>
      <c r="K6" s="21">
        <f t="shared" si="28"/>
        <v>2728.4394473453708</v>
      </c>
      <c r="L6" s="21">
        <f t="shared" si="28"/>
        <v>2959.2646740927271</v>
      </c>
      <c r="M6" s="21">
        <f t="shared" si="28"/>
        <v>3040.8156668656693</v>
      </c>
      <c r="N6" s="21">
        <f t="shared" si="28"/>
        <v>3067.3202092459187</v>
      </c>
      <c r="O6" s="21">
        <f t="shared" si="28"/>
        <v>3110.9425090946738</v>
      </c>
      <c r="P6" s="21">
        <f t="shared" si="28"/>
        <v>3206.5414541727569</v>
      </c>
      <c r="Q6" s="21">
        <f t="shared" si="28"/>
        <v>3468.027232476566</v>
      </c>
      <c r="R6" s="21">
        <f t="shared" si="28"/>
        <v>3829.7235003443757</v>
      </c>
      <c r="S6" s="21">
        <f t="shared" si="28"/>
        <v>4298.9233682989925</v>
      </c>
      <c r="T6" s="21">
        <f t="shared" si="28"/>
        <v>4583.3412667299799</v>
      </c>
      <c r="U6" s="21">
        <f t="shared" si="28"/>
        <v>4838.2050248652013</v>
      </c>
      <c r="V6" s="21">
        <f t="shared" si="28"/>
        <v>1787.8536496507545</v>
      </c>
      <c r="W6" s="21">
        <f t="shared" ref="W6:Y6" si="29">SUM(W7:W9)</f>
        <v>2290.7184464115853</v>
      </c>
      <c r="X6" s="21">
        <f t="shared" si="29"/>
        <v>4537.2730846637414</v>
      </c>
      <c r="Y6" s="21">
        <f t="shared" si="29"/>
        <v>5262.6859732134662</v>
      </c>
      <c r="DA6" s="189" t="s">
        <v>327</v>
      </c>
    </row>
    <row r="7" spans="1:105" ht="11.45" customHeight="1" x14ac:dyDescent="0.25">
      <c r="A7" s="83" t="s">
        <v>27</v>
      </c>
      <c r="B7" s="96">
        <v>329.00324046652173</v>
      </c>
      <c r="C7" s="96">
        <v>339.98968069826776</v>
      </c>
      <c r="D7" s="96">
        <v>362.72987531492129</v>
      </c>
      <c r="E7" s="96">
        <v>338.21371672363341</v>
      </c>
      <c r="F7" s="96">
        <v>382.78311853540157</v>
      </c>
      <c r="G7" s="96">
        <v>397.54333001441375</v>
      </c>
      <c r="H7" s="96">
        <v>386.90369751408082</v>
      </c>
      <c r="I7" s="96">
        <v>384.26837227104897</v>
      </c>
      <c r="J7" s="96">
        <v>354.30174617753613</v>
      </c>
      <c r="K7" s="96">
        <v>329.60324958353561</v>
      </c>
      <c r="L7" s="96">
        <v>392.97928365459848</v>
      </c>
      <c r="M7" s="96">
        <v>353.62020268702366</v>
      </c>
      <c r="N7" s="96">
        <v>354.37126645407955</v>
      </c>
      <c r="O7" s="96">
        <v>361.51743492204514</v>
      </c>
      <c r="P7" s="96">
        <v>351.21664338514296</v>
      </c>
      <c r="Q7" s="96">
        <v>370.54250968403306</v>
      </c>
      <c r="R7" s="96">
        <v>416.22793014966101</v>
      </c>
      <c r="S7" s="96">
        <v>501.20168513376501</v>
      </c>
      <c r="T7" s="96">
        <v>532.58882577873737</v>
      </c>
      <c r="U7" s="96">
        <v>495.02082856865616</v>
      </c>
      <c r="V7" s="96">
        <v>256.28634670130555</v>
      </c>
      <c r="W7" s="96">
        <v>338.34402338922109</v>
      </c>
      <c r="X7" s="96">
        <v>415.32574494563482</v>
      </c>
      <c r="Y7" s="96">
        <v>478.14989557302084</v>
      </c>
      <c r="DA7" s="171" t="s">
        <v>328</v>
      </c>
    </row>
    <row r="8" spans="1:105" ht="11.45" customHeight="1" x14ac:dyDescent="0.25">
      <c r="A8" s="83" t="s">
        <v>181</v>
      </c>
      <c r="B8" s="96">
        <v>1260.0170198619153</v>
      </c>
      <c r="C8" s="96">
        <v>1213.1258496698131</v>
      </c>
      <c r="D8" s="96">
        <v>1176.0375175136126</v>
      </c>
      <c r="E8" s="96">
        <v>1225.0007267576834</v>
      </c>
      <c r="F8" s="96">
        <v>1345.3056234238713</v>
      </c>
      <c r="G8" s="96">
        <v>1401.7864926664056</v>
      </c>
      <c r="H8" s="96">
        <v>1497.3964007397001</v>
      </c>
      <c r="I8" s="96">
        <v>1615.2457317038143</v>
      </c>
      <c r="J8" s="96">
        <v>1658.8967740794728</v>
      </c>
      <c r="K8" s="96">
        <v>1519.6793682483708</v>
      </c>
      <c r="L8" s="96">
        <v>1623.1092942721793</v>
      </c>
      <c r="M8" s="96">
        <v>1711.7107494105951</v>
      </c>
      <c r="N8" s="96">
        <v>1705.7755988930601</v>
      </c>
      <c r="O8" s="96">
        <v>1741.786444939434</v>
      </c>
      <c r="P8" s="96">
        <v>1832.7446516097243</v>
      </c>
      <c r="Q8" s="96">
        <v>2003.7147932244777</v>
      </c>
      <c r="R8" s="96">
        <v>2275.4968101872291</v>
      </c>
      <c r="S8" s="96">
        <v>2584.7050504897265</v>
      </c>
      <c r="T8" s="96">
        <v>2734.2749326818184</v>
      </c>
      <c r="U8" s="96">
        <v>2919.2884754744623</v>
      </c>
      <c r="V8" s="96">
        <v>873.06380153008308</v>
      </c>
      <c r="W8" s="96">
        <v>1201.6238783581387</v>
      </c>
      <c r="X8" s="96">
        <v>2836.8170833125623</v>
      </c>
      <c r="Y8" s="96">
        <v>3302.677290956673</v>
      </c>
      <c r="DA8" s="171" t="s">
        <v>329</v>
      </c>
    </row>
    <row r="9" spans="1:105" ht="11.45" customHeight="1" x14ac:dyDescent="0.25">
      <c r="A9" s="83" t="s">
        <v>182</v>
      </c>
      <c r="B9" s="96">
        <v>718.89697580806148</v>
      </c>
      <c r="C9" s="96">
        <v>692.088718750613</v>
      </c>
      <c r="D9" s="96">
        <v>670.92671694755597</v>
      </c>
      <c r="E9" s="96">
        <v>769.47956223260451</v>
      </c>
      <c r="F9" s="96">
        <v>800.12009440437248</v>
      </c>
      <c r="G9" s="96">
        <v>822.05040683751429</v>
      </c>
      <c r="H9" s="96">
        <v>847.54126004148918</v>
      </c>
      <c r="I9" s="96">
        <v>856.9820912322391</v>
      </c>
      <c r="J9" s="96">
        <v>892.34138340092352</v>
      </c>
      <c r="K9" s="96">
        <v>879.15682951346446</v>
      </c>
      <c r="L9" s="96">
        <v>943.17609616594928</v>
      </c>
      <c r="M9" s="96">
        <v>975.48471476805094</v>
      </c>
      <c r="N9" s="96">
        <v>1007.1733438987789</v>
      </c>
      <c r="O9" s="96">
        <v>1007.6386292331949</v>
      </c>
      <c r="P9" s="96">
        <v>1022.5801591778893</v>
      </c>
      <c r="Q9" s="96">
        <v>1093.7699295680554</v>
      </c>
      <c r="R9" s="96">
        <v>1137.9987600074853</v>
      </c>
      <c r="S9" s="96">
        <v>1213.0166326755013</v>
      </c>
      <c r="T9" s="96">
        <v>1316.4775082694237</v>
      </c>
      <c r="U9" s="96">
        <v>1423.8957208220822</v>
      </c>
      <c r="V9" s="96">
        <v>658.50350141936599</v>
      </c>
      <c r="W9" s="96">
        <v>750.75054466422569</v>
      </c>
      <c r="X9" s="96">
        <v>1285.1302564055441</v>
      </c>
      <c r="Y9" s="96">
        <v>1481.8587866837722</v>
      </c>
      <c r="DA9" s="171" t="s">
        <v>330</v>
      </c>
    </row>
    <row r="10" spans="1:105" ht="11.45" customHeight="1" x14ac:dyDescent="0.25">
      <c r="A10" s="12" t="s">
        <v>34</v>
      </c>
      <c r="B10" s="22">
        <f t="shared" ref="B10:C10" si="30">SUM(B11:B13)</f>
        <v>61.01736138350207</v>
      </c>
      <c r="C10" s="22">
        <f t="shared" si="30"/>
        <v>56.403734841306047</v>
      </c>
      <c r="D10" s="22">
        <f t="shared" ref="D10:V10" si="31">SUM(D11:D13)</f>
        <v>56.752580943910111</v>
      </c>
      <c r="E10" s="22">
        <f t="shared" si="31"/>
        <v>52.375433246079126</v>
      </c>
      <c r="F10" s="22">
        <f t="shared" si="31"/>
        <v>58.910240436354982</v>
      </c>
      <c r="G10" s="22">
        <f t="shared" si="31"/>
        <v>61.849286761666242</v>
      </c>
      <c r="H10" s="22">
        <f t="shared" si="31"/>
        <v>76.492994944729986</v>
      </c>
      <c r="I10" s="22">
        <f t="shared" si="31"/>
        <v>83.687050312897924</v>
      </c>
      <c r="J10" s="22">
        <f t="shared" si="31"/>
        <v>96.477111782067993</v>
      </c>
      <c r="K10" s="22">
        <f t="shared" si="31"/>
        <v>84.984155694628299</v>
      </c>
      <c r="L10" s="22">
        <f t="shared" si="31"/>
        <v>95.299967427273401</v>
      </c>
      <c r="M10" s="22">
        <f t="shared" si="31"/>
        <v>78.686236174330901</v>
      </c>
      <c r="N10" s="22">
        <f t="shared" si="31"/>
        <v>76.927049794081142</v>
      </c>
      <c r="O10" s="22">
        <f t="shared" si="31"/>
        <v>70.393163865326173</v>
      </c>
      <c r="P10" s="22">
        <f t="shared" si="31"/>
        <v>61.373603547243789</v>
      </c>
      <c r="Q10" s="22">
        <f t="shared" si="31"/>
        <v>59.590797803435237</v>
      </c>
      <c r="R10" s="22">
        <f t="shared" si="31"/>
        <v>50.348157375626229</v>
      </c>
      <c r="S10" s="22">
        <f t="shared" si="31"/>
        <v>62.873044621006954</v>
      </c>
      <c r="T10" s="22">
        <f t="shared" si="31"/>
        <v>60.957895430022688</v>
      </c>
      <c r="U10" s="22">
        <f t="shared" si="31"/>
        <v>52.263664414799464</v>
      </c>
      <c r="V10" s="22">
        <f t="shared" si="31"/>
        <v>48.609461909245084</v>
      </c>
      <c r="W10" s="22">
        <f t="shared" ref="W10:Y10" si="32">SUM(W11:W13)</f>
        <v>58.214511148414694</v>
      </c>
      <c r="X10" s="22">
        <f t="shared" si="32"/>
        <v>70.28720449625996</v>
      </c>
      <c r="Y10" s="22">
        <f t="shared" si="32"/>
        <v>51.443842746536767</v>
      </c>
      <c r="DA10" s="193" t="s">
        <v>331</v>
      </c>
    </row>
    <row r="11" spans="1:105" ht="11.45" customHeight="1" x14ac:dyDescent="0.25">
      <c r="A11" s="92" t="s">
        <v>27</v>
      </c>
      <c r="B11" s="97">
        <v>16.932134813478164</v>
      </c>
      <c r="C11" s="97">
        <v>15.56367130173235</v>
      </c>
      <c r="D11" s="97">
        <v>15.370561445078826</v>
      </c>
      <c r="E11" s="97">
        <v>14.23852327636672</v>
      </c>
      <c r="F11" s="97">
        <v>14.623586504598528</v>
      </c>
      <c r="G11" s="97">
        <v>15.823231985586398</v>
      </c>
      <c r="H11" s="97">
        <v>16.914992005919242</v>
      </c>
      <c r="I11" s="97">
        <v>17.629144488951056</v>
      </c>
      <c r="J11" s="97">
        <v>16.678626782463965</v>
      </c>
      <c r="K11" s="97">
        <v>16.643667176464287</v>
      </c>
      <c r="L11" s="97">
        <v>18.181857865401746</v>
      </c>
      <c r="M11" s="97">
        <v>11.177000352976288</v>
      </c>
      <c r="N11" s="97">
        <v>10.437577545920455</v>
      </c>
      <c r="O11" s="97">
        <v>9.4629380379549666</v>
      </c>
      <c r="P11" s="97">
        <v>7.4087718548571617</v>
      </c>
      <c r="Q11" s="97">
        <v>6.6331918359671285</v>
      </c>
      <c r="R11" s="97">
        <v>4.231513850339141</v>
      </c>
      <c r="S11" s="97">
        <v>5.8847377862350916</v>
      </c>
      <c r="T11" s="97">
        <v>6.0192464612625809</v>
      </c>
      <c r="U11" s="97">
        <v>5.9449229513439645</v>
      </c>
      <c r="V11" s="97">
        <v>5.5029176586944084</v>
      </c>
      <c r="W11" s="97">
        <v>6.2088496507790607</v>
      </c>
      <c r="X11" s="97">
        <v>6.2738053743652369</v>
      </c>
      <c r="Y11" s="97">
        <v>6.9578620669792102</v>
      </c>
      <c r="DA11" s="175" t="s">
        <v>332</v>
      </c>
    </row>
    <row r="12" spans="1:105" ht="11.45" customHeight="1" x14ac:dyDescent="0.25">
      <c r="A12" s="92" t="s">
        <v>181</v>
      </c>
      <c r="B12" s="97">
        <v>28.3184653199237</v>
      </c>
      <c r="C12" s="97">
        <v>25.570957449524595</v>
      </c>
      <c r="D12" s="97">
        <v>25.812959287585066</v>
      </c>
      <c r="E12" s="97">
        <v>23.063031591407139</v>
      </c>
      <c r="F12" s="97">
        <v>26.471178683796559</v>
      </c>
      <c r="G12" s="97">
        <v>25.798754647784815</v>
      </c>
      <c r="H12" s="97">
        <v>31.864908470776477</v>
      </c>
      <c r="I12" s="97">
        <v>31.093977133706009</v>
      </c>
      <c r="J12" s="97">
        <v>30.520219067062314</v>
      </c>
      <c r="K12" s="97">
        <v>26.791601569775093</v>
      </c>
      <c r="L12" s="97">
        <v>28.178914691004934</v>
      </c>
      <c r="M12" s="97">
        <v>22.834517349519562</v>
      </c>
      <c r="N12" s="97">
        <v>20.529447655370259</v>
      </c>
      <c r="O12" s="97">
        <v>17.380405062812336</v>
      </c>
      <c r="P12" s="97">
        <v>16.002696479200786</v>
      </c>
      <c r="Q12" s="97">
        <v>16.944998855296816</v>
      </c>
      <c r="R12" s="97">
        <v>16.076464854208311</v>
      </c>
      <c r="S12" s="97">
        <v>18.594811602591701</v>
      </c>
      <c r="T12" s="97">
        <v>19.445727572780577</v>
      </c>
      <c r="U12" s="97">
        <v>19.815319124447811</v>
      </c>
      <c r="V12" s="97">
        <v>15.405209752410823</v>
      </c>
      <c r="W12" s="97">
        <v>19.004636845979011</v>
      </c>
      <c r="X12" s="97">
        <v>23.620008611785877</v>
      </c>
      <c r="Y12" s="97">
        <v>24.990361058854536</v>
      </c>
      <c r="DA12" s="175" t="s">
        <v>333</v>
      </c>
    </row>
    <row r="13" spans="1:105" ht="11.45" customHeight="1" x14ac:dyDescent="0.25">
      <c r="A13" s="85" t="s">
        <v>182</v>
      </c>
      <c r="B13" s="98">
        <v>15.766761250100208</v>
      </c>
      <c r="C13" s="98">
        <v>15.269106090049098</v>
      </c>
      <c r="D13" s="98">
        <v>15.569060211246217</v>
      </c>
      <c r="E13" s="98">
        <v>15.073878378305265</v>
      </c>
      <c r="F13" s="98">
        <v>17.815475247959892</v>
      </c>
      <c r="G13" s="98">
        <v>20.227300128295028</v>
      </c>
      <c r="H13" s="98">
        <v>27.713094468034274</v>
      </c>
      <c r="I13" s="98">
        <v>34.963928690240856</v>
      </c>
      <c r="J13" s="98">
        <v>49.278265932541721</v>
      </c>
      <c r="K13" s="98">
        <v>41.548886948388919</v>
      </c>
      <c r="L13" s="98">
        <v>48.939194870866729</v>
      </c>
      <c r="M13" s="98">
        <v>44.674718471835057</v>
      </c>
      <c r="N13" s="98">
        <v>45.960024592790433</v>
      </c>
      <c r="O13" s="98">
        <v>43.549820764558866</v>
      </c>
      <c r="P13" s="98">
        <v>37.962135213185839</v>
      </c>
      <c r="Q13" s="98">
        <v>36.012607112171295</v>
      </c>
      <c r="R13" s="98">
        <v>30.040178671078777</v>
      </c>
      <c r="S13" s="98">
        <v>38.393495232180165</v>
      </c>
      <c r="T13" s="98">
        <v>35.492921395979529</v>
      </c>
      <c r="U13" s="98">
        <v>26.503422339007688</v>
      </c>
      <c r="V13" s="98">
        <v>27.70133449813985</v>
      </c>
      <c r="W13" s="98">
        <v>33.001024651656621</v>
      </c>
      <c r="X13" s="98">
        <v>40.393390510108844</v>
      </c>
      <c r="Y13" s="98">
        <v>19.495619620703021</v>
      </c>
      <c r="DA13" s="178" t="s">
        <v>334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48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DA17" s="172"/>
    </row>
    <row r="18" spans="1:105" ht="11.45" customHeight="1" x14ac:dyDescent="0.25">
      <c r="A18" s="99" t="s">
        <v>27</v>
      </c>
      <c r="B18" s="97">
        <f>IF(B4=0,0,B4/TrAvia_ene!B4)</f>
        <v>3.0081134558191325</v>
      </c>
      <c r="C18" s="97">
        <f>IF(C4=0,0,C4/TrAvia_ene!C4)</f>
        <v>3.008172810142753</v>
      </c>
      <c r="D18" s="97">
        <f>IF(D4=0,0,D4/TrAvia_ene!D4)</f>
        <v>3.0089695357320378</v>
      </c>
      <c r="E18" s="97">
        <f>IF(E4=0,0,E4/TrAvia_ene!E4)</f>
        <v>3.0088720939638605</v>
      </c>
      <c r="F18" s="97">
        <f>IF(F4=0,0,F4/TrAvia_ene!F4)</f>
        <v>3.0090201983829381</v>
      </c>
      <c r="G18" s="97">
        <f>IF(G4=0,0,G4/TrAvia_ene!G4)</f>
        <v>3.0084507257336286</v>
      </c>
      <c r="H18" s="97">
        <f>IF(H4=0,0,H4/TrAvia_ene!H4)</f>
        <v>3.0090406570087658</v>
      </c>
      <c r="I18" s="97">
        <f>IF(I4=0,0,I4/TrAvia_ene!I4)</f>
        <v>3.0090573752819267</v>
      </c>
      <c r="J18" s="97">
        <f>IF(J4=0,0,J4/TrAvia_ene!J4)</f>
        <v>3.0089530964237095</v>
      </c>
      <c r="K18" s="97">
        <f>IF(K4=0,0,K4/TrAvia_ene!K4)</f>
        <v>3.008856272630803</v>
      </c>
      <c r="L18" s="97">
        <f>IF(L4=0,0,L4/TrAvia_ene!L4)</f>
        <v>3.008474074835934</v>
      </c>
      <c r="M18" s="97">
        <f>IF(M4=0,0,M4/TrAvia_ene!M4)</f>
        <v>3.0089301215285111</v>
      </c>
      <c r="N18" s="97">
        <f>IF(N4=0,0,N4/TrAvia_ene!N4)</f>
        <v>3.0096195247857387</v>
      </c>
      <c r="O18" s="97">
        <f>IF(O4=0,0,O4/TrAvia_ene!O4)</f>
        <v>3.0089530964237099</v>
      </c>
      <c r="P18" s="97">
        <f>IF(P4=0,0,P4/TrAvia_ene!P4)</f>
        <v>3.0096076361590471</v>
      </c>
      <c r="Q18" s="97">
        <f>IF(Q4=0,0,Q4/TrAvia_ene!Q4)</f>
        <v>3.0096421328834313</v>
      </c>
      <c r="R18" s="97">
        <f>IF(R4=0,0,R4/TrAvia_ene!R4)</f>
        <v>3.0097107897351063</v>
      </c>
      <c r="S18" s="97">
        <f>IF(S4=0,0,S4/TrAvia_ene!S4)</f>
        <v>3.0097083174580401</v>
      </c>
      <c r="T18" s="97">
        <f>IF(T4=0,0,T4/TrAvia_ene!T4)</f>
        <v>3.0099335692733651</v>
      </c>
      <c r="U18" s="97">
        <f>IF(U4=0,0,U4/TrAvia_ene!U4)</f>
        <v>3.0097436654686729</v>
      </c>
      <c r="V18" s="97">
        <f>IF(V4=0,0,V4/TrAvia_ene!V4)</f>
        <v>3.0092742463066671</v>
      </c>
      <c r="W18" s="97">
        <f>IF(W4=0,0,W4/TrAvia_ene!W4)</f>
        <v>3.0094417333609718</v>
      </c>
      <c r="X18" s="97">
        <f>IF(X4=0,0,X4/TrAvia_ene!X4)</f>
        <v>3.0093460606211782</v>
      </c>
      <c r="Y18" s="97">
        <f>IF(Y4=0,0,Y4/TrAvia_ene!Y4)</f>
        <v>3.0095556036941695</v>
      </c>
      <c r="DA18" s="175"/>
    </row>
    <row r="19" spans="1:105" ht="11.45" customHeight="1" x14ac:dyDescent="0.25">
      <c r="A19" s="100" t="s">
        <v>116</v>
      </c>
      <c r="B19" s="98">
        <f>IF(B5=0,0,B5/TrAvia_ene!B5)</f>
        <v>3.0103092000000018</v>
      </c>
      <c r="C19" s="98">
        <f>IF(C5=0,0,C5/TrAvia_ene!C5)</f>
        <v>3.0103091999999996</v>
      </c>
      <c r="D19" s="98">
        <f>IF(D5=0,0,D5/TrAvia_ene!D5)</f>
        <v>3.0103092</v>
      </c>
      <c r="E19" s="98">
        <f>IF(E5=0,0,E5/TrAvia_ene!E5)</f>
        <v>3.0103092000000009</v>
      </c>
      <c r="F19" s="98">
        <f>IF(F5=0,0,F5/TrAvia_ene!F5)</f>
        <v>3.0103092000000005</v>
      </c>
      <c r="G19" s="98">
        <f>IF(G5=0,0,G5/TrAvia_ene!G5)</f>
        <v>3.0103091999999996</v>
      </c>
      <c r="H19" s="98">
        <f>IF(H5=0,0,H5/TrAvia_ene!H5)</f>
        <v>3.0103091999999991</v>
      </c>
      <c r="I19" s="98">
        <f>IF(I5=0,0,I5/TrAvia_ene!I5)</f>
        <v>3.0103092000000014</v>
      </c>
      <c r="J19" s="98">
        <f>IF(J5=0,0,J5/TrAvia_ene!J5)</f>
        <v>3.0103092</v>
      </c>
      <c r="K19" s="98">
        <f>IF(K5=0,0,K5/TrAvia_ene!K5)</f>
        <v>3.0103091999999991</v>
      </c>
      <c r="L19" s="98">
        <f>IF(L5=0,0,L5/TrAvia_ene!L5)</f>
        <v>3.0103092000000009</v>
      </c>
      <c r="M19" s="98">
        <f>IF(M5=0,0,M5/TrAvia_ene!M5)</f>
        <v>3.0103092000000005</v>
      </c>
      <c r="N19" s="98">
        <f>IF(N5=0,0,N5/TrAvia_ene!N5)</f>
        <v>3.0103092</v>
      </c>
      <c r="O19" s="98">
        <f>IF(O5=0,0,O5/TrAvia_ene!O5)</f>
        <v>3.0103092</v>
      </c>
      <c r="P19" s="98">
        <f>IF(P5=0,0,P5/TrAvia_ene!P5)</f>
        <v>3.0103092000000005</v>
      </c>
      <c r="Q19" s="98">
        <f>IF(Q5=0,0,Q5/TrAvia_ene!Q5)</f>
        <v>3.0103092000000005</v>
      </c>
      <c r="R19" s="98">
        <f>IF(R5=0,0,R5/TrAvia_ene!R5)</f>
        <v>3.0103092000000005</v>
      </c>
      <c r="S19" s="98">
        <f>IF(S5=0,0,S5/TrAvia_ene!S5)</f>
        <v>3.0103092000000014</v>
      </c>
      <c r="T19" s="98">
        <f>IF(T5=0,0,T5/TrAvia_ene!T5)</f>
        <v>3.0103092000000009</v>
      </c>
      <c r="U19" s="98">
        <f>IF(U5=0,0,U5/TrAvia_ene!U5)</f>
        <v>3.0103092000000018</v>
      </c>
      <c r="V19" s="98">
        <f>IF(V5=0,0,V5/TrAvia_ene!V5)</f>
        <v>3.0103092</v>
      </c>
      <c r="W19" s="98">
        <f>IF(W5=0,0,W5/TrAvia_ene!W5)</f>
        <v>3.0103092</v>
      </c>
      <c r="X19" s="98">
        <f>IF(X5=0,0,X5/TrAvia_ene!X5)</f>
        <v>3.0103092000000005</v>
      </c>
      <c r="Y19" s="98">
        <f>IF(Y5=0,0,Y5/TrAvia_ene!Y5)</f>
        <v>3.0103092000000022</v>
      </c>
      <c r="DA19" s="178"/>
    </row>
    <row r="20" spans="1:105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DA20" s="181"/>
    </row>
    <row r="21" spans="1:105" ht="11.45" customHeight="1" x14ac:dyDescent="0.25">
      <c r="A21" s="53" t="s">
        <v>129</v>
      </c>
      <c r="B21" s="54">
        <f>IF(B3=0,0,B3/TrAvia_act!B13*1000)</f>
        <v>13172.580902770553</v>
      </c>
      <c r="C21" s="54">
        <f>IF(C3=0,0,C3/TrAvia_act!C13*1000)</f>
        <v>13196.849524324654</v>
      </c>
      <c r="D21" s="54">
        <f>IF(D3=0,0,D3/TrAvia_act!D13*1000)</f>
        <v>13207.196440732552</v>
      </c>
      <c r="E21" s="54">
        <f>IF(E3=0,0,E3/TrAvia_act!E13*1000)</f>
        <v>13485.434277219627</v>
      </c>
      <c r="F21" s="54">
        <f>IF(F3=0,0,F3/TrAvia_act!F13*1000)</f>
        <v>14277.929054106749</v>
      </c>
      <c r="G21" s="54">
        <f>IF(G3=0,0,G3/TrAvia_act!G13*1000)</f>
        <v>13482.974714427672</v>
      </c>
      <c r="H21" s="54">
        <f>IF(H3=0,0,H3/TrAvia_act!H13*1000)</f>
        <v>12909.429167004859</v>
      </c>
      <c r="I21" s="54">
        <f>IF(I3=0,0,I3/TrAvia_act!I13*1000)</f>
        <v>12342.443732724934</v>
      </c>
      <c r="J21" s="54">
        <f>IF(J3=0,0,J3/TrAvia_act!J13*1000)</f>
        <v>12756.440059412564</v>
      </c>
      <c r="K21" s="54">
        <f>IF(K3=0,0,K3/TrAvia_act!K13*1000)</f>
        <v>12960.985010192813</v>
      </c>
      <c r="L21" s="54">
        <f>IF(L3=0,0,L3/TrAvia_act!L13*1000)</f>
        <v>13346.109074044849</v>
      </c>
      <c r="M21" s="54">
        <f>IF(M3=0,0,M3/TrAvia_act!M13*1000)</f>
        <v>13239.176510443931</v>
      </c>
      <c r="N21" s="54">
        <f>IF(N3=0,0,N3/TrAvia_act!N13*1000)</f>
        <v>13267.361705656342</v>
      </c>
      <c r="O21" s="54">
        <f>IF(O3=0,0,O3/TrAvia_act!O13*1000)</f>
        <v>13019.355133503454</v>
      </c>
      <c r="P21" s="54">
        <f>IF(P3=0,0,P3/TrAvia_act!P13*1000)</f>
        <v>12575.106657717577</v>
      </c>
      <c r="Q21" s="54">
        <f>IF(Q3=0,0,Q3/TrAvia_act!Q13*1000)</f>
        <v>12844.946474903545</v>
      </c>
      <c r="R21" s="54">
        <f>IF(R3=0,0,R3/TrAvia_act!R13*1000)</f>
        <v>12612.396582247457</v>
      </c>
      <c r="S21" s="54">
        <f>IF(S3=0,0,S3/TrAvia_act!S13*1000)</f>
        <v>12692.561180523386</v>
      </c>
      <c r="T21" s="54">
        <f>IF(T3=0,0,T3/TrAvia_act!T13*1000)</f>
        <v>12361.132294578965</v>
      </c>
      <c r="U21" s="54">
        <f>IF(U3=0,0,U3/TrAvia_act!U13*1000)</f>
        <v>12196.447965321569</v>
      </c>
      <c r="V21" s="54">
        <f>IF(V3=0,0,V3/TrAvia_act!V13*1000)</f>
        <v>11480.161816375023</v>
      </c>
      <c r="W21" s="54">
        <f>IF(W3=0,0,W3/TrAvia_act!W13*1000)</f>
        <v>11106.664083086733</v>
      </c>
      <c r="X21" s="54">
        <f>IF(X3=0,0,X3/TrAvia_act!X13*1000)</f>
        <v>12235.294453482862</v>
      </c>
      <c r="Y21" s="54">
        <f>IF(Y3=0,0,Y3/TrAvia_act!Y13*1000)</f>
        <v>12490.660506176762</v>
      </c>
      <c r="DA21" s="172" t="s">
        <v>335</v>
      </c>
    </row>
    <row r="22" spans="1:105" ht="11.45" customHeight="1" x14ac:dyDescent="0.25">
      <c r="A22" s="10" t="s">
        <v>33</v>
      </c>
      <c r="B22" s="11">
        <f>IF(B6=0,0,B6/TrAvia_act!B14*1000)</f>
        <v>13145.335715876825</v>
      </c>
      <c r="C22" s="11">
        <f>IF(C6=0,0,C6/TrAvia_act!C14*1000)</f>
        <v>13170.896837272574</v>
      </c>
      <c r="D22" s="11">
        <f>IF(D6=0,0,D6/TrAvia_act!D14*1000)</f>
        <v>13182.880974484002</v>
      </c>
      <c r="E22" s="11">
        <f>IF(E6=0,0,E6/TrAvia_act!E14*1000)</f>
        <v>13463.322002722063</v>
      </c>
      <c r="F22" s="11">
        <f>IF(F6=0,0,F6/TrAvia_act!F14*1000)</f>
        <v>14256.841069650063</v>
      </c>
      <c r="G22" s="11">
        <f>IF(G6=0,0,G6/TrAvia_act!G14*1000)</f>
        <v>13463.559238983482</v>
      </c>
      <c r="H22" s="11">
        <f>IF(H6=0,0,H6/TrAvia_act!H14*1000)</f>
        <v>12895.173087800662</v>
      </c>
      <c r="I22" s="11">
        <f>IF(I6=0,0,I6/TrAvia_act!I14*1000)</f>
        <v>12319.716847135191</v>
      </c>
      <c r="J22" s="11">
        <f>IF(J6=0,0,J6/TrAvia_act!J14*1000)</f>
        <v>12722.787278053209</v>
      </c>
      <c r="K22" s="11">
        <f>IF(K6=0,0,K6/TrAvia_act!K14*1000)</f>
        <v>12935.614042688241</v>
      </c>
      <c r="L22" s="11">
        <f>IF(L6=0,0,L6/TrAvia_act!L14*1000)</f>
        <v>13329.573453373096</v>
      </c>
      <c r="M22" s="11">
        <f>IF(M6=0,0,M6/TrAvia_act!M14*1000)</f>
        <v>13231.880567607528</v>
      </c>
      <c r="N22" s="11">
        <f>IF(N6=0,0,N6/TrAvia_act!N14*1000)</f>
        <v>13261.898998686296</v>
      </c>
      <c r="O22" s="11">
        <f>IF(O6=0,0,O6/TrAvia_act!O14*1000)</f>
        <v>13011.81932002288</v>
      </c>
      <c r="P22" s="11">
        <f>IF(P6=0,0,P6/TrAvia_act!P14*1000)</f>
        <v>12573.173670528147</v>
      </c>
      <c r="Q22" s="11">
        <f>IF(Q6=0,0,Q6/TrAvia_act!Q14*1000)</f>
        <v>12841.600572186473</v>
      </c>
      <c r="R22" s="11">
        <f>IF(R6=0,0,R6/TrAvia_act!R14*1000)</f>
        <v>12611.548955482538</v>
      </c>
      <c r="S22" s="11">
        <f>IF(S6=0,0,S6/TrAvia_act!S14*1000)</f>
        <v>12698.684705645659</v>
      </c>
      <c r="T22" s="11">
        <f>IF(T6=0,0,T6/TrAvia_act!T14*1000)</f>
        <v>12371.21614769077</v>
      </c>
      <c r="U22" s="11">
        <f>IF(U6=0,0,U6/TrAvia_act!U14*1000)</f>
        <v>12225.437817420785</v>
      </c>
      <c r="V22" s="11">
        <f>IF(V6=0,0,V6/TrAvia_act!V14*1000)</f>
        <v>11506.623393401092</v>
      </c>
      <c r="W22" s="11">
        <f>IF(W6=0,0,W6/TrAvia_act!W14*1000)</f>
        <v>11143.584873556936</v>
      </c>
      <c r="X22" s="11">
        <f>IF(X6=0,0,X6/TrAvia_act!X14*1000)</f>
        <v>12281.916689769258</v>
      </c>
      <c r="Y22" s="11">
        <f>IF(Y6=0,0,Y6/TrAvia_act!Y14*1000)</f>
        <v>12509.16720187224</v>
      </c>
      <c r="DA22" s="189" t="s">
        <v>336</v>
      </c>
    </row>
    <row r="23" spans="1:105" ht="11.25" customHeight="1" x14ac:dyDescent="0.25">
      <c r="A23" s="83" t="s">
        <v>27</v>
      </c>
      <c r="B23" s="84">
        <f>IF(B7=0,0,B7/TrAvia_act!B15*1000)</f>
        <v>15392.400254475637</v>
      </c>
      <c r="C23" s="84">
        <f>IF(C7=0,0,C7/TrAvia_act!C15*1000)</f>
        <v>15460.866761953688</v>
      </c>
      <c r="D23" s="84">
        <f>IF(D7=0,0,D7/TrAvia_act!D15*1000)</f>
        <v>15499.881779539366</v>
      </c>
      <c r="E23" s="84">
        <f>IF(E7=0,0,E7/TrAvia_act!E15*1000)</f>
        <v>14832.444866612896</v>
      </c>
      <c r="F23" s="84">
        <f>IF(F7=0,0,F7/TrAvia_act!F15*1000)</f>
        <v>14868.654311791548</v>
      </c>
      <c r="G23" s="84">
        <f>IF(G7=0,0,G7/TrAvia_act!G15*1000)</f>
        <v>14495.764142882794</v>
      </c>
      <c r="H23" s="84">
        <f>IF(H7=0,0,H7/TrAvia_act!H15*1000)</f>
        <v>16170.814113772283</v>
      </c>
      <c r="I23" s="84">
        <f>IF(I7=0,0,I7/TrAvia_act!I15*1000)</f>
        <v>16965.911144419952</v>
      </c>
      <c r="J23" s="84">
        <f>IF(J7=0,0,J7/TrAvia_act!J15*1000)</f>
        <v>14832.039437457637</v>
      </c>
      <c r="K23" s="84">
        <f>IF(K7=0,0,K7/TrAvia_act!K15*1000)</f>
        <v>14898.101773310249</v>
      </c>
      <c r="L23" s="84">
        <f>IF(L7=0,0,L7/TrAvia_act!L15*1000)</f>
        <v>17608.812755922223</v>
      </c>
      <c r="M23" s="84">
        <f>IF(M7=0,0,M7/TrAvia_act!M15*1000)</f>
        <v>16770.55207475102</v>
      </c>
      <c r="N23" s="84">
        <f>IF(N7=0,0,N7/TrAvia_act!N15*1000)</f>
        <v>17183.847642654073</v>
      </c>
      <c r="O23" s="84">
        <f>IF(O7=0,0,O7/TrAvia_act!O15*1000)</f>
        <v>17609.249578425686</v>
      </c>
      <c r="P23" s="84">
        <f>IF(P7=0,0,P7/TrAvia_act!P15*1000)</f>
        <v>16290.847024913352</v>
      </c>
      <c r="Q23" s="84">
        <f>IF(Q7=0,0,Q7/TrAvia_act!Q15*1000)</f>
        <v>15695.239604888104</v>
      </c>
      <c r="R23" s="84">
        <f>IF(R7=0,0,R7/TrAvia_act!R15*1000)</f>
        <v>12005.15025299674</v>
      </c>
      <c r="S23" s="84">
        <f>IF(S7=0,0,S7/TrAvia_act!S15*1000)</f>
        <v>14121.414570196019</v>
      </c>
      <c r="T23" s="84">
        <f>IF(T7=0,0,T7/TrAvia_act!T15*1000)</f>
        <v>14206.140166799707</v>
      </c>
      <c r="U23" s="84">
        <f>IF(U7=0,0,U7/TrAvia_act!U15*1000)</f>
        <v>12265.415532061608</v>
      </c>
      <c r="V23" s="84">
        <f>IF(V7=0,0,V7/TrAvia_act!V15*1000)</f>
        <v>12705.655742769846</v>
      </c>
      <c r="W23" s="84">
        <f>IF(W7=0,0,W7/TrAvia_act!W15*1000)</f>
        <v>11934.206023114326</v>
      </c>
      <c r="X23" s="84">
        <f>IF(X7=0,0,X7/TrAvia_act!X15*1000)</f>
        <v>10250.105894047241</v>
      </c>
      <c r="Y23" s="84">
        <f>IF(Y7=0,0,Y7/TrAvia_act!Y15*1000)</f>
        <v>11048.676972731537</v>
      </c>
      <c r="DA23" s="171" t="s">
        <v>337</v>
      </c>
    </row>
    <row r="24" spans="1:105" ht="11.45" customHeight="1" x14ac:dyDescent="0.25">
      <c r="A24" s="83" t="s">
        <v>181</v>
      </c>
      <c r="B24" s="84">
        <f>IF(B8=0,0,B8/TrAvia_act!B16*1000)</f>
        <v>10783.849598071454</v>
      </c>
      <c r="C24" s="84">
        <f>IF(C8=0,0,C8/TrAvia_act!C16*1000)</f>
        <v>10782.178370165984</v>
      </c>
      <c r="D24" s="84">
        <f>IF(D8=0,0,D8/TrAvia_act!D16*1000)</f>
        <v>10761.313556354851</v>
      </c>
      <c r="E24" s="84">
        <f>IF(E8=0,0,E8/TrAvia_act!E16*1000)</f>
        <v>11009.251689385022</v>
      </c>
      <c r="F24" s="84">
        <f>IF(F8=0,0,F8/TrAvia_act!F16*1000)</f>
        <v>11838.148509687886</v>
      </c>
      <c r="G24" s="84">
        <f>IF(G8=0,0,G8/TrAvia_act!G16*1000)</f>
        <v>11465.707233932309</v>
      </c>
      <c r="H24" s="84">
        <f>IF(H8=0,0,H8/TrAvia_act!H16*1000)</f>
        <v>10787.920813192051</v>
      </c>
      <c r="I24" s="84">
        <f>IF(I8=0,0,I8/TrAvia_act!I16*1000)</f>
        <v>10567.67421058597</v>
      </c>
      <c r="J24" s="84">
        <f>IF(J8=0,0,J8/TrAvia_act!J16*1000)</f>
        <v>11032.597435326081</v>
      </c>
      <c r="K24" s="84">
        <f>IF(K8=0,0,K8/TrAvia_act!K16*1000)</f>
        <v>11080.974590075346</v>
      </c>
      <c r="L24" s="84">
        <f>IF(L8=0,0,L8/TrAvia_act!L16*1000)</f>
        <v>11338.402589349855</v>
      </c>
      <c r="M24" s="84">
        <f>IF(M8=0,0,M8/TrAvia_act!M16*1000)</f>
        <v>11511.94702588051</v>
      </c>
      <c r="N24" s="84">
        <f>IF(N8=0,0,N8/TrAvia_act!N16*1000)</f>
        <v>11519.378524804015</v>
      </c>
      <c r="O24" s="84">
        <f>IF(O8=0,0,O8/TrAvia_act!O16*1000)</f>
        <v>11199.319355942907</v>
      </c>
      <c r="P24" s="84">
        <f>IF(P8=0,0,P8/TrAvia_act!P16*1000)</f>
        <v>11032.970638667333</v>
      </c>
      <c r="Q24" s="84">
        <f>IF(Q8=0,0,Q8/TrAvia_act!Q16*1000)</f>
        <v>11235.608547009862</v>
      </c>
      <c r="R24" s="84">
        <f>IF(R8=0,0,R8/TrAvia_act!R16*1000)</f>
        <v>11561.956932224439</v>
      </c>
      <c r="S24" s="84">
        <f>IF(S8=0,0,S8/TrAvia_act!S16*1000)</f>
        <v>11739.00363923075</v>
      </c>
      <c r="T24" s="84">
        <f>IF(T8=0,0,T8/TrAvia_act!T16*1000)</f>
        <v>11607.726433795202</v>
      </c>
      <c r="U24" s="84">
        <f>IF(U8=0,0,U8/TrAvia_act!U16*1000)</f>
        <v>12101.966741263861</v>
      </c>
      <c r="V24" s="84">
        <f>IF(V8=0,0,V8/TrAvia_act!V16*1000)</f>
        <v>9081.6884383887118</v>
      </c>
      <c r="W24" s="84">
        <f>IF(W8=0,0,W8/TrAvia_act!W16*1000)</f>
        <v>9403.7776229255142</v>
      </c>
      <c r="X24" s="84">
        <f>IF(X8=0,0,X8/TrAvia_act!X16*1000)</f>
        <v>12494.761988569004</v>
      </c>
      <c r="Y24" s="84">
        <f>IF(Y8=0,0,Y8/TrAvia_act!Y16*1000)</f>
        <v>12946.082053262395</v>
      </c>
      <c r="DA24" s="171" t="s">
        <v>338</v>
      </c>
    </row>
    <row r="25" spans="1:105" ht="11.45" customHeight="1" x14ac:dyDescent="0.25">
      <c r="A25" s="83" t="s">
        <v>182</v>
      </c>
      <c r="B25" s="84">
        <f>IF(B9=0,0,B9/TrAvia_act!B17*1000)</f>
        <v>19246.585385086037</v>
      </c>
      <c r="C25" s="84">
        <f>IF(C9=0,0,C9/TrAvia_act!C17*1000)</f>
        <v>19243.605752632047</v>
      </c>
      <c r="D25" s="84">
        <f>IF(D9=0,0,D9/TrAvia_act!D17*1000)</f>
        <v>19206.364235590157</v>
      </c>
      <c r="E25" s="84">
        <f>IF(E9=0,0,E9/TrAvia_act!E17*1000)</f>
        <v>19634.350640073219</v>
      </c>
      <c r="F25" s="84">
        <f>IF(F9=0,0,F9/TrAvia_act!F17*1000)</f>
        <v>21085.104250841163</v>
      </c>
      <c r="G25" s="84">
        <f>IF(G9=0,0,G9/TrAvia_act!G17*1000)</f>
        <v>18260.470232860029</v>
      </c>
      <c r="H25" s="84">
        <f>IF(H9=0,0,H9/TrAvia_act!H17*1000)</f>
        <v>17254.219905769929</v>
      </c>
      <c r="I25" s="84">
        <f>IF(I9=0,0,I9/TrAvia_act!I17*1000)</f>
        <v>15203.735216348963</v>
      </c>
      <c r="J25" s="84">
        <f>IF(J9=0,0,J9/TrAvia_act!J17*1000)</f>
        <v>16487.560059050127</v>
      </c>
      <c r="K25" s="84">
        <f>IF(K9=0,0,K9/TrAvia_act!K17*1000)</f>
        <v>17018.9050371415</v>
      </c>
      <c r="L25" s="84">
        <f>IF(L9=0,0,L9/TrAvia_act!L17*1000)</f>
        <v>16681.936675684821</v>
      </c>
      <c r="M25" s="84">
        <f>IF(M9=0,0,M9/TrAvia_act!M17*1000)</f>
        <v>16248.853875203306</v>
      </c>
      <c r="N25" s="84">
        <f>IF(N9=0,0,N9/TrAvia_act!N17*1000)</f>
        <v>16092.36635689172</v>
      </c>
      <c r="O25" s="84">
        <f>IF(O9=0,0,O9/TrAvia_act!O17*1000)</f>
        <v>15986.695455239058</v>
      </c>
      <c r="P25" s="84">
        <f>IF(P9=0,0,P9/TrAvia_act!P17*1000)</f>
        <v>15181.721511848176</v>
      </c>
      <c r="Q25" s="84">
        <f>IF(Q9=0,0,Q9/TrAvia_act!Q17*1000)</f>
        <v>16057.175524716886</v>
      </c>
      <c r="R25" s="84">
        <f>IF(R9=0,0,R9/TrAvia_act!R17*1000)</f>
        <v>15764.326881423161</v>
      </c>
      <c r="S25" s="84">
        <f>IF(S9=0,0,S9/TrAvia_act!S17*1000)</f>
        <v>14639.40538977605</v>
      </c>
      <c r="T25" s="84">
        <f>IF(T9=0,0,T9/TrAvia_act!T17*1000)</f>
        <v>13510.954134351023</v>
      </c>
      <c r="U25" s="84">
        <f>IF(U9=0,0,U9/TrAvia_act!U17*1000)</f>
        <v>12472.191218585984</v>
      </c>
      <c r="V25" s="84">
        <f>IF(V9=0,0,V9/TrAvia_act!V17*1000)</f>
        <v>16854.247725668116</v>
      </c>
      <c r="W25" s="84">
        <f>IF(W9=0,0,W9/TrAvia_act!W17*1000)</f>
        <v>15187.505134328669</v>
      </c>
      <c r="X25" s="84">
        <f>IF(X9=0,0,X9/TrAvia_act!X17*1000)</f>
        <v>12615.71101333877</v>
      </c>
      <c r="Y25" s="84">
        <f>IF(Y9=0,0,Y9/TrAvia_act!Y17*1000)</f>
        <v>12114.657096394143</v>
      </c>
      <c r="DA25" s="171" t="s">
        <v>339</v>
      </c>
    </row>
    <row r="26" spans="1:105" ht="11.45" customHeight="1" x14ac:dyDescent="0.25">
      <c r="A26" s="12" t="s">
        <v>34</v>
      </c>
      <c r="B26" s="13">
        <f>IF(B10=0,0,B10/TrAvia_act!B18*1000)</f>
        <v>14293.077845423313</v>
      </c>
      <c r="C26" s="13">
        <f>IF(C10=0,0,C10/TrAvia_act!C18*1000)</f>
        <v>14320.056259995756</v>
      </c>
      <c r="D26" s="13">
        <f>IF(D10=0,0,D10/TrAvia_act!D18*1000)</f>
        <v>14229.065350126399</v>
      </c>
      <c r="E26" s="13">
        <f>IF(E10=0,0,E10/TrAvia_act!E18*1000)</f>
        <v>14549.740434279624</v>
      </c>
      <c r="F26" s="13">
        <f>IF(F10=0,0,F10/TrAvia_act!F18*1000)</f>
        <v>15245.720710830417</v>
      </c>
      <c r="G26" s="13">
        <f>IF(G10=0,0,G10/TrAvia_act!G18*1000)</f>
        <v>14360.70100809197</v>
      </c>
      <c r="H26" s="13">
        <f>IF(H10=0,0,H10/TrAvia_act!H18*1000)</f>
        <v>13440.079666139174</v>
      </c>
      <c r="I26" s="13">
        <f>IF(I10=0,0,I10/TrAvia_act!I18*1000)</f>
        <v>13171.837877940365</v>
      </c>
      <c r="J26" s="13">
        <f>IF(J10=0,0,J10/TrAvia_act!J18*1000)</f>
        <v>13860.575945808687</v>
      </c>
      <c r="K26" s="13">
        <f>IF(K10=0,0,K10/TrAvia_act!K18*1000)</f>
        <v>13831.96936515798</v>
      </c>
      <c r="L26" s="13">
        <f>IF(L10=0,0,L10/TrAvia_act!L18*1000)</f>
        <v>13880.808949823419</v>
      </c>
      <c r="M26" s="13">
        <f>IF(M10=0,0,M10/TrAvia_act!M18*1000)</f>
        <v>13527.424502933791</v>
      </c>
      <c r="N26" s="13">
        <f>IF(N10=0,0,N10/TrAvia_act!N18*1000)</f>
        <v>13488.905162908728</v>
      </c>
      <c r="O26" s="13">
        <f>IF(O10=0,0,O10/TrAvia_act!O18*1000)</f>
        <v>13361.337368674313</v>
      </c>
      <c r="P26" s="13">
        <f>IF(P10=0,0,P10/TrAvia_act!P18*1000)</f>
        <v>12676.931427720141</v>
      </c>
      <c r="Q26" s="13">
        <f>IF(Q10=0,0,Q10/TrAvia_act!Q18*1000)</f>
        <v>13042.718829210153</v>
      </c>
      <c r="R26" s="13">
        <f>IF(R10=0,0,R10/TrAvia_act!R18*1000)</f>
        <v>12677.206824695595</v>
      </c>
      <c r="S26" s="13">
        <f>IF(S10=0,0,S10/TrAvia_act!S18*1000)</f>
        <v>12287.426963077953</v>
      </c>
      <c r="T26" s="13">
        <f>IF(T10=0,0,T10/TrAvia_act!T18*1000)</f>
        <v>11647.3070990003</v>
      </c>
      <c r="U26" s="13">
        <f>IF(U10=0,0,U10/TrAvia_act!U18*1000)</f>
        <v>10001.056916638072</v>
      </c>
      <c r="V26" s="13">
        <f>IF(V10=0,0,V10/TrAvia_act!V18*1000)</f>
        <v>10584.870209663321</v>
      </c>
      <c r="W26" s="13">
        <f>IF(W10=0,0,W10/TrAvia_act!W18*1000)</f>
        <v>9825.6658927628687</v>
      </c>
      <c r="X26" s="13">
        <f>IF(X10=0,0,X10/TrAvia_act!X18*1000)</f>
        <v>9827.1916292925835</v>
      </c>
      <c r="Y26" s="13">
        <f>IF(Y10=0,0,Y10/TrAvia_act!Y18*1000)</f>
        <v>10848.734368833828</v>
      </c>
      <c r="DA26" s="193" t="s">
        <v>340</v>
      </c>
    </row>
    <row r="27" spans="1:105" ht="11.45" customHeight="1" x14ac:dyDescent="0.25">
      <c r="A27" s="92" t="s">
        <v>27</v>
      </c>
      <c r="B27" s="102">
        <f>IF(B11=0,0,B11/TrAvia_act!B19*1000)</f>
        <v>53329.058202103792</v>
      </c>
      <c r="C27" s="102">
        <f>IF(C11=0,0,C11/TrAvia_act!C19*1000)</f>
        <v>53566.269702703248</v>
      </c>
      <c r="D27" s="102">
        <f>IF(D11=0,0,D11/TrAvia_act!D19*1000)</f>
        <v>53701.442522353507</v>
      </c>
      <c r="E27" s="102">
        <f>IF(E11=0,0,E11/TrAvia_act!E19*1000)</f>
        <v>51389.016819588986</v>
      </c>
      <c r="F27" s="102">
        <f>IF(F11=0,0,F11/TrAvia_act!F19*1000)</f>
        <v>51514.469353142791</v>
      </c>
      <c r="G27" s="102">
        <f>IF(G11=0,0,G11/TrAvia_act!G19*1000)</f>
        <v>47085.85831786639</v>
      </c>
      <c r="H27" s="102">
        <f>IF(H11=0,0,H11/TrAvia_act!H19*1000)</f>
        <v>35079.23675409743</v>
      </c>
      <c r="I27" s="102">
        <f>IF(I11=0,0,I11/TrAvia_act!I19*1000)</f>
        <v>29213.756357192153</v>
      </c>
      <c r="J27" s="102">
        <f>IF(J11=0,0,J11/TrAvia_act!J19*1000)</f>
        <v>21835.638891709161</v>
      </c>
      <c r="K27" s="102">
        <f>IF(K11=0,0,K11/TrAvia_act!K19*1000)</f>
        <v>19359.367020570473</v>
      </c>
      <c r="L27" s="102">
        <f>IF(L11=0,0,L11/TrAvia_act!L19*1000)</f>
        <v>20414.746596263794</v>
      </c>
      <c r="M27" s="102">
        <f>IF(M11=0,0,M11/TrAvia_act!M19*1000)</f>
        <v>21593.080528716862</v>
      </c>
      <c r="N27" s="102">
        <f>IF(N11=0,0,N11/TrAvia_act!N19*1000)</f>
        <v>24874.11854173143</v>
      </c>
      <c r="O27" s="102">
        <f>IF(O11=0,0,O11/TrAvia_act!O19*1000)</f>
        <v>25806.429675084863</v>
      </c>
      <c r="P27" s="102">
        <f>IF(P11=0,0,P11/TrAvia_act!P19*1000)</f>
        <v>23672.631365877362</v>
      </c>
      <c r="Q27" s="102">
        <f>IF(Q11=0,0,Q11/TrAvia_act!Q19*1000)</f>
        <v>22769.08285644541</v>
      </c>
      <c r="R27" s="102">
        <f>IF(R11=0,0,R11/TrAvia_act!R19*1000)</f>
        <v>18431.565239237119</v>
      </c>
      <c r="S27" s="102">
        <f>IF(S11=0,0,S11/TrAvia_act!S19*1000)</f>
        <v>21447.957724000215</v>
      </c>
      <c r="T27" s="102">
        <f>IF(T11=0,0,T11/TrAvia_act!T19*1000)</f>
        <v>22036.890824080187</v>
      </c>
      <c r="U27" s="102">
        <f>IF(U11=0,0,U11/TrAvia_act!U19*1000)</f>
        <v>19242.055020315485</v>
      </c>
      <c r="V27" s="102">
        <f>IF(V11=0,0,V11/TrAvia_act!V19*1000)</f>
        <v>19887.063233246838</v>
      </c>
      <c r="W27" s="102">
        <f>IF(W11=0,0,W11/TrAvia_act!W19*1000)</f>
        <v>18954.306675285705</v>
      </c>
      <c r="X27" s="102">
        <f>IF(X11=0,0,X11/TrAvia_act!X19*1000)</f>
        <v>16428.680543452047</v>
      </c>
      <c r="Y27" s="102">
        <f>IF(Y11=0,0,Y11/TrAvia_act!Y19*1000)</f>
        <v>15760.556684753648</v>
      </c>
      <c r="DA27" s="175" t="s">
        <v>341</v>
      </c>
    </row>
    <row r="28" spans="1:105" ht="11.45" customHeight="1" x14ac:dyDescent="0.25">
      <c r="A28" s="92" t="s">
        <v>181</v>
      </c>
      <c r="B28" s="102">
        <f>IF(B12=0,0,B12/TrAvia_act!B20*1000)</f>
        <v>10429.361849909479</v>
      </c>
      <c r="C28" s="102">
        <f>IF(C12=0,0,C12/TrAvia_act!C20*1000)</f>
        <v>10433.592432916977</v>
      </c>
      <c r="D28" s="102">
        <f>IF(D12=0,0,D12/TrAvia_act!D20*1000)</f>
        <v>10412.772311465176</v>
      </c>
      <c r="E28" s="102">
        <f>IF(E12=0,0,E12/TrAvia_act!E20*1000)</f>
        <v>10657.106844157177</v>
      </c>
      <c r="F28" s="102">
        <f>IF(F12=0,0,F12/TrAvia_act!F20*1000)</f>
        <v>11483.773633889181</v>
      </c>
      <c r="G28" s="102">
        <f>IF(G12=0,0,G12/TrAvia_act!G20*1000)</f>
        <v>11131.672565905732</v>
      </c>
      <c r="H28" s="102">
        <f>IF(H12=0,0,H12/TrAvia_act!H20*1000)</f>
        <v>10446.222840801405</v>
      </c>
      <c r="I28" s="102">
        <f>IF(I12=0,0,I12/TrAvia_act!I20*1000)</f>
        <v>10131.349814943151</v>
      </c>
      <c r="J28" s="102">
        <f>IF(J12=0,0,J12/TrAvia_act!J20*1000)</f>
        <v>10404.640436617987</v>
      </c>
      <c r="K28" s="102">
        <f>IF(K12=0,0,K12/TrAvia_act!K20*1000)</f>
        <v>10413.586012591921</v>
      </c>
      <c r="L28" s="102">
        <f>IF(L12=0,0,L12/TrAvia_act!L20*1000)</f>
        <v>10629.330636730729</v>
      </c>
      <c r="M28" s="102">
        <f>IF(M12=0,0,M12/TrAvia_act!M20*1000)</f>
        <v>10773.725631228968</v>
      </c>
      <c r="N28" s="102">
        <f>IF(N12=0,0,N12/TrAvia_act!N20*1000)</f>
        <v>10764.707200529592</v>
      </c>
      <c r="O28" s="102">
        <f>IF(O12=0,0,O12/TrAvia_act!O20*1000)</f>
        <v>10358.519417614203</v>
      </c>
      <c r="P28" s="102">
        <f>IF(P12=0,0,P12/TrAvia_act!P20*1000)</f>
        <v>10234.604255718978</v>
      </c>
      <c r="Q28" s="102">
        <f>IF(Q12=0,0,Q12/TrAvia_act!Q20*1000)</f>
        <v>10502.937592201259</v>
      </c>
      <c r="R28" s="102">
        <f>IF(R12=0,0,R12/TrAvia_act!R20*1000)</f>
        <v>10918.026629621532</v>
      </c>
      <c r="S28" s="102">
        <f>IF(S12=0,0,S12/TrAvia_act!S20*1000)</f>
        <v>10866.811980725659</v>
      </c>
      <c r="T28" s="102">
        <f>IF(T12=0,0,T12/TrAvia_act!T20*1000)</f>
        <v>10669.43121157102</v>
      </c>
      <c r="U28" s="102">
        <f>IF(U12=0,0,U12/TrAvia_act!U20*1000)</f>
        <v>11179.555106840251</v>
      </c>
      <c r="V28" s="102">
        <f>IF(V12=0,0,V12/TrAvia_act!V20*1000)</f>
        <v>8800.5510195301176</v>
      </c>
      <c r="W28" s="102">
        <f>IF(W12=0,0,W12/TrAvia_act!W20*1000)</f>
        <v>9060.9891804523268</v>
      </c>
      <c r="X28" s="102">
        <f>IF(X12=0,0,X12/TrAvia_act!X20*1000)</f>
        <v>11386.008014225103</v>
      </c>
      <c r="Y28" s="102">
        <f>IF(Y12=0,0,Y12/TrAvia_act!Y20*1000)</f>
        <v>11641.372532923026</v>
      </c>
      <c r="DA28" s="175" t="s">
        <v>342</v>
      </c>
    </row>
    <row r="29" spans="1:105" ht="11.45" customHeight="1" x14ac:dyDescent="0.25">
      <c r="A29" s="85" t="s">
        <v>182</v>
      </c>
      <c r="B29" s="86">
        <f>IF(B13=0,0,B13/TrAvia_act!B21*1000)</f>
        <v>12753.716396764363</v>
      </c>
      <c r="C29" s="86">
        <f>IF(C13=0,0,C13/TrAvia_act!C21*1000)</f>
        <v>12751.741948490842</v>
      </c>
      <c r="D29" s="86">
        <f>IF(D13=0,0,D13/TrAvia_act!D21*1000)</f>
        <v>12727.063921867708</v>
      </c>
      <c r="E29" s="86">
        <f>IF(E13=0,0,E13/TrAvia_act!E21*1000)</f>
        <v>13010.668369889829</v>
      </c>
      <c r="F29" s="86">
        <f>IF(F13=0,0,F13/TrAvia_act!F21*1000)</f>
        <v>13972.007731813919</v>
      </c>
      <c r="G29" s="86">
        <f>IF(G13=0,0,G13/TrAvia_act!G21*1000)</f>
        <v>12235.289683622537</v>
      </c>
      <c r="H29" s="86">
        <f>IF(H13=0,0,H13/TrAvia_act!H21*1000)</f>
        <v>12837.03386709502</v>
      </c>
      <c r="I29" s="86">
        <f>IF(I13=0,0,I13/TrAvia_act!I21*1000)</f>
        <v>13041.646788150212</v>
      </c>
      <c r="J29" s="86">
        <f>IF(J13=0,0,J13/TrAvia_act!J21*1000)</f>
        <v>15100.340128403013</v>
      </c>
      <c r="K29" s="86">
        <f>IF(K13=0,0,K13/TrAvia_act!K21*1000)</f>
        <v>15322.85815867931</v>
      </c>
      <c r="L29" s="86">
        <f>IF(L13=0,0,L13/TrAvia_act!L21*1000)</f>
        <v>14723.357498859841</v>
      </c>
      <c r="M29" s="86">
        <f>IF(M13=0,0,M13/TrAvia_act!M21*1000)</f>
        <v>14049.932074036678</v>
      </c>
      <c r="N29" s="86">
        <f>IF(N13=0,0,N13/TrAvia_act!N21*1000)</f>
        <v>13612.686764834612</v>
      </c>
      <c r="O29" s="86">
        <f>IF(O13=0,0,O13/TrAvia_act!O21*1000)</f>
        <v>13508.646727999552</v>
      </c>
      <c r="P29" s="86">
        <f>IF(P13=0,0,P13/TrAvia_act!P21*1000)</f>
        <v>12804.255543811218</v>
      </c>
      <c r="Q29" s="86">
        <f>IF(Q13=0,0,Q13/TrAvia_act!Q21*1000)</f>
        <v>13517.17379753754</v>
      </c>
      <c r="R29" s="86">
        <f>IF(R13=0,0,R13/TrAvia_act!R21*1000)</f>
        <v>13236.473447747248</v>
      </c>
      <c r="S29" s="86">
        <f>IF(S13=0,0,S13/TrAvia_act!S21*1000)</f>
        <v>12261.078055750464</v>
      </c>
      <c r="T29" s="86">
        <f>IF(T13=0,0,T13/TrAvia_act!T21*1000)</f>
        <v>11310.904258729528</v>
      </c>
      <c r="U29" s="86">
        <f>IF(U13=0,0,U13/TrAvia_act!U21*1000)</f>
        <v>8428.7720289338886</v>
      </c>
      <c r="V29" s="86">
        <f>IF(V13=0,0,V13/TrAvia_act!V21*1000)</f>
        <v>10799.057165715267</v>
      </c>
      <c r="W29" s="86">
        <f>IF(W13=0,0,W13/TrAvia_act!W21*1000)</f>
        <v>9429.5184373862303</v>
      </c>
      <c r="X29" s="86">
        <f>IF(X13=0,0,X13/TrAvia_act!X21*1000)</f>
        <v>8601.7313077407616</v>
      </c>
      <c r="Y29" s="86">
        <f>IF(Y13=0,0,Y13/TrAvia_act!Y21*1000)</f>
        <v>9051.8875414395498</v>
      </c>
      <c r="DA29" s="178" t="s">
        <v>343</v>
      </c>
    </row>
    <row r="30" spans="1:105" x14ac:dyDescent="0.25">
      <c r="A30" s="50"/>
      <c r="B30" s="50"/>
      <c r="C30" s="50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DA30" s="181"/>
    </row>
    <row r="31" spans="1:105" ht="11.45" customHeight="1" x14ac:dyDescent="0.25">
      <c r="A31" s="53" t="s">
        <v>71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DA31" s="172"/>
    </row>
    <row r="32" spans="1:105" ht="11.45" customHeight="1" x14ac:dyDescent="0.25">
      <c r="A32" s="10" t="s">
        <v>160</v>
      </c>
      <c r="B32" s="14">
        <f>IF(B6=0,0,B6/TrAvia_act!B4*1000)</f>
        <v>114.057414631844</v>
      </c>
      <c r="C32" s="14">
        <f>IF(C6=0,0,C6/TrAvia_act!C4*1000)</f>
        <v>113.52194435623248</v>
      </c>
      <c r="D32" s="14">
        <f>IF(D6=0,0,D6/TrAvia_act!D4*1000)</f>
        <v>109.00574680935318</v>
      </c>
      <c r="E32" s="14">
        <f>IF(E6=0,0,E6/TrAvia_act!E4*1000)</f>
        <v>113.0249640250824</v>
      </c>
      <c r="F32" s="14">
        <f>IF(F6=0,0,F6/TrAvia_act!F4*1000)</f>
        <v>117.96040981149699</v>
      </c>
      <c r="G32" s="14">
        <f>IF(G6=0,0,G6/TrAvia_act!G4*1000)</f>
        <v>113.62263273068221</v>
      </c>
      <c r="H32" s="14">
        <f>IF(H6=0,0,H6/TrAvia_act!H4*1000)</f>
        <v>112.49943602744708</v>
      </c>
      <c r="I32" s="14">
        <f>IF(I6=0,0,I6/TrAvia_act!I4*1000)</f>
        <v>106.34757094936288</v>
      </c>
      <c r="J32" s="14">
        <f>IF(J6=0,0,J6/TrAvia_act!J4*1000)</f>
        <v>105.34469977894675</v>
      </c>
      <c r="K32" s="14">
        <f>IF(K6=0,0,K6/TrAvia_act!K4*1000)</f>
        <v>102.74310439612961</v>
      </c>
      <c r="L32" s="14">
        <f>IF(L6=0,0,L6/TrAvia_act!L4*1000)</f>
        <v>104.03694922681559</v>
      </c>
      <c r="M32" s="14">
        <f>IF(M6=0,0,M6/TrAvia_act!M4*1000)</f>
        <v>99.500648283638668</v>
      </c>
      <c r="N32" s="14">
        <f>IF(N6=0,0,N6/TrAvia_act!N4*1000)</f>
        <v>97.092519521898978</v>
      </c>
      <c r="O32" s="14">
        <f>IF(O6=0,0,O6/TrAvia_act!O4*1000)</f>
        <v>92.973625560255783</v>
      </c>
      <c r="P32" s="14">
        <f>IF(P6=0,0,P6/TrAvia_act!P4*1000)</f>
        <v>89.301448794112019</v>
      </c>
      <c r="Q32" s="14">
        <f>IF(Q6=0,0,Q6/TrAvia_act!Q4*1000)</f>
        <v>90.499629858753082</v>
      </c>
      <c r="R32" s="14">
        <f>IF(R6=0,0,R6/TrAvia_act!R4*1000)</f>
        <v>88.761216080653256</v>
      </c>
      <c r="S32" s="14">
        <f>IF(S6=0,0,S6/TrAvia_act!S4*1000)</f>
        <v>84.894618655884003</v>
      </c>
      <c r="T32" s="14">
        <f>IF(T6=0,0,T6/TrAvia_act!T4*1000)</f>
        <v>83.120121668401836</v>
      </c>
      <c r="U32" s="14">
        <f>IF(U6=0,0,U6/TrAvia_act!U4*1000)</f>
        <v>79.664904575853413</v>
      </c>
      <c r="V32" s="14">
        <f>IF(V6=0,0,V6/TrAvia_act!V4*1000)</f>
        <v>97.835450926496875</v>
      </c>
      <c r="W32" s="14">
        <f>IF(W6=0,0,W6/TrAvia_act!W4*1000)</f>
        <v>95.752060620540377</v>
      </c>
      <c r="X32" s="14">
        <f>IF(X6=0,0,X6/TrAvia_act!X4*1000)</f>
        <v>80.417303943584884</v>
      </c>
      <c r="Y32" s="14">
        <f>IF(Y6=0,0,Y6/TrAvia_act!Y4*1000)</f>
        <v>77.222445917096408</v>
      </c>
      <c r="DA32" s="189" t="s">
        <v>344</v>
      </c>
    </row>
    <row r="33" spans="1:105" ht="11.45" customHeight="1" x14ac:dyDescent="0.25">
      <c r="A33" s="83" t="s">
        <v>27</v>
      </c>
      <c r="B33" s="87">
        <f>IF(B7=0,0,B7/TrAvia_act!B5*1000)</f>
        <v>143.40070394509863</v>
      </c>
      <c r="C33" s="87">
        <f>IF(C7=0,0,C7/TrAvia_act!C5*1000)</f>
        <v>143.96365545523355</v>
      </c>
      <c r="D33" s="87">
        <f>IF(D7=0,0,D7/TrAvia_act!D5*1000)</f>
        <v>151.09826965936142</v>
      </c>
      <c r="E33" s="87">
        <f>IF(E7=0,0,E7/TrAvia_act!E5*1000)</f>
        <v>144.34551840942143</v>
      </c>
      <c r="F33" s="87">
        <f>IF(F7=0,0,F7/TrAvia_act!F5*1000)</f>
        <v>155.53303823962489</v>
      </c>
      <c r="G33" s="87">
        <f>IF(G7=0,0,G7/TrAvia_act!G5*1000)</f>
        <v>157.63394984920262</v>
      </c>
      <c r="H33" s="87">
        <f>IF(H7=0,0,H7/TrAvia_act!H5*1000)</f>
        <v>186.35545917258924</v>
      </c>
      <c r="I33" s="87">
        <f>IF(I7=0,0,I7/TrAvia_act!I5*1000)</f>
        <v>184.49550467755481</v>
      </c>
      <c r="J33" s="87">
        <f>IF(J7=0,0,J7/TrAvia_act!J5*1000)</f>
        <v>162.01901601628245</v>
      </c>
      <c r="K33" s="87">
        <f>IF(K7=0,0,K7/TrAvia_act!K5*1000)</f>
        <v>137.94075812134753</v>
      </c>
      <c r="L33" s="87">
        <f>IF(L7=0,0,L7/TrAvia_act!L5*1000)</f>
        <v>162.266903781428</v>
      </c>
      <c r="M33" s="87">
        <f>IF(M7=0,0,M7/TrAvia_act!M5*1000)</f>
        <v>159.0995590413294</v>
      </c>
      <c r="N33" s="87">
        <f>IF(N7=0,0,N7/TrAvia_act!N5*1000)</f>
        <v>158.75331763593638</v>
      </c>
      <c r="O33" s="87">
        <f>IF(O7=0,0,O7/TrAvia_act!O5*1000)</f>
        <v>155.68092093114549</v>
      </c>
      <c r="P33" s="87">
        <f>IF(P7=0,0,P7/TrAvia_act!P5*1000)</f>
        <v>151.44991737144932</v>
      </c>
      <c r="Q33" s="87">
        <f>IF(Q7=0,0,Q7/TrAvia_act!Q5*1000)</f>
        <v>127.36169425504387</v>
      </c>
      <c r="R33" s="87">
        <f>IF(R7=0,0,R7/TrAvia_act!R5*1000)</f>
        <v>115.4237751903307</v>
      </c>
      <c r="S33" s="87">
        <f>IF(S7=0,0,S7/TrAvia_act!S5*1000)</f>
        <v>119.85286771572322</v>
      </c>
      <c r="T33" s="87">
        <f>IF(T7=0,0,T7/TrAvia_act!T5*1000)</f>
        <v>122.34260786605411</v>
      </c>
      <c r="U33" s="87">
        <f>IF(U7=0,0,U7/TrAvia_act!U5*1000)</f>
        <v>112.3107326000013</v>
      </c>
      <c r="V33" s="87">
        <f>IF(V7=0,0,V7/TrAvia_act!V5*1000)</f>
        <v>167.17657428680471</v>
      </c>
      <c r="W33" s="87">
        <f>IF(W7=0,0,W7/TrAvia_act!W5*1000)</f>
        <v>119.16408257820676</v>
      </c>
      <c r="X33" s="87">
        <f>IF(X7=0,0,X7/TrAvia_act!X5*1000)</f>
        <v>79.773119951403743</v>
      </c>
      <c r="Y33" s="87">
        <f>IF(Y7=0,0,Y7/TrAvia_act!Y5*1000)</f>
        <v>84.21447110205628</v>
      </c>
      <c r="DA33" s="171" t="s">
        <v>345</v>
      </c>
    </row>
    <row r="34" spans="1:105" ht="11.45" customHeight="1" x14ac:dyDescent="0.25">
      <c r="A34" s="83" t="s">
        <v>181</v>
      </c>
      <c r="B34" s="87">
        <f>IF(B8=0,0,B8/TrAvia_act!B6*1000)</f>
        <v>95.98784831372663</v>
      </c>
      <c r="C34" s="87">
        <f>IF(C8=0,0,C8/TrAvia_act!C6*1000)</f>
        <v>95.443751901190467</v>
      </c>
      <c r="D34" s="87">
        <f>IF(D8=0,0,D8/TrAvia_act!D6*1000)</f>
        <v>92.670319320002847</v>
      </c>
      <c r="E34" s="87">
        <f>IF(E8=0,0,E8/TrAvia_act!E6*1000)</f>
        <v>97.134708263664621</v>
      </c>
      <c r="F34" s="87">
        <f>IF(F8=0,0,F8/TrAvia_act!F6*1000)</f>
        <v>104.06609631109121</v>
      </c>
      <c r="G34" s="87">
        <f>IF(G8=0,0,G8/TrAvia_act!G6*1000)</f>
        <v>103.21579898297068</v>
      </c>
      <c r="H34" s="87">
        <f>IF(H8=0,0,H8/TrAvia_act!H6*1000)</f>
        <v>101.16986285717573</v>
      </c>
      <c r="I34" s="87">
        <f>IF(I8=0,0,I8/TrAvia_act!I6*1000)</f>
        <v>100.07215433756853</v>
      </c>
      <c r="J34" s="87">
        <f>IF(J8=0,0,J8/TrAvia_act!J6*1000)</f>
        <v>102.81539415964244</v>
      </c>
      <c r="K34" s="87">
        <f>IF(K8=0,0,K8/TrAvia_act!K6*1000)</f>
        <v>99.107837716209204</v>
      </c>
      <c r="L34" s="87">
        <f>IF(L8=0,0,L8/TrAvia_act!L6*1000)</f>
        <v>100.4214448993818</v>
      </c>
      <c r="M34" s="87">
        <f>IF(M8=0,0,M8/TrAvia_act!M6*1000)</f>
        <v>97.34882333928887</v>
      </c>
      <c r="N34" s="87">
        <f>IF(N8=0,0,N8/TrAvia_act!N6*1000)</f>
        <v>94.386927339513491</v>
      </c>
      <c r="O34" s="87">
        <f>IF(O8=0,0,O8/TrAvia_act!O6*1000)</f>
        <v>89.779005135849104</v>
      </c>
      <c r="P34" s="87">
        <f>IF(P8=0,0,P8/TrAvia_act!P6*1000)</f>
        <v>86.541495206882857</v>
      </c>
      <c r="Q34" s="87">
        <f>IF(Q8=0,0,Q8/TrAvia_act!Q6*1000)</f>
        <v>87.193772947852693</v>
      </c>
      <c r="R34" s="87">
        <f>IF(R8=0,0,R8/TrAvia_act!R6*1000)</f>
        <v>86.096071208269393</v>
      </c>
      <c r="S34" s="87">
        <f>IF(S8=0,0,S8/TrAvia_act!S6*1000)</f>
        <v>84.276240317114912</v>
      </c>
      <c r="T34" s="87">
        <f>IF(T8=0,0,T8/TrAvia_act!T6*1000)</f>
        <v>84.498991635996148</v>
      </c>
      <c r="U34" s="87">
        <f>IF(U8=0,0,U8/TrAvia_act!U6*1000)</f>
        <v>85.18405104469548</v>
      </c>
      <c r="V34" s="87">
        <f>IF(V8=0,0,V8/TrAvia_act!V6*1000)</f>
        <v>80.555837095826149</v>
      </c>
      <c r="W34" s="87">
        <f>IF(W8=0,0,W8/TrAvia_act!W6*1000)</f>
        <v>86.052780211691356</v>
      </c>
      <c r="X34" s="87">
        <f>IF(X8=0,0,X8/TrAvia_act!X6*1000)</f>
        <v>89.849184554065715</v>
      </c>
      <c r="Y34" s="87">
        <f>IF(Y8=0,0,Y8/TrAvia_act!Y6*1000)</f>
        <v>88.178753996995312</v>
      </c>
      <c r="DA34" s="171" t="s">
        <v>346</v>
      </c>
    </row>
    <row r="35" spans="1:105" ht="11.45" customHeight="1" x14ac:dyDescent="0.25">
      <c r="A35" s="83" t="s">
        <v>182</v>
      </c>
      <c r="B35" s="87">
        <f>IF(B9=0,0,B9/TrAvia_act!B7*1000)</f>
        <v>149.34813485091865</v>
      </c>
      <c r="C35" s="87">
        <f>IF(C9=0,0,C9/TrAvia_act!C7*1000)</f>
        <v>147.0745157994009</v>
      </c>
      <c r="D35" s="87">
        <f>IF(D9=0,0,D9/TrAvia_act!D7*1000)</f>
        <v>129.51803564510928</v>
      </c>
      <c r="E35" s="87">
        <f>IF(E9=0,0,E9/TrAvia_act!E7*1000)</f>
        <v>135.369119821352</v>
      </c>
      <c r="F35" s="87">
        <f>IF(F9=0,0,F9/TrAvia_act!F7*1000)</f>
        <v>132.37883048547434</v>
      </c>
      <c r="G35" s="87">
        <f>IF(G9=0,0,G9/TrAvia_act!G7*1000)</f>
        <v>117.97727737601922</v>
      </c>
      <c r="H35" s="87">
        <f>IF(H9=0,0,H9/TrAvia_act!H7*1000)</f>
        <v>114.43700854123364</v>
      </c>
      <c r="I35" s="87">
        <f>IF(I9=0,0,I9/TrAvia_act!I7*1000)</f>
        <v>99.22923733772015</v>
      </c>
      <c r="J35" s="87">
        <f>IF(J9=0,0,J9/TrAvia_act!J7*1000)</f>
        <v>96.367655852415453</v>
      </c>
      <c r="K35" s="87">
        <f>IF(K9=0,0,K9/TrAvia_act!K7*1000)</f>
        <v>99.532205619420296</v>
      </c>
      <c r="L35" s="87">
        <f>IF(L9=0,0,L9/TrAvia_act!L7*1000)</f>
        <v>95.660885693128833</v>
      </c>
      <c r="M35" s="87">
        <f>IF(M9=0,0,M9/TrAvia_act!M7*1000)</f>
        <v>90.701787421940807</v>
      </c>
      <c r="N35" s="87">
        <f>IF(N9=0,0,N9/TrAvia_act!N7*1000)</f>
        <v>89.23025427930844</v>
      </c>
      <c r="O35" s="87">
        <f>IF(O9=0,0,O9/TrAvia_act!O7*1000)</f>
        <v>85.847854765887803</v>
      </c>
      <c r="P35" s="87">
        <f>IF(P9=0,0,P9/TrAvia_act!P7*1000)</f>
        <v>82.39791110473503</v>
      </c>
      <c r="Q35" s="87">
        <f>IF(Q9=0,0,Q9/TrAvia_act!Q7*1000)</f>
        <v>87.983701131274501</v>
      </c>
      <c r="R35" s="87">
        <f>IF(R9=0,0,R9/TrAvia_act!R7*1000)</f>
        <v>86.800322643265574</v>
      </c>
      <c r="S35" s="87">
        <f>IF(S9=0,0,S9/TrAvia_act!S7*1000)</f>
        <v>76.835928093145966</v>
      </c>
      <c r="T35" s="87">
        <f>IF(T9=0,0,T9/TrAvia_act!T7*1000)</f>
        <v>71.434135098832442</v>
      </c>
      <c r="U35" s="87">
        <f>IF(U9=0,0,U9/TrAvia_act!U7*1000)</f>
        <v>64.564099958447784</v>
      </c>
      <c r="V35" s="87">
        <f>IF(V9=0,0,V9/TrAvia_act!V7*1000)</f>
        <v>111.55281756308469</v>
      </c>
      <c r="W35" s="87">
        <f>IF(W9=0,0,W9/TrAvia_act!W7*1000)</f>
        <v>105.4376837427086</v>
      </c>
      <c r="X35" s="87">
        <f>IF(X9=0,0,X9/TrAvia_act!X7*1000)</f>
        <v>65.427112143268275</v>
      </c>
      <c r="Y35" s="87">
        <f>IF(Y9=0,0,Y9/TrAvia_act!Y7*1000)</f>
        <v>59.232685011512231</v>
      </c>
      <c r="DA35" s="171" t="s">
        <v>347</v>
      </c>
    </row>
    <row r="36" spans="1:105" ht="11.45" customHeight="1" x14ac:dyDescent="0.25">
      <c r="A36" s="12" t="s">
        <v>159</v>
      </c>
      <c r="B36" s="15">
        <f>IF(B10=0,0,B10/TrAvia_act!B8*1000)</f>
        <v>369.06891342749435</v>
      </c>
      <c r="C36" s="15">
        <f>IF(C10=0,0,C10/TrAvia_act!C8*1000)</f>
        <v>347.72891578598626</v>
      </c>
      <c r="D36" s="15">
        <f>IF(D10=0,0,D10/TrAvia_act!D8*1000)</f>
        <v>364.23941038947765</v>
      </c>
      <c r="E36" s="15">
        <f>IF(E10=0,0,E10/TrAvia_act!E8*1000)</f>
        <v>383.27704346594157</v>
      </c>
      <c r="F36" s="15">
        <f>IF(F10=0,0,F10/TrAvia_act!F8*1000)</f>
        <v>422.55483736694202</v>
      </c>
      <c r="G36" s="15">
        <f>IF(G10=0,0,G10/TrAvia_act!G8*1000)</f>
        <v>392.51780086771231</v>
      </c>
      <c r="H36" s="15">
        <f>IF(H10=0,0,H10/TrAvia_act!H8*1000)</f>
        <v>398.83887240410951</v>
      </c>
      <c r="I36" s="15">
        <f>IF(I10=0,0,I10/TrAvia_act!I8*1000)</f>
        <v>379.5290264760215</v>
      </c>
      <c r="J36" s="15">
        <f>IF(J10=0,0,J10/TrAvia_act!J8*1000)</f>
        <v>386.83300115795515</v>
      </c>
      <c r="K36" s="15">
        <f>IF(K10=0,0,K10/TrAvia_act!K8*1000)</f>
        <v>363.23209755745842</v>
      </c>
      <c r="L36" s="15">
        <f>IF(L10=0,0,L10/TrAvia_act!L8*1000)</f>
        <v>339.50624532014865</v>
      </c>
      <c r="M36" s="15">
        <f>IF(M10=0,0,M10/TrAvia_act!M8*1000)</f>
        <v>290.31015886235622</v>
      </c>
      <c r="N36" s="15">
        <f>IF(N10=0,0,N10/TrAvia_act!N8*1000)</f>
        <v>255.50887327731786</v>
      </c>
      <c r="O36" s="15">
        <f>IF(O10=0,0,O10/TrAvia_act!O8*1000)</f>
        <v>246.51248358775695</v>
      </c>
      <c r="P36" s="15">
        <f>IF(P10=0,0,P10/TrAvia_act!P8*1000)</f>
        <v>206.43473014121568</v>
      </c>
      <c r="Q36" s="15">
        <f>IF(Q10=0,0,Q10/TrAvia_act!Q8*1000)</f>
        <v>219.51727086458874</v>
      </c>
      <c r="R36" s="15">
        <f>IF(R10=0,0,R10/TrAvia_act!R8*1000)</f>
        <v>197.9126789128662</v>
      </c>
      <c r="S36" s="15">
        <f>IF(S10=0,0,S10/TrAvia_act!S8*1000)</f>
        <v>188.44553325633379</v>
      </c>
      <c r="T36" s="15">
        <f>IF(T10=0,0,T10/TrAvia_act!T8*1000)</f>
        <v>179.84607153583514</v>
      </c>
      <c r="U36" s="15">
        <f>IF(U10=0,0,U10/TrAvia_act!U8*1000)</f>
        <v>148.11124056184434</v>
      </c>
      <c r="V36" s="15">
        <f>IF(V10=0,0,V10/TrAvia_act!V8*1000)</f>
        <v>241.44598249369434</v>
      </c>
      <c r="W36" s="15">
        <f>IF(W10=0,0,W10/TrAvia_act!W8*1000)</f>
        <v>209.90821355809453</v>
      </c>
      <c r="X36" s="15">
        <f>IF(X10=0,0,X10/TrAvia_act!X8*1000)</f>
        <v>179.53437558268359</v>
      </c>
      <c r="Y36" s="15">
        <f>IF(Y10=0,0,Y10/TrAvia_act!Y8*1000)</f>
        <v>238.55857503819814</v>
      </c>
      <c r="DA36" s="193" t="s">
        <v>348</v>
      </c>
    </row>
    <row r="37" spans="1:105" ht="11.45" customHeight="1" x14ac:dyDescent="0.25">
      <c r="A37" s="92" t="s">
        <v>27</v>
      </c>
      <c r="B37" s="101">
        <f>IF(B11=0,0,B11/TrAvia_act!B9*1000)</f>
        <v>3872.319424028768</v>
      </c>
      <c r="C37" s="101">
        <f>IF(C11=0,0,C11/TrAvia_act!C9*1000)</f>
        <v>3919.4343922938688</v>
      </c>
      <c r="D37" s="101">
        <f>IF(D11=0,0,D11/TrAvia_act!D9*1000)</f>
        <v>3821.0812982285374</v>
      </c>
      <c r="E37" s="101">
        <f>IF(E11=0,0,E11/TrAvia_act!E9*1000)</f>
        <v>3437.591979279423</v>
      </c>
      <c r="F37" s="101">
        <f>IF(F11=0,0,F11/TrAvia_act!F9*1000)</f>
        <v>3659.5041509608845</v>
      </c>
      <c r="G37" s="101">
        <f>IF(G11=0,0,G11/TrAvia_act!G9*1000)</f>
        <v>3417.9316033518003</v>
      </c>
      <c r="H37" s="101">
        <f>IF(H11=0,0,H11/TrAvia_act!H9*1000)</f>
        <v>2647.2621252882377</v>
      </c>
      <c r="I37" s="101">
        <f>IF(I11=0,0,I11/TrAvia_act!I9*1000)</f>
        <v>2212.8385930386162</v>
      </c>
      <c r="J37" s="101">
        <f>IF(J11=0,0,J11/TrAvia_act!J9*1000)</f>
        <v>1719.1403944789367</v>
      </c>
      <c r="K37" s="101">
        <f>IF(K11=0,0,K11/TrAvia_act!K9*1000)</f>
        <v>1511.1290663982504</v>
      </c>
      <c r="L37" s="101">
        <f>IF(L11=0,0,L11/TrAvia_act!L9*1000)</f>
        <v>1489.871640514853</v>
      </c>
      <c r="M37" s="101">
        <f>IF(M11=0,0,M11/TrAvia_act!M9*1000)</f>
        <v>1402.1378919928081</v>
      </c>
      <c r="N37" s="101">
        <f>IF(N11=0,0,N11/TrAvia_act!N9*1000)</f>
        <v>1619.6177294346348</v>
      </c>
      <c r="O37" s="101">
        <f>IF(O11=0,0,O11/TrAvia_act!O9*1000)</f>
        <v>1643.4346796293264</v>
      </c>
      <c r="P37" s="101">
        <f>IF(P11=0,0,P11/TrAvia_act!P9*1000)</f>
        <v>1401.927446115217</v>
      </c>
      <c r="Q37" s="101">
        <f>IF(Q11=0,0,Q11/TrAvia_act!Q9*1000)</f>
        <v>1308.121563948499</v>
      </c>
      <c r="R37" s="101">
        <f>IF(R11=0,0,R11/TrAvia_act!R9*1000)</f>
        <v>888.28586628185644</v>
      </c>
      <c r="S37" s="101">
        <f>IF(S11=0,0,S11/TrAvia_act!S9*1000)</f>
        <v>1151.566593023121</v>
      </c>
      <c r="T37" s="101">
        <f>IF(T11=0,0,T11/TrAvia_act!T9*1000)</f>
        <v>1195.1444036994246</v>
      </c>
      <c r="U37" s="101">
        <f>IF(U11=0,0,U11/TrAvia_act!U9*1000)</f>
        <v>958.8188301722189</v>
      </c>
      <c r="V37" s="101">
        <f>IF(V11=0,0,V11/TrAvia_act!V9*1000)</f>
        <v>1051.1496771797051</v>
      </c>
      <c r="W37" s="101">
        <f>IF(W11=0,0,W11/TrAvia_act!W9*1000)</f>
        <v>958.42381749064828</v>
      </c>
      <c r="X37" s="101">
        <f>IF(X11=0,0,X11/TrAvia_act!X9*1000)</f>
        <v>844.03378007678873</v>
      </c>
      <c r="Y37" s="101">
        <f>IF(Y11=0,0,Y11/TrAvia_act!Y9*1000)</f>
        <v>839.07310400657195</v>
      </c>
      <c r="DA37" s="175" t="s">
        <v>349</v>
      </c>
    </row>
    <row r="38" spans="1:105" ht="11.45" customHeight="1" x14ac:dyDescent="0.25">
      <c r="A38" s="92" t="s">
        <v>181</v>
      </c>
      <c r="B38" s="101">
        <f>IF(B12=0,0,B12/TrAvia_act!B10*1000)</f>
        <v>420.57565766393429</v>
      </c>
      <c r="C38" s="101">
        <f>IF(C12=0,0,C12/TrAvia_act!C10*1000)</f>
        <v>404.55204682686582</v>
      </c>
      <c r="D38" s="101">
        <f>IF(D12=0,0,D12/TrAvia_act!D10*1000)</f>
        <v>429.31343351160405</v>
      </c>
      <c r="E38" s="101">
        <f>IF(E12=0,0,E12/TrAvia_act!E10*1000)</f>
        <v>430.0451740071249</v>
      </c>
      <c r="F38" s="101">
        <f>IF(F12=0,0,F12/TrAvia_act!F10*1000)</f>
        <v>517.41750718094875</v>
      </c>
      <c r="G38" s="101">
        <f>IF(G12=0,0,G12/TrAvia_act!G10*1000)</f>
        <v>513.86193153096951</v>
      </c>
      <c r="H38" s="101">
        <f>IF(H12=0,0,H12/TrAvia_act!H10*1000)</f>
        <v>572.00262130898102</v>
      </c>
      <c r="I38" s="101">
        <f>IF(I12=0,0,I12/TrAvia_act!I10*1000)</f>
        <v>574.06003538053824</v>
      </c>
      <c r="J38" s="101">
        <f>IF(J12=0,0,J12/TrAvia_act!J10*1000)</f>
        <v>600.69999593359466</v>
      </c>
      <c r="K38" s="101">
        <f>IF(K12=0,0,K12/TrAvia_act!K10*1000)</f>
        <v>583.16376947086496</v>
      </c>
      <c r="L38" s="101">
        <f>IF(L12=0,0,L12/TrAvia_act!L10*1000)</f>
        <v>588.11303078409446</v>
      </c>
      <c r="M38" s="101">
        <f>IF(M12=0,0,M12/TrAvia_act!M10*1000)</f>
        <v>569.30965684750606</v>
      </c>
      <c r="N38" s="101">
        <f>IF(N12=0,0,N12/TrAvia_act!N10*1000)</f>
        <v>517.19442885171054</v>
      </c>
      <c r="O38" s="101">
        <f>IF(O12=0,0,O12/TrAvia_act!O10*1000)</f>
        <v>496.76587937420055</v>
      </c>
      <c r="P38" s="101">
        <f>IF(P12=0,0,P12/TrAvia_act!P10*1000)</f>
        <v>430.20536588108251</v>
      </c>
      <c r="Q38" s="101">
        <f>IF(Q12=0,0,Q12/TrAvia_act!Q10*1000)</f>
        <v>448.75773208501897</v>
      </c>
      <c r="R38" s="101">
        <f>IF(R12=0,0,R12/TrAvia_act!R10*1000)</f>
        <v>429.52092487693562</v>
      </c>
      <c r="S38" s="101">
        <f>IF(S12=0,0,S12/TrAvia_act!S10*1000)</f>
        <v>467.05005359133901</v>
      </c>
      <c r="T38" s="101">
        <f>IF(T12=0,0,T12/TrAvia_act!T10*1000)</f>
        <v>452.13607508588905</v>
      </c>
      <c r="U38" s="101">
        <f>IF(U12=0,0,U12/TrAvia_act!U10*1000)</f>
        <v>451.39784345937164</v>
      </c>
      <c r="V38" s="101">
        <f>IF(V12=0,0,V12/TrAvia_act!V10*1000)</f>
        <v>411.36162719289013</v>
      </c>
      <c r="W38" s="101">
        <f>IF(W12=0,0,W12/TrAvia_act!W10*1000)</f>
        <v>428.84567024038427</v>
      </c>
      <c r="X38" s="101">
        <f>IF(X12=0,0,X12/TrAvia_act!X10*1000)</f>
        <v>547.03727012080026</v>
      </c>
      <c r="Y38" s="101">
        <f>IF(Y12=0,0,Y12/TrAvia_act!Y10*1000)</f>
        <v>562.95709150012681</v>
      </c>
      <c r="DA38" s="175" t="s">
        <v>350</v>
      </c>
    </row>
    <row r="39" spans="1:105" ht="11.45" customHeight="1" x14ac:dyDescent="0.25">
      <c r="A39" s="85" t="s">
        <v>182</v>
      </c>
      <c r="B39" s="88">
        <f>IF(B13=0,0,B13/TrAvia_act!B11*1000)</f>
        <v>168.40766234843429</v>
      </c>
      <c r="C39" s="88">
        <f>IF(C13=0,0,C13/TrAvia_act!C11*1000)</f>
        <v>160.68163462563979</v>
      </c>
      <c r="D39" s="88">
        <f>IF(D13=0,0,D13/TrAvia_act!D11*1000)</f>
        <v>169.85202148271685</v>
      </c>
      <c r="E39" s="88">
        <f>IF(E13=0,0,E13/TrAvia_act!E11*1000)</f>
        <v>191.09812928877147</v>
      </c>
      <c r="F39" s="88">
        <f>IF(F13=0,0,F13/TrAvia_act!F11*1000)</f>
        <v>211.43912132444495</v>
      </c>
      <c r="G39" s="88">
        <f>IF(G13=0,0,G13/TrAvia_act!G11*1000)</f>
        <v>196.88703274401752</v>
      </c>
      <c r="H39" s="88">
        <f>IF(H13=0,0,H13/TrAvia_act!H11*1000)</f>
        <v>213.68396117439269</v>
      </c>
      <c r="I39" s="88">
        <f>IF(I13=0,0,I13/TrAvia_act!I11*1000)</f>
        <v>220.7728652901005</v>
      </c>
      <c r="J39" s="88">
        <f>IF(J13=0,0,J13/TrAvia_act!J11*1000)</f>
        <v>260.87925386907932</v>
      </c>
      <c r="K39" s="88">
        <f>IF(K13=0,0,K13/TrAvia_act!K11*1000)</f>
        <v>234.72533600291928</v>
      </c>
      <c r="L39" s="88">
        <f>IF(L13=0,0,L13/TrAvia_act!L11*1000)</f>
        <v>221.86203567668844</v>
      </c>
      <c r="M39" s="88">
        <f>IF(M13=0,0,M13/TrAvia_act!M11*1000)</f>
        <v>200.36971359783271</v>
      </c>
      <c r="N39" s="88">
        <f>IF(N13=0,0,N13/TrAvia_act!N11*1000)</f>
        <v>180.2809561931293</v>
      </c>
      <c r="O39" s="88">
        <f>IF(O13=0,0,O13/TrAvia_act!O11*1000)</f>
        <v>177.89157010936785</v>
      </c>
      <c r="P39" s="88">
        <f>IF(P13=0,0,P13/TrAvia_act!P11*1000)</f>
        <v>148.97616569070149</v>
      </c>
      <c r="Q39" s="88">
        <f>IF(Q13=0,0,Q13/TrAvia_act!Q11*1000)</f>
        <v>157.51317794628852</v>
      </c>
      <c r="R39" s="88">
        <f>IF(R13=0,0,R13/TrAvia_act!R11*1000)</f>
        <v>141.56320037056855</v>
      </c>
      <c r="S39" s="88">
        <f>IF(S13=0,0,S13/TrAvia_act!S11*1000)</f>
        <v>132.97973412725506</v>
      </c>
      <c r="T39" s="88">
        <f>IF(T13=0,0,T13/TrAvia_act!T11*1000)</f>
        <v>122.0107993778725</v>
      </c>
      <c r="U39" s="88">
        <f>IF(U13=0,0,U13/TrAvia_act!U11*1000)</f>
        <v>87.536573055223471</v>
      </c>
      <c r="V39" s="88">
        <f>IF(V13=0,0,V13/TrAvia_act!V11*1000)</f>
        <v>174.61539529732545</v>
      </c>
      <c r="W39" s="88">
        <f>IF(W13=0,0,W13/TrAvia_act!W11*1000)</f>
        <v>145.674682123352</v>
      </c>
      <c r="X39" s="88">
        <f>IF(X13=0,0,X13/TrAvia_act!X11*1000)</f>
        <v>118.4953003579212</v>
      </c>
      <c r="Y39" s="88">
        <f>IF(Y13=0,0,Y13/TrAvia_act!Y11*1000)</f>
        <v>119.63369867219036</v>
      </c>
      <c r="DA39" s="178" t="s">
        <v>351</v>
      </c>
    </row>
    <row r="40" spans="1:105" x14ac:dyDescent="0.25">
      <c r="A40" s="50"/>
      <c r="B40" s="50"/>
      <c r="C40" s="50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DA40" s="181"/>
    </row>
    <row r="41" spans="1:105" ht="11.45" customHeight="1" x14ac:dyDescent="0.25">
      <c r="A41" s="53" t="s">
        <v>72</v>
      </c>
      <c r="B41" s="54">
        <f>IF(B3=0,0,B3/TrAvia_act!B23*1000000)</f>
        <v>19919.232785826607</v>
      </c>
      <c r="C41" s="54">
        <f>IF(C3=0,0,C3/TrAvia_act!C23*1000000)</f>
        <v>19749.680226876841</v>
      </c>
      <c r="D41" s="54">
        <f>IF(D3=0,0,D3/TrAvia_act!D23*1000000)</f>
        <v>19435.126318172461</v>
      </c>
      <c r="E41" s="54">
        <f>IF(E3=0,0,E3/TrAvia_act!E23*1000000)</f>
        <v>20313.676957721535</v>
      </c>
      <c r="F41" s="54">
        <f>IF(F3=0,0,F3/TrAvia_act!F23*1000000)</f>
        <v>20978.909153421995</v>
      </c>
      <c r="G41" s="54">
        <f>IF(G3=0,0,G3/TrAvia_act!G23*1000000)</f>
        <v>20249.10774411181</v>
      </c>
      <c r="H41" s="54">
        <f>IF(H3=0,0,H3/TrAvia_act!H23*1000000)</f>
        <v>20532.362060887874</v>
      </c>
      <c r="I41" s="54">
        <f>IF(I3=0,0,I3/TrAvia_act!I23*1000000)</f>
        <v>20309.621225132632</v>
      </c>
      <c r="J41" s="54">
        <f>IF(J3=0,0,J3/TrAvia_act!J23*1000000)</f>
        <v>20719.283701014563</v>
      </c>
      <c r="K41" s="54">
        <f>IF(K3=0,0,K3/TrAvia_act!K23*1000000)</f>
        <v>21057.456593142564</v>
      </c>
      <c r="L41" s="54">
        <f>IF(L3=0,0,L3/TrAvia_act!L23*1000000)</f>
        <v>22033.777737446897</v>
      </c>
      <c r="M41" s="54">
        <f>IF(M3=0,0,M3/TrAvia_act!M23*1000000)</f>
        <v>22047.819624561806</v>
      </c>
      <c r="N41" s="54">
        <f>IF(N3=0,0,N3/TrAvia_act!N23*1000000)</f>
        <v>22386.313376906317</v>
      </c>
      <c r="O41" s="54">
        <f>IF(O3=0,0,O3/TrAvia_act!O23*1000000)</f>
        <v>22232.332876480661</v>
      </c>
      <c r="P41" s="54">
        <f>IF(P3=0,0,P3/TrAvia_act!P23*1000000)</f>
        <v>21692.677254756185</v>
      </c>
      <c r="Q41" s="54">
        <f>IF(Q3=0,0,Q3/TrAvia_act!Q23*1000000)</f>
        <v>21992.082680481792</v>
      </c>
      <c r="R41" s="54">
        <f>IF(R3=0,0,R3/TrAvia_act!R23*1000000)</f>
        <v>20465.808266978929</v>
      </c>
      <c r="S41" s="54">
        <f>IF(S3=0,0,S3/TrAvia_act!S23*1000000)</f>
        <v>21310.424679229425</v>
      </c>
      <c r="T41" s="54">
        <f>IF(T3=0,0,T3/TrAvia_act!T23*1000000)</f>
        <v>21157.188890731355</v>
      </c>
      <c r="U41" s="54">
        <f>IF(U3=0,0,U3/TrAvia_act!U23*1000000)</f>
        <v>21365.088201310617</v>
      </c>
      <c r="V41" s="54">
        <f>IF(V3=0,0,V3/TrAvia_act!V23*1000000)</f>
        <v>18647.513901485538</v>
      </c>
      <c r="W41" s="54">
        <f>IF(W3=0,0,W3/TrAvia_act!W23*1000000)</f>
        <v>18103.948126430671</v>
      </c>
      <c r="X41" s="54">
        <f>IF(X3=0,0,X3/TrAvia_act!X23*1000000)</f>
        <v>21427.722385735815</v>
      </c>
      <c r="Y41" s="54">
        <f>IF(Y3=0,0,Y3/TrAvia_act!Y23*1000000)</f>
        <v>22078.089116025556</v>
      </c>
      <c r="DA41" s="172" t="s">
        <v>352</v>
      </c>
    </row>
    <row r="42" spans="1:105" ht="11.45" customHeight="1" x14ac:dyDescent="0.25">
      <c r="A42" s="10" t="s">
        <v>33</v>
      </c>
      <c r="B42" s="11">
        <f>IF(B6=0,0,B6/TrAvia_act!B24*1000000)</f>
        <v>20268.178662643026</v>
      </c>
      <c r="C42" s="11">
        <f>IF(C6=0,0,C6/TrAvia_act!C24*1000000)</f>
        <v>20061.154140698491</v>
      </c>
      <c r="D42" s="11">
        <f>IF(D6=0,0,D6/TrAvia_act!D24*1000000)</f>
        <v>19729.411694429375</v>
      </c>
      <c r="E42" s="11">
        <f>IF(E6=0,0,E6/TrAvia_act!E24*1000000)</f>
        <v>20617.947884583755</v>
      </c>
      <c r="F42" s="11">
        <f>IF(F6=0,0,F6/TrAvia_act!F24*1000000)</f>
        <v>21270.297543884415</v>
      </c>
      <c r="G42" s="11">
        <f>IF(G6=0,0,G6/TrAvia_act!G24*1000000)</f>
        <v>20525.23375890329</v>
      </c>
      <c r="H42" s="11">
        <f>IF(H6=0,0,H6/TrAvia_act!H24*1000000)</f>
        <v>20740.391131641336</v>
      </c>
      <c r="I42" s="11">
        <f>IF(I6=0,0,I6/TrAvia_act!I24*1000000)</f>
        <v>20430.249506190969</v>
      </c>
      <c r="J42" s="11">
        <f>IF(J6=0,0,J6/TrAvia_act!J24*1000000)</f>
        <v>20767.355235602659</v>
      </c>
      <c r="K42" s="11">
        <f>IF(K6=0,0,K6/TrAvia_act!K24*1000000)</f>
        <v>21124.656023547497</v>
      </c>
      <c r="L42" s="11">
        <f>IF(L6=0,0,L6/TrAvia_act!L24*1000000)</f>
        <v>22029.320227291337</v>
      </c>
      <c r="M42" s="11">
        <f>IF(M6=0,0,M6/TrAvia_act!M24*1000000)</f>
        <v>22013.361326714225</v>
      </c>
      <c r="N42" s="11">
        <f>IF(N6=0,0,N6/TrAvia_act!N24*1000000)</f>
        <v>22344.997918321558</v>
      </c>
      <c r="O42" s="11">
        <f>IF(O6=0,0,O6/TrAvia_act!O24*1000000)</f>
        <v>22184.888246959767</v>
      </c>
      <c r="P42" s="11">
        <f>IF(P6=0,0,P6/TrAvia_act!P24*1000000)</f>
        <v>21654.408177938363</v>
      </c>
      <c r="Q42" s="11">
        <f>IF(Q6=0,0,Q6/TrAvia_act!Q24*1000000)</f>
        <v>21960.241589107136</v>
      </c>
      <c r="R42" s="11">
        <f>IF(R6=0,0,R6/TrAvia_act!R24*1000000)</f>
        <v>20439.581467189571</v>
      </c>
      <c r="S42" s="11">
        <f>IF(S6=0,0,S6/TrAvia_act!S24*1000000)</f>
        <v>21284.643830110919</v>
      </c>
      <c r="T42" s="11">
        <f>IF(T6=0,0,T6/TrAvia_act!T24*1000000)</f>
        <v>21150.726430347993</v>
      </c>
      <c r="U42" s="11">
        <f>IF(U6=0,0,U6/TrAvia_act!U24*1000000)</f>
        <v>21430.080679927541</v>
      </c>
      <c r="V42" s="11">
        <f>IF(V6=0,0,V6/TrAvia_act!V24*1000000)</f>
        <v>18703.745759412839</v>
      </c>
      <c r="W42" s="11">
        <f>IF(W6=0,0,W6/TrAvia_act!W24*1000000)</f>
        <v>18152.500110240548</v>
      </c>
      <c r="X42" s="11">
        <f>IF(X6=0,0,X6/TrAvia_act!X24*1000000)</f>
        <v>21488.489572120834</v>
      </c>
      <c r="Y42" s="11">
        <f>IF(Y6=0,0,Y6/TrAvia_act!Y24*1000000)</f>
        <v>22209.736797916332</v>
      </c>
      <c r="DA42" s="189" t="s">
        <v>353</v>
      </c>
    </row>
    <row r="43" spans="1:105" ht="11.45" customHeight="1" x14ac:dyDescent="0.25">
      <c r="A43" s="83" t="s">
        <v>27</v>
      </c>
      <c r="B43" s="84">
        <f>IF(B7=0,0,B7/TrAvia_act!B25*1000000)</f>
        <v>9547.6723197574429</v>
      </c>
      <c r="C43" s="84">
        <f>IF(C7=0,0,C7/TrAvia_act!C25*1000000)</f>
        <v>9590.1410554628164</v>
      </c>
      <c r="D43" s="84">
        <f>IF(D7=0,0,D7/TrAvia_act!D25*1000000)</f>
        <v>9614.3414788730188</v>
      </c>
      <c r="E43" s="84">
        <f>IF(E7=0,0,E7/TrAvia_act!E25*1000000)</f>
        <v>9200.3404892041399</v>
      </c>
      <c r="F43" s="84">
        <f>IF(F7=0,0,F7/TrAvia_act!F25*1000000)</f>
        <v>9222.800658620894</v>
      </c>
      <c r="G43" s="84">
        <f>IF(G7=0,0,G7/TrAvia_act!G25*1000000)</f>
        <v>9143.1308650969113</v>
      </c>
      <c r="H43" s="84">
        <f>IF(H7=0,0,H7/TrAvia_act!H25*1000000)</f>
        <v>10401.475858646687</v>
      </c>
      <c r="I43" s="84">
        <f>IF(I7=0,0,I7/TrAvia_act!I25*1000000)</f>
        <v>10932.554902587526</v>
      </c>
      <c r="J43" s="84">
        <f>IF(J7=0,0,J7/TrAvia_act!J25*1000000)</f>
        <v>9426.6794247049656</v>
      </c>
      <c r="K43" s="84">
        <f>IF(K7=0,0,K7/TrAvia_act!K25*1000000)</f>
        <v>9306.0943470420571</v>
      </c>
      <c r="L43" s="84">
        <f>IF(L7=0,0,L7/TrAvia_act!L25*1000000)</f>
        <v>11116.182497584252</v>
      </c>
      <c r="M43" s="84">
        <f>IF(M7=0,0,M7/TrAvia_act!M25*1000000)</f>
        <v>10394.479796796699</v>
      </c>
      <c r="N43" s="84">
        <f>IF(N7=0,0,N7/TrAvia_act!N25*1000000)</f>
        <v>10744.383798862396</v>
      </c>
      <c r="O43" s="84">
        <f>IF(O7=0,0,O7/TrAvia_act!O25*1000000)</f>
        <v>11119.849740766052</v>
      </c>
      <c r="P43" s="84">
        <f>IF(P7=0,0,P7/TrAvia_act!P25*1000000)</f>
        <v>10634.54985118219</v>
      </c>
      <c r="Q43" s="84">
        <f>IF(Q7=0,0,Q7/TrAvia_act!Q25*1000000)</f>
        <v>10498.739436845726</v>
      </c>
      <c r="R43" s="84">
        <f>IF(R7=0,0,R7/TrAvia_act!R25*1000000)</f>
        <v>7731.6924276416576</v>
      </c>
      <c r="S43" s="84">
        <f>IF(S7=0,0,S7/TrAvia_act!S25*1000000)</f>
        <v>9395.1240957085683</v>
      </c>
      <c r="T43" s="84">
        <f>IF(T7=0,0,T7/TrAvia_act!T25*1000000)</f>
        <v>9457.8211709535681</v>
      </c>
      <c r="U43" s="84">
        <f>IF(U7=0,0,U7/TrAvia_act!U25*1000000)</f>
        <v>8544.2700319085925</v>
      </c>
      <c r="V43" s="84">
        <f>IF(V7=0,0,V7/TrAvia_act!V25*1000000)</f>
        <v>8516.1941483785995</v>
      </c>
      <c r="W43" s="84">
        <f>IF(W7=0,0,W7/TrAvia_act!W25*1000000)</f>
        <v>8378.5850970536649</v>
      </c>
      <c r="X43" s="84">
        <f>IF(X7=0,0,X7/TrAvia_act!X25*1000000)</f>
        <v>7512.9926185422628</v>
      </c>
      <c r="Y43" s="84">
        <f>IF(Y7=0,0,Y7/TrAvia_act!Y25*1000000)</f>
        <v>7912.7208508145368</v>
      </c>
      <c r="DA43" s="171" t="s">
        <v>354</v>
      </c>
    </row>
    <row r="44" spans="1:105" ht="11.45" customHeight="1" x14ac:dyDescent="0.25">
      <c r="A44" s="83" t="s">
        <v>181</v>
      </c>
      <c r="B44" s="84">
        <f>IF(B8=0,0,B8/TrAvia_act!B26*1000000)</f>
        <v>17590.878273631002</v>
      </c>
      <c r="C44" s="84">
        <f>IF(C8=0,0,C8/TrAvia_act!C26*1000000)</f>
        <v>17588.161476350699</v>
      </c>
      <c r="D44" s="84">
        <f>IF(D8=0,0,D8/TrAvia_act!D26*1000000)</f>
        <v>17554.108776977573</v>
      </c>
      <c r="E44" s="84">
        <f>IF(E8=0,0,E8/TrAvia_act!E26*1000000)</f>
        <v>17958.201054881454</v>
      </c>
      <c r="F44" s="84">
        <f>IF(F8=0,0,F8/TrAvia_act!F26*1000000)</f>
        <v>19370.293489372103</v>
      </c>
      <c r="G44" s="84">
        <f>IF(G8=0,0,G8/TrAvia_act!G26*1000000)</f>
        <v>18704.951731557812</v>
      </c>
      <c r="H44" s="84">
        <f>IF(H8=0,0,H8/TrAvia_act!H26*1000000)</f>
        <v>17675.067880966264</v>
      </c>
      <c r="I44" s="84">
        <f>IF(I8=0,0,I8/TrAvia_act!I26*1000000)</f>
        <v>17193.7082911502</v>
      </c>
      <c r="J44" s="84">
        <f>IF(J8=0,0,J8/TrAvia_act!J26*1000000)</f>
        <v>18035.799583372904</v>
      </c>
      <c r="K44" s="84">
        <f>IF(K8=0,0,K8/TrAvia_act!K26*1000000)</f>
        <v>18156.264853624503</v>
      </c>
      <c r="L44" s="84">
        <f>IF(L8=0,0,L8/TrAvia_act!L26*1000000)</f>
        <v>18540.285501995309</v>
      </c>
      <c r="M44" s="84">
        <f>IF(M8=0,0,M8/TrAvia_act!M26*1000000)</f>
        <v>18575.467443060643</v>
      </c>
      <c r="N44" s="84">
        <f>IF(N8=0,0,N8/TrAvia_act!N26*1000000)</f>
        <v>18588.115541458916</v>
      </c>
      <c r="O44" s="84">
        <f>IF(O8=0,0,O8/TrAvia_act!O26*1000000)</f>
        <v>18324.563869665384</v>
      </c>
      <c r="P44" s="84">
        <f>IF(P8=0,0,P8/TrAvia_act!P26*1000000)</f>
        <v>18043.798011358685</v>
      </c>
      <c r="Q44" s="84">
        <f>IF(Q8=0,0,Q8/TrAvia_act!Q26*1000000)</f>
        <v>18373.938976125864</v>
      </c>
      <c r="R44" s="84">
        <f>IF(R8=0,0,R8/TrAvia_act!R26*1000000)</f>
        <v>19187.122645872332</v>
      </c>
      <c r="S44" s="84">
        <f>IF(S8=0,0,S8/TrAvia_act!S26*1000000)</f>
        <v>19714.169511549371</v>
      </c>
      <c r="T44" s="84">
        <f>IF(T8=0,0,T8/TrAvia_act!T26*1000000)</f>
        <v>19516.594808578291</v>
      </c>
      <c r="U44" s="84">
        <f>IF(U8=0,0,U8/TrAvia_act!U26*1000000)</f>
        <v>20206.464013860463</v>
      </c>
      <c r="V44" s="84">
        <f>IF(V8=0,0,V8/TrAvia_act!V26*1000000)</f>
        <v>15011.92959747727</v>
      </c>
      <c r="W44" s="84">
        <f>IF(W8=0,0,W8/TrAvia_act!W26*1000000)</f>
        <v>15776.58870029723</v>
      </c>
      <c r="X44" s="84">
        <f>IF(X8=0,0,X8/TrAvia_act!X26*1000000)</f>
        <v>20918.628759346979</v>
      </c>
      <c r="Y44" s="84">
        <f>IF(Y8=0,0,Y8/TrAvia_act!Y26*1000000)</f>
        <v>21694.741588322406</v>
      </c>
      <c r="DA44" s="171" t="s">
        <v>355</v>
      </c>
    </row>
    <row r="45" spans="1:105" ht="11.45" customHeight="1" x14ac:dyDescent="0.25">
      <c r="A45" s="83" t="s">
        <v>182</v>
      </c>
      <c r="B45" s="84">
        <f>IF(B9=0,0,B9/TrAvia_act!B27*1000000)</f>
        <v>92391.334765205189</v>
      </c>
      <c r="C45" s="84">
        <f>IF(C9=0,0,C9/TrAvia_act!C27*1000000)</f>
        <v>92377.031333504143</v>
      </c>
      <c r="D45" s="84">
        <f>IF(D9=0,0,D9/TrAvia_act!D27*1000000)</f>
        <v>92198.257104240212</v>
      </c>
      <c r="E45" s="84">
        <f>IF(E9=0,0,E9/TrAvia_act!E27*1000000)</f>
        <v>94252.763624767831</v>
      </c>
      <c r="F45" s="84">
        <f>IF(F9=0,0,F9/TrAvia_act!F27*1000000)</f>
        <v>101216.96323900981</v>
      </c>
      <c r="G45" s="84">
        <f>IF(G9=0,0,G9/TrAvia_act!G27*1000000)</f>
        <v>88459.098981761999</v>
      </c>
      <c r="H45" s="84">
        <f>IF(H9=0,0,H9/TrAvia_act!H27*1000000)</f>
        <v>86474.978067696065</v>
      </c>
      <c r="I45" s="84">
        <f>IF(I9=0,0,I9/TrAvia_act!I27*1000000)</f>
        <v>79912.541144371426</v>
      </c>
      <c r="J45" s="84">
        <f>IF(J9=0,0,J9/TrAvia_act!J27*1000000)</f>
        <v>86249.892074320844</v>
      </c>
      <c r="K45" s="84">
        <f>IF(K9=0,0,K9/TrAvia_act!K27*1000000)</f>
        <v>87556.700479380976</v>
      </c>
      <c r="L45" s="84">
        <f>IF(L9=0,0,L9/TrAvia_act!L27*1000000)</f>
        <v>82474.300119442923</v>
      </c>
      <c r="M45" s="84">
        <f>IF(M9=0,0,M9/TrAvia_act!M27*1000000)</f>
        <v>81521.370112656776</v>
      </c>
      <c r="N45" s="84">
        <f>IF(N9=0,0,N9/TrAvia_act!N27*1000000)</f>
        <v>80432.306652194442</v>
      </c>
      <c r="O45" s="84">
        <f>IF(O9=0,0,O9/TrAvia_act!O27*1000000)</f>
        <v>79560.886635072631</v>
      </c>
      <c r="P45" s="84">
        <f>IF(P9=0,0,P9/TrAvia_act!P27*1000000)</f>
        <v>75859.06225355262</v>
      </c>
      <c r="Q45" s="84">
        <f>IF(Q9=0,0,Q9/TrAvia_act!Q27*1000000)</f>
        <v>80560.501551745998</v>
      </c>
      <c r="R45" s="84">
        <f>IF(R9=0,0,R9/TrAvia_act!R27*1000000)</f>
        <v>76176.367896611904</v>
      </c>
      <c r="S45" s="84">
        <f>IF(S9=0,0,S9/TrAvia_act!S27*1000000)</f>
        <v>69247.966699520548</v>
      </c>
      <c r="T45" s="84">
        <f>IF(T9=0,0,T9/TrAvia_act!T27*1000000)</f>
        <v>64892.665661232502</v>
      </c>
      <c r="U45" s="84">
        <f>IF(U9=0,0,U9/TrAvia_act!U27*1000000)</f>
        <v>60959.659252593643</v>
      </c>
      <c r="V45" s="84">
        <f>IF(V9=0,0,V9/TrAvia_act!V27*1000000)</f>
        <v>89763.290815071698</v>
      </c>
      <c r="W45" s="84">
        <f>IF(W9=0,0,W9/TrAvia_act!W27*1000000)</f>
        <v>77830.245144539265</v>
      </c>
      <c r="X45" s="84">
        <f>IF(X9=0,0,X9/TrAvia_act!X27*1000000)</f>
        <v>63444.424190637044</v>
      </c>
      <c r="Y45" s="84">
        <f>IF(Y9=0,0,Y9/TrAvia_act!Y27*1000000)</f>
        <v>61001.926012011041</v>
      </c>
      <c r="DA45" s="171" t="s">
        <v>356</v>
      </c>
    </row>
    <row r="46" spans="1:105" ht="11.45" customHeight="1" x14ac:dyDescent="0.25">
      <c r="A46" s="12" t="s">
        <v>34</v>
      </c>
      <c r="B46" s="13">
        <f>IF(B10=0,0,B10/TrAvia_act!B28*1000000)</f>
        <v>12063.535267596299</v>
      </c>
      <c r="C46" s="13">
        <f>IF(C10=0,0,C10/TrAvia_act!C28*1000000)</f>
        <v>12205.958632613298</v>
      </c>
      <c r="D46" s="13">
        <f>IF(D10=0,0,D10/TrAvia_act!D28*1000000)</f>
        <v>12294.753237415536</v>
      </c>
      <c r="E46" s="13">
        <f>IF(E10=0,0,E10/TrAvia_act!E28*1000000)</f>
        <v>12257.29774071592</v>
      </c>
      <c r="F46" s="13">
        <f>IF(F10=0,0,F10/TrAvia_act!F28*1000000)</f>
        <v>13211.53631674254</v>
      </c>
      <c r="G46" s="13">
        <f>IF(G10=0,0,G10/TrAvia_act!G28*1000000)</f>
        <v>12896.014754309059</v>
      </c>
      <c r="H46" s="13">
        <f>IF(H10=0,0,H10/TrAvia_act!H28*1000000)</f>
        <v>15117.192676824108</v>
      </c>
      <c r="I46" s="13">
        <f>IF(I10=0,0,I10/TrAvia_act!I28*1000000)</f>
        <v>16903.060051080171</v>
      </c>
      <c r="J46" s="13">
        <f>IF(J10=0,0,J10/TrAvia_act!J28*1000000)</f>
        <v>19369.024650083917</v>
      </c>
      <c r="K46" s="13">
        <f>IF(K10=0,0,K10/TrAvia_act!K28*1000000)</f>
        <v>19106.150111202405</v>
      </c>
      <c r="L46" s="13">
        <f>IF(L10=0,0,L10/TrAvia_act!L28*1000000)</f>
        <v>22173.096190617358</v>
      </c>
      <c r="M46" s="13">
        <f>IF(M10=0,0,M10/TrAvia_act!M28*1000000)</f>
        <v>23467.413114921234</v>
      </c>
      <c r="N46" s="13">
        <f>IF(N10=0,0,N10/TrAvia_act!N28*1000000)</f>
        <v>24168.096071027692</v>
      </c>
      <c r="O46" s="13">
        <f>IF(O10=0,0,O10/TrAvia_act!O28*1000000)</f>
        <v>24552.899848387224</v>
      </c>
      <c r="P46" s="13">
        <f>IF(P10=0,0,P10/TrAvia_act!P28*1000000)</f>
        <v>23899.378328365961</v>
      </c>
      <c r="Q46" s="13">
        <f>IF(Q10=0,0,Q10/TrAvia_act!Q28*1000000)</f>
        <v>24018.862476193164</v>
      </c>
      <c r="R46" s="13">
        <f>IF(R10=0,0,R10/TrAvia_act!R28*1000000)</f>
        <v>22679.350169201003</v>
      </c>
      <c r="S46" s="13">
        <f>IF(S10=0,0,S10/TrAvia_act!S28*1000000)</f>
        <v>23234.680199928662</v>
      </c>
      <c r="T46" s="13">
        <f>IF(T10=0,0,T10/TrAvia_act!T28*1000000)</f>
        <v>21654.669779759392</v>
      </c>
      <c r="U46" s="13">
        <f>IF(U10=0,0,U10/TrAvia_act!U28*1000000)</f>
        <v>16681.667543823638</v>
      </c>
      <c r="V46" s="13">
        <f>IF(V10=0,0,V10/TrAvia_act!V28*1000000)</f>
        <v>16790.833129272913</v>
      </c>
      <c r="W46" s="13">
        <f>IF(W10=0,0,W10/TrAvia_act!W28*1000000)</f>
        <v>16379.997509401997</v>
      </c>
      <c r="X46" s="13">
        <f>IF(X10=0,0,X10/TrAvia_act!X28*1000000)</f>
        <v>18119.928975576167</v>
      </c>
      <c r="Y46" s="13">
        <f>IF(Y10=0,0,Y10/TrAvia_act!Y28*1000000)</f>
        <v>13744.013557717544</v>
      </c>
      <c r="DA46" s="193" t="s">
        <v>357</v>
      </c>
    </row>
    <row r="47" spans="1:105" ht="11.45" customHeight="1" x14ac:dyDescent="0.25">
      <c r="A47" s="92" t="s">
        <v>27</v>
      </c>
      <c r="B47" s="102">
        <f>IF(B11=0,0,B11/TrAvia_act!B29*1000000)</f>
        <v>6593.5104413855779</v>
      </c>
      <c r="C47" s="102">
        <f>IF(C11=0,0,C11/TrAvia_act!C29*1000000)</f>
        <v>6622.8388518010006</v>
      </c>
      <c r="D47" s="102">
        <f>IF(D11=0,0,D11/TrAvia_act!D29*1000000)</f>
        <v>6639.5513801636398</v>
      </c>
      <c r="E47" s="102">
        <f>IF(E11=0,0,E11/TrAvia_act!E29*1000000)</f>
        <v>6353.6471558976882</v>
      </c>
      <c r="F47" s="102">
        <f>IF(F11=0,0,F11/TrAvia_act!F29*1000000)</f>
        <v>6369.1578852781049</v>
      </c>
      <c r="G47" s="102">
        <f>IF(G11=0,0,G11/TrAvia_act!G29*1000000)</f>
        <v>6314.1388609682353</v>
      </c>
      <c r="H47" s="102">
        <f>IF(H11=0,0,H11/TrAvia_act!H29*1000000)</f>
        <v>7524.4626360850716</v>
      </c>
      <c r="I47" s="102">
        <f>IF(I11=0,0,I11/TrAvia_act!I29*1000000)</f>
        <v>8284.37241022136</v>
      </c>
      <c r="J47" s="102">
        <f>IF(J11=0,0,J11/TrAvia_act!J29*1000000)</f>
        <v>7482.5602433665163</v>
      </c>
      <c r="K47" s="102">
        <f>IF(K11=0,0,K11/TrAvia_act!K29*1000000)</f>
        <v>7737.6416441024121</v>
      </c>
      <c r="L47" s="102">
        <f>IF(L11=0,0,L11/TrAvia_act!L29*1000000)</f>
        <v>9681.5004608103009</v>
      </c>
      <c r="M47" s="102">
        <f>IF(M11=0,0,M11/TrAvia_act!M29*1000000)</f>
        <v>8617.5793006756267</v>
      </c>
      <c r="N47" s="102">
        <f>IF(N11=0,0,N11/TrAvia_act!N29*1000000)</f>
        <v>8478.9419544439115</v>
      </c>
      <c r="O47" s="102">
        <f>IF(O11=0,0,O11/TrAvia_act!O29*1000000)</f>
        <v>8705.5547727276607</v>
      </c>
      <c r="P47" s="102">
        <f>IF(P11=0,0,P11/TrAvia_act!P29*1000000)</f>
        <v>8259.5003956044166</v>
      </c>
      <c r="Q47" s="102">
        <f>IF(Q11=0,0,Q11/TrAvia_act!Q29*1000000)</f>
        <v>8089.2583365452783</v>
      </c>
      <c r="R47" s="102">
        <f>IF(R11=0,0,R11/TrAvia_act!R29*1000000)</f>
        <v>5909.9355451663978</v>
      </c>
      <c r="S47" s="102">
        <f>IF(S11=0,0,S11/TrAvia_act!S29*1000000)</f>
        <v>7124.3798864831615</v>
      </c>
      <c r="T47" s="102">
        <f>IF(T11=0,0,T11/TrAvia_act!T29*1000000)</f>
        <v>7114.948535771372</v>
      </c>
      <c r="U47" s="102">
        <f>IF(U11=0,0,U11/TrAvia_act!U29*1000000)</f>
        <v>6304.2661201950841</v>
      </c>
      <c r="V47" s="102">
        <f>IF(V11=0,0,V11/TrAvia_act!V29*1000000)</f>
        <v>6310.6853884110187</v>
      </c>
      <c r="W47" s="102">
        <f>IF(W11=0,0,W11/TrAvia_act!W29*1000000)</f>
        <v>6099.0664545963273</v>
      </c>
      <c r="X47" s="102">
        <f>IF(X11=0,0,X11/TrAvia_act!X29*1000000)</f>
        <v>5413.1193911693153</v>
      </c>
      <c r="Y47" s="102">
        <f>IF(Y11=0,0,Y11/TrAvia_act!Y29*1000000)</f>
        <v>6082.047261345464</v>
      </c>
      <c r="DA47" s="175" t="s">
        <v>358</v>
      </c>
    </row>
    <row r="48" spans="1:105" ht="11.45" customHeight="1" x14ac:dyDescent="0.25">
      <c r="A48" s="92" t="s">
        <v>181</v>
      </c>
      <c r="B48" s="102">
        <f>IF(B12=0,0,B12/TrAvia_act!B30*1000000)</f>
        <v>13433.807077762665</v>
      </c>
      <c r="C48" s="102">
        <f>IF(C12=0,0,C12/TrAvia_act!C30*1000000)</f>
        <v>13451.319016057127</v>
      </c>
      <c r="D48" s="102">
        <f>IF(D12=0,0,D12/TrAvia_act!D30*1000000)</f>
        <v>13423.275760574657</v>
      </c>
      <c r="E48" s="102">
        <f>IF(E12=0,0,E12/TrAvia_act!E30*1000000)</f>
        <v>13777.199278020991</v>
      </c>
      <c r="F48" s="102">
        <f>IF(F12=0,0,F12/TrAvia_act!F30*1000000)</f>
        <v>14963.922376368884</v>
      </c>
      <c r="G48" s="102">
        <f>IF(G12=0,0,G12/TrAvia_act!G30*1000000)</f>
        <v>14444.991404134835</v>
      </c>
      <c r="H48" s="102">
        <f>IF(H12=0,0,H12/TrAvia_act!H30*1000000)</f>
        <v>14289.196623666583</v>
      </c>
      <c r="I48" s="102">
        <f>IF(I12=0,0,I12/TrAvia_act!I30*1000000)</f>
        <v>14217.639292961139</v>
      </c>
      <c r="J48" s="102">
        <f>IF(J12=0,0,J12/TrAvia_act!J30*1000000)</f>
        <v>15116.50275733646</v>
      </c>
      <c r="K48" s="102">
        <f>IF(K12=0,0,K12/TrAvia_act!K30*1000000)</f>
        <v>15658.446271054994</v>
      </c>
      <c r="L48" s="102">
        <f>IF(L12=0,0,L12/TrAvia_act!L30*1000000)</f>
        <v>16469.266330219132</v>
      </c>
      <c r="M48" s="102">
        <f>IF(M12=0,0,M12/TrAvia_act!M30*1000000)</f>
        <v>16298.727587094618</v>
      </c>
      <c r="N48" s="102">
        <f>IF(N12=0,0,N12/TrAvia_act!N30*1000000)</f>
        <v>16203.194676693181</v>
      </c>
      <c r="O48" s="102">
        <f>IF(O12=0,0,O12/TrAvia_act!O30*1000000)</f>
        <v>15545.979483731964</v>
      </c>
      <c r="P48" s="102">
        <f>IF(P12=0,0,P12/TrAvia_act!P30*1000000)</f>
        <v>15096.883470944138</v>
      </c>
      <c r="Q48" s="102">
        <f>IF(Q12=0,0,Q12/TrAvia_act!Q30*1000000)</f>
        <v>15265.764734501636</v>
      </c>
      <c r="R48" s="102">
        <f>IF(R12=0,0,R12/TrAvia_act!R30*1000000)</f>
        <v>15885.834836174221</v>
      </c>
      <c r="S48" s="102">
        <f>IF(S12=0,0,S12/TrAvia_act!S30*1000000)</f>
        <v>15758.314917450594</v>
      </c>
      <c r="T48" s="102">
        <f>IF(T12=0,0,T12/TrAvia_act!T30*1000000)</f>
        <v>15275.512625907757</v>
      </c>
      <c r="U48" s="102">
        <f>IF(U12=0,0,U12/TrAvia_act!U30*1000000)</f>
        <v>15553.625686379757</v>
      </c>
      <c r="V48" s="102">
        <f>IF(V12=0,0,V12/TrAvia_act!V30*1000000)</f>
        <v>12130.086419221119</v>
      </c>
      <c r="W48" s="102">
        <f>IF(W12=0,0,W12/TrAvia_act!W30*1000000)</f>
        <v>12797.735249817515</v>
      </c>
      <c r="X48" s="102">
        <f>IF(X12=0,0,X12/TrAvia_act!X30*1000000)</f>
        <v>16563.820905880701</v>
      </c>
      <c r="Y48" s="102">
        <f>IF(Y12=0,0,Y12/TrAvia_act!Y30*1000000)</f>
        <v>17786.73384971853</v>
      </c>
      <c r="DA48" s="175" t="s">
        <v>359</v>
      </c>
    </row>
    <row r="49" spans="1:105" ht="11.45" customHeight="1" x14ac:dyDescent="0.25">
      <c r="A49" s="85" t="s">
        <v>182</v>
      </c>
      <c r="B49" s="86">
        <f>IF(B13=0,0,B13/TrAvia_act!B31*1000000)</f>
        <v>41274.244110209969</v>
      </c>
      <c r="C49" s="86">
        <f>IF(C13=0,0,C13/TrAvia_act!C31*1000000)</f>
        <v>41267.85429743</v>
      </c>
      <c r="D49" s="86">
        <f>IF(D13=0,0,D13/TrAvia_act!D31*1000000)</f>
        <v>41187.989976841847</v>
      </c>
      <c r="E49" s="86">
        <f>IF(E13=0,0,E13/TrAvia_act!E31*1000000)</f>
        <v>42105.805525992357</v>
      </c>
      <c r="F49" s="86">
        <f>IF(F13=0,0,F13/TrAvia_act!F31*1000000)</f>
        <v>45216.942253705311</v>
      </c>
      <c r="G49" s="86">
        <f>IF(G13=0,0,G13/TrAvia_act!G31*1000000)</f>
        <v>40133.532000585372</v>
      </c>
      <c r="H49" s="86">
        <f>IF(H13=0,0,H13/TrAvia_act!H31*1000000)</f>
        <v>47617.0008041826</v>
      </c>
      <c r="I49" s="86">
        <f>IF(I13=0,0,I13/TrAvia_act!I31*1000000)</f>
        <v>54974.730645032789</v>
      </c>
      <c r="J49" s="86">
        <f>IF(J13=0,0,J13/TrAvia_act!J31*1000000)</f>
        <v>67228.193632389797</v>
      </c>
      <c r="K49" s="86">
        <f>IF(K13=0,0,K13/TrAvia_act!K31*1000000)</f>
        <v>70902.537454588601</v>
      </c>
      <c r="L49" s="86">
        <f>IF(L13=0,0,L13/TrAvia_act!L31*1000000)</f>
        <v>69025.662723366331</v>
      </c>
      <c r="M49" s="86">
        <f>IF(M13=0,0,M13/TrAvia_act!M31*1000000)</f>
        <v>68205.677056236731</v>
      </c>
      <c r="N49" s="86">
        <f>IF(N13=0,0,N13/TrAvia_act!N31*1000000)</f>
        <v>67094.926412832749</v>
      </c>
      <c r="O49" s="86">
        <f>IF(O13=0,0,O13/TrAvia_act!O31*1000000)</f>
        <v>65785.227741025476</v>
      </c>
      <c r="P49" s="86">
        <f>IF(P13=0,0,P13/TrAvia_act!P31*1000000)</f>
        <v>62131.15419506684</v>
      </c>
      <c r="Q49" s="86">
        <f>IF(Q13=0,0,Q13/TrAvia_act!Q31*1000000)</f>
        <v>65358.633597407068</v>
      </c>
      <c r="R49" s="86">
        <f>IF(R13=0,0,R13/TrAvia_act!R31*1000000)</f>
        <v>61057.273721704827</v>
      </c>
      <c r="S49" s="86">
        <f>IF(S13=0,0,S13/TrAvia_act!S31*1000000)</f>
        <v>54847.85033168595</v>
      </c>
      <c r="T49" s="86">
        <f>IF(T13=0,0,T13/TrAvia_act!T31*1000000)</f>
        <v>50995.576718361393</v>
      </c>
      <c r="U49" s="86">
        <f>IF(U13=0,0,U13/TrAvia_act!U31*1000000)</f>
        <v>28933.867182322803</v>
      </c>
      <c r="V49" s="86">
        <f>IF(V13=0,0,V13/TrAvia_act!V31*1000000)</f>
        <v>36787.960820902852</v>
      </c>
      <c r="W49" s="86">
        <f>IF(W13=0,0,W13/TrAvia_act!W31*1000000)</f>
        <v>31399.64286551534</v>
      </c>
      <c r="X49" s="86">
        <f>IF(X13=0,0,X13/TrAvia_act!X31*1000000)</f>
        <v>31215.912295292772</v>
      </c>
      <c r="Y49" s="86">
        <f>IF(Y13=0,0,Y13/TrAvia_act!Y31*1000000)</f>
        <v>16327.989632079581</v>
      </c>
      <c r="DA49" s="178" t="s">
        <v>360</v>
      </c>
    </row>
    <row r="50" spans="1:105" x14ac:dyDescent="0.25">
      <c r="A50" s="50"/>
      <c r="B50" s="50"/>
      <c r="C50" s="50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DA50" s="181"/>
    </row>
    <row r="51" spans="1:105" ht="11.45" customHeight="1" x14ac:dyDescent="0.25">
      <c r="A51" s="53" t="s">
        <v>41</v>
      </c>
      <c r="B51" s="76">
        <f t="shared" ref="B51:C51" si="33">IF(B3=0,0,B3/B$3)</f>
        <v>1</v>
      </c>
      <c r="C51" s="76">
        <f t="shared" si="33"/>
        <v>1</v>
      </c>
      <c r="D51" s="76">
        <f t="shared" ref="D51:V51" si="34">IF(D3=0,0,D3/D$3)</f>
        <v>1</v>
      </c>
      <c r="E51" s="76">
        <f t="shared" si="34"/>
        <v>1</v>
      </c>
      <c r="F51" s="76">
        <f t="shared" si="34"/>
        <v>1</v>
      </c>
      <c r="G51" s="76">
        <f t="shared" si="34"/>
        <v>1</v>
      </c>
      <c r="H51" s="76">
        <f t="shared" si="34"/>
        <v>1</v>
      </c>
      <c r="I51" s="76">
        <f t="shared" si="34"/>
        <v>1</v>
      </c>
      <c r="J51" s="76">
        <f t="shared" si="34"/>
        <v>1</v>
      </c>
      <c r="K51" s="76">
        <f t="shared" si="34"/>
        <v>1</v>
      </c>
      <c r="L51" s="76">
        <f t="shared" si="34"/>
        <v>1</v>
      </c>
      <c r="M51" s="76">
        <f t="shared" si="34"/>
        <v>1</v>
      </c>
      <c r="N51" s="76">
        <f t="shared" si="34"/>
        <v>1</v>
      </c>
      <c r="O51" s="76">
        <f t="shared" si="34"/>
        <v>1</v>
      </c>
      <c r="P51" s="76">
        <f t="shared" si="34"/>
        <v>1</v>
      </c>
      <c r="Q51" s="76">
        <f t="shared" si="34"/>
        <v>1</v>
      </c>
      <c r="R51" s="76">
        <f t="shared" si="34"/>
        <v>1</v>
      </c>
      <c r="S51" s="76">
        <f t="shared" si="34"/>
        <v>1</v>
      </c>
      <c r="T51" s="76">
        <f t="shared" si="34"/>
        <v>1</v>
      </c>
      <c r="U51" s="76">
        <f t="shared" si="34"/>
        <v>1</v>
      </c>
      <c r="V51" s="76">
        <f t="shared" si="34"/>
        <v>1</v>
      </c>
      <c r="W51" s="76">
        <f t="shared" ref="W51:Y51" si="35">IF(W3=0,0,W3/W$3)</f>
        <v>1</v>
      </c>
      <c r="X51" s="76">
        <f t="shared" si="35"/>
        <v>1</v>
      </c>
      <c r="Y51" s="76">
        <f t="shared" si="35"/>
        <v>1</v>
      </c>
      <c r="DA51" s="183"/>
    </row>
    <row r="52" spans="1:105" ht="11.45" customHeight="1" x14ac:dyDescent="0.25">
      <c r="A52" s="10" t="s">
        <v>33</v>
      </c>
      <c r="B52" s="16">
        <f t="shared" ref="B52:C52" si="36">IF(B6=0,0,B6/B$3)</f>
        <v>0.97424269903973693</v>
      </c>
      <c r="C52" s="16">
        <f t="shared" si="36"/>
        <v>0.97549376990591552</v>
      </c>
      <c r="D52" s="16">
        <f t="shared" ref="D52:V52" si="37">IF(D6=0,0,D6/D$3)</f>
        <v>0.97495966652280674</v>
      </c>
      <c r="E52" s="16">
        <f t="shared" si="37"/>
        <v>0.97804028998463144</v>
      </c>
      <c r="F52" s="16">
        <f t="shared" si="37"/>
        <v>0.97722940510754508</v>
      </c>
      <c r="G52" s="16">
        <f t="shared" si="37"/>
        <v>0.976949684554971</v>
      </c>
      <c r="H52" s="16">
        <f t="shared" si="37"/>
        <v>0.97276214819062445</v>
      </c>
      <c r="I52" s="16">
        <f t="shared" si="37"/>
        <v>0.97153679096688506</v>
      </c>
      <c r="J52" s="16">
        <f t="shared" si="37"/>
        <v>0.96786256997016806</v>
      </c>
      <c r="K52" s="16">
        <f t="shared" si="37"/>
        <v>0.96979333094284137</v>
      </c>
      <c r="L52" s="16">
        <f t="shared" si="37"/>
        <v>0.96880080187798845</v>
      </c>
      <c r="M52" s="16">
        <f t="shared" si="37"/>
        <v>0.97477602558996657</v>
      </c>
      <c r="N52" s="16">
        <f t="shared" si="37"/>
        <v>0.97553403296356267</v>
      </c>
      <c r="O52" s="16">
        <f t="shared" si="37"/>
        <v>0.97787307876259688</v>
      </c>
      <c r="P52" s="16">
        <f t="shared" si="37"/>
        <v>0.98121933940655626</v>
      </c>
      <c r="Q52" s="16">
        <f t="shared" si="37"/>
        <v>0.98310735536219462</v>
      </c>
      <c r="R52" s="16">
        <f t="shared" si="37"/>
        <v>0.98702391042818749</v>
      </c>
      <c r="S52" s="16">
        <f t="shared" si="37"/>
        <v>0.98558551599639743</v>
      </c>
      <c r="T52" s="16">
        <f t="shared" si="37"/>
        <v>0.98687468371402853</v>
      </c>
      <c r="U52" s="16">
        <f t="shared" si="37"/>
        <v>0.98931315836264089</v>
      </c>
      <c r="V52" s="16">
        <f t="shared" si="37"/>
        <v>0.9735309347608111</v>
      </c>
      <c r="W52" s="16">
        <f t="shared" ref="W52:Y52" si="38">IF(W6=0,0,W6/W$3)</f>
        <v>0.97521661443718421</v>
      </c>
      <c r="X52" s="16">
        <f t="shared" si="38"/>
        <v>0.98474524475314595</v>
      </c>
      <c r="Y52" s="16">
        <f t="shared" si="38"/>
        <v>0.99031942302349585</v>
      </c>
      <c r="DA52" s="190"/>
    </row>
    <row r="53" spans="1:105" ht="11.45" customHeight="1" x14ac:dyDescent="0.25">
      <c r="A53" s="83" t="s">
        <v>27</v>
      </c>
      <c r="B53" s="103">
        <f t="shared" ref="B53:C53" si="39">IF(B7=0,0,B7/B$3)</f>
        <v>0.13888236543590096</v>
      </c>
      <c r="C53" s="103">
        <f t="shared" si="39"/>
        <v>0.14771832695561962</v>
      </c>
      <c r="D53" s="103">
        <f t="shared" ref="D53:V53" si="40">IF(D7=0,0,D7/D$3)</f>
        <v>0.16004341809587855</v>
      </c>
      <c r="E53" s="103">
        <f t="shared" si="40"/>
        <v>0.14180455763632191</v>
      </c>
      <c r="F53" s="103">
        <f t="shared" si="40"/>
        <v>0.14795728653080201</v>
      </c>
      <c r="G53" s="103">
        <f t="shared" si="40"/>
        <v>0.14815852598608986</v>
      </c>
      <c r="H53" s="103">
        <f t="shared" si="40"/>
        <v>0.13776981258221857</v>
      </c>
      <c r="I53" s="103">
        <f t="shared" si="40"/>
        <v>0.13069538194823885</v>
      </c>
      <c r="J53" s="103">
        <f t="shared" si="40"/>
        <v>0.11802123184355327</v>
      </c>
      <c r="K53" s="103">
        <f t="shared" si="40"/>
        <v>0.1171537941273359</v>
      </c>
      <c r="L53" s="103">
        <f t="shared" si="40"/>
        <v>0.12865312402066098</v>
      </c>
      <c r="M53" s="103">
        <f t="shared" si="40"/>
        <v>0.11335790574207233</v>
      </c>
      <c r="N53" s="103">
        <f t="shared" si="40"/>
        <v>0.11270464351530549</v>
      </c>
      <c r="O53" s="103">
        <f t="shared" si="40"/>
        <v>0.11363699781660562</v>
      </c>
      <c r="P53" s="103">
        <f t="shared" si="40"/>
        <v>0.10747422658843041</v>
      </c>
      <c r="Q53" s="103">
        <f t="shared" si="40"/>
        <v>0.10504042855643915</v>
      </c>
      <c r="R53" s="103">
        <f t="shared" si="40"/>
        <v>0.10727325855477728</v>
      </c>
      <c r="S53" s="103">
        <f t="shared" si="40"/>
        <v>0.11490717073570066</v>
      </c>
      <c r="T53" s="103">
        <f t="shared" si="40"/>
        <v>0.11467582237554166</v>
      </c>
      <c r="U53" s="103">
        <f t="shared" si="40"/>
        <v>0.10122155155675594</v>
      </c>
      <c r="V53" s="103">
        <f t="shared" si="40"/>
        <v>0.13955431235621216</v>
      </c>
      <c r="W53" s="103">
        <f t="shared" ref="W53:Y53" si="41">IF(W7=0,0,W7/W$3)</f>
        <v>0.14404158377541884</v>
      </c>
      <c r="X53" s="103">
        <f t="shared" si="41"/>
        <v>9.014005653333565E-2</v>
      </c>
      <c r="Y53" s="103">
        <f t="shared" si="41"/>
        <v>8.997708225662579E-2</v>
      </c>
      <c r="DA53" s="191"/>
    </row>
    <row r="54" spans="1:105" ht="11.45" customHeight="1" x14ac:dyDescent="0.25">
      <c r="A54" s="83" t="s">
        <v>181</v>
      </c>
      <c r="B54" s="103">
        <f t="shared" ref="B54:C54" si="42">IF(B8=0,0,B8/B$3)</f>
        <v>0.53189185601873801</v>
      </c>
      <c r="C54" s="103">
        <f t="shared" si="42"/>
        <v>0.52707752932911978</v>
      </c>
      <c r="D54" s="103">
        <f t="shared" ref="D54:V54" si="43">IF(D8=0,0,D8/D$3)</f>
        <v>0.51889043864517792</v>
      </c>
      <c r="E54" s="103">
        <f t="shared" si="43"/>
        <v>0.51361218535081299</v>
      </c>
      <c r="F54" s="103">
        <f t="shared" si="43"/>
        <v>0.52000143151040268</v>
      </c>
      <c r="G54" s="103">
        <f t="shared" si="43"/>
        <v>0.52242511651028156</v>
      </c>
      <c r="H54" s="103">
        <f t="shared" si="43"/>
        <v>0.53319733777858069</v>
      </c>
      <c r="I54" s="103">
        <f t="shared" si="43"/>
        <v>0.54936906880378544</v>
      </c>
      <c r="J54" s="103">
        <f t="shared" si="43"/>
        <v>0.55259406110872133</v>
      </c>
      <c r="K54" s="103">
        <f t="shared" si="43"/>
        <v>0.54015305999647767</v>
      </c>
      <c r="L54" s="103">
        <f t="shared" si="43"/>
        <v>0.53137172879225558</v>
      </c>
      <c r="M54" s="103">
        <f t="shared" si="43"/>
        <v>0.54871284025905154</v>
      </c>
      <c r="N54" s="103">
        <f t="shared" si="43"/>
        <v>0.54250682543772555</v>
      </c>
      <c r="O54" s="103">
        <f t="shared" si="43"/>
        <v>0.54750162321564422</v>
      </c>
      <c r="P54" s="103">
        <f t="shared" si="43"/>
        <v>0.56082995403448965</v>
      </c>
      <c r="Q54" s="103">
        <f t="shared" si="43"/>
        <v>0.56800786707211459</v>
      </c>
      <c r="R54" s="103">
        <f t="shared" si="43"/>
        <v>0.58645741906847959</v>
      </c>
      <c r="S54" s="103">
        <f t="shared" si="43"/>
        <v>0.59257810447860837</v>
      </c>
      <c r="T54" s="103">
        <f t="shared" si="43"/>
        <v>0.58873789934973597</v>
      </c>
      <c r="U54" s="103">
        <f t="shared" si="43"/>
        <v>0.59693429422697208</v>
      </c>
      <c r="V54" s="103">
        <f t="shared" si="43"/>
        <v>0.47540503048190891</v>
      </c>
      <c r="W54" s="103">
        <f t="shared" ref="W54:Y54" si="44">IF(W8=0,0,W8/W$3)</f>
        <v>0.51156158990861489</v>
      </c>
      <c r="X54" s="103">
        <f t="shared" si="44"/>
        <v>0.61568745828168836</v>
      </c>
      <c r="Y54" s="103">
        <f t="shared" si="44"/>
        <v>0.62148976508584619</v>
      </c>
      <c r="DA54" s="191"/>
    </row>
    <row r="55" spans="1:105" ht="11.45" customHeight="1" x14ac:dyDescent="0.25">
      <c r="A55" s="83" t="s">
        <v>182</v>
      </c>
      <c r="B55" s="103">
        <f t="shared" ref="B55:C55" si="45">IF(B9=0,0,B9/B$3)</f>
        <v>0.30346847758509798</v>
      </c>
      <c r="C55" s="103">
        <f t="shared" si="45"/>
        <v>0.30069791362117598</v>
      </c>
      <c r="D55" s="103">
        <f t="shared" ref="D55:V55" si="46">IF(D9=0,0,D9/D$3)</f>
        <v>0.29602580978175025</v>
      </c>
      <c r="E55" s="103">
        <f t="shared" si="46"/>
        <v>0.32262354699749651</v>
      </c>
      <c r="F55" s="103">
        <f t="shared" si="46"/>
        <v>0.30927068706634048</v>
      </c>
      <c r="G55" s="103">
        <f t="shared" si="46"/>
        <v>0.30636604205859957</v>
      </c>
      <c r="H55" s="103">
        <f t="shared" si="46"/>
        <v>0.30179499782982516</v>
      </c>
      <c r="I55" s="103">
        <f t="shared" si="46"/>
        <v>0.29147234021486074</v>
      </c>
      <c r="J55" s="103">
        <f t="shared" si="46"/>
        <v>0.29724727701789344</v>
      </c>
      <c r="K55" s="103">
        <f t="shared" si="46"/>
        <v>0.31248647681902786</v>
      </c>
      <c r="L55" s="103">
        <f t="shared" si="46"/>
        <v>0.30877594906507189</v>
      </c>
      <c r="M55" s="103">
        <f t="shared" si="46"/>
        <v>0.31270527958884292</v>
      </c>
      <c r="N55" s="103">
        <f t="shared" si="46"/>
        <v>0.32032256401053161</v>
      </c>
      <c r="O55" s="103">
        <f t="shared" si="46"/>
        <v>0.3167344577303472</v>
      </c>
      <c r="P55" s="103">
        <f t="shared" si="46"/>
        <v>0.31291515878363613</v>
      </c>
      <c r="Q55" s="103">
        <f t="shared" si="46"/>
        <v>0.31005905973364084</v>
      </c>
      <c r="R55" s="103">
        <f t="shared" si="46"/>
        <v>0.29329323280493058</v>
      </c>
      <c r="S55" s="103">
        <f t="shared" si="46"/>
        <v>0.27810024078208845</v>
      </c>
      <c r="T55" s="103">
        <f t="shared" si="46"/>
        <v>0.28346096198875081</v>
      </c>
      <c r="U55" s="103">
        <f t="shared" si="46"/>
        <v>0.29115731257891264</v>
      </c>
      <c r="V55" s="103">
        <f t="shared" si="46"/>
        <v>0.35857159192269006</v>
      </c>
      <c r="W55" s="103">
        <f t="shared" ref="W55:Y55" si="47">IF(W9=0,0,W9/W$3)</f>
        <v>0.31961344075315051</v>
      </c>
      <c r="X55" s="103">
        <f t="shared" si="47"/>
        <v>0.27891772993812192</v>
      </c>
      <c r="Y55" s="103">
        <f t="shared" si="47"/>
        <v>0.2788525756810239</v>
      </c>
      <c r="DA55" s="191"/>
    </row>
    <row r="56" spans="1:105" ht="11.45" customHeight="1" x14ac:dyDescent="0.25">
      <c r="A56" s="12" t="s">
        <v>34</v>
      </c>
      <c r="B56" s="17">
        <f t="shared" ref="B56:C56" si="48">IF(B10=0,0,B10/B$3)</f>
        <v>2.5757300960262963E-2</v>
      </c>
      <c r="C56" s="17">
        <f t="shared" si="48"/>
        <v>2.450623009408465E-2</v>
      </c>
      <c r="D56" s="17">
        <f t="shared" ref="D56:V56" si="49">IF(D10=0,0,D10/D$3)</f>
        <v>2.5040333477193356E-2</v>
      </c>
      <c r="E56" s="17">
        <f t="shared" si="49"/>
        <v>2.1959710015368446E-2</v>
      </c>
      <c r="F56" s="17">
        <f t="shared" si="49"/>
        <v>2.2770594892455E-2</v>
      </c>
      <c r="G56" s="17">
        <f t="shared" si="49"/>
        <v>2.3050315445028873E-2</v>
      </c>
      <c r="H56" s="17">
        <f t="shared" si="49"/>
        <v>2.7237851809375671E-2</v>
      </c>
      <c r="I56" s="17">
        <f t="shared" si="49"/>
        <v>2.8463209033114886E-2</v>
      </c>
      <c r="J56" s="17">
        <f t="shared" si="49"/>
        <v>3.2137430029831965E-2</v>
      </c>
      <c r="K56" s="17">
        <f t="shared" si="49"/>
        <v>3.020666905715871E-2</v>
      </c>
      <c r="L56" s="17">
        <f t="shared" si="49"/>
        <v>3.1199198122011454E-2</v>
      </c>
      <c r="M56" s="17">
        <f t="shared" si="49"/>
        <v>2.5223974410033215E-2</v>
      </c>
      <c r="N56" s="17">
        <f t="shared" si="49"/>
        <v>2.4465967036437355E-2</v>
      </c>
      <c r="O56" s="17">
        <f t="shared" si="49"/>
        <v>2.2126921237402928E-2</v>
      </c>
      <c r="P56" s="17">
        <f t="shared" si="49"/>
        <v>1.8780660593443847E-2</v>
      </c>
      <c r="Q56" s="17">
        <f t="shared" si="49"/>
        <v>1.6892644637805435E-2</v>
      </c>
      <c r="R56" s="17">
        <f t="shared" si="49"/>
        <v>1.2976089571812623E-2</v>
      </c>
      <c r="S56" s="17">
        <f t="shared" si="49"/>
        <v>1.4414484003602698E-2</v>
      </c>
      <c r="T56" s="17">
        <f t="shared" si="49"/>
        <v>1.3125316285971547E-2</v>
      </c>
      <c r="U56" s="17">
        <f t="shared" si="49"/>
        <v>1.06868416373593E-2</v>
      </c>
      <c r="V56" s="17">
        <f t="shared" si="49"/>
        <v>2.6469065239188683E-2</v>
      </c>
      <c r="W56" s="17">
        <f t="shared" ref="W56:Y56" si="50">IF(W10=0,0,W10/W$3)</f>
        <v>2.4783385562815789E-2</v>
      </c>
      <c r="X56" s="17">
        <f t="shared" si="50"/>
        <v>1.5254755246854065E-2</v>
      </c>
      <c r="Y56" s="17">
        <f t="shared" si="50"/>
        <v>9.6805769765041742E-3</v>
      </c>
      <c r="DA56" s="194"/>
    </row>
    <row r="57" spans="1:105" ht="11.45" customHeight="1" x14ac:dyDescent="0.25">
      <c r="A57" s="92" t="s">
        <v>27</v>
      </c>
      <c r="B57" s="104">
        <f t="shared" ref="B57:C57" si="51">IF(B11=0,0,B11/B$3)</f>
        <v>7.1475737790330481E-3</v>
      </c>
      <c r="C57" s="104">
        <f t="shared" si="51"/>
        <v>6.762086076428398E-3</v>
      </c>
      <c r="D57" s="104">
        <f t="shared" ref="D57:V57" si="52">IF(D11=0,0,D11/D$3)</f>
        <v>6.7817882097178026E-3</v>
      </c>
      <c r="E57" s="104">
        <f t="shared" si="52"/>
        <v>5.9698569122479585E-3</v>
      </c>
      <c r="F57" s="104">
        <f t="shared" si="52"/>
        <v>5.6524597710772553E-3</v>
      </c>
      <c r="G57" s="104">
        <f t="shared" si="52"/>
        <v>5.8970847963552338E-3</v>
      </c>
      <c r="H57" s="104">
        <f t="shared" si="52"/>
        <v>6.0231403666035233E-3</v>
      </c>
      <c r="I57" s="104">
        <f t="shared" si="52"/>
        <v>5.9959339322856273E-3</v>
      </c>
      <c r="J57" s="104">
        <f t="shared" si="52"/>
        <v>5.5558068780697462E-3</v>
      </c>
      <c r="K57" s="104">
        <f t="shared" si="52"/>
        <v>5.9158056250328767E-3</v>
      </c>
      <c r="L57" s="104">
        <f t="shared" si="52"/>
        <v>5.9523565546002518E-3</v>
      </c>
      <c r="M57" s="104">
        <f t="shared" si="52"/>
        <v>3.5829439123227125E-3</v>
      </c>
      <c r="N57" s="104">
        <f t="shared" si="52"/>
        <v>3.3195791189485689E-3</v>
      </c>
      <c r="O57" s="104">
        <f t="shared" si="52"/>
        <v>2.9745173130851653E-3</v>
      </c>
      <c r="P57" s="104">
        <f t="shared" si="52"/>
        <v>2.2671249784644667E-3</v>
      </c>
      <c r="Q57" s="104">
        <f t="shared" si="52"/>
        <v>1.8803599990219536E-3</v>
      </c>
      <c r="R57" s="104">
        <f t="shared" si="52"/>
        <v>1.0905762118902859E-3</v>
      </c>
      <c r="S57" s="104">
        <f t="shared" si="52"/>
        <v>1.349154620973142E-3</v>
      </c>
      <c r="T57" s="104">
        <f t="shared" si="52"/>
        <v>1.2960505452157627E-3</v>
      </c>
      <c r="U57" s="104">
        <f t="shared" si="52"/>
        <v>1.2156141525607449E-3</v>
      </c>
      <c r="V57" s="104">
        <f t="shared" si="52"/>
        <v>2.9964760109011425E-3</v>
      </c>
      <c r="W57" s="104">
        <f t="shared" ref="W57:Y57" si="53">IF(W11=0,0,W11/W$3)</f>
        <v>2.6432638832010876E-3</v>
      </c>
      <c r="X57" s="104">
        <f t="shared" si="53"/>
        <v>1.361632834002267E-3</v>
      </c>
      <c r="Y57" s="104">
        <f t="shared" si="53"/>
        <v>1.3093135297678582E-3</v>
      </c>
      <c r="DA57" s="195"/>
    </row>
    <row r="58" spans="1:105" ht="11.45" customHeight="1" x14ac:dyDescent="0.25">
      <c r="A58" s="92" t="s">
        <v>181</v>
      </c>
      <c r="B58" s="104">
        <f t="shared" ref="B58:C58" si="54">IF(B12=0,0,B12/B$3)</f>
        <v>1.1954093350474869E-2</v>
      </c>
      <c r="C58" s="104">
        <f t="shared" si="54"/>
        <v>1.1110040296927037E-2</v>
      </c>
      <c r="D58" s="104">
        <f t="shared" ref="D58:V58" si="55">IF(D12=0,0,D12/D$3)</f>
        <v>1.1389175573057428E-2</v>
      </c>
      <c r="E58" s="104">
        <f t="shared" si="55"/>
        <v>9.6697526766615551E-3</v>
      </c>
      <c r="F58" s="104">
        <f t="shared" si="55"/>
        <v>1.0231913529290921E-2</v>
      </c>
      <c r="G58" s="104">
        <f t="shared" si="55"/>
        <v>9.6148147190747678E-3</v>
      </c>
      <c r="H58" s="104">
        <f t="shared" si="55"/>
        <v>1.1346550824339578E-2</v>
      </c>
      <c r="I58" s="104">
        <f t="shared" si="55"/>
        <v>1.0575523542991528E-2</v>
      </c>
      <c r="J58" s="104">
        <f t="shared" si="55"/>
        <v>1.0166570978808733E-2</v>
      </c>
      <c r="K58" s="104">
        <f t="shared" si="55"/>
        <v>9.522775575219411E-3</v>
      </c>
      <c r="L58" s="104">
        <f t="shared" si="55"/>
        <v>9.2251819810834478E-3</v>
      </c>
      <c r="M58" s="104">
        <f t="shared" si="55"/>
        <v>7.3199241607344381E-3</v>
      </c>
      <c r="N58" s="104">
        <f t="shared" si="55"/>
        <v>6.5292090487941781E-3</v>
      </c>
      <c r="O58" s="104">
        <f t="shared" si="55"/>
        <v>5.4632414965004742E-3</v>
      </c>
      <c r="P58" s="104">
        <f t="shared" si="55"/>
        <v>4.896913229551856E-3</v>
      </c>
      <c r="Q58" s="104">
        <f t="shared" si="55"/>
        <v>4.8035242789457632E-3</v>
      </c>
      <c r="R58" s="104">
        <f t="shared" si="55"/>
        <v>4.1433422556054348E-3</v>
      </c>
      <c r="S58" s="104">
        <f t="shared" si="55"/>
        <v>4.2631085548863173E-3</v>
      </c>
      <c r="T58" s="104">
        <f t="shared" si="55"/>
        <v>4.1870101158032694E-3</v>
      </c>
      <c r="U58" s="104">
        <f t="shared" si="55"/>
        <v>4.0518241468109929E-3</v>
      </c>
      <c r="V58" s="104">
        <f t="shared" si="55"/>
        <v>8.3885212043952953E-3</v>
      </c>
      <c r="W58" s="104">
        <f t="shared" ref="W58:Y58" si="56">IF(W12=0,0,W12/W$3)</f>
        <v>8.0907532012835515E-3</v>
      </c>
      <c r="X58" s="104">
        <f t="shared" si="56"/>
        <v>5.1263590988392714E-3</v>
      </c>
      <c r="Y58" s="104">
        <f t="shared" si="56"/>
        <v>4.702625250854923E-3</v>
      </c>
      <c r="DA58" s="195"/>
    </row>
    <row r="59" spans="1:105" ht="11.45" customHeight="1" x14ac:dyDescent="0.25">
      <c r="A59" s="85" t="s">
        <v>182</v>
      </c>
      <c r="B59" s="105">
        <f t="shared" ref="B59:C59" si="57">IF(B13=0,0,B13/B$3)</f>
        <v>6.6556338307550466E-3</v>
      </c>
      <c r="C59" s="105">
        <f t="shared" si="57"/>
        <v>6.634103720729213E-3</v>
      </c>
      <c r="D59" s="105">
        <f t="shared" ref="D59:V59" si="58">IF(D13=0,0,D13/D$3)</f>
        <v>6.8693696944181256E-3</v>
      </c>
      <c r="E59" s="105">
        <f t="shared" si="58"/>
        <v>6.320100426458931E-3</v>
      </c>
      <c r="F59" s="105">
        <f t="shared" si="58"/>
        <v>6.8862215920868245E-3</v>
      </c>
      <c r="G59" s="105">
        <f t="shared" si="58"/>
        <v>7.5384159295988715E-3</v>
      </c>
      <c r="H59" s="105">
        <f t="shared" si="58"/>
        <v>9.8681606184325716E-3</v>
      </c>
      <c r="I59" s="105">
        <f t="shared" si="58"/>
        <v>1.1891751557837728E-2</v>
      </c>
      <c r="J59" s="105">
        <f t="shared" si="58"/>
        <v>1.6415052172953488E-2</v>
      </c>
      <c r="K59" s="105">
        <f t="shared" si="58"/>
        <v>1.4768087856906422E-2</v>
      </c>
      <c r="L59" s="105">
        <f t="shared" si="58"/>
        <v>1.6021659586327758E-2</v>
      </c>
      <c r="M59" s="105">
        <f t="shared" si="58"/>
        <v>1.4321106336976067E-2</v>
      </c>
      <c r="N59" s="105">
        <f t="shared" si="58"/>
        <v>1.4617178868694611E-2</v>
      </c>
      <c r="O59" s="105">
        <f t="shared" si="58"/>
        <v>1.3689162427817288E-2</v>
      </c>
      <c r="P59" s="105">
        <f t="shared" si="58"/>
        <v>1.1616622385427525E-2</v>
      </c>
      <c r="Q59" s="105">
        <f t="shared" si="58"/>
        <v>1.0208760359837721E-2</v>
      </c>
      <c r="R59" s="105">
        <f t="shared" si="58"/>
        <v>7.7421711043169023E-3</v>
      </c>
      <c r="S59" s="105">
        <f t="shared" si="58"/>
        <v>8.8022208277432398E-3</v>
      </c>
      <c r="T59" s="105">
        <f t="shared" si="58"/>
        <v>7.6422556249525148E-3</v>
      </c>
      <c r="U59" s="105">
        <f t="shared" si="58"/>
        <v>5.4194033379875621E-3</v>
      </c>
      <c r="V59" s="105">
        <f t="shared" si="58"/>
        <v>1.5084068023892243E-2</v>
      </c>
      <c r="W59" s="105">
        <f t="shared" ref="W59:Y59" si="59">IF(W13=0,0,W13/W$3)</f>
        <v>1.4049368478331149E-2</v>
      </c>
      <c r="X59" s="105">
        <f t="shared" si="59"/>
        <v>8.7667633140125264E-3</v>
      </c>
      <c r="Y59" s="105">
        <f t="shared" si="59"/>
        <v>3.6686381958813924E-3</v>
      </c>
      <c r="DA59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DA27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361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67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DA3" s="172"/>
    </row>
    <row r="4" spans="1:105" ht="11.45" customHeight="1" x14ac:dyDescent="0.25">
      <c r="A4" s="10" t="s">
        <v>33</v>
      </c>
      <c r="B4" s="11">
        <f t="shared" ref="B4:C4" si="0">SUM(B5:B7)</f>
        <v>16578369</v>
      </c>
      <c r="C4" s="11">
        <f t="shared" si="0"/>
        <v>16413752</v>
      </c>
      <c r="D4" s="11">
        <f t="shared" ref="D4" si="1">SUM(D5:D7)</f>
        <v>16744488</v>
      </c>
      <c r="E4" s="11">
        <f t="shared" ref="E4" si="2">SUM(E5:E7)</f>
        <v>16818935</v>
      </c>
      <c r="F4" s="11">
        <f t="shared" ref="F4" si="3">SUM(F5:F7)</f>
        <v>17656219</v>
      </c>
      <c r="G4" s="11">
        <f t="shared" ref="G4" si="4">SUM(G5:G7)</f>
        <v>18937784</v>
      </c>
      <c r="H4" s="11">
        <f t="shared" ref="H4" si="5">SUM(H5:H7)</f>
        <v>19570728</v>
      </c>
      <c r="I4" s="11">
        <f t="shared" ref="I4" si="6">SUM(I5:I7)</f>
        <v>21265691</v>
      </c>
      <c r="J4" s="11">
        <f t="shared" ref="J4" si="7">SUM(J5:J7)</f>
        <v>19641388</v>
      </c>
      <c r="K4" s="11">
        <f t="shared" ref="K4" si="8">SUM(K5:K7)</f>
        <v>18714511</v>
      </c>
      <c r="L4" s="11">
        <f t="shared" ref="L4" si="9">SUM(L5:L7)</f>
        <v>19831633</v>
      </c>
      <c r="M4" s="11">
        <f t="shared" ref="M4" si="10">SUM(M5:M7)</f>
        <v>20237274</v>
      </c>
      <c r="N4" s="11">
        <f t="shared" ref="N4" si="11">SUM(N5:N7)</f>
        <v>20559370</v>
      </c>
      <c r="O4" s="11">
        <f t="shared" ref="O4" si="12">SUM(O5:O7)</f>
        <v>20975060</v>
      </c>
      <c r="P4" s="11">
        <f t="shared" ref="P4" si="13">SUM(P5:P7)</f>
        <v>22196865</v>
      </c>
      <c r="Q4" s="11">
        <f t="shared" ref="Q4" si="14">SUM(Q5:Q7)</f>
        <v>24227115</v>
      </c>
      <c r="R4" s="11">
        <f t="shared" ref="R4" si="15">SUM(R5:R7)</f>
        <v>27990188</v>
      </c>
      <c r="S4" s="11">
        <f t="shared" ref="S4" si="16">SUM(S5:S7)</f>
        <v>31972660</v>
      </c>
      <c r="T4" s="11">
        <f t="shared" ref="T4" si="17">SUM(T5:T7)</f>
        <v>34427157</v>
      </c>
      <c r="U4" s="11">
        <f t="shared" ref="U4" si="18">SUM(U5:U7)</f>
        <v>36604463</v>
      </c>
      <c r="V4" s="11">
        <f t="shared" ref="V4:W4" si="19">SUM(V5:V7)</f>
        <v>14841530</v>
      </c>
      <c r="W4" s="11">
        <f t="shared" si="19"/>
        <v>19497301</v>
      </c>
      <c r="X4" s="11">
        <f t="shared" ref="X4:Y4" si="20">SUM(X5:X7)</f>
        <v>35105645</v>
      </c>
      <c r="Y4" s="11">
        <f t="shared" si="20"/>
        <v>40411345</v>
      </c>
      <c r="DA4" s="189" t="s">
        <v>362</v>
      </c>
    </row>
    <row r="5" spans="1:105" ht="11.45" customHeight="1" x14ac:dyDescent="0.25">
      <c r="A5" s="83" t="s">
        <v>27</v>
      </c>
      <c r="B5" s="84">
        <v>4624965</v>
      </c>
      <c r="C5" s="84">
        <v>4810158</v>
      </c>
      <c r="D5" s="84">
        <v>4929390</v>
      </c>
      <c r="E5" s="84">
        <v>4809362</v>
      </c>
      <c r="F5" s="84">
        <v>5571366</v>
      </c>
      <c r="G5" s="84">
        <v>5706906</v>
      </c>
      <c r="H5" s="84">
        <v>4680161</v>
      </c>
      <c r="I5" s="84">
        <v>4587080</v>
      </c>
      <c r="J5" s="84">
        <v>4357887</v>
      </c>
      <c r="K5" s="84">
        <v>4475079</v>
      </c>
      <c r="L5" s="84">
        <v>4746506</v>
      </c>
      <c r="M5" s="84">
        <v>4271506</v>
      </c>
      <c r="N5" s="84">
        <v>4354222</v>
      </c>
      <c r="O5" s="84">
        <v>4261986</v>
      </c>
      <c r="P5" s="84">
        <v>4072996</v>
      </c>
      <c r="Q5" s="84">
        <v>4688580</v>
      </c>
      <c r="R5" s="84">
        <v>5916417</v>
      </c>
      <c r="S5" s="84">
        <v>6751134</v>
      </c>
      <c r="T5" s="84">
        <v>6934090</v>
      </c>
      <c r="U5" s="84">
        <v>7099047</v>
      </c>
      <c r="V5" s="84">
        <v>3532970</v>
      </c>
      <c r="W5" s="84">
        <v>4929375</v>
      </c>
      <c r="X5" s="84">
        <v>7347987</v>
      </c>
      <c r="Y5" s="84">
        <v>8077321</v>
      </c>
      <c r="DA5" s="171" t="s">
        <v>363</v>
      </c>
    </row>
    <row r="6" spans="1:105" ht="11.45" customHeight="1" x14ac:dyDescent="0.25">
      <c r="A6" s="83" t="s">
        <v>181</v>
      </c>
      <c r="B6" s="84">
        <v>10395605</v>
      </c>
      <c r="C6" s="84">
        <v>10081478</v>
      </c>
      <c r="D6" s="84">
        <v>10134833</v>
      </c>
      <c r="E6" s="84">
        <v>10193541</v>
      </c>
      <c r="F6" s="84">
        <v>10307933</v>
      </c>
      <c r="G6" s="84">
        <v>11186630</v>
      </c>
      <c r="H6" s="84">
        <v>12645057</v>
      </c>
      <c r="I6" s="84">
        <v>14108451</v>
      </c>
      <c r="J6" s="84">
        <v>13098478</v>
      </c>
      <c r="K6" s="84">
        <v>12134788</v>
      </c>
      <c r="L6" s="84">
        <v>12763861</v>
      </c>
      <c r="M6" s="84">
        <v>13533096</v>
      </c>
      <c r="N6" s="84">
        <v>13654584</v>
      </c>
      <c r="O6" s="84">
        <v>14096179</v>
      </c>
      <c r="P6" s="84">
        <v>15290353</v>
      </c>
      <c r="Q6" s="84">
        <v>16670487</v>
      </c>
      <c r="R6" s="84">
        <v>18885139</v>
      </c>
      <c r="S6" s="84">
        <v>21484502</v>
      </c>
      <c r="T6" s="84">
        <v>22990100</v>
      </c>
      <c r="U6" s="84">
        <v>24340771</v>
      </c>
      <c r="V6" s="84">
        <v>9632078</v>
      </c>
      <c r="W6" s="84">
        <v>12646300</v>
      </c>
      <c r="X6" s="84">
        <v>23350103</v>
      </c>
      <c r="Y6" s="84">
        <v>26820377</v>
      </c>
      <c r="DA6" s="171" t="s">
        <v>364</v>
      </c>
    </row>
    <row r="7" spans="1:105" ht="11.45" customHeight="1" x14ac:dyDescent="0.25">
      <c r="A7" s="85" t="s">
        <v>182</v>
      </c>
      <c r="B7" s="86">
        <v>1557799</v>
      </c>
      <c r="C7" s="86">
        <v>1522116</v>
      </c>
      <c r="D7" s="86">
        <v>1680265</v>
      </c>
      <c r="E7" s="86">
        <v>1816032</v>
      </c>
      <c r="F7" s="86">
        <v>1776920</v>
      </c>
      <c r="G7" s="86">
        <v>2044248</v>
      </c>
      <c r="H7" s="86">
        <v>2245510</v>
      </c>
      <c r="I7" s="86">
        <v>2570160</v>
      </c>
      <c r="J7" s="86">
        <v>2185023</v>
      </c>
      <c r="K7" s="86">
        <v>2104644</v>
      </c>
      <c r="L7" s="86">
        <v>2321266</v>
      </c>
      <c r="M7" s="86">
        <v>2432672</v>
      </c>
      <c r="N7" s="86">
        <v>2550564</v>
      </c>
      <c r="O7" s="86">
        <v>2616895</v>
      </c>
      <c r="P7" s="86">
        <v>2833516</v>
      </c>
      <c r="Q7" s="86">
        <v>2868048</v>
      </c>
      <c r="R7" s="86">
        <v>3188632</v>
      </c>
      <c r="S7" s="86">
        <v>3737024</v>
      </c>
      <c r="T7" s="86">
        <v>4502967</v>
      </c>
      <c r="U7" s="86">
        <v>5164645</v>
      </c>
      <c r="V7" s="86">
        <v>1676482</v>
      </c>
      <c r="W7" s="86">
        <v>1921626</v>
      </c>
      <c r="X7" s="86">
        <v>4407555</v>
      </c>
      <c r="Y7" s="86">
        <v>5513647</v>
      </c>
      <c r="DA7" s="178" t="s">
        <v>365</v>
      </c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DA8" s="181"/>
    </row>
    <row r="9" spans="1:105" ht="11.45" customHeight="1" x14ac:dyDescent="0.25">
      <c r="A9" s="68" t="s">
        <v>36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DA9" s="179"/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DA10" s="181"/>
    </row>
    <row r="11" spans="1:105" ht="11.45" customHeight="1" x14ac:dyDescent="0.25">
      <c r="A11" s="53" t="s">
        <v>68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DA11" s="172"/>
    </row>
    <row r="12" spans="1:105" ht="11.45" customHeight="1" x14ac:dyDescent="0.25">
      <c r="A12" s="10" t="s">
        <v>33</v>
      </c>
      <c r="B12" s="14">
        <f>IF(B4=0,0,B4/TrAvia_act!B24)</f>
        <v>145.5915920926679</v>
      </c>
      <c r="C12" s="14">
        <f>IF(C4=0,0,C4/TrAvia_act!C24)</f>
        <v>146.65873228613808</v>
      </c>
      <c r="D12" s="14">
        <f>IF(D4=0,0,D4/TrAvia_act!D24)</f>
        <v>149.50435714285715</v>
      </c>
      <c r="E12" s="14">
        <f>IF(E4=0,0,E4/TrAvia_act!E24)</f>
        <v>148.65727114434458</v>
      </c>
      <c r="F12" s="14">
        <f>IF(F4=0,0,F4/TrAvia_act!F24)</f>
        <v>148.54509889703098</v>
      </c>
      <c r="G12" s="14">
        <f>IF(G4=0,0,G4/TrAvia_act!G24)</f>
        <v>148.281595740516</v>
      </c>
      <c r="H12" s="14">
        <f>IF(H4=0,0,H4/TrAvia_act!H24)</f>
        <v>148.58276898782228</v>
      </c>
      <c r="I12" s="14">
        <f>IF(I4=0,0,I4/TrAvia_act!I24)</f>
        <v>152.09660484776529</v>
      </c>
      <c r="J12" s="14">
        <f>IF(J4=0,0,J4/TrAvia_act!J24)</f>
        <v>140.38688004345681</v>
      </c>
      <c r="K12" s="14">
        <f>IF(K4=0,0,K4/TrAvia_act!K24)</f>
        <v>144.8951370016801</v>
      </c>
      <c r="L12" s="14">
        <f>IF(L4=0,0,L4/TrAvia_act!L24)</f>
        <v>147.63038866101405</v>
      </c>
      <c r="M12" s="14">
        <f>IF(M4=0,0,M4/TrAvia_act!M24)</f>
        <v>146.50359430991421</v>
      </c>
      <c r="N12" s="14">
        <f>IF(N4=0,0,N4/TrAvia_act!N24)</f>
        <v>149.77212958308746</v>
      </c>
      <c r="O12" s="14">
        <f>IF(O4=0,0,O4/TrAvia_act!O24)</f>
        <v>149.57825826511112</v>
      </c>
      <c r="P12" s="14">
        <f>IF(P4=0,0,P4/TrAvia_act!P24)</f>
        <v>149.89981631302422</v>
      </c>
      <c r="Q12" s="14">
        <f>IF(Q4=0,0,Q4/TrAvia_act!Q24)</f>
        <v>153.41093444273474</v>
      </c>
      <c r="R12" s="14">
        <f>IF(R4=0,0,R4/TrAvia_act!R24)</f>
        <v>149.38617053072031</v>
      </c>
      <c r="S12" s="14">
        <f>IF(S4=0,0,S4/TrAvia_act!S24)</f>
        <v>158.30165418149952</v>
      </c>
      <c r="T12" s="14">
        <f>IF(T4=0,0,T4/TrAvia_act!T24)</f>
        <v>158.8708623482342</v>
      </c>
      <c r="U12" s="14">
        <f>IF(U4=0,0,U4/TrAvia_act!U24)</f>
        <v>162.13380609212152</v>
      </c>
      <c r="V12" s="14">
        <f>IF(V4=0,0,V4/TrAvia_act!V24)</f>
        <v>155.26561911537013</v>
      </c>
      <c r="W12" s="14">
        <f>IF(W4=0,0,W4/TrAvia_act!W24)</f>
        <v>154.50382350843549</v>
      </c>
      <c r="X12" s="14">
        <f>IF(X4=0,0,X4/TrAvia_act!X24)</f>
        <v>166.26005806326339</v>
      </c>
      <c r="Y12" s="14">
        <f>IF(Y4=0,0,Y4/TrAvia_act!Y24)</f>
        <v>170.54510580112597</v>
      </c>
      <c r="DA12" s="189" t="s">
        <v>366</v>
      </c>
    </row>
    <row r="13" spans="1:105" ht="11.45" customHeight="1" x14ac:dyDescent="0.25">
      <c r="A13" s="83" t="s">
        <v>27</v>
      </c>
      <c r="B13" s="87">
        <f>IF(B5=0,0,B5/TrAvia_act!B25)</f>
        <v>134.21646014103717</v>
      </c>
      <c r="C13" s="87">
        <f>IF(C5=0,0,C5/TrAvia_act!C25)</f>
        <v>135.68086426717815</v>
      </c>
      <c r="D13" s="87">
        <f>IF(D5=0,0,D5/TrAvia_act!D25)</f>
        <v>130.65601145038167</v>
      </c>
      <c r="E13" s="87">
        <f>IF(E5=0,0,E5/TrAvia_act!E25)</f>
        <v>130.82783384565164</v>
      </c>
      <c r="F13" s="87">
        <f>IF(F5=0,0,F5/TrAvia_act!F25)</f>
        <v>134.23684464148033</v>
      </c>
      <c r="G13" s="87">
        <f>IF(G5=0,0,G5/TrAvia_act!G25)</f>
        <v>131.25358785648575</v>
      </c>
      <c r="H13" s="87">
        <f>IF(H5=0,0,H5/TrAvia_act!H25)</f>
        <v>125.82092641879721</v>
      </c>
      <c r="I13" s="87">
        <f>IF(I5=0,0,I5/TrAvia_act!I25)</f>
        <v>130.50385501721243</v>
      </c>
      <c r="J13" s="87">
        <f>IF(J5=0,0,J5/TrAvia_act!J25)</f>
        <v>115.94750565385127</v>
      </c>
      <c r="K13" s="87">
        <f>IF(K5=0,0,K5/TrAvia_act!K25)</f>
        <v>126.35041504319837</v>
      </c>
      <c r="L13" s="87">
        <f>IF(L5=0,0,L5/TrAvia_act!L25)</f>
        <v>134.26414347137361</v>
      </c>
      <c r="M13" s="87">
        <f>IF(M5=0,0,M5/TrAvia_act!M25)</f>
        <v>125.55867136978249</v>
      </c>
      <c r="N13" s="87">
        <f>IF(N5=0,0,N5/TrAvia_act!N25)</f>
        <v>132.01813110181311</v>
      </c>
      <c r="O13" s="87">
        <f>IF(O5=0,0,O5/TrAvia_act!O25)</f>
        <v>131.09366060717912</v>
      </c>
      <c r="P13" s="87">
        <f>IF(P5=0,0,P5/TrAvia_act!P25)</f>
        <v>123.32695452068067</v>
      </c>
      <c r="Q13" s="87">
        <f>IF(Q5=0,0,Q5/TrAvia_act!Q25)</f>
        <v>132.84354281180939</v>
      </c>
      <c r="R13" s="87">
        <f>IF(R5=0,0,R5/TrAvia_act!R25)</f>
        <v>109.90112196752982</v>
      </c>
      <c r="S13" s="87">
        <f>IF(S5=0,0,S5/TrAvia_act!S25)</f>
        <v>126.55133372073406</v>
      </c>
      <c r="T13" s="87">
        <f>IF(T5=0,0,T5/TrAvia_act!T25)</f>
        <v>123.13698678789601</v>
      </c>
      <c r="U13" s="87">
        <f>IF(U5=0,0,U5/TrAvia_act!U25)</f>
        <v>122.53257042253522</v>
      </c>
      <c r="V13" s="87">
        <f>IF(V5=0,0,V5/TrAvia_act!V25)</f>
        <v>117.39782016348774</v>
      </c>
      <c r="W13" s="87">
        <f>IF(W5=0,0,W5/TrAvia_act!W25)</f>
        <v>122.06861968203656</v>
      </c>
      <c r="X13" s="87">
        <f>IF(X5=0,0,X5/TrAvia_act!X25)</f>
        <v>132.92065990123189</v>
      </c>
      <c r="Y13" s="87">
        <f>IF(Y5=0,0,Y5/TrAvia_act!Y25)</f>
        <v>133.6685145958827</v>
      </c>
      <c r="DA13" s="171" t="s">
        <v>367</v>
      </c>
    </row>
    <row r="14" spans="1:105" ht="11.45" customHeight="1" x14ac:dyDescent="0.25">
      <c r="A14" s="83" t="s">
        <v>181</v>
      </c>
      <c r="B14" s="87">
        <f>IF(B6=0,0,B6/TrAvia_act!B26)</f>
        <v>145.13123176367114</v>
      </c>
      <c r="C14" s="87">
        <f>IF(C6=0,0,C6/TrAvia_act!C26)</f>
        <v>146.16345289529389</v>
      </c>
      <c r="D14" s="87">
        <f>IF(D6=0,0,D6/TrAvia_act!D26)</f>
        <v>151.27745354130906</v>
      </c>
      <c r="E14" s="87">
        <f>IF(E6=0,0,E6/TrAvia_act!E26)</f>
        <v>149.43473480517196</v>
      </c>
      <c r="F14" s="87">
        <f>IF(F6=0,0,F6/TrAvia_act!F26)</f>
        <v>148.41808731210045</v>
      </c>
      <c r="G14" s="87">
        <f>IF(G6=0,0,G6/TrAvia_act!G26)</f>
        <v>149.27050252195031</v>
      </c>
      <c r="H14" s="87">
        <f>IF(H6=0,0,H6/TrAvia_act!H26)</f>
        <v>149.26057036285087</v>
      </c>
      <c r="I14" s="87">
        <f>IF(I6=0,0,I6/TrAvia_act!I26)</f>
        <v>150.17937281784893</v>
      </c>
      <c r="J14" s="87">
        <f>IF(J6=0,0,J6/TrAvia_act!J26)</f>
        <v>142.40881515144926</v>
      </c>
      <c r="K14" s="87">
        <f>IF(K6=0,0,K6/TrAvia_act!K26)</f>
        <v>144.9795459976105</v>
      </c>
      <c r="L14" s="87">
        <f>IF(L6=0,0,L6/TrAvia_act!L26)</f>
        <v>145.79771546062025</v>
      </c>
      <c r="M14" s="87">
        <f>IF(M6=0,0,M6/TrAvia_act!M26)</f>
        <v>146.8610185677544</v>
      </c>
      <c r="N14" s="87">
        <f>IF(N6=0,0,N6/TrAvia_act!N26)</f>
        <v>148.79623394030534</v>
      </c>
      <c r="O14" s="87">
        <f>IF(O6=0,0,O6/TrAvia_act!O26)</f>
        <v>148.29965702983631</v>
      </c>
      <c r="P14" s="87">
        <f>IF(P6=0,0,P6/TrAvia_act!P26)</f>
        <v>150.53708699247824</v>
      </c>
      <c r="Q14" s="87">
        <f>IF(Q6=0,0,Q6/TrAvia_act!Q26)</f>
        <v>152.86732017752999</v>
      </c>
      <c r="R14" s="87">
        <f>IF(R6=0,0,R6/TrAvia_act!R26)</f>
        <v>159.24060036257853</v>
      </c>
      <c r="S14" s="87">
        <f>IF(S6=0,0,S6/TrAvia_act!S26)</f>
        <v>163.8674843069507</v>
      </c>
      <c r="T14" s="87">
        <f>IF(T6=0,0,T6/TrAvia_act!T26)</f>
        <v>164.09778729478944</v>
      </c>
      <c r="U14" s="87">
        <f>IF(U6=0,0,U6/TrAvia_act!U26)</f>
        <v>168.47972285478949</v>
      </c>
      <c r="V14" s="87">
        <f>IF(V6=0,0,V6/TrAvia_act!V26)</f>
        <v>165.61914096083083</v>
      </c>
      <c r="W14" s="87">
        <f>IF(W6=0,0,W6/TrAvia_act!W26)</f>
        <v>166.03820652530689</v>
      </c>
      <c r="X14" s="87">
        <f>IF(X6=0,0,X6/TrAvia_act!X26)</f>
        <v>172.18316225702739</v>
      </c>
      <c r="Y14" s="87">
        <f>IF(Y6=0,0,Y6/TrAvia_act!Y26)</f>
        <v>176.17862632526243</v>
      </c>
      <c r="DA14" s="171" t="s">
        <v>368</v>
      </c>
    </row>
    <row r="15" spans="1:105" ht="11.45" customHeight="1" x14ac:dyDescent="0.25">
      <c r="A15" s="85" t="s">
        <v>182</v>
      </c>
      <c r="B15" s="88">
        <f>IF(B7=0,0,B7/TrAvia_act!B27)</f>
        <v>200.20550057833182</v>
      </c>
      <c r="C15" s="88">
        <f>IF(C7=0,0,C7/TrAvia_act!C27)</f>
        <v>203.16550987720234</v>
      </c>
      <c r="D15" s="88">
        <f>IF(D7=0,0,D7/TrAvia_act!D27)</f>
        <v>230.90078328981724</v>
      </c>
      <c r="E15" s="88">
        <f>IF(E7=0,0,E7/TrAvia_act!E27)</f>
        <v>222.4439000489956</v>
      </c>
      <c r="F15" s="88">
        <f>IF(F7=0,0,F7/TrAvia_act!F27)</f>
        <v>224.78431372549019</v>
      </c>
      <c r="G15" s="88">
        <f>IF(G7=0,0,G7/TrAvia_act!G27)</f>
        <v>219.97718713009792</v>
      </c>
      <c r="H15" s="88">
        <f>IF(H7=0,0,H7/TrAvia_act!H27)</f>
        <v>229.11029486787064</v>
      </c>
      <c r="I15" s="88">
        <f>IF(I7=0,0,I7/TrAvia_act!I27)</f>
        <v>239.66430436404326</v>
      </c>
      <c r="J15" s="88">
        <f>IF(J7=0,0,J7/TrAvia_act!J27)</f>
        <v>211.1949545718152</v>
      </c>
      <c r="K15" s="88">
        <f>IF(K7=0,0,K7/TrAvia_act!K27)</f>
        <v>209.60501942037646</v>
      </c>
      <c r="L15" s="88">
        <f>IF(L7=0,0,L7/TrAvia_act!L27)</f>
        <v>202.97883875480937</v>
      </c>
      <c r="M15" s="88">
        <f>IF(M7=0,0,M7/TrAvia_act!M27)</f>
        <v>203.29867959217785</v>
      </c>
      <c r="N15" s="88">
        <f>IF(N7=0,0,N7/TrAvia_act!N27)</f>
        <v>203.68663152850982</v>
      </c>
      <c r="O15" s="88">
        <f>IF(O7=0,0,O7/TrAvia_act!O27)</f>
        <v>206.62416107382549</v>
      </c>
      <c r="P15" s="88">
        <f>IF(P7=0,0,P7/TrAvia_act!P27)</f>
        <v>210.20148367952521</v>
      </c>
      <c r="Q15" s="88">
        <f>IF(Q7=0,0,Q7/TrAvia_act!Q27)</f>
        <v>211.24313176695884</v>
      </c>
      <c r="R15" s="88">
        <f>IF(R7=0,0,R7/TrAvia_act!R27)</f>
        <v>213.44347011178795</v>
      </c>
      <c r="S15" s="88">
        <f>IF(S7=0,0,S7/TrAvia_act!S27)</f>
        <v>213.33698692698522</v>
      </c>
      <c r="T15" s="88">
        <f>IF(T7=0,0,T7/TrAvia_act!T27)</f>
        <v>221.96317839010203</v>
      </c>
      <c r="U15" s="88">
        <f>IF(U7=0,0,U7/TrAvia_act!U27)</f>
        <v>221.10818563233153</v>
      </c>
      <c r="V15" s="88">
        <f>IF(V7=0,0,V7/TrAvia_act!V27)</f>
        <v>228.52808069792803</v>
      </c>
      <c r="W15" s="88">
        <f>IF(W7=0,0,W7/TrAvia_act!W27)</f>
        <v>199.21480406386067</v>
      </c>
      <c r="X15" s="88">
        <f>IF(X7=0,0,X7/TrAvia_act!X27)</f>
        <v>217.59256516587678</v>
      </c>
      <c r="Y15" s="88">
        <f>IF(Y7=0,0,Y7/TrAvia_act!Y27)</f>
        <v>226.97377737526759</v>
      </c>
      <c r="DA15" s="178" t="s">
        <v>369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69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DA17" s="183"/>
    </row>
    <row r="18" spans="1:105" ht="11.45" customHeight="1" x14ac:dyDescent="0.25">
      <c r="A18" s="10" t="s">
        <v>33</v>
      </c>
      <c r="B18" s="25">
        <f>IF(TrAvia_act!B34=0,0,(TrAvia_act!B34/TrAvia_act!B24)/TrAvia_png!B12)</f>
        <v>0.60804950113005696</v>
      </c>
      <c r="C18" s="25">
        <f>IF(TrAvia_act!C34=0,0,(TrAvia_act!C34/TrAvia_act!C24)/TrAvia_png!C12)</f>
        <v>0.60617639403836487</v>
      </c>
      <c r="D18" s="25">
        <f>IF(TrAvia_act!D34=0,0,(TrAvia_act!D34/TrAvia_act!D24)/TrAvia_png!D12)</f>
        <v>0.60723803558520273</v>
      </c>
      <c r="E18" s="25">
        <f>IF(TrAvia_act!E34=0,0,(TrAvia_act!E34/TrAvia_act!E24)/TrAvia_png!E12)</f>
        <v>0.61195242148209739</v>
      </c>
      <c r="F18" s="25">
        <f>IF(TrAvia_act!F34=0,0,(TrAvia_act!F34/TrAvia_act!F24)/TrAvia_png!F12)</f>
        <v>0.61013742523243508</v>
      </c>
      <c r="G18" s="25">
        <f>IF(TrAvia_act!G34=0,0,(TrAvia_act!G34/TrAvia_act!G24)/TrAvia_png!G12)</f>
        <v>0.60179031506537406</v>
      </c>
      <c r="H18" s="25">
        <f>IF(TrAvia_act!H34=0,0,(TrAvia_act!H34/TrAvia_act!H24)/TrAvia_png!H12)</f>
        <v>0.59948045877496225</v>
      </c>
      <c r="I18" s="25">
        <f>IF(TrAvia_act!I34=0,0,(TrAvia_act!I34/TrAvia_act!I24)/TrAvia_png!I12)</f>
        <v>0.61326391886348774</v>
      </c>
      <c r="J18" s="25">
        <f>IF(TrAvia_act!J34=0,0,(TrAvia_act!J34/TrAvia_act!J24)/TrAvia_png!J12)</f>
        <v>0.6865682812233026</v>
      </c>
      <c r="K18" s="25">
        <f>IF(TrAvia_act!K34=0,0,(TrAvia_act!K34/TrAvia_act!K24)/TrAvia_png!K12)</f>
        <v>0.70703744276299818</v>
      </c>
      <c r="L18" s="25">
        <f>IF(TrAvia_act!L34=0,0,(TrAvia_act!L34/TrAvia_act!L24)/TrAvia_png!L12)</f>
        <v>0.70643889991308328</v>
      </c>
      <c r="M18" s="25">
        <f>IF(TrAvia_act!M34=0,0,(TrAvia_act!M34/TrAvia_act!M24)/TrAvia_png!M12)</f>
        <v>0.72997884991822515</v>
      </c>
      <c r="N18" s="25">
        <f>IF(TrAvia_act!N34=0,0,(TrAvia_act!N34/TrAvia_act!N24)/TrAvia_png!N12)</f>
        <v>0.73884807754323223</v>
      </c>
      <c r="O18" s="25">
        <f>IF(TrAvia_act!O34=0,0,(TrAvia_act!O34/TrAvia_act!O24)/TrAvia_png!O12)</f>
        <v>0.76315057024866673</v>
      </c>
      <c r="P18" s="25">
        <f>IF(TrAvia_act!P34=0,0,(TrAvia_act!P34/TrAvia_act!P24)/TrAvia_png!P12)</f>
        <v>0.78213590072291739</v>
      </c>
      <c r="Q18" s="25">
        <f>IF(TrAvia_act!Q34=0,0,(TrAvia_act!Q34/TrAvia_act!Q24)/TrAvia_png!Q12)</f>
        <v>0.79647671627430672</v>
      </c>
      <c r="R18" s="25">
        <f>IF(TrAvia_act!R34=0,0,(TrAvia_act!R34/TrAvia_act!R24)/TrAvia_png!R12)</f>
        <v>0.7920035049425177</v>
      </c>
      <c r="S18" s="25">
        <f>IF(TrAvia_act!S34=0,0,(TrAvia_act!S34/TrAvia_act!S24)/TrAvia_png!S12)</f>
        <v>0.81022698768260126</v>
      </c>
      <c r="T18" s="25">
        <f>IF(TrAvia_act!T34=0,0,(TrAvia_act!T34/TrAvia_act!T24)/TrAvia_png!T12)</f>
        <v>0.80905931326249214</v>
      </c>
      <c r="U18" s="25">
        <f>IF(TrAvia_act!U34=0,0,(TrAvia_act!U34/TrAvia_act!U24)/TrAvia_png!U12)</f>
        <v>0.81039869373305662</v>
      </c>
      <c r="V18" s="25">
        <f>IF(TrAvia_act!V34=0,0,(TrAvia_act!V34/TrAvia_act!V24)/TrAvia_png!V12)</f>
        <v>0.61260961639399714</v>
      </c>
      <c r="W18" s="25">
        <f>IF(TrAvia_act!W34=0,0,(TrAvia_act!W34/TrAvia_act!W24)/TrAvia_png!W12)</f>
        <v>0.6424950817551619</v>
      </c>
      <c r="X18" s="25">
        <f>IF(TrAvia_act!X34=0,0,(TrAvia_act!X34/TrAvia_act!X24)/TrAvia_png!X12)</f>
        <v>0.80148731065901213</v>
      </c>
      <c r="Y18" s="25">
        <f>IF(TrAvia_act!Y34=0,0,(TrAvia_act!Y34/TrAvia_act!Y24)/TrAvia_png!Y12)</f>
        <v>0.83004287533612153</v>
      </c>
      <c r="DA18" s="190"/>
    </row>
    <row r="19" spans="1:105" ht="11.45" customHeight="1" x14ac:dyDescent="0.25">
      <c r="A19" s="83" t="s">
        <v>27</v>
      </c>
      <c r="B19" s="89">
        <f>IF(TrAvia_act!B35=0,0,(TrAvia_act!B35/TrAvia_act!B25)/TrAvia_png!B13)</f>
        <v>0.58205845882076945</v>
      </c>
      <c r="C19" s="89">
        <f>IF(TrAvia_act!C35=0,0,(TrAvia_act!C35/TrAvia_act!C25)/TrAvia_png!C13)</f>
        <v>0.57607587942017702</v>
      </c>
      <c r="D19" s="89">
        <f>IF(TrAvia_act!D35=0,0,(TrAvia_act!D35/TrAvia_act!D25)/TrAvia_png!D13)</f>
        <v>0.57142181892688559</v>
      </c>
      <c r="E19" s="89">
        <f>IF(TrAvia_act!E35=0,0,(TrAvia_act!E35/TrAvia_act!E25)/TrAvia_png!E13)</f>
        <v>0.57164526188712772</v>
      </c>
      <c r="F19" s="89">
        <f>IF(TrAvia_act!F35=0,0,(TrAvia_act!F35/TrAvia_act!F25)/TrAvia_png!F13)</f>
        <v>0.51831597493325698</v>
      </c>
      <c r="G19" s="89">
        <f>IF(TrAvia_act!G35=0,0,(TrAvia_act!G35/TrAvia_act!G25)/TrAvia_png!G13)</f>
        <v>0.50991465428027027</v>
      </c>
      <c r="H19" s="89">
        <f>IF(TrAvia_act!H35=0,0,(TrAvia_act!H35/TrAvia_act!H25)/TrAvia_png!H13)</f>
        <v>0.50194277504555929</v>
      </c>
      <c r="I19" s="89">
        <f>IF(TrAvia_act!I35=0,0,(TrAvia_act!I35/TrAvia_act!I25)/TrAvia_png!I13)</f>
        <v>0.51284411869860569</v>
      </c>
      <c r="J19" s="89">
        <f>IF(TrAvia_act!J35=0,0,(TrAvia_act!J35/TrAvia_act!J25)/TrAvia_png!J13)</f>
        <v>0.57463330279100855</v>
      </c>
      <c r="K19" s="89">
        <f>IF(TrAvia_act!K35=0,0,(TrAvia_act!K35/TrAvia_act!K25)/TrAvia_png!K13)</f>
        <v>0.62212689429616774</v>
      </c>
      <c r="L19" s="89">
        <f>IF(TrAvia_act!L35=0,0,(TrAvia_act!L35/TrAvia_act!L25)/TrAvia_png!L13)</f>
        <v>0.58824385769237419</v>
      </c>
      <c r="M19" s="89">
        <f>IF(TrAvia_act!M35=0,0,(TrAvia_act!M35/TrAvia_act!M25)/TrAvia_png!M13)</f>
        <v>0.59395351428746668</v>
      </c>
      <c r="N19" s="89">
        <f>IF(TrAvia_act!N35=0,0,(TrAvia_act!N35/TrAvia_act!N25)/TrAvia_png!N13)</f>
        <v>0.59746241693694069</v>
      </c>
      <c r="O19" s="89">
        <f>IF(TrAvia_act!O35=0,0,(TrAvia_act!O35/TrAvia_act!O25)/TrAvia_png!O13)</f>
        <v>0.63039155924022272</v>
      </c>
      <c r="P19" s="89">
        <f>IF(TrAvia_act!P35=0,0,(TrAvia_act!P35/TrAvia_act!P25)/TrAvia_png!P13)</f>
        <v>0.66462427166636051</v>
      </c>
      <c r="Q19" s="89">
        <f>IF(TrAvia_act!Q35=0,0,(TrAvia_act!Q35/TrAvia_act!Q25)/TrAvia_png!Q13)</f>
        <v>0.70564947169505476</v>
      </c>
      <c r="R19" s="89">
        <f>IF(TrAvia_act!R35=0,0,(TrAvia_act!R35/TrAvia_act!R25)/TrAvia_png!R13)</f>
        <v>0.69606554101916751</v>
      </c>
      <c r="S19" s="89">
        <f>IF(TrAvia_act!S35=0,0,(TrAvia_act!S35/TrAvia_act!S25)/TrAvia_png!S13)</f>
        <v>0.70170255841463069</v>
      </c>
      <c r="T19" s="89">
        <f>IF(TrAvia_act!T35=0,0,(TrAvia_act!T35/TrAvia_act!T25)/TrAvia_png!T13)</f>
        <v>0.73070886013882141</v>
      </c>
      <c r="U19" s="89">
        <f>IF(TrAvia_act!U35=0,0,(TrAvia_act!U35/TrAvia_act!U25)/TrAvia_png!U13)</f>
        <v>0.70185167107641344</v>
      </c>
      <c r="V19" s="89">
        <f>IF(TrAvia_act!V35=0,0,(TrAvia_act!V35/TrAvia_act!V25)/TrAvia_png!V13)</f>
        <v>0.49840502466763092</v>
      </c>
      <c r="W19" s="89">
        <f>IF(TrAvia_act!W35=0,0,(TrAvia_act!W35/TrAvia_act!W25)/TrAvia_png!W13)</f>
        <v>0.61123915303664256</v>
      </c>
      <c r="X19" s="89">
        <f>IF(TrAvia_act!X35=0,0,(TrAvia_act!X35/TrAvia_act!X25)/TrAvia_png!X13)</f>
        <v>0.74014025882190593</v>
      </c>
      <c r="Y19" s="89">
        <f>IF(TrAvia_act!Y35=0,0,(TrAvia_act!Y35/TrAvia_act!Y25)/TrAvia_png!Y13)</f>
        <v>0.77291245451307433</v>
      </c>
      <c r="DA19" s="191"/>
    </row>
    <row r="20" spans="1:105" ht="11.45" customHeight="1" x14ac:dyDescent="0.25">
      <c r="A20" s="83" t="s">
        <v>181</v>
      </c>
      <c r="B20" s="89">
        <f>IF(TrAvia_act!B36=0,0,(TrAvia_act!B36/TrAvia_act!B26)/TrAvia_png!B14)</f>
        <v>0.62781463897483603</v>
      </c>
      <c r="C20" s="89">
        <f>IF(TrAvia_act!C36=0,0,(TrAvia_act!C36/TrAvia_act!C26)/TrAvia_png!C14)</f>
        <v>0.62847649917998127</v>
      </c>
      <c r="D20" s="89">
        <f>IF(TrAvia_act!D36=0,0,(TrAvia_act!D36/TrAvia_act!D26)/TrAvia_png!D14)</f>
        <v>0.6338065955304838</v>
      </c>
      <c r="E20" s="89">
        <f>IF(TrAvia_act!E36=0,0,(TrAvia_act!E36/TrAvia_act!E26)/TrAvia_png!E14)</f>
        <v>0.64013682782067582</v>
      </c>
      <c r="F20" s="89">
        <f>IF(TrAvia_act!F36=0,0,(TrAvia_act!F36/TrAvia_act!F26)/TrAvia_png!F14)</f>
        <v>0.65994550022783416</v>
      </c>
      <c r="G20" s="89">
        <f>IF(TrAvia_act!G36=0,0,(TrAvia_act!G36/TrAvia_act!G26)/TrAvia_png!G14)</f>
        <v>0.64810599796364055</v>
      </c>
      <c r="H20" s="89">
        <f>IF(TrAvia_act!H36=0,0,(TrAvia_act!H36/TrAvia_act!H26)/TrAvia_png!H14)</f>
        <v>0.64158105416211253</v>
      </c>
      <c r="I20" s="89">
        <f>IF(TrAvia_act!I36=0,0,(TrAvia_act!I36/TrAvia_act!I26)/TrAvia_png!I14)</f>
        <v>0.65752122610767116</v>
      </c>
      <c r="J20" s="89">
        <f>IF(TrAvia_act!J36=0,0,(TrAvia_act!J36/TrAvia_act!J26)/TrAvia_png!J14)</f>
        <v>0.72217489696131099</v>
      </c>
      <c r="K20" s="89">
        <f>IF(TrAvia_act!K36=0,0,(TrAvia_act!K36/TrAvia_act!K26)/TrAvia_png!K14)</f>
        <v>0.73935762206970579</v>
      </c>
      <c r="L20" s="89">
        <f>IF(TrAvia_act!L36=0,0,(TrAvia_act!L36/TrAvia_act!L26)/TrAvia_png!L14)</f>
        <v>0.74455942445628331</v>
      </c>
      <c r="M20" s="89">
        <f>IF(TrAvia_act!M36=0,0,(TrAvia_act!M36/TrAvia_act!M26)/TrAvia_png!M14)</f>
        <v>0.76974758769168561</v>
      </c>
      <c r="N20" s="89">
        <f>IF(TrAvia_act!N36=0,0,(TrAvia_act!N36/TrAvia_act!N26)/TrAvia_png!N14)</f>
        <v>0.7798665268747843</v>
      </c>
      <c r="O20" s="89">
        <f>IF(TrAvia_act!O36=0,0,(TrAvia_act!O36/TrAvia_act!O26)/TrAvia_png!O14)</f>
        <v>0.80073060933746654</v>
      </c>
      <c r="P20" s="89">
        <f>IF(TrAvia_act!P36=0,0,(TrAvia_act!P36/TrAvia_act!P26)/TrAvia_png!P14)</f>
        <v>0.81625388243162211</v>
      </c>
      <c r="Q20" s="89">
        <f>IF(TrAvia_act!Q36=0,0,(TrAvia_act!Q36/TrAvia_act!Q26)/TrAvia_png!Q14)</f>
        <v>0.82907745886487905</v>
      </c>
      <c r="R20" s="89">
        <f>IF(TrAvia_act!R36=0,0,(TrAvia_act!R36/TrAvia_act!R26)/TrAvia_png!R14)</f>
        <v>0.83029269734260358</v>
      </c>
      <c r="S20" s="89">
        <f>IF(TrAvia_act!S36=0,0,(TrAvia_act!S36/TrAvia_act!S26)/TrAvia_png!S14)</f>
        <v>0.84836525417251929</v>
      </c>
      <c r="T20" s="89">
        <f>IF(TrAvia_act!T36=0,0,(TrAvia_act!T36/TrAvia_act!T26)/TrAvia_png!T14)</f>
        <v>0.84222587113583669</v>
      </c>
      <c r="U20" s="89">
        <f>IF(TrAvia_act!U36=0,0,(TrAvia_act!U36/TrAvia_act!U26)/TrAvia_png!U14)</f>
        <v>0.84793226147191481</v>
      </c>
      <c r="V20" s="89">
        <f>IF(TrAvia_act!V36=0,0,(TrAvia_act!V36/TrAvia_act!V26)/TrAvia_png!V14)</f>
        <v>0.65600174749415441</v>
      </c>
      <c r="W20" s="89">
        <f>IF(TrAvia_act!W36=0,0,(TrAvia_act!W36/TrAvia_act!W26)/TrAvia_png!W14)</f>
        <v>0.65290875592070408</v>
      </c>
      <c r="X20" s="89">
        <f>IF(TrAvia_act!X36=0,0,(TrAvia_act!X36/TrAvia_act!X26)/TrAvia_png!X14)</f>
        <v>0.82149265037503272</v>
      </c>
      <c r="Y20" s="89">
        <f>IF(TrAvia_act!Y36=0,0,(TrAvia_act!Y36/TrAvia_act!Y26)/TrAvia_png!Y14)</f>
        <v>0.85192706277022123</v>
      </c>
      <c r="DA20" s="191"/>
    </row>
    <row r="21" spans="1:105" ht="11.45" customHeight="1" x14ac:dyDescent="0.25">
      <c r="A21" s="85" t="s">
        <v>182</v>
      </c>
      <c r="B21" s="90">
        <f>IF(TrAvia_act!B37=0,0,(TrAvia_act!B37/TrAvia_act!B27)/TrAvia_png!B15)</f>
        <v>0.5533165703662668</v>
      </c>
      <c r="C21" s="90">
        <f>IF(TrAvia_act!C37=0,0,(TrAvia_act!C37/TrAvia_act!C27)/TrAvia_png!C15)</f>
        <v>0.55359841168478618</v>
      </c>
      <c r="D21" s="90">
        <f>IF(TrAvia_act!D37=0,0,(TrAvia_act!D37/TrAvia_act!D27)/TrAvia_png!D15)</f>
        <v>0.55205875263723281</v>
      </c>
      <c r="E21" s="90">
        <f>IF(TrAvia_act!E37=0,0,(TrAvia_act!E37/TrAvia_act!E27)/TrAvia_png!E15)</f>
        <v>0.560495630032951</v>
      </c>
      <c r="F21" s="90">
        <f>IF(TrAvia_act!F37=0,0,(TrAvia_act!F37/TrAvia_act!F27)/TrAvia_png!F15)</f>
        <v>0.60909776467145393</v>
      </c>
      <c r="G21" s="90">
        <f>IF(TrAvia_act!G37=0,0,(TrAvia_act!G37/TrAvia_act!G27)/TrAvia_png!G15)</f>
        <v>0.60482778997460196</v>
      </c>
      <c r="H21" s="90">
        <f>IF(TrAvia_act!H37=0,0,(TrAvia_act!H37/TrAvia_act!H27)/TrAvia_png!H15)</f>
        <v>0.5656919808863019</v>
      </c>
      <c r="I21" s="90">
        <f>IF(TrAvia_act!I37=0,0,(TrAvia_act!I37/TrAvia_act!I27)/TrAvia_png!I15)</f>
        <v>0.54954477542254188</v>
      </c>
      <c r="J21" s="90">
        <f>IF(TrAvia_act!J37=0,0,(TrAvia_act!J37/TrAvia_act!J27)/TrAvia_png!J15)</f>
        <v>0.696365667546749</v>
      </c>
      <c r="K21" s="90">
        <f>IF(TrAvia_act!K37=0,0,(TrAvia_act!K37/TrAvia_act!K27)/TrAvia_png!K15)</f>
        <v>0.7012326075098686</v>
      </c>
      <c r="L21" s="90">
        <f>IF(TrAvia_act!L37=0,0,(TrAvia_act!L37/TrAvia_act!L27)/TrAvia_png!L15)</f>
        <v>0.73851122620156406</v>
      </c>
      <c r="M21" s="90">
        <f>IF(TrAvia_act!M37=0,0,(TrAvia_act!M37/TrAvia_act!M27)/TrAvia_png!M15)</f>
        <v>0.74758865971244781</v>
      </c>
      <c r="N21" s="90">
        <f>IF(TrAvia_act!N37=0,0,(TrAvia_act!N37/TrAvia_act!N27)/TrAvia_png!N15)</f>
        <v>0.7606215723267481</v>
      </c>
      <c r="O21" s="90">
        <f>IF(TrAvia_act!O37=0,0,(TrAvia_act!O37/TrAvia_act!O27)/TrAvia_png!O15)</f>
        <v>0.77693870025354483</v>
      </c>
      <c r="P21" s="90">
        <f>IF(TrAvia_act!P37=0,0,(TrAvia_act!P37/TrAvia_act!P27)/TrAvia_png!P15)</f>
        <v>0.76694220184392825</v>
      </c>
      <c r="Q21" s="90">
        <f>IF(TrAvia_act!Q37=0,0,(TrAvia_act!Q37/TrAvia_act!Q27)/TrAvia_png!Q15)</f>
        <v>0.75546643570818905</v>
      </c>
      <c r="R21" s="90">
        <f>IF(TrAvia_act!R37=0,0,(TrAvia_act!R37/TrAvia_act!R27)/TrAvia_png!R15)</f>
        <v>0.743240361383816</v>
      </c>
      <c r="S21" s="90">
        <f>IF(TrAvia_act!S37=0,0,(TrAvia_act!S37/TrAvia_act!S27)/TrAvia_png!S15)</f>
        <v>0.78702170497165658</v>
      </c>
      <c r="T21" s="90">
        <f>IF(TrAvia_act!T37=0,0,(TrAvia_act!T37/TrAvia_act!T27)/TrAvia_png!T15)</f>
        <v>0.76037732455067963</v>
      </c>
      <c r="U21" s="90">
        <f>IF(TrAvia_act!U37=0,0,(TrAvia_act!U37/TrAvia_act!U27)/TrAvia_png!U15)</f>
        <v>0.78270742713197139</v>
      </c>
      <c r="V21" s="90">
        <f>IF(TrAvia_act!V37=0,0,(TrAvia_act!V37/TrAvia_act!V27)/TrAvia_png!V15)</f>
        <v>0.60397546767576393</v>
      </c>
      <c r="W21" s="90">
        <f>IF(TrAvia_act!W37=0,0,(TrAvia_act!W37/TrAvia_act!W27)/TrAvia_png!W15)</f>
        <v>0.65414029577035282</v>
      </c>
      <c r="X21" s="90">
        <f>IF(TrAvia_act!X37=0,0,(TrAvia_act!X37/TrAvia_act!X27)/TrAvia_png!X15)</f>
        <v>0.79777790634490098</v>
      </c>
      <c r="Y21" s="90">
        <f>IF(TrAvia_act!Y37=0,0,(TrAvia_act!Y37/TrAvia_act!Y27)/TrAvia_png!Y15)</f>
        <v>0.80728454324333776</v>
      </c>
      <c r="DA21" s="192"/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DA22" s="181"/>
    </row>
    <row r="23" spans="1:105" ht="11.45" customHeight="1" x14ac:dyDescent="0.25">
      <c r="A23" s="53" t="s">
        <v>70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DA23" s="172"/>
    </row>
    <row r="24" spans="1:105" ht="11.45" customHeight="1" x14ac:dyDescent="0.25">
      <c r="A24" s="10" t="s">
        <v>33</v>
      </c>
      <c r="B24" s="23">
        <f>IF(TrAvia_ene!B6=0,0,TrAvia_ene!B6/(B12*TrAvia_act!B14))</f>
        <v>2.9996423015183345E-2</v>
      </c>
      <c r="C24" s="23">
        <f>IF(TrAvia_ene!C6=0,0,TrAvia_ene!C6/(C12*TrAvia_act!C14))</f>
        <v>2.9836166288705959E-2</v>
      </c>
      <c r="D24" s="23">
        <f>IF(TrAvia_ene!D6=0,0,TrAvia_ene!D6/(D12*TrAvia_act!D14))</f>
        <v>2.9293894591924354E-2</v>
      </c>
      <c r="E24" s="23">
        <f>IF(TrAvia_ene!E6=0,0,TrAvia_ene!E6/(E12*TrAvia_act!E14))</f>
        <v>3.0087426649209645E-2</v>
      </c>
      <c r="F24" s="23">
        <f>IF(TrAvia_ene!F6=0,0,TrAvia_ene!F6/(F12*TrAvia_act!F14))</f>
        <v>3.1884678480704684E-2</v>
      </c>
      <c r="G24" s="23">
        <f>IF(TrAvia_ene!G6=0,0,TrAvia_ene!G6/(G12*TrAvia_act!G14))</f>
        <v>3.0164922468130455E-2</v>
      </c>
      <c r="H24" s="23">
        <f>IF(TrAvia_ene!H6=0,0,TrAvia_ene!H6/(H12*TrAvia_act!H14))</f>
        <v>2.8831919188355617E-2</v>
      </c>
      <c r="I24" s="23">
        <f>IF(TrAvia_ene!I6=0,0,TrAvia_ene!I6/(I12*TrAvia_act!I14))</f>
        <v>2.6908804606391459E-2</v>
      </c>
      <c r="J24" s="23">
        <f>IF(TrAvia_ene!J6=0,0,TrAvia_ene!J6/(J12*TrAvia_act!J14))</f>
        <v>3.0107070850510648E-2</v>
      </c>
      <c r="K24" s="23">
        <f>IF(TrAvia_ene!K6=0,0,TrAvia_ene!K6/(K12*TrAvia_act!K14))</f>
        <v>2.9658382825771747E-2</v>
      </c>
      <c r="L24" s="23">
        <f>IF(TrAvia_ene!L6=0,0,TrAvia_ene!L6/(L12*TrAvia_act!L14))</f>
        <v>2.9996084012032125E-2</v>
      </c>
      <c r="M24" s="23">
        <f>IF(TrAvia_ene!M6=0,0,TrAvia_ene!M6/(M12*TrAvia_act!M14))</f>
        <v>3.0004426744626545E-2</v>
      </c>
      <c r="N24" s="23">
        <f>IF(TrAvia_ene!N6=0,0,TrAvia_ene!N6/(N12*TrAvia_act!N14))</f>
        <v>2.9415423329276061E-2</v>
      </c>
      <c r="O24" s="23">
        <f>IF(TrAvia_ene!O6=0,0,TrAvia_ene!O6/(O12*TrAvia_act!O14))</f>
        <v>2.8898891965642066E-2</v>
      </c>
      <c r="P24" s="23">
        <f>IF(TrAvia_ene!P6=0,0,TrAvia_ene!P6/(P12*TrAvia_act!P14))</f>
        <v>2.7864021490501274E-2</v>
      </c>
      <c r="Q24" s="23">
        <f>IF(TrAvia_ene!Q6=0,0,TrAvia_ene!Q6/(Q12*TrAvia_act!Q14))</f>
        <v>2.7807504802313383E-2</v>
      </c>
      <c r="R24" s="23">
        <f>IF(TrAvia_ene!R6=0,0,TrAvia_ene!R6/(R12*TrAvia_act!R14))</f>
        <v>2.804505618692725E-2</v>
      </c>
      <c r="S24" s="23">
        <f>IF(TrAvia_ene!S6=0,0,TrAvia_ene!S6/(S12*TrAvia_act!S14))</f>
        <v>2.6648470653714403E-2</v>
      </c>
      <c r="T24" s="23">
        <f>IF(TrAvia_ene!T6=0,0,TrAvia_ene!T6/(T12*TrAvia_act!T14))</f>
        <v>2.5868028693305581E-2</v>
      </c>
      <c r="U24" s="23">
        <f>IF(TrAvia_ene!U6=0,0,TrAvia_ene!U6/(U12*TrAvia_act!U14))</f>
        <v>2.504886698407148E-2</v>
      </c>
      <c r="V24" s="23">
        <f>IF(TrAvia_ene!V6=0,0,TrAvia_ene!V6/(V12*TrAvia_act!V14))</f>
        <v>2.4619708372422E-2</v>
      </c>
      <c r="W24" s="23">
        <f>IF(TrAvia_ene!W6=0,0,TrAvia_ene!W6/(W12*TrAvia_act!W14))</f>
        <v>2.3960345577558127E-2</v>
      </c>
      <c r="X24" s="23">
        <f>IF(TrAvia_ene!X6=0,0,TrAvia_ene!X6/(X12*TrAvia_act!X14))</f>
        <v>2.4540298239934137E-2</v>
      </c>
      <c r="Y24" s="23">
        <f>IF(TrAvia_ene!Y6=0,0,TrAvia_ene!Y6/(Y12*TrAvia_act!Y14))</f>
        <v>2.4366205977407095E-2</v>
      </c>
      <c r="DA24" s="189"/>
    </row>
    <row r="25" spans="1:105" ht="11.45" customHeight="1" x14ac:dyDescent="0.25">
      <c r="A25" s="83" t="s">
        <v>27</v>
      </c>
      <c r="B25" s="91">
        <f>IF(TrAvia_ene!B7=0,0,TrAvia_ene!B7/(B13*TrAvia_act!B15))</f>
        <v>3.812469299865455E-2</v>
      </c>
      <c r="C25" s="91">
        <f>IF(TrAvia_ene!C7=0,0,TrAvia_ene!C7/(C13*TrAvia_act!C15))</f>
        <v>3.788021669416524E-2</v>
      </c>
      <c r="D25" s="91">
        <f>IF(TrAvia_ene!D7=0,0,TrAvia_ene!D7/(D13*TrAvia_act!D15))</f>
        <v>3.9425862112512332E-2</v>
      </c>
      <c r="E25" s="91">
        <f>IF(TrAvia_ene!E7=0,0,TrAvia_ene!E7/(E13*TrAvia_act!E15))</f>
        <v>3.7679823999342846E-2</v>
      </c>
      <c r="F25" s="91">
        <f>IF(TrAvia_ene!F7=0,0,TrAvia_ene!F7/(F13*TrAvia_act!F15))</f>
        <v>3.6810763585100686E-2</v>
      </c>
      <c r="G25" s="91">
        <f>IF(TrAvia_ene!G7=0,0,TrAvia_ene!G7/(G13*TrAvia_act!G15))</f>
        <v>3.6710223410530679E-2</v>
      </c>
      <c r="H25" s="91">
        <f>IF(TrAvia_ene!H7=0,0,TrAvia_ene!H7/(H13*TrAvia_act!H15))</f>
        <v>4.2712102541252836E-2</v>
      </c>
      <c r="I25" s="91">
        <f>IF(TrAvia_ene!I7=0,0,TrAvia_ene!I7/(I13*TrAvia_act!I15))</f>
        <v>4.32039424298322E-2</v>
      </c>
      <c r="J25" s="91">
        <f>IF(TrAvia_ene!J7=0,0,TrAvia_ene!J7/(J13*TrAvia_act!J15))</f>
        <v>4.2513224225096839E-2</v>
      </c>
      <c r="K25" s="91">
        <f>IF(TrAvia_ene!K7=0,0,TrAvia_ene!K7/(K13*TrAvia_act!K15))</f>
        <v>3.9187974888010492E-2</v>
      </c>
      <c r="L25" s="91">
        <f>IF(TrAvia_ene!L7=0,0,TrAvia_ene!L7/(L13*TrAvia_act!L15))</f>
        <v>4.3593702530816264E-2</v>
      </c>
      <c r="M25" s="91">
        <f>IF(TrAvia_ene!M7=0,0,TrAvia_ene!M7/(M13*TrAvia_act!M15))</f>
        <v>4.4390347632880245E-2</v>
      </c>
      <c r="N25" s="91">
        <f>IF(TrAvia_ene!N7=0,0,TrAvia_ene!N7/(N13*TrAvia_act!N15))</f>
        <v>4.3248917060689562E-2</v>
      </c>
      <c r="O25" s="91">
        <f>IF(TrAvia_ene!O7=0,0,TrAvia_ene!O7/(O13*TrAvia_act!O15))</f>
        <v>4.464200996867021E-2</v>
      </c>
      <c r="P25" s="91">
        <f>IF(TrAvia_ene!P7=0,0,TrAvia_ene!P7/(P13*TrAvia_act!P15))</f>
        <v>4.3891030584587092E-2</v>
      </c>
      <c r="Q25" s="91">
        <f>IF(TrAvia_ene!Q7=0,0,TrAvia_ene!Q7/(Q13*TrAvia_act!Q15))</f>
        <v>3.9256596374195915E-2</v>
      </c>
      <c r="R25" s="91">
        <f>IF(TrAvia_ene!R7=0,0,TrAvia_ene!R7/(R13*TrAvia_act!R15))</f>
        <v>3.6294490870563932E-2</v>
      </c>
      <c r="S25" s="91">
        <f>IF(TrAvia_ene!S7=0,0,TrAvia_ene!S7/(S13*TrAvia_act!S15))</f>
        <v>3.7075504388320343E-2</v>
      </c>
      <c r="T25" s="91">
        <f>IF(TrAvia_ene!T7=0,0,TrAvia_ene!T7/(T13*TrAvia_act!T15))</f>
        <v>3.8329280129668006E-2</v>
      </c>
      <c r="U25" s="91">
        <f>IF(TrAvia_ene!U7=0,0,TrAvia_ene!U7/(U13*TrAvia_act!U15))</f>
        <v>3.325838932531533E-2</v>
      </c>
      <c r="V25" s="91">
        <f>IF(TrAvia_ene!V7=0,0,TrAvia_ene!V7/(V13*TrAvia_act!V15))</f>
        <v>3.5964603989709E-2</v>
      </c>
      <c r="W25" s="91">
        <f>IF(TrAvia_ene!W7=0,0,TrAvia_ene!W7/(W13*TrAvia_act!W15))</f>
        <v>3.2486547401485759E-2</v>
      </c>
      <c r="X25" s="91">
        <f>IF(TrAvia_ene!X7=0,0,TrAvia_ene!X7/(X13*TrAvia_act!X15))</f>
        <v>2.5624991556760426E-2</v>
      </c>
      <c r="Y25" s="91">
        <f>IF(TrAvia_ene!Y7=0,0,TrAvia_ene!Y7/(Y13*TrAvia_act!Y15))</f>
        <v>2.7464948109504495E-2</v>
      </c>
      <c r="DA25" s="171"/>
    </row>
    <row r="26" spans="1:105" ht="11.45" customHeight="1" x14ac:dyDescent="0.25">
      <c r="A26" s="92" t="s">
        <v>181</v>
      </c>
      <c r="B26" s="93">
        <f>IF(TrAvia_ene!B8=0,0,TrAvia_ene!B8/(B14*TrAvia_act!B16))</f>
        <v>2.4683221190946299E-2</v>
      </c>
      <c r="C26" s="93">
        <f>IF(TrAvia_ene!C8=0,0,TrAvia_ene!C8/(C14*TrAvia_act!C16))</f>
        <v>2.450510750942984E-2</v>
      </c>
      <c r="D26" s="93">
        <f>IF(TrAvia_ene!D8=0,0,TrAvia_ene!D8/(D14*TrAvia_act!D16))</f>
        <v>2.3630884336215068E-2</v>
      </c>
      <c r="E26" s="93">
        <f>IF(TrAvia_ene!E8=0,0,TrAvia_ene!E8/(E14*TrAvia_act!E16))</f>
        <v>2.4473446713500616E-2</v>
      </c>
      <c r="F26" s="93">
        <f>IF(TrAvia_ene!F8=0,0,TrAvia_ene!F8/(F14*TrAvia_act!F16))</f>
        <v>2.6496337532983437E-2</v>
      </c>
      <c r="G26" s="93">
        <f>IF(TrAvia_ene!G8=0,0,TrAvia_ene!G8/(G14*TrAvia_act!G16))</f>
        <v>2.5516185309258553E-2</v>
      </c>
      <c r="H26" s="93">
        <f>IF(TrAvia_ene!H8=0,0,TrAvia_ene!H8/(H14*TrAvia_act!H16))</f>
        <v>2.4009413275465668E-2</v>
      </c>
      <c r="I26" s="93">
        <f>IF(TrAvia_ene!I8=0,0,TrAvia_ene!I8/(I14*TrAvia_act!I16))</f>
        <v>2.3375344700548778E-2</v>
      </c>
      <c r="J26" s="93">
        <f>IF(TrAvia_ene!J8=0,0,TrAvia_ene!J8/(J14*TrAvia_act!J16))</f>
        <v>2.57353330313401E-2</v>
      </c>
      <c r="K26" s="93">
        <f>IF(TrAvia_ene!K8=0,0,TrAvia_ene!K8/(K14*TrAvia_act!K16))</f>
        <v>2.538984898040236E-2</v>
      </c>
      <c r="L26" s="93">
        <f>IF(TrAvia_ene!L8=0,0,TrAvia_ene!L8/(L14*TrAvia_act!L16))</f>
        <v>2.5833904420005313E-2</v>
      </c>
      <c r="M26" s="93">
        <f>IF(TrAvia_ene!M8=0,0,TrAvia_ene!M8/(M14*TrAvia_act!M16))</f>
        <v>2.6039410049603091E-2</v>
      </c>
      <c r="N26" s="93">
        <f>IF(TrAvia_ene!N8=0,0,TrAvia_ene!N8/(N14*TrAvia_act!N16))</f>
        <v>2.571733749154664E-2</v>
      </c>
      <c r="O26" s="93">
        <f>IF(TrAvia_ene!O8=0,0,TrAvia_ene!O8/(O14*TrAvia_act!O16))</f>
        <v>2.5086517475396825E-2</v>
      </c>
      <c r="P26" s="93">
        <f>IF(TrAvia_ene!P8=0,0,TrAvia_ene!P8/(P14*TrAvia_act!P16))</f>
        <v>2.4346573544298717E-2</v>
      </c>
      <c r="Q26" s="93">
        <f>IF(TrAvia_ene!Q8=0,0,TrAvia_ene!Q8/(Q14*TrAvia_act!Q16))</f>
        <v>2.4415793412605701E-2</v>
      </c>
      <c r="R26" s="93">
        <f>IF(TrAvia_ene!R8=0,0,TrAvia_ene!R8/(R14*TrAvia_act!R16))</f>
        <v>2.4119396399677417E-2</v>
      </c>
      <c r="S26" s="93">
        <f>IF(TrAvia_ene!S8=0,0,TrAvia_ene!S8/(S14*TrAvia_act!S16))</f>
        <v>2.3797281333634783E-2</v>
      </c>
      <c r="T26" s="93">
        <f>IF(TrAvia_ene!T8=0,0,TrAvia_ene!T8/(T14*TrAvia_act!T16))</f>
        <v>2.3498131688823413E-2</v>
      </c>
      <c r="U26" s="93">
        <f>IF(TrAvia_ene!U8=0,0,TrAvia_ene!U8/(U14*TrAvia_act!U16))</f>
        <v>2.3861470803389573E-2</v>
      </c>
      <c r="V26" s="93">
        <f>IF(TrAvia_ene!V8=0,0,TrAvia_ene!V8/(V14*TrAvia_act!V16))</f>
        <v>1.8215662249164394E-2</v>
      </c>
      <c r="W26" s="93">
        <f>IF(TrAvia_ene!W8=0,0,TrAvia_ene!W8/(W14*TrAvia_act!W16))</f>
        <v>1.8814089730863768E-2</v>
      </c>
      <c r="X26" s="93">
        <f>IF(TrAvia_ene!X8=0,0,TrAvia_ene!X8/(X14*TrAvia_act!X16))</f>
        <v>2.410605827858843E-2</v>
      </c>
      <c r="Y26" s="93">
        <f>IF(TrAvia_ene!Y8=0,0,TrAvia_ene!Y8/(Y14*TrAvia_act!Y16))</f>
        <v>2.4410351321125026E-2</v>
      </c>
      <c r="DA26" s="175"/>
    </row>
    <row r="27" spans="1:105" ht="11.45" customHeight="1" x14ac:dyDescent="0.25">
      <c r="A27" s="85" t="s">
        <v>182</v>
      </c>
      <c r="B27" s="94">
        <f>IF(TrAvia_ene!B9=0,0,TrAvia_ene!B9/(B15*TrAvia_act!B17))</f>
        <v>3.1934974922025003E-2</v>
      </c>
      <c r="C27" s="94">
        <f>IF(TrAvia_ene!C9=0,0,TrAvia_ene!C9/(C15*TrAvia_act!C17))</f>
        <v>3.1464828034283229E-2</v>
      </c>
      <c r="D27" s="94">
        <f>IF(TrAvia_ene!D9=0,0,TrAvia_ene!D9/(D15*TrAvia_act!D17))</f>
        <v>2.763176639633497E-2</v>
      </c>
      <c r="E27" s="94">
        <f>IF(TrAvia_ene!E9=0,0,TrAvia_ene!E9/(E15*TrAvia_act!E17))</f>
        <v>2.9321415749011686E-2</v>
      </c>
      <c r="F27" s="94">
        <f>IF(TrAvia_ene!F9=0,0,TrAvia_ene!F9/(F15*TrAvia_act!F17))</f>
        <v>3.116008584460267E-2</v>
      </c>
      <c r="G27" s="94">
        <f>IF(TrAvia_ene!G9=0,0,TrAvia_ene!G9/(G15*TrAvia_act!G17))</f>
        <v>2.7575487996368948E-2</v>
      </c>
      <c r="H27" s="94">
        <f>IF(TrAvia_ene!H9=0,0,TrAvia_ene!H9/(H15*TrAvia_act!H17))</f>
        <v>2.501725288982631E-2</v>
      </c>
      <c r="I27" s="94">
        <f>IF(TrAvia_ene!I9=0,0,TrAvia_ene!I9/(I15*TrAvia_act!I17))</f>
        <v>2.1073459485418583E-2</v>
      </c>
      <c r="J27" s="94">
        <f>IF(TrAvia_ene!J9=0,0,TrAvia_ene!J9/(J15*TrAvia_act!J17))</f>
        <v>2.593353658036681E-2</v>
      </c>
      <c r="K27" s="94">
        <f>IF(TrAvia_ene!K9=0,0,TrAvia_ene!K9/(K15*TrAvia_act!K17))</f>
        <v>2.6972352736150586E-2</v>
      </c>
      <c r="L27" s="94">
        <f>IF(TrAvia_ene!L9=0,0,TrAvia_ene!L9/(L15*TrAvia_act!L17))</f>
        <v>2.7301379937352648E-2</v>
      </c>
      <c r="M27" s="94">
        <f>IF(TrAvia_ene!M9=0,0,TrAvia_ene!M9/(M15*TrAvia_act!M17))</f>
        <v>2.6550766863985113E-2</v>
      </c>
      <c r="N27" s="94">
        <f>IF(TrAvia_ene!N9=0,0,TrAvia_ene!N9/(N15*TrAvia_act!N17))</f>
        <v>2.6244981993932916E-2</v>
      </c>
      <c r="O27" s="94">
        <f>IF(TrAvia_ene!O9=0,0,TrAvia_ene!O9/(O15*TrAvia_act!O17))</f>
        <v>2.5701974751434962E-2</v>
      </c>
      <c r="P27" s="94">
        <f>IF(TrAvia_ene!P9=0,0,TrAvia_ene!P9/(P15*TrAvia_act!P17))</f>
        <v>2.3992424544037591E-2</v>
      </c>
      <c r="Q27" s="94">
        <f>IF(TrAvia_ene!Q9=0,0,TrAvia_ene!Q9/(Q15*TrAvia_act!Q17))</f>
        <v>2.5250817987502863E-2</v>
      </c>
      <c r="R27" s="94">
        <f>IF(TrAvia_ene!R9=0,0,TrAvia_ene!R9/(R15*TrAvia_act!R17))</f>
        <v>2.4534739590561627E-2</v>
      </c>
      <c r="S27" s="94">
        <f>IF(TrAvia_ene!S9=0,0,TrAvia_ene!S9/(S15*TrAvia_act!S17))</f>
        <v>2.2795345257415046E-2</v>
      </c>
      <c r="T27" s="94">
        <f>IF(TrAvia_ene!T9=0,0,TrAvia_ene!T9/(T15*TrAvia_act!T17))</f>
        <v>2.0220597235376201E-2</v>
      </c>
      <c r="U27" s="94">
        <f>IF(TrAvia_ene!U9=0,0,TrAvia_ene!U9/(U15*TrAvia_act!U17))</f>
        <v>1.8738155295519671E-2</v>
      </c>
      <c r="V27" s="94">
        <f>IF(TrAvia_ene!V9=0,0,TrAvia_ene!V9/(V15*TrAvia_act!V17))</f>
        <v>2.4499583136688534E-2</v>
      </c>
      <c r="W27" s="94">
        <f>IF(TrAvia_ene!W9=0,0,TrAvia_ene!W9/(W15*TrAvia_act!W17))</f>
        <v>2.5325248953435572E-2</v>
      </c>
      <c r="X27" s="94">
        <f>IF(TrAvia_ene!X9=0,0,TrAvia_ene!X9/(X15*TrAvia_act!X17))</f>
        <v>1.9260012922488603E-2</v>
      </c>
      <c r="Y27" s="94">
        <f>IF(TrAvia_ene!Y9=0,0,TrAvia_ene!Y9/(Y15*TrAvia_act!Y17))</f>
        <v>1.7730636843518298E-2</v>
      </c>
      <c r="DA27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DA24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999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149</v>
      </c>
      <c r="B3" s="54">
        <f t="shared" ref="B3:Q3" si="0">SUM(B4:B5)</f>
        <v>304.024</v>
      </c>
      <c r="C3" s="54">
        <f t="shared" si="0"/>
        <v>311.303</v>
      </c>
      <c r="D3" s="54">
        <f t="shared" si="0"/>
        <v>309.803</v>
      </c>
      <c r="E3" s="54">
        <f t="shared" si="0"/>
        <v>317.69200000000001</v>
      </c>
      <c r="F3" s="54">
        <f t="shared" si="0"/>
        <v>323.35899999999998</v>
      </c>
      <c r="G3" s="54">
        <f t="shared" si="0"/>
        <v>375.58600000000001</v>
      </c>
      <c r="H3" s="54">
        <f t="shared" si="0"/>
        <v>376.30799999999999</v>
      </c>
      <c r="I3" s="54">
        <f t="shared" si="0"/>
        <v>432.47899999999998</v>
      </c>
      <c r="J3" s="54">
        <f t="shared" si="0"/>
        <v>452.036</v>
      </c>
      <c r="K3" s="54">
        <f t="shared" si="0"/>
        <v>402.08800000000002</v>
      </c>
      <c r="L3" s="54">
        <f t="shared" si="0"/>
        <v>389.58699999999999</v>
      </c>
      <c r="M3" s="54">
        <f t="shared" si="0"/>
        <v>395.58699999999999</v>
      </c>
      <c r="N3" s="54">
        <f t="shared" si="0"/>
        <v>323.85899999999998</v>
      </c>
      <c r="O3" s="54">
        <f t="shared" si="0"/>
        <v>337.416</v>
      </c>
      <c r="P3" s="54">
        <f t="shared" si="0"/>
        <v>322.637</v>
      </c>
      <c r="Q3" s="54">
        <f t="shared" si="0"/>
        <v>303.19099999999997</v>
      </c>
      <c r="R3" s="54">
        <f t="shared" ref="R3:V3" si="1">SUM(R4:R5)</f>
        <v>408.03300000000002</v>
      </c>
      <c r="S3" s="54">
        <f t="shared" si="1"/>
        <v>348.80599999999998</v>
      </c>
      <c r="T3" s="54">
        <f t="shared" si="1"/>
        <v>354.02800000000002</v>
      </c>
      <c r="U3" s="54">
        <f t="shared" si="1"/>
        <v>354.97300000000001</v>
      </c>
      <c r="V3" s="54">
        <f t="shared" si="1"/>
        <v>314.02499999999998</v>
      </c>
      <c r="W3" s="54">
        <f t="shared" ref="W3:Y3" si="2">SUM(W4:W5)</f>
        <v>324.97000000000003</v>
      </c>
      <c r="X3" s="54">
        <f t="shared" si="2"/>
        <v>398.64299999999997</v>
      </c>
      <c r="Y3" s="54">
        <f t="shared" si="2"/>
        <v>368.25200000000001</v>
      </c>
      <c r="Z3" s="54"/>
      <c r="AA3" s="54"/>
      <c r="AB3" s="54"/>
      <c r="AC3" s="54"/>
      <c r="AD3" s="54"/>
      <c r="AE3" s="54"/>
      <c r="AF3" s="54"/>
      <c r="AG3" s="54"/>
      <c r="DA3" s="172" t="s">
        <v>385</v>
      </c>
    </row>
    <row r="4" spans="1:105" ht="11.45" customHeight="1" x14ac:dyDescent="0.25">
      <c r="A4" s="55" t="s">
        <v>30</v>
      </c>
      <c r="B4" s="56">
        <v>304.024</v>
      </c>
      <c r="C4" s="56">
        <v>311.303</v>
      </c>
      <c r="D4" s="56">
        <v>309.803</v>
      </c>
      <c r="E4" s="56">
        <v>317.69200000000001</v>
      </c>
      <c r="F4" s="56">
        <v>323.35899999999998</v>
      </c>
      <c r="G4" s="56">
        <v>375.58600000000001</v>
      </c>
      <c r="H4" s="56">
        <v>376.30799999999999</v>
      </c>
      <c r="I4" s="56">
        <v>432.47899999999998</v>
      </c>
      <c r="J4" s="56">
        <v>452.036</v>
      </c>
      <c r="K4" s="56">
        <v>402.08800000000002</v>
      </c>
      <c r="L4" s="56">
        <v>389.58699999999999</v>
      </c>
      <c r="M4" s="56">
        <v>395.58699999999999</v>
      </c>
      <c r="N4" s="56">
        <v>323.85899999999998</v>
      </c>
      <c r="O4" s="56">
        <v>337.416</v>
      </c>
      <c r="P4" s="56">
        <v>322.637</v>
      </c>
      <c r="Q4" s="56">
        <v>303.19099999999997</v>
      </c>
      <c r="R4" s="56">
        <v>408.03300000000002</v>
      </c>
      <c r="S4" s="56">
        <v>348.80599999999998</v>
      </c>
      <c r="T4" s="56">
        <v>354.02800000000002</v>
      </c>
      <c r="U4" s="56">
        <v>354.97300000000001</v>
      </c>
      <c r="V4" s="56">
        <v>314.02499999999998</v>
      </c>
      <c r="W4" s="56">
        <v>324.97000000000003</v>
      </c>
      <c r="X4" s="56">
        <v>398.64299999999997</v>
      </c>
      <c r="Y4" s="56">
        <v>368.25200000000001</v>
      </c>
      <c r="Z4" s="56"/>
      <c r="AA4" s="56"/>
      <c r="AB4" s="56"/>
      <c r="AC4" s="56"/>
      <c r="AD4" s="56"/>
      <c r="AE4" s="56"/>
      <c r="AF4" s="56"/>
      <c r="AG4" s="56"/>
      <c r="DA4" s="181" t="s">
        <v>386</v>
      </c>
    </row>
    <row r="5" spans="1:105" ht="11.45" customHeight="1" x14ac:dyDescent="0.25">
      <c r="A5" s="57" t="s">
        <v>31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0</v>
      </c>
      <c r="W5" s="58">
        <v>0</v>
      </c>
      <c r="X5" s="58">
        <v>0</v>
      </c>
      <c r="Y5" s="58">
        <v>0</v>
      </c>
      <c r="Z5" s="58"/>
      <c r="AA5" s="58"/>
      <c r="AB5" s="58"/>
      <c r="AC5" s="58"/>
      <c r="AD5" s="58"/>
      <c r="AE5" s="58"/>
      <c r="AF5" s="58"/>
      <c r="AG5" s="58"/>
      <c r="DA5" s="182" t="s">
        <v>387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53" t="s">
        <v>161</v>
      </c>
      <c r="B7" s="59">
        <f t="shared" ref="B7:Q7" si="3">SUM(B8:B9)</f>
        <v>9.5000000000000001E-2</v>
      </c>
      <c r="C7" s="59">
        <f t="shared" si="3"/>
        <v>0.11600000000000001</v>
      </c>
      <c r="D7" s="59">
        <f t="shared" si="3"/>
        <v>0.186</v>
      </c>
      <c r="E7" s="59">
        <f t="shared" si="3"/>
        <v>0.13400000000000001</v>
      </c>
      <c r="F7" s="59">
        <f t="shared" si="3"/>
        <v>0.128</v>
      </c>
      <c r="G7" s="59">
        <f t="shared" si="3"/>
        <v>0.09</v>
      </c>
      <c r="H7" s="59">
        <f t="shared" si="3"/>
        <v>0.108</v>
      </c>
      <c r="I7" s="59">
        <f t="shared" si="3"/>
        <v>0.27900000000000003</v>
      </c>
      <c r="J7" s="59">
        <f t="shared" si="3"/>
        <v>0.28599999999999998</v>
      </c>
      <c r="K7" s="59">
        <f t="shared" si="3"/>
        <v>0.26800000000000002</v>
      </c>
      <c r="L7" s="59">
        <f t="shared" si="3"/>
        <v>0.25600000000000001</v>
      </c>
      <c r="M7" s="59">
        <f t="shared" si="3"/>
        <v>0.246</v>
      </c>
      <c r="N7" s="59">
        <f t="shared" si="3"/>
        <v>0.20399999999999999</v>
      </c>
      <c r="O7" s="59">
        <f t="shared" si="3"/>
        <v>0.19600000000000001</v>
      </c>
      <c r="P7" s="59">
        <f t="shared" si="3"/>
        <v>0.13100000000000001</v>
      </c>
      <c r="Q7" s="59">
        <f t="shared" si="3"/>
        <v>0.13200000000000001</v>
      </c>
      <c r="R7" s="59">
        <f t="shared" ref="R7:V7" si="4">SUM(R8:R9)</f>
        <v>0.19800000000000001</v>
      </c>
      <c r="S7" s="59">
        <f t="shared" si="4"/>
        <v>0.16600000000000001</v>
      </c>
      <c r="T7" s="59">
        <f t="shared" si="4"/>
        <v>0.16600000000000001</v>
      </c>
      <c r="U7" s="59">
        <f t="shared" si="4"/>
        <v>0.183</v>
      </c>
      <c r="V7" s="59">
        <f t="shared" si="4"/>
        <v>0.184</v>
      </c>
      <c r="W7" s="59">
        <f t="shared" ref="W7:Y7" si="5">SUM(W8:W9)</f>
        <v>0.17699999999999999</v>
      </c>
      <c r="X7" s="59">
        <f t="shared" si="5"/>
        <v>0.23100000000000001</v>
      </c>
      <c r="Y7" s="59">
        <f t="shared" si="5"/>
        <v>0.216</v>
      </c>
      <c r="Z7" s="59"/>
      <c r="AA7" s="59"/>
      <c r="AB7" s="59"/>
      <c r="AC7" s="59"/>
      <c r="AD7" s="59"/>
      <c r="AE7" s="59"/>
      <c r="AF7" s="59"/>
      <c r="AG7" s="59"/>
      <c r="DA7" s="172" t="s">
        <v>1000</v>
      </c>
    </row>
    <row r="8" spans="1:105" ht="11.45" customHeight="1" x14ac:dyDescent="0.25">
      <c r="A8" s="55" t="s">
        <v>30</v>
      </c>
      <c r="B8" s="60">
        <v>9.5000000000000001E-2</v>
      </c>
      <c r="C8" s="60">
        <v>0.11600000000000001</v>
      </c>
      <c r="D8" s="60">
        <v>0.186</v>
      </c>
      <c r="E8" s="60">
        <v>0.13400000000000001</v>
      </c>
      <c r="F8" s="60">
        <v>0.128</v>
      </c>
      <c r="G8" s="60">
        <v>0.09</v>
      </c>
      <c r="H8" s="60">
        <v>0.108</v>
      </c>
      <c r="I8" s="60">
        <v>0.27900000000000003</v>
      </c>
      <c r="J8" s="60">
        <v>0.28599999999999998</v>
      </c>
      <c r="K8" s="60">
        <v>0.26800000000000002</v>
      </c>
      <c r="L8" s="60">
        <v>0.25600000000000001</v>
      </c>
      <c r="M8" s="60">
        <v>0.246</v>
      </c>
      <c r="N8" s="60">
        <v>0.20399999999999999</v>
      </c>
      <c r="O8" s="60">
        <v>0.19600000000000001</v>
      </c>
      <c r="P8" s="60">
        <v>0.13100000000000001</v>
      </c>
      <c r="Q8" s="60">
        <v>0.13200000000000001</v>
      </c>
      <c r="R8" s="60">
        <v>0.19800000000000001</v>
      </c>
      <c r="S8" s="60">
        <v>0.16600000000000001</v>
      </c>
      <c r="T8" s="60">
        <v>0.16600000000000001</v>
      </c>
      <c r="U8" s="60">
        <v>0.183</v>
      </c>
      <c r="V8" s="60">
        <v>0.184</v>
      </c>
      <c r="W8" s="60">
        <v>0.17699999999999999</v>
      </c>
      <c r="X8" s="60">
        <v>0.23100000000000001</v>
      </c>
      <c r="Y8" s="60">
        <v>0.216</v>
      </c>
      <c r="Z8" s="60"/>
      <c r="AA8" s="60"/>
      <c r="AB8" s="60"/>
      <c r="AC8" s="60"/>
      <c r="AD8" s="60"/>
      <c r="AE8" s="60"/>
      <c r="AF8" s="60"/>
      <c r="AG8" s="60"/>
      <c r="DA8" s="181" t="s">
        <v>1001</v>
      </c>
    </row>
    <row r="9" spans="1:105" ht="11.45" customHeight="1" x14ac:dyDescent="0.25">
      <c r="A9" s="57" t="s">
        <v>31</v>
      </c>
      <c r="B9" s="61">
        <v>0</v>
      </c>
      <c r="C9" s="61">
        <v>0</v>
      </c>
      <c r="D9" s="61">
        <v>0</v>
      </c>
      <c r="E9" s="61">
        <v>0</v>
      </c>
      <c r="F9" s="61">
        <v>0</v>
      </c>
      <c r="G9" s="61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  <c r="P9" s="61">
        <v>0</v>
      </c>
      <c r="Q9" s="61">
        <v>0</v>
      </c>
      <c r="R9" s="61">
        <v>0</v>
      </c>
      <c r="S9" s="61">
        <v>0</v>
      </c>
      <c r="T9" s="61">
        <v>0</v>
      </c>
      <c r="U9" s="61">
        <v>0</v>
      </c>
      <c r="V9" s="61">
        <v>0</v>
      </c>
      <c r="W9" s="61">
        <v>0</v>
      </c>
      <c r="X9" s="61">
        <v>0</v>
      </c>
      <c r="Y9" s="61">
        <v>0</v>
      </c>
      <c r="Z9" s="61"/>
      <c r="AA9" s="61"/>
      <c r="AB9" s="61"/>
      <c r="AC9" s="61"/>
      <c r="AD9" s="61"/>
      <c r="AE9" s="61"/>
      <c r="AF9" s="61"/>
      <c r="AG9" s="61"/>
      <c r="DA9" s="182" t="s">
        <v>1002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143</v>
      </c>
      <c r="B13" s="62">
        <f t="shared" ref="B13:E15" si="6">IF(B3=0,0,B3/B7)</f>
        <v>3200.2526315789473</v>
      </c>
      <c r="C13" s="62">
        <f t="shared" si="6"/>
        <v>2683.6465517241377</v>
      </c>
      <c r="D13" s="62">
        <f t="shared" si="6"/>
        <v>1665.6075268817203</v>
      </c>
      <c r="E13" s="62">
        <f t="shared" si="6"/>
        <v>2370.8358208955224</v>
      </c>
      <c r="F13" s="62">
        <f t="shared" ref="F13:V13" si="7">IF(F3=0,0,F3/F7)</f>
        <v>2526.2421875</v>
      </c>
      <c r="G13" s="62">
        <f t="shared" si="7"/>
        <v>4173.1777777777779</v>
      </c>
      <c r="H13" s="62">
        <f t="shared" si="7"/>
        <v>3484.3333333333335</v>
      </c>
      <c r="I13" s="62">
        <f t="shared" si="7"/>
        <v>1550.1039426523296</v>
      </c>
      <c r="J13" s="62">
        <f t="shared" si="7"/>
        <v>1580.5454545454547</v>
      </c>
      <c r="K13" s="62">
        <f t="shared" si="7"/>
        <v>1500.3283582089553</v>
      </c>
      <c r="L13" s="62">
        <f t="shared" si="7"/>
        <v>1521.82421875</v>
      </c>
      <c r="M13" s="62">
        <f t="shared" si="7"/>
        <v>1608.0772357723577</v>
      </c>
      <c r="N13" s="62">
        <f t="shared" si="7"/>
        <v>1587.5441176470588</v>
      </c>
      <c r="O13" s="62">
        <f t="shared" si="7"/>
        <v>1721.5102040816325</v>
      </c>
      <c r="P13" s="62">
        <f t="shared" si="7"/>
        <v>2462.8778625954196</v>
      </c>
      <c r="Q13" s="62">
        <f t="shared" si="7"/>
        <v>2296.901515151515</v>
      </c>
      <c r="R13" s="62">
        <f t="shared" si="7"/>
        <v>2060.7727272727275</v>
      </c>
      <c r="S13" s="62">
        <f t="shared" si="7"/>
        <v>2101.2409638554213</v>
      </c>
      <c r="T13" s="62">
        <f t="shared" si="7"/>
        <v>2132.6987951807228</v>
      </c>
      <c r="U13" s="62">
        <f t="shared" si="7"/>
        <v>1939.7431693989072</v>
      </c>
      <c r="V13" s="62">
        <f t="shared" si="7"/>
        <v>1706.657608695652</v>
      </c>
      <c r="W13" s="62">
        <f t="shared" ref="W13:Y13" si="8">IF(W3=0,0,W3/W7)</f>
        <v>1835.9887005649721</v>
      </c>
      <c r="X13" s="62">
        <f t="shared" si="8"/>
        <v>1725.7272727272725</v>
      </c>
      <c r="Y13" s="62">
        <f t="shared" si="8"/>
        <v>1704.8703703703704</v>
      </c>
      <c r="Z13" s="62"/>
      <c r="AA13" s="62"/>
      <c r="AB13" s="62"/>
      <c r="AC13" s="62"/>
      <c r="AD13" s="62"/>
      <c r="AE13" s="62"/>
      <c r="AF13" s="62"/>
      <c r="AG13" s="62"/>
      <c r="DA13" s="172" t="s">
        <v>1003</v>
      </c>
    </row>
    <row r="14" spans="1:105" ht="11.45" customHeight="1" x14ac:dyDescent="0.25">
      <c r="A14" s="55" t="s">
        <v>30</v>
      </c>
      <c r="B14" s="63">
        <f t="shared" si="6"/>
        <v>3200.2526315789473</v>
      </c>
      <c r="C14" s="63">
        <f t="shared" si="6"/>
        <v>2683.6465517241377</v>
      </c>
      <c r="D14" s="63">
        <f t="shared" si="6"/>
        <v>1665.6075268817203</v>
      </c>
      <c r="E14" s="63">
        <f t="shared" si="6"/>
        <v>2370.8358208955224</v>
      </c>
      <c r="F14" s="63">
        <f t="shared" ref="F14:V14" si="9">IF(F4=0,0,F4/F8)</f>
        <v>2526.2421875</v>
      </c>
      <c r="G14" s="63">
        <f t="shared" si="9"/>
        <v>4173.1777777777779</v>
      </c>
      <c r="H14" s="63">
        <f t="shared" si="9"/>
        <v>3484.3333333333335</v>
      </c>
      <c r="I14" s="63">
        <f t="shared" si="9"/>
        <v>1550.1039426523296</v>
      </c>
      <c r="J14" s="63">
        <f t="shared" si="9"/>
        <v>1580.5454545454547</v>
      </c>
      <c r="K14" s="63">
        <f t="shared" si="9"/>
        <v>1500.3283582089553</v>
      </c>
      <c r="L14" s="63">
        <f t="shared" si="9"/>
        <v>1521.82421875</v>
      </c>
      <c r="M14" s="63">
        <f t="shared" si="9"/>
        <v>1608.0772357723577</v>
      </c>
      <c r="N14" s="63">
        <f t="shared" si="9"/>
        <v>1587.5441176470588</v>
      </c>
      <c r="O14" s="63">
        <f t="shared" si="9"/>
        <v>1721.5102040816325</v>
      </c>
      <c r="P14" s="63">
        <f t="shared" si="9"/>
        <v>2462.8778625954196</v>
      </c>
      <c r="Q14" s="63">
        <f t="shared" si="9"/>
        <v>2296.901515151515</v>
      </c>
      <c r="R14" s="63">
        <f t="shared" si="9"/>
        <v>2060.7727272727275</v>
      </c>
      <c r="S14" s="63">
        <f t="shared" si="9"/>
        <v>2101.2409638554213</v>
      </c>
      <c r="T14" s="63">
        <f t="shared" si="9"/>
        <v>2132.6987951807228</v>
      </c>
      <c r="U14" s="63">
        <f t="shared" si="9"/>
        <v>1939.7431693989072</v>
      </c>
      <c r="V14" s="63">
        <f t="shared" si="9"/>
        <v>1706.657608695652</v>
      </c>
      <c r="W14" s="63">
        <f t="shared" ref="W14:Y14" si="10">IF(W4=0,0,W4/W8)</f>
        <v>1835.9887005649721</v>
      </c>
      <c r="X14" s="63">
        <f t="shared" si="10"/>
        <v>1725.7272727272725</v>
      </c>
      <c r="Y14" s="63">
        <f t="shared" si="10"/>
        <v>1704.8703703703704</v>
      </c>
      <c r="Z14" s="63"/>
      <c r="AA14" s="63"/>
      <c r="AB14" s="63"/>
      <c r="AC14" s="63"/>
      <c r="AD14" s="63"/>
      <c r="AE14" s="63"/>
      <c r="AF14" s="63"/>
      <c r="AG14" s="63"/>
      <c r="DA14" s="181" t="s">
        <v>1004</v>
      </c>
    </row>
    <row r="15" spans="1:105" ht="11.45" customHeight="1" x14ac:dyDescent="0.25">
      <c r="A15" s="57" t="s">
        <v>31</v>
      </c>
      <c r="B15" s="64">
        <f t="shared" si="6"/>
        <v>0</v>
      </c>
      <c r="C15" s="64">
        <f t="shared" si="6"/>
        <v>0</v>
      </c>
      <c r="D15" s="64">
        <f t="shared" si="6"/>
        <v>0</v>
      </c>
      <c r="E15" s="64">
        <f t="shared" si="6"/>
        <v>0</v>
      </c>
      <c r="F15" s="64">
        <f t="shared" ref="F15:V15" si="11">IF(F5=0,0,F5/F9)</f>
        <v>0</v>
      </c>
      <c r="G15" s="64">
        <f t="shared" si="11"/>
        <v>0</v>
      </c>
      <c r="H15" s="64">
        <f t="shared" si="11"/>
        <v>0</v>
      </c>
      <c r="I15" s="64">
        <f t="shared" si="11"/>
        <v>0</v>
      </c>
      <c r="J15" s="64">
        <f t="shared" si="11"/>
        <v>0</v>
      </c>
      <c r="K15" s="64">
        <f t="shared" si="11"/>
        <v>0</v>
      </c>
      <c r="L15" s="64">
        <f t="shared" si="11"/>
        <v>0</v>
      </c>
      <c r="M15" s="64">
        <f t="shared" si="11"/>
        <v>0</v>
      </c>
      <c r="N15" s="64">
        <f t="shared" si="11"/>
        <v>0</v>
      </c>
      <c r="O15" s="64">
        <f t="shared" si="11"/>
        <v>0</v>
      </c>
      <c r="P15" s="64">
        <f t="shared" si="11"/>
        <v>0</v>
      </c>
      <c r="Q15" s="64">
        <f t="shared" si="11"/>
        <v>0</v>
      </c>
      <c r="R15" s="64">
        <f t="shared" si="11"/>
        <v>0</v>
      </c>
      <c r="S15" s="64">
        <f t="shared" si="11"/>
        <v>0</v>
      </c>
      <c r="T15" s="64">
        <f t="shared" si="11"/>
        <v>0</v>
      </c>
      <c r="U15" s="64">
        <f t="shared" si="11"/>
        <v>0</v>
      </c>
      <c r="V15" s="64">
        <f t="shared" si="11"/>
        <v>0</v>
      </c>
      <c r="W15" s="64">
        <f t="shared" ref="W15:Y15" si="12">IF(W5=0,0,W5/W9)</f>
        <v>0</v>
      </c>
      <c r="X15" s="64">
        <f t="shared" si="12"/>
        <v>0</v>
      </c>
      <c r="Y15" s="64">
        <f t="shared" si="12"/>
        <v>0</v>
      </c>
      <c r="Z15" s="64"/>
      <c r="AA15" s="64"/>
      <c r="AB15" s="64"/>
      <c r="AC15" s="64"/>
      <c r="AD15" s="64"/>
      <c r="AE15" s="64"/>
      <c r="AF15" s="64"/>
      <c r="AG15" s="64"/>
      <c r="DA15" s="182" t="s">
        <v>1005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65</v>
      </c>
      <c r="B17" s="65">
        <f t="shared" ref="B17:E17" si="13">IF(B3=0,0,B3/B$3)</f>
        <v>1</v>
      </c>
      <c r="C17" s="65">
        <f t="shared" si="13"/>
        <v>1</v>
      </c>
      <c r="D17" s="65">
        <f t="shared" si="13"/>
        <v>1</v>
      </c>
      <c r="E17" s="65">
        <f t="shared" si="13"/>
        <v>1</v>
      </c>
      <c r="F17" s="65">
        <f t="shared" ref="F17:V17" si="14">IF(F3=0,0,F3/F$3)</f>
        <v>1</v>
      </c>
      <c r="G17" s="65">
        <f t="shared" si="14"/>
        <v>1</v>
      </c>
      <c r="H17" s="65">
        <f t="shared" si="14"/>
        <v>1</v>
      </c>
      <c r="I17" s="65">
        <f t="shared" si="14"/>
        <v>1</v>
      </c>
      <c r="J17" s="65">
        <f t="shared" si="14"/>
        <v>1</v>
      </c>
      <c r="K17" s="65">
        <f t="shared" si="14"/>
        <v>1</v>
      </c>
      <c r="L17" s="65">
        <f t="shared" si="14"/>
        <v>1</v>
      </c>
      <c r="M17" s="65">
        <f t="shared" si="14"/>
        <v>1</v>
      </c>
      <c r="N17" s="65">
        <f t="shared" si="14"/>
        <v>1</v>
      </c>
      <c r="O17" s="65">
        <f t="shared" si="14"/>
        <v>1</v>
      </c>
      <c r="P17" s="65">
        <f t="shared" si="14"/>
        <v>1</v>
      </c>
      <c r="Q17" s="65">
        <f t="shared" si="14"/>
        <v>1</v>
      </c>
      <c r="R17" s="65">
        <f t="shared" si="14"/>
        <v>1</v>
      </c>
      <c r="S17" s="65">
        <f t="shared" si="14"/>
        <v>1</v>
      </c>
      <c r="T17" s="65">
        <f t="shared" si="14"/>
        <v>1</v>
      </c>
      <c r="U17" s="65">
        <f t="shared" si="14"/>
        <v>1</v>
      </c>
      <c r="V17" s="65">
        <f t="shared" si="14"/>
        <v>1</v>
      </c>
      <c r="W17" s="65">
        <f t="shared" ref="W17:Y17" si="15">IF(W3=0,0,W3/W$3)</f>
        <v>1</v>
      </c>
      <c r="X17" s="65">
        <f t="shared" si="15"/>
        <v>1</v>
      </c>
      <c r="Y17" s="65">
        <f t="shared" si="15"/>
        <v>1</v>
      </c>
      <c r="Z17" s="65"/>
      <c r="AA17" s="65"/>
      <c r="AB17" s="65"/>
      <c r="AC17" s="65"/>
      <c r="AD17" s="65"/>
      <c r="AE17" s="65"/>
      <c r="AF17" s="65"/>
      <c r="AG17" s="65"/>
      <c r="DA17" s="172"/>
    </row>
    <row r="18" spans="1:105" ht="11.45" customHeight="1" x14ac:dyDescent="0.25">
      <c r="A18" s="55" t="s">
        <v>30</v>
      </c>
      <c r="B18" s="66">
        <f t="shared" ref="B18:E18" si="16">IF(B4=0,0,B4/B$3)</f>
        <v>1</v>
      </c>
      <c r="C18" s="66">
        <f t="shared" si="16"/>
        <v>1</v>
      </c>
      <c r="D18" s="66">
        <f t="shared" si="16"/>
        <v>1</v>
      </c>
      <c r="E18" s="66">
        <f t="shared" si="16"/>
        <v>1</v>
      </c>
      <c r="F18" s="66">
        <f t="shared" ref="F18:V18" si="17">IF(F4=0,0,F4/F$3)</f>
        <v>1</v>
      </c>
      <c r="G18" s="66">
        <f t="shared" si="17"/>
        <v>1</v>
      </c>
      <c r="H18" s="66">
        <f t="shared" si="17"/>
        <v>1</v>
      </c>
      <c r="I18" s="66">
        <f t="shared" si="17"/>
        <v>1</v>
      </c>
      <c r="J18" s="66">
        <f t="shared" si="17"/>
        <v>1</v>
      </c>
      <c r="K18" s="66">
        <f t="shared" si="17"/>
        <v>1</v>
      </c>
      <c r="L18" s="66">
        <f t="shared" si="17"/>
        <v>1</v>
      </c>
      <c r="M18" s="66">
        <f t="shared" si="17"/>
        <v>1</v>
      </c>
      <c r="N18" s="66">
        <f t="shared" si="17"/>
        <v>1</v>
      </c>
      <c r="O18" s="66">
        <f t="shared" si="17"/>
        <v>1</v>
      </c>
      <c r="P18" s="66">
        <f t="shared" si="17"/>
        <v>1</v>
      </c>
      <c r="Q18" s="66">
        <f t="shared" si="17"/>
        <v>1</v>
      </c>
      <c r="R18" s="66">
        <f t="shared" si="17"/>
        <v>1</v>
      </c>
      <c r="S18" s="66">
        <f t="shared" si="17"/>
        <v>1</v>
      </c>
      <c r="T18" s="66">
        <f t="shared" si="17"/>
        <v>1</v>
      </c>
      <c r="U18" s="66">
        <f t="shared" si="17"/>
        <v>1</v>
      </c>
      <c r="V18" s="66">
        <f t="shared" si="17"/>
        <v>1</v>
      </c>
      <c r="W18" s="66">
        <f t="shared" ref="W18:Y18" si="18">IF(W4=0,0,W4/W$3)</f>
        <v>1</v>
      </c>
      <c r="X18" s="66">
        <f t="shared" si="18"/>
        <v>1</v>
      </c>
      <c r="Y18" s="66">
        <f t="shared" si="18"/>
        <v>1</v>
      </c>
      <c r="Z18" s="66"/>
      <c r="AA18" s="66"/>
      <c r="AB18" s="66"/>
      <c r="AC18" s="66"/>
      <c r="AD18" s="66"/>
      <c r="AE18" s="66"/>
      <c r="AF18" s="66"/>
      <c r="AG18" s="66"/>
      <c r="DA18" s="181"/>
    </row>
    <row r="19" spans="1:105" ht="11.45" customHeight="1" x14ac:dyDescent="0.25">
      <c r="A19" s="57" t="s">
        <v>31</v>
      </c>
      <c r="B19" s="67">
        <f t="shared" ref="B19:E19" si="19">IF(B5=0,0,B5/B$3)</f>
        <v>0</v>
      </c>
      <c r="C19" s="67">
        <f t="shared" si="19"/>
        <v>0</v>
      </c>
      <c r="D19" s="67">
        <f t="shared" si="19"/>
        <v>0</v>
      </c>
      <c r="E19" s="67">
        <f t="shared" si="19"/>
        <v>0</v>
      </c>
      <c r="F19" s="67">
        <f t="shared" ref="F19:V19" si="20">IF(F5=0,0,F5/F$3)</f>
        <v>0</v>
      </c>
      <c r="G19" s="67">
        <f t="shared" si="20"/>
        <v>0</v>
      </c>
      <c r="H19" s="67">
        <f t="shared" si="20"/>
        <v>0</v>
      </c>
      <c r="I19" s="67">
        <f t="shared" si="20"/>
        <v>0</v>
      </c>
      <c r="J19" s="67">
        <f t="shared" si="20"/>
        <v>0</v>
      </c>
      <c r="K19" s="67">
        <f t="shared" si="20"/>
        <v>0</v>
      </c>
      <c r="L19" s="67">
        <f t="shared" si="20"/>
        <v>0</v>
      </c>
      <c r="M19" s="67">
        <f t="shared" si="20"/>
        <v>0</v>
      </c>
      <c r="N19" s="67">
        <f t="shared" si="20"/>
        <v>0</v>
      </c>
      <c r="O19" s="67">
        <f t="shared" si="20"/>
        <v>0</v>
      </c>
      <c r="P19" s="67">
        <f t="shared" si="20"/>
        <v>0</v>
      </c>
      <c r="Q19" s="67">
        <f t="shared" si="20"/>
        <v>0</v>
      </c>
      <c r="R19" s="67">
        <f t="shared" si="20"/>
        <v>0</v>
      </c>
      <c r="S19" s="67">
        <f t="shared" si="20"/>
        <v>0</v>
      </c>
      <c r="T19" s="67">
        <f t="shared" si="20"/>
        <v>0</v>
      </c>
      <c r="U19" s="67">
        <f t="shared" si="20"/>
        <v>0</v>
      </c>
      <c r="V19" s="67">
        <f t="shared" si="20"/>
        <v>0</v>
      </c>
      <c r="W19" s="67">
        <f t="shared" ref="W19:Y19" si="21">IF(W5=0,0,W5/W$3)</f>
        <v>0</v>
      </c>
      <c r="X19" s="67">
        <f t="shared" si="21"/>
        <v>0</v>
      </c>
      <c r="Y19" s="67">
        <f t="shared" si="21"/>
        <v>0</v>
      </c>
      <c r="Z19" s="67"/>
      <c r="AA19" s="67"/>
      <c r="AB19" s="67"/>
      <c r="AC19" s="67"/>
      <c r="AD19" s="67"/>
      <c r="AE19" s="67"/>
      <c r="AF19" s="67"/>
      <c r="AG19" s="67"/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66</v>
      </c>
      <c r="B21" s="65">
        <f t="shared" ref="B21:E21" si="22">IF(B7=0,0,B7/B$7)</f>
        <v>1</v>
      </c>
      <c r="C21" s="65">
        <f t="shared" si="22"/>
        <v>1</v>
      </c>
      <c r="D21" s="65">
        <f t="shared" si="22"/>
        <v>1</v>
      </c>
      <c r="E21" s="65">
        <f t="shared" si="22"/>
        <v>1</v>
      </c>
      <c r="F21" s="65">
        <f t="shared" ref="F21:V21" si="23">IF(F7=0,0,F7/F$7)</f>
        <v>1</v>
      </c>
      <c r="G21" s="65">
        <f t="shared" si="23"/>
        <v>1</v>
      </c>
      <c r="H21" s="65">
        <f t="shared" si="23"/>
        <v>1</v>
      </c>
      <c r="I21" s="65">
        <f t="shared" si="23"/>
        <v>1</v>
      </c>
      <c r="J21" s="65">
        <f t="shared" si="23"/>
        <v>1</v>
      </c>
      <c r="K21" s="65">
        <f t="shared" si="23"/>
        <v>1</v>
      </c>
      <c r="L21" s="65">
        <f t="shared" si="23"/>
        <v>1</v>
      </c>
      <c r="M21" s="65">
        <f t="shared" si="23"/>
        <v>1</v>
      </c>
      <c r="N21" s="65">
        <f t="shared" si="23"/>
        <v>1</v>
      </c>
      <c r="O21" s="65">
        <f t="shared" si="23"/>
        <v>1</v>
      </c>
      <c r="P21" s="65">
        <f t="shared" si="23"/>
        <v>1</v>
      </c>
      <c r="Q21" s="65">
        <f t="shared" si="23"/>
        <v>1</v>
      </c>
      <c r="R21" s="65">
        <f t="shared" si="23"/>
        <v>1</v>
      </c>
      <c r="S21" s="65">
        <f t="shared" si="23"/>
        <v>1</v>
      </c>
      <c r="T21" s="65">
        <f t="shared" si="23"/>
        <v>1</v>
      </c>
      <c r="U21" s="65">
        <f t="shared" si="23"/>
        <v>1</v>
      </c>
      <c r="V21" s="65">
        <f t="shared" si="23"/>
        <v>1</v>
      </c>
      <c r="W21" s="65">
        <f t="shared" ref="W21:Y21" si="24">IF(W7=0,0,W7/W$7)</f>
        <v>1</v>
      </c>
      <c r="X21" s="65">
        <f t="shared" si="24"/>
        <v>1</v>
      </c>
      <c r="Y21" s="65">
        <f t="shared" si="24"/>
        <v>1</v>
      </c>
      <c r="Z21" s="65"/>
      <c r="AA21" s="65"/>
      <c r="AB21" s="65"/>
      <c r="AC21" s="65"/>
      <c r="AD21" s="65"/>
      <c r="AE21" s="65"/>
      <c r="AF21" s="65"/>
      <c r="AG21" s="65"/>
      <c r="DA21" s="172"/>
    </row>
    <row r="22" spans="1:105" ht="11.45" customHeight="1" x14ac:dyDescent="0.25">
      <c r="A22" s="55" t="s">
        <v>30</v>
      </c>
      <c r="B22" s="66">
        <f t="shared" ref="B22:E22" si="25">IF(B8=0,0,B8/B$7)</f>
        <v>1</v>
      </c>
      <c r="C22" s="66">
        <f t="shared" si="25"/>
        <v>1</v>
      </c>
      <c r="D22" s="66">
        <f t="shared" si="25"/>
        <v>1</v>
      </c>
      <c r="E22" s="66">
        <f t="shared" si="25"/>
        <v>1</v>
      </c>
      <c r="F22" s="66">
        <f t="shared" ref="F22:V22" si="26">IF(F8=0,0,F8/F$7)</f>
        <v>1</v>
      </c>
      <c r="G22" s="66">
        <f t="shared" si="26"/>
        <v>1</v>
      </c>
      <c r="H22" s="66">
        <f t="shared" si="26"/>
        <v>1</v>
      </c>
      <c r="I22" s="66">
        <f t="shared" si="26"/>
        <v>1</v>
      </c>
      <c r="J22" s="66">
        <f t="shared" si="26"/>
        <v>1</v>
      </c>
      <c r="K22" s="66">
        <f t="shared" si="26"/>
        <v>1</v>
      </c>
      <c r="L22" s="66">
        <f t="shared" si="26"/>
        <v>1</v>
      </c>
      <c r="M22" s="66">
        <f t="shared" si="26"/>
        <v>1</v>
      </c>
      <c r="N22" s="66">
        <f t="shared" si="26"/>
        <v>1</v>
      </c>
      <c r="O22" s="66">
        <f t="shared" si="26"/>
        <v>1</v>
      </c>
      <c r="P22" s="66">
        <f t="shared" si="26"/>
        <v>1</v>
      </c>
      <c r="Q22" s="66">
        <f t="shared" si="26"/>
        <v>1</v>
      </c>
      <c r="R22" s="66">
        <f t="shared" si="26"/>
        <v>1</v>
      </c>
      <c r="S22" s="66">
        <f t="shared" si="26"/>
        <v>1</v>
      </c>
      <c r="T22" s="66">
        <f t="shared" si="26"/>
        <v>1</v>
      </c>
      <c r="U22" s="66">
        <f t="shared" si="26"/>
        <v>1</v>
      </c>
      <c r="V22" s="66">
        <f t="shared" si="26"/>
        <v>1</v>
      </c>
      <c r="W22" s="66">
        <f t="shared" ref="W22:Y22" si="27">IF(W8=0,0,W8/W$7)</f>
        <v>1</v>
      </c>
      <c r="X22" s="66">
        <f t="shared" si="27"/>
        <v>1</v>
      </c>
      <c r="Y22" s="66">
        <f t="shared" si="27"/>
        <v>1</v>
      </c>
      <c r="Z22" s="66"/>
      <c r="AA22" s="66"/>
      <c r="AB22" s="66"/>
      <c r="AC22" s="66"/>
      <c r="AD22" s="66"/>
      <c r="AE22" s="66"/>
      <c r="AF22" s="66"/>
      <c r="AG22" s="66"/>
      <c r="DA22" s="181"/>
    </row>
    <row r="23" spans="1:105" ht="11.45" customHeight="1" x14ac:dyDescent="0.25">
      <c r="A23" s="57" t="s">
        <v>31</v>
      </c>
      <c r="B23" s="67">
        <f t="shared" ref="B23:E23" si="28">IF(B9=0,0,B9/B$7)</f>
        <v>0</v>
      </c>
      <c r="C23" s="67">
        <f t="shared" si="28"/>
        <v>0</v>
      </c>
      <c r="D23" s="67">
        <f t="shared" si="28"/>
        <v>0</v>
      </c>
      <c r="E23" s="67">
        <f t="shared" si="28"/>
        <v>0</v>
      </c>
      <c r="F23" s="67">
        <f t="shared" ref="F23:V23" si="29">IF(F9=0,0,F9/F$7)</f>
        <v>0</v>
      </c>
      <c r="G23" s="67">
        <f t="shared" si="29"/>
        <v>0</v>
      </c>
      <c r="H23" s="67">
        <f t="shared" si="29"/>
        <v>0</v>
      </c>
      <c r="I23" s="67">
        <f t="shared" si="29"/>
        <v>0</v>
      </c>
      <c r="J23" s="67">
        <f t="shared" si="29"/>
        <v>0</v>
      </c>
      <c r="K23" s="67">
        <f t="shared" si="29"/>
        <v>0</v>
      </c>
      <c r="L23" s="67">
        <f t="shared" si="29"/>
        <v>0</v>
      </c>
      <c r="M23" s="67">
        <f t="shared" si="29"/>
        <v>0</v>
      </c>
      <c r="N23" s="67">
        <f t="shared" si="29"/>
        <v>0</v>
      </c>
      <c r="O23" s="67">
        <f t="shared" si="29"/>
        <v>0</v>
      </c>
      <c r="P23" s="67">
        <f t="shared" si="29"/>
        <v>0</v>
      </c>
      <c r="Q23" s="67">
        <f t="shared" si="29"/>
        <v>0</v>
      </c>
      <c r="R23" s="67">
        <f t="shared" si="29"/>
        <v>0</v>
      </c>
      <c r="S23" s="67">
        <f t="shared" si="29"/>
        <v>0</v>
      </c>
      <c r="T23" s="67">
        <f t="shared" si="29"/>
        <v>0</v>
      </c>
      <c r="U23" s="67">
        <f t="shared" si="29"/>
        <v>0</v>
      </c>
      <c r="V23" s="67">
        <f t="shared" si="29"/>
        <v>0</v>
      </c>
      <c r="W23" s="67">
        <f t="shared" ref="W23:Y23" si="30">IF(W9=0,0,W9/W$7)</f>
        <v>0</v>
      </c>
      <c r="X23" s="67">
        <f t="shared" si="30"/>
        <v>0</v>
      </c>
      <c r="Y23" s="67">
        <f t="shared" si="30"/>
        <v>0</v>
      </c>
      <c r="Z23" s="67"/>
      <c r="AA23" s="67"/>
      <c r="AB23" s="67"/>
      <c r="AC23" s="67"/>
      <c r="AD23" s="67"/>
      <c r="AE23" s="67"/>
      <c r="AF23" s="67"/>
      <c r="AG23" s="67"/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DA29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1006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32</v>
      </c>
      <c r="B3" s="62">
        <f>SUM(B4,B10)</f>
        <v>44.501547721410141</v>
      </c>
      <c r="C3" s="62">
        <f t="shared" ref="C3:V3" si="0">SUM(C4,C10)</f>
        <v>50.711006018916592</v>
      </c>
      <c r="D3" s="62">
        <f t="shared" si="0"/>
        <v>91.097764402407563</v>
      </c>
      <c r="E3" s="62">
        <f t="shared" si="0"/>
        <v>66.164832330180559</v>
      </c>
      <c r="F3" s="62">
        <f t="shared" si="0"/>
        <v>25.873000859845231</v>
      </c>
      <c r="G3" s="62">
        <f t="shared" si="0"/>
        <v>17.593637145313838</v>
      </c>
      <c r="H3" s="62">
        <f t="shared" si="0"/>
        <v>20.540756663800519</v>
      </c>
      <c r="I3" s="62">
        <f t="shared" si="0"/>
        <v>125.96732588134134</v>
      </c>
      <c r="J3" s="62">
        <f t="shared" si="0"/>
        <v>137.79019776440239</v>
      </c>
      <c r="K3" s="62">
        <f t="shared" si="0"/>
        <v>197.69277730008602</v>
      </c>
      <c r="L3" s="62">
        <f t="shared" si="0"/>
        <v>122.57575236457436</v>
      </c>
      <c r="M3" s="62">
        <f t="shared" si="0"/>
        <v>116.938950988822</v>
      </c>
      <c r="N3" s="62">
        <f t="shared" si="0"/>
        <v>117.89432502149612</v>
      </c>
      <c r="O3" s="62">
        <f t="shared" si="0"/>
        <v>121.78761822871884</v>
      </c>
      <c r="P3" s="62">
        <f t="shared" si="0"/>
        <v>86.295098882201202</v>
      </c>
      <c r="Q3" s="62">
        <f t="shared" si="0"/>
        <v>98.619432502149607</v>
      </c>
      <c r="R3" s="62">
        <f t="shared" si="0"/>
        <v>111.3498710232158</v>
      </c>
      <c r="S3" s="62">
        <f t="shared" si="0"/>
        <v>98.403353396388638</v>
      </c>
      <c r="T3" s="62">
        <f t="shared" si="0"/>
        <v>102.68022355975924</v>
      </c>
      <c r="U3" s="62">
        <f t="shared" si="0"/>
        <v>87.816337059329328</v>
      </c>
      <c r="V3" s="62">
        <f t="shared" si="0"/>
        <v>62.750816852966452</v>
      </c>
      <c r="W3" s="62">
        <f t="shared" ref="W3:Y3" si="1">SUM(W4,W10)</f>
        <v>73.466809974204651</v>
      </c>
      <c r="X3" s="62">
        <f t="shared" si="1"/>
        <v>81.277901977644021</v>
      </c>
      <c r="Y3" s="62">
        <f t="shared" si="1"/>
        <v>73.358985382631118</v>
      </c>
      <c r="Z3" s="62"/>
      <c r="AA3" s="62"/>
      <c r="AB3" s="62"/>
      <c r="AC3" s="62"/>
      <c r="AD3" s="62"/>
      <c r="AE3" s="62"/>
      <c r="AF3" s="62"/>
      <c r="AG3" s="62"/>
      <c r="DA3" s="172" t="s">
        <v>1007</v>
      </c>
    </row>
    <row r="4" spans="1:105" ht="11.45" customHeight="1" x14ac:dyDescent="0.25">
      <c r="A4" s="70" t="s">
        <v>30</v>
      </c>
      <c r="B4" s="71">
        <f>SUM(B5:B9)</f>
        <v>44.501547721410141</v>
      </c>
      <c r="C4" s="71">
        <f t="shared" ref="C4:V4" si="2">SUM(C5:C9)</f>
        <v>50.711006018916592</v>
      </c>
      <c r="D4" s="71">
        <f t="shared" si="2"/>
        <v>91.097764402407563</v>
      </c>
      <c r="E4" s="71">
        <f t="shared" si="2"/>
        <v>66.164832330180559</v>
      </c>
      <c r="F4" s="71">
        <f t="shared" si="2"/>
        <v>25.873000859845231</v>
      </c>
      <c r="G4" s="71">
        <f t="shared" si="2"/>
        <v>17.593637145313838</v>
      </c>
      <c r="H4" s="71">
        <f t="shared" si="2"/>
        <v>20.540756663800519</v>
      </c>
      <c r="I4" s="71">
        <f t="shared" si="2"/>
        <v>125.96732588134134</v>
      </c>
      <c r="J4" s="71">
        <f t="shared" si="2"/>
        <v>137.79019776440239</v>
      </c>
      <c r="K4" s="71">
        <f t="shared" si="2"/>
        <v>197.69277730008602</v>
      </c>
      <c r="L4" s="71">
        <f t="shared" si="2"/>
        <v>122.57575236457436</v>
      </c>
      <c r="M4" s="71">
        <f t="shared" si="2"/>
        <v>116.938950988822</v>
      </c>
      <c r="N4" s="71">
        <f t="shared" si="2"/>
        <v>117.89432502149612</v>
      </c>
      <c r="O4" s="71">
        <f t="shared" si="2"/>
        <v>121.78761822871884</v>
      </c>
      <c r="P4" s="71">
        <f t="shared" si="2"/>
        <v>86.295098882201202</v>
      </c>
      <c r="Q4" s="71">
        <f t="shared" si="2"/>
        <v>98.619432502149607</v>
      </c>
      <c r="R4" s="71">
        <f t="shared" si="2"/>
        <v>111.3498710232158</v>
      </c>
      <c r="S4" s="71">
        <f t="shared" si="2"/>
        <v>98.403353396388638</v>
      </c>
      <c r="T4" s="71">
        <f t="shared" si="2"/>
        <v>102.68022355975924</v>
      </c>
      <c r="U4" s="71">
        <f t="shared" si="2"/>
        <v>87.816337059329328</v>
      </c>
      <c r="V4" s="71">
        <f t="shared" si="2"/>
        <v>62.750816852966452</v>
      </c>
      <c r="W4" s="71">
        <f t="shared" ref="W4:Y4" si="3">SUM(W5:W9)</f>
        <v>73.466809974204651</v>
      </c>
      <c r="X4" s="71">
        <f t="shared" si="3"/>
        <v>81.277901977644021</v>
      </c>
      <c r="Y4" s="71">
        <f t="shared" si="3"/>
        <v>73.358985382631118</v>
      </c>
      <c r="Z4" s="71"/>
      <c r="AA4" s="71"/>
      <c r="AB4" s="71"/>
      <c r="AC4" s="71"/>
      <c r="AD4" s="71"/>
      <c r="AE4" s="71"/>
      <c r="AF4" s="71"/>
      <c r="AG4" s="71"/>
      <c r="DA4" s="186" t="s">
        <v>1008</v>
      </c>
    </row>
    <row r="5" spans="1:105" ht="11.45" customHeight="1" x14ac:dyDescent="0.25">
      <c r="A5" s="72" t="s">
        <v>144</v>
      </c>
      <c r="B5" s="73">
        <v>44.501547721410141</v>
      </c>
      <c r="C5" s="73">
        <v>50.711006018916592</v>
      </c>
      <c r="D5" s="73">
        <v>89.003095442820282</v>
      </c>
      <c r="E5" s="73">
        <v>65.199914015477205</v>
      </c>
      <c r="F5" s="73">
        <v>25.873000859845231</v>
      </c>
      <c r="G5" s="73">
        <v>17.593637145313838</v>
      </c>
      <c r="H5" s="73">
        <v>20.540756663800519</v>
      </c>
      <c r="I5" s="73">
        <v>39.027429062768697</v>
      </c>
      <c r="J5" s="73">
        <v>44.162596732588128</v>
      </c>
      <c r="K5" s="73">
        <v>82.16302665520206</v>
      </c>
      <c r="L5" s="73">
        <v>45.18968185726569</v>
      </c>
      <c r="M5" s="73">
        <v>34.919260533104037</v>
      </c>
      <c r="N5" s="73">
        <v>34.919260533104037</v>
      </c>
      <c r="O5" s="73">
        <v>35.946345657781599</v>
      </c>
      <c r="P5" s="73">
        <v>33.892261392949273</v>
      </c>
      <c r="Q5" s="73">
        <v>47.243680137575232</v>
      </c>
      <c r="R5" s="73">
        <v>38.000343938091142</v>
      </c>
      <c r="S5" s="73">
        <v>36.506018916595011</v>
      </c>
      <c r="T5" s="73">
        <v>38.217110920034393</v>
      </c>
      <c r="U5" s="73">
        <v>26.402063628546859</v>
      </c>
      <c r="V5" s="73">
        <v>16.720206362854679</v>
      </c>
      <c r="W5" s="73">
        <v>28.139810834049872</v>
      </c>
      <c r="X5" s="73">
        <v>31.200343938091141</v>
      </c>
      <c r="Y5" s="73">
        <v>32.89905417024935</v>
      </c>
      <c r="Z5" s="73"/>
      <c r="AA5" s="73"/>
      <c r="AB5" s="73"/>
      <c r="AC5" s="73"/>
      <c r="AD5" s="73"/>
      <c r="AE5" s="73"/>
      <c r="AF5" s="73"/>
      <c r="AG5" s="73"/>
      <c r="DA5" s="187" t="s">
        <v>1009</v>
      </c>
    </row>
    <row r="6" spans="1:105" ht="11.45" customHeight="1" x14ac:dyDescent="0.25">
      <c r="A6" s="72" t="s">
        <v>145</v>
      </c>
      <c r="B6" s="73">
        <v>0</v>
      </c>
      <c r="C6" s="73">
        <v>0</v>
      </c>
      <c r="D6" s="73">
        <v>2.0946689595872812</v>
      </c>
      <c r="E6" s="73">
        <v>0.96491831470335399</v>
      </c>
      <c r="F6" s="73">
        <v>0</v>
      </c>
      <c r="G6" s="73">
        <v>0</v>
      </c>
      <c r="H6" s="73">
        <v>0</v>
      </c>
      <c r="I6" s="73">
        <v>86.939896818572635</v>
      </c>
      <c r="J6" s="73">
        <v>93.627601031814265</v>
      </c>
      <c r="K6" s="73">
        <v>114.6460017196905</v>
      </c>
      <c r="L6" s="73">
        <v>77.386070507308659</v>
      </c>
      <c r="M6" s="73">
        <v>80.252192605331032</v>
      </c>
      <c r="N6" s="73">
        <v>81.207566638005147</v>
      </c>
      <c r="O6" s="73">
        <v>84.073774720550318</v>
      </c>
      <c r="P6" s="73">
        <v>50.635339638864998</v>
      </c>
      <c r="Q6" s="73">
        <v>48.724591573516769</v>
      </c>
      <c r="R6" s="73">
        <v>70.698366294067057</v>
      </c>
      <c r="S6" s="73">
        <v>59.810834049871019</v>
      </c>
      <c r="T6" s="73">
        <v>62.171625107480658</v>
      </c>
      <c r="U6" s="73">
        <v>59.791745485812569</v>
      </c>
      <c r="V6" s="73">
        <v>44.938349097162501</v>
      </c>
      <c r="W6" s="73">
        <v>42.983662940670683</v>
      </c>
      <c r="X6" s="73">
        <v>47.748151332760102</v>
      </c>
      <c r="Y6" s="73">
        <v>37.927773000859837</v>
      </c>
      <c r="Z6" s="73"/>
      <c r="AA6" s="73"/>
      <c r="AB6" s="73"/>
      <c r="AC6" s="73"/>
      <c r="AD6" s="73"/>
      <c r="AE6" s="73"/>
      <c r="AF6" s="73"/>
      <c r="AG6" s="73"/>
      <c r="DA6" s="187" t="s">
        <v>1010</v>
      </c>
    </row>
    <row r="7" spans="1:105" ht="11.45" customHeight="1" x14ac:dyDescent="0.25">
      <c r="A7" s="72" t="s">
        <v>146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0.88374892519346515</v>
      </c>
      <c r="L7" s="73">
        <v>0</v>
      </c>
      <c r="M7" s="73">
        <v>1.7674978503869301</v>
      </c>
      <c r="N7" s="73">
        <v>1.7674978503869301</v>
      </c>
      <c r="O7" s="73">
        <v>1.7674978503869301</v>
      </c>
      <c r="P7" s="73">
        <v>1.7674978503869301</v>
      </c>
      <c r="Q7" s="73">
        <v>2.6511607910576092</v>
      </c>
      <c r="R7" s="73">
        <v>2.6511607910576092</v>
      </c>
      <c r="S7" s="73">
        <v>2.086500429922614</v>
      </c>
      <c r="T7" s="73">
        <v>2.2914875322441959</v>
      </c>
      <c r="U7" s="73">
        <v>1.622527944969905</v>
      </c>
      <c r="V7" s="73">
        <v>1.092261392949269</v>
      </c>
      <c r="W7" s="73">
        <v>2.3433361994840931</v>
      </c>
      <c r="X7" s="73">
        <v>2.3294067067927768</v>
      </c>
      <c r="Y7" s="73">
        <v>2.5321582115219261</v>
      </c>
      <c r="Z7" s="73"/>
      <c r="AA7" s="73"/>
      <c r="AB7" s="73"/>
      <c r="AC7" s="73"/>
      <c r="AD7" s="73"/>
      <c r="AE7" s="73"/>
      <c r="AF7" s="73"/>
      <c r="AG7" s="73"/>
      <c r="DA7" s="187" t="s">
        <v>1011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0</v>
      </c>
      <c r="Z8" s="73"/>
      <c r="AA8" s="73"/>
      <c r="AB8" s="73"/>
      <c r="AC8" s="73"/>
      <c r="AD8" s="73"/>
      <c r="AE8" s="73"/>
      <c r="AF8" s="73"/>
      <c r="AG8" s="73"/>
      <c r="DA8" s="187" t="s">
        <v>1012</v>
      </c>
    </row>
    <row r="9" spans="1:105" ht="11.45" customHeight="1" x14ac:dyDescent="0.25">
      <c r="A9" s="74" t="s">
        <v>147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>
        <v>0</v>
      </c>
      <c r="Y9" s="75">
        <v>0</v>
      </c>
      <c r="Z9" s="75"/>
      <c r="AA9" s="75"/>
      <c r="AB9" s="75"/>
      <c r="AC9" s="75"/>
      <c r="AD9" s="75"/>
      <c r="AE9" s="75"/>
      <c r="AF9" s="75"/>
      <c r="AG9" s="75"/>
      <c r="DA9" s="188" t="s">
        <v>1013</v>
      </c>
    </row>
    <row r="10" spans="1:105" ht="11.45" customHeight="1" x14ac:dyDescent="0.25">
      <c r="A10" s="70" t="s">
        <v>31</v>
      </c>
      <c r="B10" s="71">
        <f>SUM(B11:B15)</f>
        <v>0</v>
      </c>
      <c r="C10" s="71">
        <f t="shared" ref="C10:V10" si="4">SUM(C11:C15)</f>
        <v>0</v>
      </c>
      <c r="D10" s="71">
        <f t="shared" si="4"/>
        <v>0</v>
      </c>
      <c r="E10" s="71">
        <f t="shared" si="4"/>
        <v>0</v>
      </c>
      <c r="F10" s="71">
        <f t="shared" si="4"/>
        <v>0</v>
      </c>
      <c r="G10" s="71">
        <f t="shared" si="4"/>
        <v>0</v>
      </c>
      <c r="H10" s="71">
        <f t="shared" si="4"/>
        <v>0</v>
      </c>
      <c r="I10" s="71">
        <f t="shared" si="4"/>
        <v>0</v>
      </c>
      <c r="J10" s="71">
        <f t="shared" si="4"/>
        <v>0</v>
      </c>
      <c r="K10" s="71">
        <f t="shared" si="4"/>
        <v>0</v>
      </c>
      <c r="L10" s="71">
        <f t="shared" si="4"/>
        <v>0</v>
      </c>
      <c r="M10" s="71">
        <f t="shared" si="4"/>
        <v>0</v>
      </c>
      <c r="N10" s="71">
        <f t="shared" si="4"/>
        <v>0</v>
      </c>
      <c r="O10" s="71">
        <f t="shared" si="4"/>
        <v>0</v>
      </c>
      <c r="P10" s="71">
        <f t="shared" si="4"/>
        <v>0</v>
      </c>
      <c r="Q10" s="71">
        <f t="shared" si="4"/>
        <v>0</v>
      </c>
      <c r="R10" s="71">
        <f t="shared" si="4"/>
        <v>0</v>
      </c>
      <c r="S10" s="71">
        <f t="shared" si="4"/>
        <v>0</v>
      </c>
      <c r="T10" s="71">
        <f t="shared" si="4"/>
        <v>0</v>
      </c>
      <c r="U10" s="71">
        <f t="shared" si="4"/>
        <v>0</v>
      </c>
      <c r="V10" s="71">
        <f t="shared" si="4"/>
        <v>0</v>
      </c>
      <c r="W10" s="71">
        <f t="shared" ref="W10:Y10" si="5">SUM(W11:W15)</f>
        <v>0</v>
      </c>
      <c r="X10" s="71">
        <f t="shared" si="5"/>
        <v>0</v>
      </c>
      <c r="Y10" s="71">
        <f t="shared" si="5"/>
        <v>0</v>
      </c>
      <c r="Z10" s="71"/>
      <c r="AA10" s="71"/>
      <c r="AB10" s="71"/>
      <c r="AC10" s="71"/>
      <c r="AD10" s="71"/>
      <c r="AE10" s="71"/>
      <c r="AF10" s="71"/>
      <c r="AG10" s="71"/>
      <c r="DA10" s="186" t="s">
        <v>1014</v>
      </c>
    </row>
    <row r="11" spans="1:105" ht="11.45" customHeight="1" x14ac:dyDescent="0.25">
      <c r="A11" s="72" t="s">
        <v>144</v>
      </c>
      <c r="B11" s="73">
        <v>0</v>
      </c>
      <c r="C11" s="73">
        <v>0</v>
      </c>
      <c r="D11" s="73">
        <v>0</v>
      </c>
      <c r="E11" s="73">
        <v>0</v>
      </c>
      <c r="F11" s="73">
        <v>0</v>
      </c>
      <c r="G11" s="73">
        <v>0</v>
      </c>
      <c r="H11" s="73">
        <v>0</v>
      </c>
      <c r="I11" s="73">
        <v>0</v>
      </c>
      <c r="J11" s="73">
        <v>0</v>
      </c>
      <c r="K11" s="73">
        <v>0</v>
      </c>
      <c r="L11" s="73">
        <v>0</v>
      </c>
      <c r="M11" s="73">
        <v>0</v>
      </c>
      <c r="N11" s="73">
        <v>0</v>
      </c>
      <c r="O11" s="73">
        <v>0</v>
      </c>
      <c r="P11" s="73">
        <v>0</v>
      </c>
      <c r="Q11" s="73">
        <v>0</v>
      </c>
      <c r="R11" s="73">
        <v>0</v>
      </c>
      <c r="S11" s="73">
        <v>0</v>
      </c>
      <c r="T11" s="73">
        <v>0</v>
      </c>
      <c r="U11" s="73">
        <v>0</v>
      </c>
      <c r="V11" s="73">
        <v>0</v>
      </c>
      <c r="W11" s="73">
        <v>0</v>
      </c>
      <c r="X11" s="73">
        <v>0</v>
      </c>
      <c r="Y11" s="73">
        <v>0</v>
      </c>
      <c r="Z11" s="73"/>
      <c r="AA11" s="73"/>
      <c r="AB11" s="73"/>
      <c r="AC11" s="73"/>
      <c r="AD11" s="73"/>
      <c r="AE11" s="73"/>
      <c r="AF11" s="73"/>
      <c r="AG11" s="73"/>
      <c r="DA11" s="187" t="s">
        <v>1015</v>
      </c>
    </row>
    <row r="12" spans="1:105" ht="11.45" customHeight="1" x14ac:dyDescent="0.25">
      <c r="A12" s="72" t="s">
        <v>145</v>
      </c>
      <c r="B12" s="73">
        <v>0</v>
      </c>
      <c r="C12" s="73">
        <v>0</v>
      </c>
      <c r="D12" s="73">
        <v>0</v>
      </c>
      <c r="E12" s="73">
        <v>0</v>
      </c>
      <c r="F12" s="73">
        <v>0</v>
      </c>
      <c r="G12" s="73">
        <v>0</v>
      </c>
      <c r="H12" s="73">
        <v>0</v>
      </c>
      <c r="I12" s="73">
        <v>0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3">
        <v>0</v>
      </c>
      <c r="Y12" s="73">
        <v>0</v>
      </c>
      <c r="Z12" s="73"/>
      <c r="AA12" s="73"/>
      <c r="AB12" s="73"/>
      <c r="AC12" s="73"/>
      <c r="AD12" s="73"/>
      <c r="AE12" s="73"/>
      <c r="AF12" s="73"/>
      <c r="AG12" s="73"/>
      <c r="DA12" s="187" t="s">
        <v>1016</v>
      </c>
    </row>
    <row r="13" spans="1:105" ht="11.45" customHeight="1" x14ac:dyDescent="0.25">
      <c r="A13" s="72" t="s">
        <v>146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0</v>
      </c>
      <c r="Z13" s="73"/>
      <c r="AA13" s="73"/>
      <c r="AB13" s="73"/>
      <c r="AC13" s="73"/>
      <c r="AD13" s="73"/>
      <c r="AE13" s="73"/>
      <c r="AF13" s="73"/>
      <c r="AG13" s="73"/>
      <c r="DA13" s="187" t="s">
        <v>1017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0</v>
      </c>
      <c r="Z14" s="73"/>
      <c r="AA14" s="73"/>
      <c r="AB14" s="73"/>
      <c r="AC14" s="73"/>
      <c r="AD14" s="73"/>
      <c r="AE14" s="73"/>
      <c r="AF14" s="73"/>
      <c r="AG14" s="73"/>
      <c r="DA14" s="187" t="s">
        <v>1018</v>
      </c>
    </row>
    <row r="15" spans="1:105" ht="11.45" customHeight="1" x14ac:dyDescent="0.25">
      <c r="A15" s="74" t="s">
        <v>147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>
        <v>0</v>
      </c>
      <c r="Y15" s="75">
        <v>0</v>
      </c>
      <c r="Z15" s="75"/>
      <c r="AA15" s="75"/>
      <c r="AB15" s="75"/>
      <c r="AC15" s="75"/>
      <c r="AD15" s="75"/>
      <c r="AE15" s="75"/>
      <c r="AF15" s="75"/>
      <c r="AG15" s="75"/>
      <c r="DA15" s="188" t="s">
        <v>1019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DA18" s="181"/>
    </row>
    <row r="19" spans="1:105" ht="11.45" customHeight="1" x14ac:dyDescent="0.25">
      <c r="A19" s="53" t="s">
        <v>62</v>
      </c>
      <c r="B19" s="62">
        <f>IF(B3=0,0,B3/TrNavi_act!B7*100)</f>
        <v>46843.734443589623</v>
      </c>
      <c r="C19" s="62">
        <f>IF(C3=0,0,C3/TrNavi_act!C7*100)</f>
        <v>43716.384499066029</v>
      </c>
      <c r="D19" s="62">
        <f>IF(D3=0,0,D3/TrNavi_act!D7*100)</f>
        <v>48977.292689466427</v>
      </c>
      <c r="E19" s="62">
        <f>IF(E3=0,0,E3/TrNavi_act!E7*100)</f>
        <v>49376.740544910863</v>
      </c>
      <c r="F19" s="62">
        <f>IF(F3=0,0,F3/TrNavi_act!F7*100)</f>
        <v>20213.281921754085</v>
      </c>
      <c r="G19" s="62">
        <f>IF(G3=0,0,G3/TrNavi_act!G7*100)</f>
        <v>19548.485717015377</v>
      </c>
      <c r="H19" s="62">
        <f>IF(H3=0,0,H3/TrNavi_act!H7*100)</f>
        <v>19019.219133148628</v>
      </c>
      <c r="I19" s="62">
        <f>IF(I3=0,0,I3/TrNavi_act!I7*100)</f>
        <v>45149.579168939541</v>
      </c>
      <c r="J19" s="62">
        <f>IF(J3=0,0,J3/TrNavi_act!J7*100)</f>
        <v>48178.390826714131</v>
      </c>
      <c r="K19" s="62">
        <f>IF(K3=0,0,K3/TrNavi_act!K7*100)</f>
        <v>73765.96167913657</v>
      </c>
      <c r="L19" s="62">
        <f>IF(L3=0,0,L3/TrNavi_act!L7*100)</f>
        <v>47881.153267411857</v>
      </c>
      <c r="M19" s="62">
        <f>IF(M3=0,0,M3/TrNavi_act!M7*100)</f>
        <v>47536.15893854553</v>
      </c>
      <c r="N19" s="62">
        <f>IF(N3=0,0,N3/TrNavi_act!N7*100)</f>
        <v>57791.335794851046</v>
      </c>
      <c r="O19" s="62">
        <f>IF(O3=0,0,O3/TrNavi_act!O7*100)</f>
        <v>62136.539912611646</v>
      </c>
      <c r="P19" s="62">
        <f>IF(P3=0,0,P3/TrNavi_act!P7*100)</f>
        <v>65874.121284123059</v>
      </c>
      <c r="Q19" s="62">
        <f>IF(Q3=0,0,Q3/TrNavi_act!Q7*100)</f>
        <v>74711.691289507275</v>
      </c>
      <c r="R19" s="62">
        <f>IF(R3=0,0,R3/TrNavi_act!R7*100)</f>
        <v>56237.308597583731</v>
      </c>
      <c r="S19" s="62">
        <f>IF(S3=0,0,S3/TrNavi_act!S7*100)</f>
        <v>59279.128552041344</v>
      </c>
      <c r="T19" s="62">
        <f>IF(T3=0,0,T3/TrNavi_act!T7*100)</f>
        <v>61855.55636130074</v>
      </c>
      <c r="U19" s="62">
        <f>IF(U3=0,0,U3/TrNavi_act!U7*100)</f>
        <v>47987.069431327502</v>
      </c>
      <c r="V19" s="62">
        <f>IF(V3=0,0,V3/TrNavi_act!V7*100)</f>
        <v>34103.704811394811</v>
      </c>
      <c r="W19" s="62">
        <f>IF(W3=0,0,W3/TrNavi_act!W7*100)</f>
        <v>41506.67230181054</v>
      </c>
      <c r="X19" s="62">
        <f>IF(X3=0,0,X3/TrNavi_act!X7*100)</f>
        <v>35185.238951361047</v>
      </c>
      <c r="Y19" s="62">
        <f>IF(Y3=0,0,Y3/TrNavi_act!Y7*100)</f>
        <v>33962.493232699591</v>
      </c>
      <c r="Z19" s="62"/>
      <c r="AA19" s="62"/>
      <c r="AB19" s="62"/>
      <c r="AC19" s="62"/>
      <c r="AD19" s="62"/>
      <c r="AE19" s="62"/>
      <c r="AF19" s="62"/>
      <c r="AG19" s="62"/>
      <c r="DA19" s="172" t="s">
        <v>1020</v>
      </c>
    </row>
    <row r="20" spans="1:105" ht="11.45" customHeight="1" x14ac:dyDescent="0.25">
      <c r="A20" s="55" t="s">
        <v>30</v>
      </c>
      <c r="B20" s="63">
        <f>IF(B4=0,0,B4/TrNavi_act!B8*100)</f>
        <v>46843.734443589623</v>
      </c>
      <c r="C20" s="63">
        <f>IF(C4=0,0,C4/TrNavi_act!C8*100)</f>
        <v>43716.384499066029</v>
      </c>
      <c r="D20" s="63">
        <f>IF(D4=0,0,D4/TrNavi_act!D8*100)</f>
        <v>48977.292689466427</v>
      </c>
      <c r="E20" s="63">
        <f>IF(E4=0,0,E4/TrNavi_act!E8*100)</f>
        <v>49376.740544910863</v>
      </c>
      <c r="F20" s="63">
        <f>IF(F4=0,0,F4/TrNavi_act!F8*100)</f>
        <v>20213.281921754085</v>
      </c>
      <c r="G20" s="63">
        <f>IF(G4=0,0,G4/TrNavi_act!G8*100)</f>
        <v>19548.485717015377</v>
      </c>
      <c r="H20" s="63">
        <f>IF(H4=0,0,H4/TrNavi_act!H8*100)</f>
        <v>19019.219133148628</v>
      </c>
      <c r="I20" s="63">
        <f>IF(I4=0,0,I4/TrNavi_act!I8*100)</f>
        <v>45149.579168939541</v>
      </c>
      <c r="J20" s="63">
        <f>IF(J4=0,0,J4/TrNavi_act!J8*100)</f>
        <v>48178.390826714131</v>
      </c>
      <c r="K20" s="63">
        <f>IF(K4=0,0,K4/TrNavi_act!K8*100)</f>
        <v>73765.96167913657</v>
      </c>
      <c r="L20" s="63">
        <f>IF(L4=0,0,L4/TrNavi_act!L8*100)</f>
        <v>47881.153267411857</v>
      </c>
      <c r="M20" s="63">
        <f>IF(M4=0,0,M4/TrNavi_act!M8*100)</f>
        <v>47536.15893854553</v>
      </c>
      <c r="N20" s="63">
        <f>IF(N4=0,0,N4/TrNavi_act!N8*100)</f>
        <v>57791.335794851046</v>
      </c>
      <c r="O20" s="63">
        <f>IF(O4=0,0,O4/TrNavi_act!O8*100)</f>
        <v>62136.539912611646</v>
      </c>
      <c r="P20" s="63">
        <f>IF(P4=0,0,P4/TrNavi_act!P8*100)</f>
        <v>65874.121284123059</v>
      </c>
      <c r="Q20" s="63">
        <f>IF(Q4=0,0,Q4/TrNavi_act!Q8*100)</f>
        <v>74711.691289507275</v>
      </c>
      <c r="R20" s="63">
        <f>IF(R4=0,0,R4/TrNavi_act!R8*100)</f>
        <v>56237.308597583731</v>
      </c>
      <c r="S20" s="63">
        <f>IF(S4=0,0,S4/TrNavi_act!S8*100)</f>
        <v>59279.128552041344</v>
      </c>
      <c r="T20" s="63">
        <f>IF(T4=0,0,T4/TrNavi_act!T8*100)</f>
        <v>61855.55636130074</v>
      </c>
      <c r="U20" s="63">
        <f>IF(U4=0,0,U4/TrNavi_act!U8*100)</f>
        <v>47987.069431327502</v>
      </c>
      <c r="V20" s="63">
        <f>IF(V4=0,0,V4/TrNavi_act!V8*100)</f>
        <v>34103.704811394811</v>
      </c>
      <c r="W20" s="63">
        <f>IF(W4=0,0,W4/TrNavi_act!W8*100)</f>
        <v>41506.67230181054</v>
      </c>
      <c r="X20" s="63">
        <f>IF(X4=0,0,X4/TrNavi_act!X8*100)</f>
        <v>35185.238951361047</v>
      </c>
      <c r="Y20" s="63">
        <f>IF(Y4=0,0,Y4/TrNavi_act!Y8*100)</f>
        <v>33962.493232699591</v>
      </c>
      <c r="Z20" s="63"/>
      <c r="AA20" s="63"/>
      <c r="AB20" s="63"/>
      <c r="AC20" s="63"/>
      <c r="AD20" s="63"/>
      <c r="AE20" s="63"/>
      <c r="AF20" s="63"/>
      <c r="AG20" s="63"/>
      <c r="DA20" s="181" t="s">
        <v>1021</v>
      </c>
    </row>
    <row r="21" spans="1:105" ht="11.45" customHeight="1" x14ac:dyDescent="0.25">
      <c r="A21" s="57" t="s">
        <v>31</v>
      </c>
      <c r="B21" s="64">
        <f>IF(B10=0,0,B10/TrNavi_act!B9*100)</f>
        <v>0</v>
      </c>
      <c r="C21" s="64">
        <f>IF(C10=0,0,C10/TrNavi_act!C9*100)</f>
        <v>0</v>
      </c>
      <c r="D21" s="64">
        <f>IF(D10=0,0,D10/TrNavi_act!D9*100)</f>
        <v>0</v>
      </c>
      <c r="E21" s="64">
        <f>IF(E10=0,0,E10/TrNavi_act!E9*100)</f>
        <v>0</v>
      </c>
      <c r="F21" s="64">
        <f>IF(F10=0,0,F10/TrNavi_act!F9*100)</f>
        <v>0</v>
      </c>
      <c r="G21" s="64">
        <f>IF(G10=0,0,G10/TrNavi_act!G9*100)</f>
        <v>0</v>
      </c>
      <c r="H21" s="64">
        <f>IF(H10=0,0,H10/TrNavi_act!H9*100)</f>
        <v>0</v>
      </c>
      <c r="I21" s="64">
        <f>IF(I10=0,0,I10/TrNavi_act!I9*100)</f>
        <v>0</v>
      </c>
      <c r="J21" s="64">
        <f>IF(J10=0,0,J10/TrNavi_act!J9*100)</f>
        <v>0</v>
      </c>
      <c r="K21" s="64">
        <f>IF(K10=0,0,K10/TrNavi_act!K9*100)</f>
        <v>0</v>
      </c>
      <c r="L21" s="64">
        <f>IF(L10=0,0,L10/TrNavi_act!L9*100)</f>
        <v>0</v>
      </c>
      <c r="M21" s="64">
        <f>IF(M10=0,0,M10/TrNavi_act!M9*100)</f>
        <v>0</v>
      </c>
      <c r="N21" s="64">
        <f>IF(N10=0,0,N10/TrNavi_act!N9*100)</f>
        <v>0</v>
      </c>
      <c r="O21" s="64">
        <f>IF(O10=0,0,O10/TrNavi_act!O9*100)</f>
        <v>0</v>
      </c>
      <c r="P21" s="64">
        <f>IF(P10=0,0,P10/TrNavi_act!P9*100)</f>
        <v>0</v>
      </c>
      <c r="Q21" s="64">
        <f>IF(Q10=0,0,Q10/TrNavi_act!Q9*100)</f>
        <v>0</v>
      </c>
      <c r="R21" s="64">
        <f>IF(R10=0,0,R10/TrNavi_act!R9*100)</f>
        <v>0</v>
      </c>
      <c r="S21" s="64">
        <f>IF(S10=0,0,S10/TrNavi_act!S9*100)</f>
        <v>0</v>
      </c>
      <c r="T21" s="64">
        <f>IF(T10=0,0,T10/TrNavi_act!T9*100)</f>
        <v>0</v>
      </c>
      <c r="U21" s="64">
        <f>IF(U10=0,0,U10/TrNavi_act!U9*100)</f>
        <v>0</v>
      </c>
      <c r="V21" s="64">
        <f>IF(V10=0,0,V10/TrNavi_act!V9*100)</f>
        <v>0</v>
      </c>
      <c r="W21" s="64">
        <f>IF(W10=0,0,W10/TrNavi_act!W9*100)</f>
        <v>0</v>
      </c>
      <c r="X21" s="64">
        <f>IF(X10=0,0,X10/TrNavi_act!X9*100)</f>
        <v>0</v>
      </c>
      <c r="Y21" s="64">
        <f>IF(Y10=0,0,Y10/TrNavi_act!Y9*100)</f>
        <v>0</v>
      </c>
      <c r="Z21" s="64"/>
      <c r="AA21" s="64"/>
      <c r="AB21" s="64"/>
      <c r="AC21" s="64"/>
      <c r="AD21" s="64"/>
      <c r="AE21" s="64"/>
      <c r="AF21" s="64"/>
      <c r="AG21" s="64"/>
      <c r="DA21" s="182" t="s">
        <v>1022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DA22" s="181"/>
    </row>
    <row r="23" spans="1:105" ht="11.45" customHeight="1" x14ac:dyDescent="0.25">
      <c r="A23" s="53" t="s">
        <v>162</v>
      </c>
      <c r="B23" s="62">
        <f>IF(B3=0,0,B3/TrNavi_act!B3*1000)</f>
        <v>146.37511420614865</v>
      </c>
      <c r="C23" s="62">
        <f>IF(C3=0,0,C3/TrNavi_act!C3*1000)</f>
        <v>162.89918831144124</v>
      </c>
      <c r="D23" s="62">
        <f>IF(D3=0,0,D3/TrNavi_act!D3*1000)</f>
        <v>294.05062056341467</v>
      </c>
      <c r="E23" s="62">
        <f>IF(E3=0,0,E3/TrNavi_act!E3*1000)</f>
        <v>208.26722841677019</v>
      </c>
      <c r="F23" s="62">
        <f>IF(F3=0,0,F3/TrNavi_act!F3*1000)</f>
        <v>80.013238721808364</v>
      </c>
      <c r="G23" s="62">
        <f>IF(G3=0,0,G3/TrNavi_act!G3*1000)</f>
        <v>46.843165467599533</v>
      </c>
      <c r="H23" s="62">
        <f>IF(H3=0,0,H3/TrNavi_act!H3*1000)</f>
        <v>54.584958767287752</v>
      </c>
      <c r="I23" s="62">
        <f>IF(I3=0,0,I3/TrNavi_act!I3*1000)</f>
        <v>291.26807516975703</v>
      </c>
      <c r="J23" s="62">
        <f>IF(J3=0,0,J3/TrNavi_act!J3*1000)</f>
        <v>304.82129247317113</v>
      </c>
      <c r="K23" s="62">
        <f>IF(K3=0,0,K3/TrNavi_act!K3*1000)</f>
        <v>491.66544960328588</v>
      </c>
      <c r="L23" s="62">
        <f>IF(L3=0,0,L3/TrNavi_act!L3*1000)</f>
        <v>314.6299860225684</v>
      </c>
      <c r="M23" s="62">
        <f>IF(M3=0,0,M3/TrNavi_act!M3*1000)</f>
        <v>295.6086802367671</v>
      </c>
      <c r="N23" s="62">
        <f>IF(N3=0,0,N3/TrNavi_act!N3*1000)</f>
        <v>364.02979389640592</v>
      </c>
      <c r="O23" s="62">
        <f>IF(O3=0,0,O3/TrNavi_act!O3*1000)</f>
        <v>360.94203662161499</v>
      </c>
      <c r="P23" s="62">
        <f>IF(P3=0,0,P3/TrNavi_act!P3*1000)</f>
        <v>267.46807986127197</v>
      </c>
      <c r="Q23" s="62">
        <f>IF(Q3=0,0,Q3/TrNavi_act!Q3*1000)</f>
        <v>325.27163570867742</v>
      </c>
      <c r="R23" s="62">
        <f>IF(R3=0,0,R3/TrNavi_act!R3*1000)</f>
        <v>272.89427821577129</v>
      </c>
      <c r="S23" s="62">
        <f>IF(S3=0,0,S3/TrNavi_act!S3*1000)</f>
        <v>282.11485294515757</v>
      </c>
      <c r="T23" s="62">
        <f>IF(T3=0,0,T3/TrNavi_act!T3*1000)</f>
        <v>290.03418814263063</v>
      </c>
      <c r="U23" s="62">
        <f>IF(U3=0,0,U3/TrNavi_act!U3*1000)</f>
        <v>247.38877903200898</v>
      </c>
      <c r="V23" s="62">
        <f>IF(V3=0,0,V3/TrNavi_act!V3*1000)</f>
        <v>199.8274559444836</v>
      </c>
      <c r="W23" s="62">
        <f>IF(W3=0,0,W3/TrNavi_act!W3*1000)</f>
        <v>226.07259123674385</v>
      </c>
      <c r="X23" s="62">
        <f>IF(X3=0,0,X3/TrNavi_act!X3*1000)</f>
        <v>203.88643969076097</v>
      </c>
      <c r="Y23" s="62">
        <f>IF(Y3=0,0,Y3/TrNavi_act!Y3*1000)</f>
        <v>199.20865435253879</v>
      </c>
      <c r="Z23" s="62"/>
      <c r="AA23" s="62"/>
      <c r="AB23" s="62"/>
      <c r="AC23" s="62"/>
      <c r="AD23" s="62"/>
      <c r="AE23" s="62"/>
      <c r="AF23" s="62"/>
      <c r="AG23" s="62"/>
      <c r="DA23" s="172" t="s">
        <v>429</v>
      </c>
    </row>
    <row r="24" spans="1:105" ht="11.45" customHeight="1" x14ac:dyDescent="0.25">
      <c r="A24" s="55" t="s">
        <v>30</v>
      </c>
      <c r="B24" s="63">
        <f>IF(B4=0,0,B4/TrNavi_act!B4*1000)</f>
        <v>146.37511420614865</v>
      </c>
      <c r="C24" s="63">
        <f>IF(C4=0,0,C4/TrNavi_act!C4*1000)</f>
        <v>162.89918831144124</v>
      </c>
      <c r="D24" s="63">
        <f>IF(D4=0,0,D4/TrNavi_act!D4*1000)</f>
        <v>294.05062056341467</v>
      </c>
      <c r="E24" s="63">
        <f>IF(E4=0,0,E4/TrNavi_act!E4*1000)</f>
        <v>208.26722841677019</v>
      </c>
      <c r="F24" s="63">
        <f>IF(F4=0,0,F4/TrNavi_act!F4*1000)</f>
        <v>80.013238721808364</v>
      </c>
      <c r="G24" s="63">
        <f>IF(G4=0,0,G4/TrNavi_act!G4*1000)</f>
        <v>46.843165467599533</v>
      </c>
      <c r="H24" s="63">
        <f>IF(H4=0,0,H4/TrNavi_act!H4*1000)</f>
        <v>54.584958767287752</v>
      </c>
      <c r="I24" s="63">
        <f>IF(I4=0,0,I4/TrNavi_act!I4*1000)</f>
        <v>291.26807516975703</v>
      </c>
      <c r="J24" s="63">
        <f>IF(J4=0,0,J4/TrNavi_act!J4*1000)</f>
        <v>304.82129247317113</v>
      </c>
      <c r="K24" s="63">
        <f>IF(K4=0,0,K4/TrNavi_act!K4*1000)</f>
        <v>491.66544960328588</v>
      </c>
      <c r="L24" s="63">
        <f>IF(L4=0,0,L4/TrNavi_act!L4*1000)</f>
        <v>314.6299860225684</v>
      </c>
      <c r="M24" s="63">
        <f>IF(M4=0,0,M4/TrNavi_act!M4*1000)</f>
        <v>295.6086802367671</v>
      </c>
      <c r="N24" s="63">
        <f>IF(N4=0,0,N4/TrNavi_act!N4*1000)</f>
        <v>364.02979389640592</v>
      </c>
      <c r="O24" s="63">
        <f>IF(O4=0,0,O4/TrNavi_act!O4*1000)</f>
        <v>360.94203662161499</v>
      </c>
      <c r="P24" s="63">
        <f>IF(P4=0,0,P4/TrNavi_act!P4*1000)</f>
        <v>267.46807986127197</v>
      </c>
      <c r="Q24" s="63">
        <f>IF(Q4=0,0,Q4/TrNavi_act!Q4*1000)</f>
        <v>325.27163570867742</v>
      </c>
      <c r="R24" s="63">
        <f>IF(R4=0,0,R4/TrNavi_act!R4*1000)</f>
        <v>272.89427821577129</v>
      </c>
      <c r="S24" s="63">
        <f>IF(S4=0,0,S4/TrNavi_act!S4*1000)</f>
        <v>282.11485294515757</v>
      </c>
      <c r="T24" s="63">
        <f>IF(T4=0,0,T4/TrNavi_act!T4*1000)</f>
        <v>290.03418814263063</v>
      </c>
      <c r="U24" s="63">
        <f>IF(U4=0,0,U4/TrNavi_act!U4*1000)</f>
        <v>247.38877903200898</v>
      </c>
      <c r="V24" s="63">
        <f>IF(V4=0,0,V4/TrNavi_act!V4*1000)</f>
        <v>199.8274559444836</v>
      </c>
      <c r="W24" s="63">
        <f>IF(W4=0,0,W4/TrNavi_act!W4*1000)</f>
        <v>226.07259123674385</v>
      </c>
      <c r="X24" s="63">
        <f>IF(X4=0,0,X4/TrNavi_act!X4*1000)</f>
        <v>203.88643969076097</v>
      </c>
      <c r="Y24" s="63">
        <f>IF(Y4=0,0,Y4/TrNavi_act!Y4*1000)</f>
        <v>199.20865435253879</v>
      </c>
      <c r="Z24" s="63"/>
      <c r="AA24" s="63"/>
      <c r="AB24" s="63"/>
      <c r="AC24" s="63"/>
      <c r="AD24" s="63"/>
      <c r="AE24" s="63"/>
      <c r="AF24" s="63"/>
      <c r="AG24" s="63"/>
      <c r="DA24" s="181" t="s">
        <v>430</v>
      </c>
    </row>
    <row r="25" spans="1:105" ht="11.45" customHeight="1" x14ac:dyDescent="0.25">
      <c r="A25" s="57" t="s">
        <v>31</v>
      </c>
      <c r="B25" s="64">
        <f>IF(B10=0,0,B10/TrNavi_act!B5*1000)</f>
        <v>0</v>
      </c>
      <c r="C25" s="64">
        <f>IF(C10=0,0,C10/TrNavi_act!C5*1000)</f>
        <v>0</v>
      </c>
      <c r="D25" s="64">
        <f>IF(D10=0,0,D10/TrNavi_act!D5*1000)</f>
        <v>0</v>
      </c>
      <c r="E25" s="64">
        <f>IF(E10=0,0,E10/TrNavi_act!E5*1000)</f>
        <v>0</v>
      </c>
      <c r="F25" s="64">
        <f>IF(F10=0,0,F10/TrNavi_act!F5*1000)</f>
        <v>0</v>
      </c>
      <c r="G25" s="64">
        <f>IF(G10=0,0,G10/TrNavi_act!G5*1000)</f>
        <v>0</v>
      </c>
      <c r="H25" s="64">
        <f>IF(H10=0,0,H10/TrNavi_act!H5*1000)</f>
        <v>0</v>
      </c>
      <c r="I25" s="64">
        <f>IF(I10=0,0,I10/TrNavi_act!I5*1000)</f>
        <v>0</v>
      </c>
      <c r="J25" s="64">
        <f>IF(J10=0,0,J10/TrNavi_act!J5*1000)</f>
        <v>0</v>
      </c>
      <c r="K25" s="64">
        <f>IF(K10=0,0,K10/TrNavi_act!K5*1000)</f>
        <v>0</v>
      </c>
      <c r="L25" s="64">
        <f>IF(L10=0,0,L10/TrNavi_act!L5*1000)</f>
        <v>0</v>
      </c>
      <c r="M25" s="64">
        <f>IF(M10=0,0,M10/TrNavi_act!M5*1000)</f>
        <v>0</v>
      </c>
      <c r="N25" s="64">
        <f>IF(N10=0,0,N10/TrNavi_act!N5*1000)</f>
        <v>0</v>
      </c>
      <c r="O25" s="64">
        <f>IF(O10=0,0,O10/TrNavi_act!O5*1000)</f>
        <v>0</v>
      </c>
      <c r="P25" s="64">
        <f>IF(P10=0,0,P10/TrNavi_act!P5*1000)</f>
        <v>0</v>
      </c>
      <c r="Q25" s="64">
        <f>IF(Q10=0,0,Q10/TrNavi_act!Q5*1000)</f>
        <v>0</v>
      </c>
      <c r="R25" s="64">
        <f>IF(R10=0,0,R10/TrNavi_act!R5*1000)</f>
        <v>0</v>
      </c>
      <c r="S25" s="64">
        <f>IF(S10=0,0,S10/TrNavi_act!S5*1000)</f>
        <v>0</v>
      </c>
      <c r="T25" s="64">
        <f>IF(T10=0,0,T10/TrNavi_act!T5*1000)</f>
        <v>0</v>
      </c>
      <c r="U25" s="64">
        <f>IF(U10=0,0,U10/TrNavi_act!U5*1000)</f>
        <v>0</v>
      </c>
      <c r="V25" s="64">
        <f>IF(V10=0,0,V10/TrNavi_act!V5*1000)</f>
        <v>0</v>
      </c>
      <c r="W25" s="64">
        <f>IF(W10=0,0,W10/TrNavi_act!W5*1000)</f>
        <v>0</v>
      </c>
      <c r="X25" s="64">
        <f>IF(X10=0,0,X10/TrNavi_act!X5*1000)</f>
        <v>0</v>
      </c>
      <c r="Y25" s="64">
        <f>IF(Y10=0,0,Y10/TrNavi_act!Y5*1000)</f>
        <v>0</v>
      </c>
      <c r="Z25" s="64"/>
      <c r="AA25" s="64"/>
      <c r="AB25" s="64"/>
      <c r="AC25" s="64"/>
      <c r="AD25" s="64"/>
      <c r="AE25" s="64"/>
      <c r="AF25" s="64"/>
      <c r="AG25" s="64"/>
      <c r="DA25" s="182" t="s">
        <v>431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DA26" s="181"/>
    </row>
    <row r="27" spans="1:105" ht="11.45" customHeight="1" x14ac:dyDescent="0.25">
      <c r="A27" s="53" t="s">
        <v>40</v>
      </c>
      <c r="B27" s="76">
        <f t="shared" ref="B27:U27" si="6">IF(B3=0,0,B3/B$3)</f>
        <v>1</v>
      </c>
      <c r="C27" s="76">
        <f t="shared" si="6"/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ref="V27:W27" si="7">IF(V3=0,0,V3/V$3)</f>
        <v>1</v>
      </c>
      <c r="W27" s="76">
        <f t="shared" si="7"/>
        <v>1</v>
      </c>
      <c r="X27" s="76">
        <f t="shared" ref="X27:Y27" si="8">IF(X3=0,0,X3/X$3)</f>
        <v>1</v>
      </c>
      <c r="Y27" s="76">
        <f t="shared" si="8"/>
        <v>1</v>
      </c>
      <c r="Z27" s="76"/>
      <c r="AA27" s="76"/>
      <c r="AB27" s="76"/>
      <c r="AC27" s="76"/>
      <c r="AD27" s="76"/>
      <c r="AE27" s="76"/>
      <c r="AF27" s="76"/>
      <c r="AG27" s="76"/>
      <c r="DA27" s="183"/>
    </row>
    <row r="28" spans="1:105" ht="11.45" customHeight="1" x14ac:dyDescent="0.25">
      <c r="A28" s="55" t="s">
        <v>30</v>
      </c>
      <c r="B28" s="77">
        <f t="shared" ref="B28:U28" si="9">IF(B4=0,0,B4/B$3)</f>
        <v>1</v>
      </c>
      <c r="C28" s="77">
        <f t="shared" si="9"/>
        <v>1</v>
      </c>
      <c r="D28" s="77">
        <f t="shared" si="9"/>
        <v>1</v>
      </c>
      <c r="E28" s="77">
        <f t="shared" si="9"/>
        <v>1</v>
      </c>
      <c r="F28" s="77">
        <f t="shared" si="9"/>
        <v>1</v>
      </c>
      <c r="G28" s="77">
        <f t="shared" si="9"/>
        <v>1</v>
      </c>
      <c r="H28" s="77">
        <f t="shared" si="9"/>
        <v>1</v>
      </c>
      <c r="I28" s="77">
        <f t="shared" si="9"/>
        <v>1</v>
      </c>
      <c r="J28" s="77">
        <f t="shared" si="9"/>
        <v>1</v>
      </c>
      <c r="K28" s="77">
        <f t="shared" si="9"/>
        <v>1</v>
      </c>
      <c r="L28" s="77">
        <f t="shared" si="9"/>
        <v>1</v>
      </c>
      <c r="M28" s="77">
        <f t="shared" si="9"/>
        <v>1</v>
      </c>
      <c r="N28" s="77">
        <f t="shared" si="9"/>
        <v>1</v>
      </c>
      <c r="O28" s="77">
        <f t="shared" si="9"/>
        <v>1</v>
      </c>
      <c r="P28" s="77">
        <f t="shared" si="9"/>
        <v>1</v>
      </c>
      <c r="Q28" s="77">
        <f t="shared" si="9"/>
        <v>1</v>
      </c>
      <c r="R28" s="77">
        <f t="shared" si="9"/>
        <v>1</v>
      </c>
      <c r="S28" s="77">
        <f t="shared" si="9"/>
        <v>1</v>
      </c>
      <c r="T28" s="77">
        <f t="shared" si="9"/>
        <v>1</v>
      </c>
      <c r="U28" s="77">
        <f t="shared" si="9"/>
        <v>1</v>
      </c>
      <c r="V28" s="77">
        <f t="shared" ref="V28:W28" si="10">IF(V4=0,0,V4/V$3)</f>
        <v>1</v>
      </c>
      <c r="W28" s="77">
        <f t="shared" si="10"/>
        <v>1</v>
      </c>
      <c r="X28" s="77">
        <f t="shared" ref="X28:Y28" si="11">IF(X4=0,0,X4/X$3)</f>
        <v>1</v>
      </c>
      <c r="Y28" s="77">
        <f t="shared" si="11"/>
        <v>1</v>
      </c>
      <c r="Z28" s="77"/>
      <c r="AA28" s="77"/>
      <c r="AB28" s="77"/>
      <c r="AC28" s="77"/>
      <c r="AD28" s="77"/>
      <c r="AE28" s="77"/>
      <c r="AF28" s="77"/>
      <c r="AG28" s="77"/>
      <c r="DA28" s="184"/>
    </row>
    <row r="29" spans="1:105" ht="11.45" customHeight="1" x14ac:dyDescent="0.25">
      <c r="A29" s="57" t="s">
        <v>31</v>
      </c>
      <c r="B29" s="78">
        <f t="shared" ref="B29:U29" si="12">IF(B10=0,0,B10/B$3)</f>
        <v>0</v>
      </c>
      <c r="C29" s="78">
        <f t="shared" si="12"/>
        <v>0</v>
      </c>
      <c r="D29" s="78">
        <f t="shared" si="12"/>
        <v>0</v>
      </c>
      <c r="E29" s="78">
        <f t="shared" si="12"/>
        <v>0</v>
      </c>
      <c r="F29" s="78">
        <f t="shared" si="12"/>
        <v>0</v>
      </c>
      <c r="G29" s="78">
        <f t="shared" si="12"/>
        <v>0</v>
      </c>
      <c r="H29" s="78">
        <f t="shared" si="12"/>
        <v>0</v>
      </c>
      <c r="I29" s="78">
        <f t="shared" si="12"/>
        <v>0</v>
      </c>
      <c r="J29" s="78">
        <f t="shared" si="12"/>
        <v>0</v>
      </c>
      <c r="K29" s="78">
        <f t="shared" si="12"/>
        <v>0</v>
      </c>
      <c r="L29" s="78">
        <f t="shared" si="12"/>
        <v>0</v>
      </c>
      <c r="M29" s="78">
        <f t="shared" si="12"/>
        <v>0</v>
      </c>
      <c r="N29" s="78">
        <f t="shared" si="12"/>
        <v>0</v>
      </c>
      <c r="O29" s="78">
        <f t="shared" si="12"/>
        <v>0</v>
      </c>
      <c r="P29" s="78">
        <f t="shared" si="12"/>
        <v>0</v>
      </c>
      <c r="Q29" s="78">
        <f t="shared" si="12"/>
        <v>0</v>
      </c>
      <c r="R29" s="78">
        <f t="shared" si="12"/>
        <v>0</v>
      </c>
      <c r="S29" s="78">
        <f t="shared" si="12"/>
        <v>0</v>
      </c>
      <c r="T29" s="78">
        <f t="shared" si="12"/>
        <v>0</v>
      </c>
      <c r="U29" s="78">
        <f t="shared" si="12"/>
        <v>0</v>
      </c>
      <c r="V29" s="78">
        <f t="shared" ref="V29:W29" si="13">IF(V10=0,0,V10/V$3)</f>
        <v>0</v>
      </c>
      <c r="W29" s="78">
        <f t="shared" si="13"/>
        <v>0</v>
      </c>
      <c r="X29" s="78">
        <f t="shared" ref="X29:Y29" si="14">IF(X10=0,0,X10/X$3)</f>
        <v>0</v>
      </c>
      <c r="Y29" s="78">
        <f t="shared" si="14"/>
        <v>0</v>
      </c>
      <c r="Z29" s="78"/>
      <c r="AA29" s="78"/>
      <c r="AB29" s="78"/>
      <c r="AC29" s="78"/>
      <c r="AD29" s="78"/>
      <c r="AE29" s="78"/>
      <c r="AF29" s="78"/>
      <c r="AG29" s="78"/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DA23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1023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44</v>
      </c>
      <c r="B3" s="54">
        <f t="shared" ref="B3" si="0">SUM(B4:B5)</f>
        <v>138.06243827999998</v>
      </c>
      <c r="C3" s="54">
        <f t="shared" ref="C3:V3" si="1">SUM(C4:C5)</f>
        <v>157.32677844</v>
      </c>
      <c r="D3" s="54">
        <f t="shared" si="1"/>
        <v>282.23642987999995</v>
      </c>
      <c r="E3" s="54">
        <f t="shared" si="1"/>
        <v>205.40433707999998</v>
      </c>
      <c r="F3" s="54">
        <f t="shared" si="1"/>
        <v>80.268884280000009</v>
      </c>
      <c r="G3" s="54">
        <f t="shared" si="1"/>
        <v>54.58283063999999</v>
      </c>
      <c r="H3" s="54">
        <f t="shared" si="1"/>
        <v>63.726029640000014</v>
      </c>
      <c r="I3" s="54">
        <f t="shared" si="1"/>
        <v>402.81539868000004</v>
      </c>
      <c r="J3" s="54">
        <f t="shared" si="1"/>
        <v>440.41890132000003</v>
      </c>
      <c r="K3" s="54">
        <f t="shared" si="1"/>
        <v>626.42402568000023</v>
      </c>
      <c r="L3" s="54">
        <f t="shared" si="1"/>
        <v>390.97331856</v>
      </c>
      <c r="M3" s="54">
        <f t="shared" si="1"/>
        <v>368.39807747999998</v>
      </c>
      <c r="N3" s="54">
        <f t="shared" si="1"/>
        <v>371.49404651999998</v>
      </c>
      <c r="O3" s="54">
        <f t="shared" si="1"/>
        <v>383.96868048000005</v>
      </c>
      <c r="P3" s="54">
        <f t="shared" si="1"/>
        <v>269.23601988000001</v>
      </c>
      <c r="Q3" s="54">
        <f t="shared" si="1"/>
        <v>304.46577432000004</v>
      </c>
      <c r="R3" s="54">
        <f t="shared" si="1"/>
        <v>346.99691952000001</v>
      </c>
      <c r="S3" s="54">
        <f t="shared" si="1"/>
        <v>307.07894340000001</v>
      </c>
      <c r="T3" s="54">
        <f t="shared" si="1"/>
        <v>320.03780724000001</v>
      </c>
      <c r="U3" s="54">
        <f t="shared" si="1"/>
        <v>275.67038448000005</v>
      </c>
      <c r="V3" s="54">
        <f t="shared" si="1"/>
        <v>197.49954167999999</v>
      </c>
      <c r="W3" s="54">
        <f t="shared" ref="W3:Y3" si="2">SUM(W4:W5)</f>
        <v>226.59361416000002</v>
      </c>
      <c r="X3" s="54">
        <f t="shared" si="2"/>
        <v>251.52839063999997</v>
      </c>
      <c r="Y3" s="54">
        <f t="shared" si="2"/>
        <v>224.97474815999999</v>
      </c>
      <c r="Z3" s="54"/>
      <c r="AA3" s="54"/>
      <c r="AB3" s="54"/>
      <c r="AC3" s="54"/>
      <c r="AD3" s="54"/>
      <c r="AE3" s="54"/>
      <c r="AF3" s="54"/>
      <c r="AG3" s="54"/>
      <c r="DA3" s="172" t="s">
        <v>1024</v>
      </c>
    </row>
    <row r="4" spans="1:105" ht="11.45" customHeight="1" x14ac:dyDescent="0.25">
      <c r="A4" s="55" t="s">
        <v>30</v>
      </c>
      <c r="B4" s="56">
        <v>138.06243827999998</v>
      </c>
      <c r="C4" s="56">
        <v>157.32677844</v>
      </c>
      <c r="D4" s="56">
        <v>282.23642987999995</v>
      </c>
      <c r="E4" s="56">
        <v>205.40433707999998</v>
      </c>
      <c r="F4" s="56">
        <v>80.268884280000009</v>
      </c>
      <c r="G4" s="56">
        <v>54.58283063999999</v>
      </c>
      <c r="H4" s="56">
        <v>63.726029640000014</v>
      </c>
      <c r="I4" s="56">
        <v>402.81539868000004</v>
      </c>
      <c r="J4" s="56">
        <v>440.41890132000003</v>
      </c>
      <c r="K4" s="56">
        <v>626.42402568000023</v>
      </c>
      <c r="L4" s="56">
        <v>390.97331856</v>
      </c>
      <c r="M4" s="56">
        <v>368.39807747999998</v>
      </c>
      <c r="N4" s="56">
        <v>371.49404651999998</v>
      </c>
      <c r="O4" s="56">
        <v>383.96868048000005</v>
      </c>
      <c r="P4" s="56">
        <v>269.23601988000001</v>
      </c>
      <c r="Q4" s="56">
        <v>304.46577432000004</v>
      </c>
      <c r="R4" s="56">
        <v>346.99691952000001</v>
      </c>
      <c r="S4" s="56">
        <v>307.07894340000001</v>
      </c>
      <c r="T4" s="56">
        <v>320.03780724000001</v>
      </c>
      <c r="U4" s="56">
        <v>275.67038448000005</v>
      </c>
      <c r="V4" s="56">
        <v>197.49954167999999</v>
      </c>
      <c r="W4" s="56">
        <v>226.59361416000002</v>
      </c>
      <c r="X4" s="56">
        <v>251.52839063999997</v>
      </c>
      <c r="Y4" s="56">
        <v>224.97474815999999</v>
      </c>
      <c r="Z4" s="56"/>
      <c r="AA4" s="56"/>
      <c r="AB4" s="56"/>
      <c r="AC4" s="56"/>
      <c r="AD4" s="56"/>
      <c r="AE4" s="56"/>
      <c r="AF4" s="56"/>
      <c r="AG4" s="56"/>
      <c r="DA4" s="181" t="s">
        <v>1025</v>
      </c>
    </row>
    <row r="5" spans="1:105" ht="11.45" customHeight="1" x14ac:dyDescent="0.25">
      <c r="A5" s="57" t="s">
        <v>31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0</v>
      </c>
      <c r="W5" s="58">
        <v>0</v>
      </c>
      <c r="X5" s="58">
        <v>0</v>
      </c>
      <c r="Y5" s="58">
        <v>0</v>
      </c>
      <c r="Z5" s="58"/>
      <c r="AA5" s="58"/>
      <c r="AB5" s="58"/>
      <c r="AC5" s="58"/>
      <c r="AD5" s="58"/>
      <c r="AE5" s="58"/>
      <c r="AF5" s="58"/>
      <c r="AG5" s="58"/>
      <c r="DA5" s="182" t="s">
        <v>1026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DA8" s="181"/>
    </row>
    <row r="9" spans="1:105" ht="11.45" customHeight="1" x14ac:dyDescent="0.25">
      <c r="A9" s="53" t="s">
        <v>148</v>
      </c>
      <c r="B9" s="79">
        <f>IF(B3=0,0,B3/TrNavi_ene!B3)</f>
        <v>3.1024188000000001</v>
      </c>
      <c r="C9" s="79">
        <f>IF(C3=0,0,C3/TrNavi_ene!C3)</f>
        <v>3.1024188000000001</v>
      </c>
      <c r="D9" s="79">
        <f>IF(D3=0,0,D3/TrNavi_ene!D3)</f>
        <v>3.0981707589801282</v>
      </c>
      <c r="E9" s="79">
        <f>IF(E3=0,0,E3/TrNavi_ene!E3)</f>
        <v>3.1044337277993286</v>
      </c>
      <c r="F9" s="79">
        <f>IF(F3=0,0,F3/TrNavi_ene!F3)</f>
        <v>3.1024188000000001</v>
      </c>
      <c r="G9" s="79">
        <f>IF(G3=0,0,G3/TrNavi_ene!G3)</f>
        <v>3.1024188000000001</v>
      </c>
      <c r="H9" s="79">
        <f>IF(H3=0,0,H3/TrNavi_ene!H3)</f>
        <v>3.1024188000000001</v>
      </c>
      <c r="I9" s="79">
        <f>IF(I3=0,0,I3/TrNavi_ene!I3)</f>
        <v>3.1977768509545399</v>
      </c>
      <c r="J9" s="79">
        <f>IF(J3=0,0,J3/TrNavi_ene!J3)</f>
        <v>3.1963006691741658</v>
      </c>
      <c r="K9" s="79">
        <f>IF(K3=0,0,K3/TrNavi_ene!K3)</f>
        <v>3.1686743149403247</v>
      </c>
      <c r="L9" s="79">
        <f>IF(L3=0,0,L3/TrNavi_ene!L3)</f>
        <v>3.1896464922127232</v>
      </c>
      <c r="M9" s="79">
        <f>IF(M3=0,0,M3/TrNavi_ene!M3)</f>
        <v>3.1503453243326471</v>
      </c>
      <c r="N9" s="79">
        <f>IF(N3=0,0,N3/TrNavi_ene!N3)</f>
        <v>3.1510765802532403</v>
      </c>
      <c r="O9" s="79">
        <f>IF(O3=0,0,O3/TrNavi_ene!O3)</f>
        <v>3.1527727207777518</v>
      </c>
      <c r="P9" s="79">
        <f>IF(P3=0,0,P3/TrNavi_ene!P3)</f>
        <v>3.1199456674535582</v>
      </c>
      <c r="Q9" s="79">
        <f>IF(Q3=0,0,Q3/TrNavi_ene!Q3)</f>
        <v>3.0872797236321921</v>
      </c>
      <c r="R9" s="79">
        <f>IF(R3=0,0,R3/TrNavi_ene!R3)</f>
        <v>3.1162758998405411</v>
      </c>
      <c r="S9" s="79">
        <f>IF(S3=0,0,S3/TrNavi_ene!S3)</f>
        <v>3.1206146213638051</v>
      </c>
      <c r="T9" s="79">
        <f>IF(T3=0,0,T3/TrNavi_ene!T3)</f>
        <v>3.1168397978189053</v>
      </c>
      <c r="U9" s="79">
        <f>IF(U3=0,0,U3/TrNavi_ene!U3)</f>
        <v>3.1391697002091448</v>
      </c>
      <c r="V9" s="79">
        <f>IF(V3=0,0,V3/TrNavi_ene!V3)</f>
        <v>3.1473620836325975</v>
      </c>
      <c r="W9" s="79">
        <f>IF(W3=0,0,W3/TrNavi_ene!W3)</f>
        <v>3.0842990765430076</v>
      </c>
      <c r="X9" s="79">
        <f>IF(X3=0,0,X3/TrNavi_ene!X3)</f>
        <v>3.0946713008067603</v>
      </c>
      <c r="Y9" s="79">
        <f>IF(Y3=0,0,Y3/TrNavi_ene!Y3)</f>
        <v>3.0667647185489328</v>
      </c>
      <c r="Z9" s="79"/>
      <c r="AA9" s="79"/>
      <c r="AB9" s="79"/>
      <c r="AC9" s="79"/>
      <c r="AD9" s="79"/>
      <c r="AE9" s="79"/>
      <c r="AF9" s="79"/>
      <c r="AG9" s="79"/>
      <c r="DA9" s="172"/>
    </row>
    <row r="10" spans="1:105" ht="11.45" customHeight="1" x14ac:dyDescent="0.25">
      <c r="A10" s="55" t="s">
        <v>30</v>
      </c>
      <c r="B10" s="80">
        <f>IF(B4=0,0,B4/TrNavi_ene!B4)</f>
        <v>3.1024188000000001</v>
      </c>
      <c r="C10" s="80">
        <f>IF(C4=0,0,C4/TrNavi_ene!C4)</f>
        <v>3.1024188000000001</v>
      </c>
      <c r="D10" s="80">
        <f>IF(D4=0,0,D4/TrNavi_ene!D4)</f>
        <v>3.0981707589801282</v>
      </c>
      <c r="E10" s="80">
        <f>IF(E4=0,0,E4/TrNavi_ene!E4)</f>
        <v>3.1044337277993286</v>
      </c>
      <c r="F10" s="80">
        <f>IF(F4=0,0,F4/TrNavi_ene!F4)</f>
        <v>3.1024188000000001</v>
      </c>
      <c r="G10" s="80">
        <f>IF(G4=0,0,G4/TrNavi_ene!G4)</f>
        <v>3.1024188000000001</v>
      </c>
      <c r="H10" s="80">
        <f>IF(H4=0,0,H4/TrNavi_ene!H4)</f>
        <v>3.1024188000000001</v>
      </c>
      <c r="I10" s="80">
        <f>IF(I4=0,0,I4/TrNavi_ene!I4)</f>
        <v>3.1977768509545399</v>
      </c>
      <c r="J10" s="80">
        <f>IF(J4=0,0,J4/TrNavi_ene!J4)</f>
        <v>3.1963006691741658</v>
      </c>
      <c r="K10" s="80">
        <f>IF(K4=0,0,K4/TrNavi_ene!K4)</f>
        <v>3.1686743149403247</v>
      </c>
      <c r="L10" s="80">
        <f>IF(L4=0,0,L4/TrNavi_ene!L4)</f>
        <v>3.1896464922127232</v>
      </c>
      <c r="M10" s="80">
        <f>IF(M4=0,0,M4/TrNavi_ene!M4)</f>
        <v>3.1503453243326471</v>
      </c>
      <c r="N10" s="80">
        <f>IF(N4=0,0,N4/TrNavi_ene!N4)</f>
        <v>3.1510765802532403</v>
      </c>
      <c r="O10" s="80">
        <f>IF(O4=0,0,O4/TrNavi_ene!O4)</f>
        <v>3.1527727207777518</v>
      </c>
      <c r="P10" s="80">
        <f>IF(P4=0,0,P4/TrNavi_ene!P4)</f>
        <v>3.1199456674535582</v>
      </c>
      <c r="Q10" s="80">
        <f>IF(Q4=0,0,Q4/TrNavi_ene!Q4)</f>
        <v>3.0872797236321921</v>
      </c>
      <c r="R10" s="80">
        <f>IF(R4=0,0,R4/TrNavi_ene!R4)</f>
        <v>3.1162758998405411</v>
      </c>
      <c r="S10" s="80">
        <f>IF(S4=0,0,S4/TrNavi_ene!S4)</f>
        <v>3.1206146213638051</v>
      </c>
      <c r="T10" s="80">
        <f>IF(T4=0,0,T4/TrNavi_ene!T4)</f>
        <v>3.1168397978189053</v>
      </c>
      <c r="U10" s="80">
        <f>IF(U4=0,0,U4/TrNavi_ene!U4)</f>
        <v>3.1391697002091448</v>
      </c>
      <c r="V10" s="80">
        <f>IF(V4=0,0,V4/TrNavi_ene!V4)</f>
        <v>3.1473620836325975</v>
      </c>
      <c r="W10" s="80">
        <f>IF(W4=0,0,W4/TrNavi_ene!W4)</f>
        <v>3.0842990765430076</v>
      </c>
      <c r="X10" s="80">
        <f>IF(X4=0,0,X4/TrNavi_ene!X4)</f>
        <v>3.0946713008067603</v>
      </c>
      <c r="Y10" s="80">
        <f>IF(Y4=0,0,Y4/TrNavi_ene!Y4)</f>
        <v>3.0667647185489328</v>
      </c>
      <c r="Z10" s="80"/>
      <c r="AA10" s="80"/>
      <c r="AB10" s="80"/>
      <c r="AC10" s="80"/>
      <c r="AD10" s="80"/>
      <c r="AE10" s="80"/>
      <c r="AF10" s="80"/>
      <c r="AG10" s="80"/>
      <c r="DA10" s="181"/>
    </row>
    <row r="11" spans="1:105" ht="11.45" customHeight="1" x14ac:dyDescent="0.25">
      <c r="A11" s="57" t="s">
        <v>31</v>
      </c>
      <c r="B11" s="81">
        <f>IF(B5=0,0,B5/TrNavi_ene!B10)</f>
        <v>0</v>
      </c>
      <c r="C11" s="81">
        <f>IF(C5=0,0,C5/TrNavi_ene!C10)</f>
        <v>0</v>
      </c>
      <c r="D11" s="81">
        <f>IF(D5=0,0,D5/TrNavi_ene!D10)</f>
        <v>0</v>
      </c>
      <c r="E11" s="81">
        <f>IF(E5=0,0,E5/TrNavi_ene!E10)</f>
        <v>0</v>
      </c>
      <c r="F11" s="81">
        <f>IF(F5=0,0,F5/TrNavi_ene!F10)</f>
        <v>0</v>
      </c>
      <c r="G11" s="81">
        <f>IF(G5=0,0,G5/TrNavi_ene!G10)</f>
        <v>0</v>
      </c>
      <c r="H11" s="81">
        <f>IF(H5=0,0,H5/TrNavi_ene!H10)</f>
        <v>0</v>
      </c>
      <c r="I11" s="81">
        <f>IF(I5=0,0,I5/TrNavi_ene!I10)</f>
        <v>0</v>
      </c>
      <c r="J11" s="81">
        <f>IF(J5=0,0,J5/TrNavi_ene!J10)</f>
        <v>0</v>
      </c>
      <c r="K11" s="81">
        <f>IF(K5=0,0,K5/TrNavi_ene!K10)</f>
        <v>0</v>
      </c>
      <c r="L11" s="81">
        <f>IF(L5=0,0,L5/TrNavi_ene!L10)</f>
        <v>0</v>
      </c>
      <c r="M11" s="81">
        <f>IF(M5=0,0,M5/TrNavi_ene!M10)</f>
        <v>0</v>
      </c>
      <c r="N11" s="81">
        <f>IF(N5=0,0,N5/TrNavi_ene!N10)</f>
        <v>0</v>
      </c>
      <c r="O11" s="81">
        <f>IF(O5=0,0,O5/TrNavi_ene!O10)</f>
        <v>0</v>
      </c>
      <c r="P11" s="81">
        <f>IF(P5=0,0,P5/TrNavi_ene!P10)</f>
        <v>0</v>
      </c>
      <c r="Q11" s="81">
        <f>IF(Q5=0,0,Q5/TrNavi_ene!Q10)</f>
        <v>0</v>
      </c>
      <c r="R11" s="81">
        <f>IF(R5=0,0,R5/TrNavi_ene!R10)</f>
        <v>0</v>
      </c>
      <c r="S11" s="81">
        <f>IF(S5=0,0,S5/TrNavi_ene!S10)</f>
        <v>0</v>
      </c>
      <c r="T11" s="81">
        <f>IF(T5=0,0,T5/TrNavi_ene!T10)</f>
        <v>0</v>
      </c>
      <c r="U11" s="81">
        <f>IF(U5=0,0,U5/TrNavi_ene!U10)</f>
        <v>0</v>
      </c>
      <c r="V11" s="81">
        <f>IF(V5=0,0,V5/TrNavi_ene!V10)</f>
        <v>0</v>
      </c>
      <c r="W11" s="81">
        <f>IF(W5=0,0,W5/TrNavi_ene!W10)</f>
        <v>0</v>
      </c>
      <c r="X11" s="81">
        <f>IF(X5=0,0,X5/TrNavi_ene!X10)</f>
        <v>0</v>
      </c>
      <c r="Y11" s="81">
        <f>IF(Y5=0,0,Y5/TrNavi_ene!Y10)</f>
        <v>0</v>
      </c>
      <c r="Z11" s="81"/>
      <c r="AA11" s="81"/>
      <c r="AB11" s="81"/>
      <c r="AC11" s="81"/>
      <c r="AD11" s="81"/>
      <c r="AE11" s="81"/>
      <c r="AF11" s="81"/>
      <c r="AG11" s="81"/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129</v>
      </c>
      <c r="B13" s="54">
        <f>IF(B3=0,0,B3/TrNavi_act!B7*1000)</f>
        <v>1453288.8239999998</v>
      </c>
      <c r="C13" s="54">
        <f>IF(C3=0,0,C3/TrNavi_act!C7*1000)</f>
        <v>1356265.3313793102</v>
      </c>
      <c r="D13" s="54">
        <f>IF(D3=0,0,D3/TrNavi_act!D7*1000)</f>
        <v>1517400.1606451611</v>
      </c>
      <c r="E13" s="54">
        <f>IF(E3=0,0,E3/TrNavi_act!E7*1000)</f>
        <v>1532868.1871641788</v>
      </c>
      <c r="F13" s="54">
        <f>IF(F3=0,0,F3/TrNavi_act!F7*1000)</f>
        <v>627100.65843750013</v>
      </c>
      <c r="G13" s="54">
        <f>IF(G3=0,0,G3/TrNavi_act!G7*1000)</f>
        <v>606475.89599999995</v>
      </c>
      <c r="H13" s="54">
        <f>IF(H3=0,0,H3/TrNavi_act!H7*1000)</f>
        <v>590055.83000000007</v>
      </c>
      <c r="I13" s="54">
        <f>IF(I3=0,0,I3/TrNavi_act!I7*1000)</f>
        <v>1443782.790967742</v>
      </c>
      <c r="J13" s="54">
        <f>IF(J3=0,0,J3/TrNavi_act!J7*1000)</f>
        <v>1539926.2283916087</v>
      </c>
      <c r="K13" s="54">
        <f>IF(K3=0,0,K3/TrNavi_act!K7*1000)</f>
        <v>2337403.0808955231</v>
      </c>
      <c r="L13" s="54">
        <f>IF(L3=0,0,L3/TrNavi_act!L7*1000)</f>
        <v>1527239.525625</v>
      </c>
      <c r="M13" s="54">
        <f>IF(M3=0,0,M3/TrNavi_act!M7*1000)</f>
        <v>1497553.160487805</v>
      </c>
      <c r="N13" s="54">
        <f>IF(N3=0,0,N3/TrNavi_act!N7*1000)</f>
        <v>1821049.2476470587</v>
      </c>
      <c r="O13" s="54">
        <f>IF(O3=0,0,O3/TrNavi_act!O7*1000)</f>
        <v>1959023.8800000001</v>
      </c>
      <c r="P13" s="54">
        <f>IF(P3=0,0,P3/TrNavi_act!P7*1000)</f>
        <v>2055236.7929770993</v>
      </c>
      <c r="Q13" s="54">
        <f>IF(Q3=0,0,Q3/TrNavi_act!Q7*1000)</f>
        <v>2306558.8963636365</v>
      </c>
      <c r="R13" s="54">
        <f>IF(R3=0,0,R3/TrNavi_act!R7*1000)</f>
        <v>1752509.6945454546</v>
      </c>
      <c r="S13" s="54">
        <f>IF(S3=0,0,S3/TrNavi_act!S7*1000)</f>
        <v>1849873.153012048</v>
      </c>
      <c r="T13" s="54">
        <f>IF(T3=0,0,T3/TrNavi_act!T7*1000)</f>
        <v>1927938.5978313254</v>
      </c>
      <c r="U13" s="54">
        <f>IF(U3=0,0,U3/TrNavi_act!U7*1000)</f>
        <v>1506395.5436065579</v>
      </c>
      <c r="V13" s="54">
        <f>IF(V3=0,0,V3/TrNavi_act!V7*1000)</f>
        <v>1073367.074347826</v>
      </c>
      <c r="W13" s="54">
        <f>IF(W3=0,0,W3/TrNavi_act!W7*1000)</f>
        <v>1280189.9105084746</v>
      </c>
      <c r="X13" s="54">
        <f>IF(X3=0,0,X3/TrNavi_act!X7*1000)</f>
        <v>1088867.4919480518</v>
      </c>
      <c r="Y13" s="54">
        <f>IF(Y3=0,0,Y3/TrNavi_act!Y7*1000)</f>
        <v>1041549.7599999999</v>
      </c>
      <c r="Z13" s="62"/>
      <c r="AA13" s="62"/>
      <c r="AB13" s="62"/>
      <c r="AC13" s="62"/>
      <c r="AD13" s="62"/>
      <c r="AE13" s="62"/>
      <c r="AF13" s="62"/>
      <c r="AG13" s="62"/>
      <c r="DA13" s="172" t="s">
        <v>1027</v>
      </c>
    </row>
    <row r="14" spans="1:105" ht="11.45" customHeight="1" x14ac:dyDescent="0.25">
      <c r="A14" s="55" t="s">
        <v>30</v>
      </c>
      <c r="B14" s="56">
        <f>IF(B4=0,0,B4/TrNavi_act!B8*1000)</f>
        <v>1453288.8239999998</v>
      </c>
      <c r="C14" s="56">
        <f>IF(C4=0,0,C4/TrNavi_act!C8*1000)</f>
        <v>1356265.3313793102</v>
      </c>
      <c r="D14" s="56">
        <f>IF(D4=0,0,D4/TrNavi_act!D8*1000)</f>
        <v>1517400.1606451611</v>
      </c>
      <c r="E14" s="56">
        <f>IF(E4=0,0,E4/TrNavi_act!E8*1000)</f>
        <v>1532868.1871641788</v>
      </c>
      <c r="F14" s="56">
        <f>IF(F4=0,0,F4/TrNavi_act!F8*1000)</f>
        <v>627100.65843750013</v>
      </c>
      <c r="G14" s="56">
        <f>IF(G4=0,0,G4/TrNavi_act!G8*1000)</f>
        <v>606475.89599999995</v>
      </c>
      <c r="H14" s="56">
        <f>IF(H4=0,0,H4/TrNavi_act!H8*1000)</f>
        <v>590055.83000000007</v>
      </c>
      <c r="I14" s="56">
        <f>IF(I4=0,0,I4/TrNavi_act!I8*1000)</f>
        <v>1443782.790967742</v>
      </c>
      <c r="J14" s="56">
        <f>IF(J4=0,0,J4/TrNavi_act!J8*1000)</f>
        <v>1539926.2283916087</v>
      </c>
      <c r="K14" s="56">
        <f>IF(K4=0,0,K4/TrNavi_act!K8*1000)</f>
        <v>2337403.0808955231</v>
      </c>
      <c r="L14" s="56">
        <f>IF(L4=0,0,L4/TrNavi_act!L8*1000)</f>
        <v>1527239.525625</v>
      </c>
      <c r="M14" s="56">
        <f>IF(M4=0,0,M4/TrNavi_act!M8*1000)</f>
        <v>1497553.160487805</v>
      </c>
      <c r="N14" s="56">
        <f>IF(N4=0,0,N4/TrNavi_act!N8*1000)</f>
        <v>1821049.2476470587</v>
      </c>
      <c r="O14" s="56">
        <f>IF(O4=0,0,O4/TrNavi_act!O8*1000)</f>
        <v>1959023.8800000001</v>
      </c>
      <c r="P14" s="56">
        <f>IF(P4=0,0,P4/TrNavi_act!P8*1000)</f>
        <v>2055236.7929770993</v>
      </c>
      <c r="Q14" s="56">
        <f>IF(Q4=0,0,Q4/TrNavi_act!Q8*1000)</f>
        <v>2306558.8963636365</v>
      </c>
      <c r="R14" s="56">
        <f>IF(R4=0,0,R4/TrNavi_act!R8*1000)</f>
        <v>1752509.6945454546</v>
      </c>
      <c r="S14" s="56">
        <f>IF(S4=0,0,S4/TrNavi_act!S8*1000)</f>
        <v>1849873.153012048</v>
      </c>
      <c r="T14" s="56">
        <f>IF(T4=0,0,T4/TrNavi_act!T8*1000)</f>
        <v>1927938.5978313254</v>
      </c>
      <c r="U14" s="56">
        <f>IF(U4=0,0,U4/TrNavi_act!U8*1000)</f>
        <v>1506395.5436065579</v>
      </c>
      <c r="V14" s="56">
        <f>IF(V4=0,0,V4/TrNavi_act!V8*1000)</f>
        <v>1073367.074347826</v>
      </c>
      <c r="W14" s="56">
        <f>IF(W4=0,0,W4/TrNavi_act!W8*1000)</f>
        <v>1280189.9105084746</v>
      </c>
      <c r="X14" s="56">
        <f>IF(X4=0,0,X4/TrNavi_act!X8*1000)</f>
        <v>1088867.4919480518</v>
      </c>
      <c r="Y14" s="56">
        <f>IF(Y4=0,0,Y4/TrNavi_act!Y8*1000)</f>
        <v>1041549.7599999999</v>
      </c>
      <c r="Z14" s="63"/>
      <c r="AA14" s="63"/>
      <c r="AB14" s="63"/>
      <c r="AC14" s="63"/>
      <c r="AD14" s="63"/>
      <c r="AE14" s="63"/>
      <c r="AF14" s="63"/>
      <c r="AG14" s="63"/>
      <c r="DA14" s="181" t="s">
        <v>1028</v>
      </c>
    </row>
    <row r="15" spans="1:105" ht="11.45" customHeight="1" x14ac:dyDescent="0.25">
      <c r="A15" s="57" t="s">
        <v>31</v>
      </c>
      <c r="B15" s="58">
        <f>IF(B5=0,0,B5/TrNavi_act!B9*1000)</f>
        <v>0</v>
      </c>
      <c r="C15" s="58">
        <f>IF(C5=0,0,C5/TrNavi_act!C9*1000)</f>
        <v>0</v>
      </c>
      <c r="D15" s="58">
        <f>IF(D5=0,0,D5/TrNavi_act!D9*1000)</f>
        <v>0</v>
      </c>
      <c r="E15" s="58">
        <f>IF(E5=0,0,E5/TrNavi_act!E9*1000)</f>
        <v>0</v>
      </c>
      <c r="F15" s="58">
        <f>IF(F5=0,0,F5/TrNavi_act!F9*1000)</f>
        <v>0</v>
      </c>
      <c r="G15" s="58">
        <f>IF(G5=0,0,G5/TrNavi_act!G9*1000)</f>
        <v>0</v>
      </c>
      <c r="H15" s="58">
        <f>IF(H5=0,0,H5/TrNavi_act!H9*1000)</f>
        <v>0</v>
      </c>
      <c r="I15" s="58">
        <f>IF(I5=0,0,I5/TrNavi_act!I9*1000)</f>
        <v>0</v>
      </c>
      <c r="J15" s="58">
        <f>IF(J5=0,0,J5/TrNavi_act!J9*1000)</f>
        <v>0</v>
      </c>
      <c r="K15" s="58">
        <f>IF(K5=0,0,K5/TrNavi_act!K9*1000)</f>
        <v>0</v>
      </c>
      <c r="L15" s="58">
        <f>IF(L5=0,0,L5/TrNavi_act!L9*1000)</f>
        <v>0</v>
      </c>
      <c r="M15" s="58">
        <f>IF(M5=0,0,M5/TrNavi_act!M9*1000)</f>
        <v>0</v>
      </c>
      <c r="N15" s="58">
        <f>IF(N5=0,0,N5/TrNavi_act!N9*1000)</f>
        <v>0</v>
      </c>
      <c r="O15" s="58">
        <f>IF(O5=0,0,O5/TrNavi_act!O9*1000)</f>
        <v>0</v>
      </c>
      <c r="P15" s="58">
        <f>IF(P5=0,0,P5/TrNavi_act!P9*1000)</f>
        <v>0</v>
      </c>
      <c r="Q15" s="58">
        <f>IF(Q5=0,0,Q5/TrNavi_act!Q9*1000)</f>
        <v>0</v>
      </c>
      <c r="R15" s="58">
        <f>IF(R5=0,0,R5/TrNavi_act!R9*1000)</f>
        <v>0</v>
      </c>
      <c r="S15" s="58">
        <f>IF(S5=0,0,S5/TrNavi_act!S9*1000)</f>
        <v>0</v>
      </c>
      <c r="T15" s="58">
        <f>IF(T5=0,0,T5/TrNavi_act!T9*1000)</f>
        <v>0</v>
      </c>
      <c r="U15" s="58">
        <f>IF(U5=0,0,U5/TrNavi_act!U9*1000)</f>
        <v>0</v>
      </c>
      <c r="V15" s="58">
        <f>IF(V5=0,0,V5/TrNavi_act!V9*1000)</f>
        <v>0</v>
      </c>
      <c r="W15" s="58">
        <f>IF(W5=0,0,W5/TrNavi_act!W9*1000)</f>
        <v>0</v>
      </c>
      <c r="X15" s="58">
        <f>IF(X5=0,0,X5/TrNavi_act!X9*1000)</f>
        <v>0</v>
      </c>
      <c r="Y15" s="58">
        <f>IF(Y5=0,0,Y5/TrNavi_act!Y9*1000)</f>
        <v>0</v>
      </c>
      <c r="Z15" s="64"/>
      <c r="AA15" s="64"/>
      <c r="AB15" s="64"/>
      <c r="AC15" s="64"/>
      <c r="AD15" s="64"/>
      <c r="AE15" s="64"/>
      <c r="AF15" s="64"/>
      <c r="AG15" s="64"/>
      <c r="DA15" s="182" t="s">
        <v>1029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163</v>
      </c>
      <c r="B17" s="62">
        <f>IF(B3=0,0,B3/TrNavi_act!B3*1000)</f>
        <v>454.11690616530262</v>
      </c>
      <c r="C17" s="62">
        <f>IF(C3=0,0,C3/TrNavi_act!C3*1000)</f>
        <v>505.38150432215554</v>
      </c>
      <c r="D17" s="62">
        <f>IF(D3=0,0,D3/TrNavi_act!D3*1000)</f>
        <v>911.01903428953221</v>
      </c>
      <c r="E17" s="62">
        <f>IF(E3=0,0,E3/TrNavi_act!E3*1000)</f>
        <v>646.55180829230824</v>
      </c>
      <c r="F17" s="62">
        <f>IF(F3=0,0,F3/TrNavi_act!F3*1000)</f>
        <v>248.23457605942625</v>
      </c>
      <c r="G17" s="62">
        <f>IF(G3=0,0,G3/TrNavi_act!G3*1000)</f>
        <v>145.32711719819162</v>
      </c>
      <c r="H17" s="62">
        <f>IF(H3=0,0,H3/TrNavi_act!H3*1000)</f>
        <v>169.34540227685835</v>
      </c>
      <c r="I17" s="62">
        <f>IF(I3=0,0,I3/TrNavi_act!I3*1000)</f>
        <v>931.41030819993591</v>
      </c>
      <c r="J17" s="62">
        <f>IF(J3=0,0,J3/TrNavi_act!J3*1000)</f>
        <v>974.30050111053117</v>
      </c>
      <c r="K17" s="62">
        <f>IF(K3=0,0,K3/TrNavi_act!K3*1000)</f>
        <v>1557.9276817015186</v>
      </c>
      <c r="L17" s="62">
        <f>IF(L3=0,0,L3/TrNavi_act!L3*1000)</f>
        <v>1003.5584312618236</v>
      </c>
      <c r="M17" s="62">
        <f>IF(M3=0,0,M3/TrNavi_act!M3*1000)</f>
        <v>931.26942361604404</v>
      </c>
      <c r="N17" s="62">
        <f>IF(N3=0,0,N3/TrNavi_act!N3*1000)</f>
        <v>1147.0857580613788</v>
      </c>
      <c r="O17" s="62">
        <f>IF(O3=0,0,O3/TrNavi_act!O3*1000)</f>
        <v>1137.9682068425921</v>
      </c>
      <c r="P17" s="62">
        <f>IF(P3=0,0,P3/TrNavi_act!P3*1000)</f>
        <v>834.48587694529772</v>
      </c>
      <c r="Q17" s="62">
        <f>IF(Q3=0,0,Q3/TrNavi_act!Q3*1000)</f>
        <v>1004.2045255960766</v>
      </c>
      <c r="R17" s="62">
        <f>IF(R3=0,0,R3/TrNavi_act!R3*1000)</f>
        <v>850.41386240818747</v>
      </c>
      <c r="S17" s="62">
        <f>IF(S3=0,0,S3/TrNavi_act!S3*1000)</f>
        <v>880.37173500455845</v>
      </c>
      <c r="T17" s="62">
        <f>IF(T3=0,0,T3/TrNavi_act!T3*1000)</f>
        <v>903.99010033104719</v>
      </c>
      <c r="U17" s="62">
        <f>IF(U3=0,0,U3/TrNavi_act!U3*1000)</f>
        <v>776.59535930901802</v>
      </c>
      <c r="V17" s="62">
        <f>IF(V3=0,0,V3/TrNavi_act!V3*1000)</f>
        <v>628.92935810843085</v>
      </c>
      <c r="W17" s="62">
        <f>IF(W3=0,0,W3/TrNavi_act!W3*1000)</f>
        <v>697.27548438317376</v>
      </c>
      <c r="X17" s="62">
        <f>IF(X3=0,0,X3/TrNavi_act!X3*1000)</f>
        <v>630.96151353466632</v>
      </c>
      <c r="Y17" s="62">
        <f>IF(Y3=0,0,Y3/TrNavi_act!Y3*1000)</f>
        <v>610.92607279797528</v>
      </c>
      <c r="Z17" s="62"/>
      <c r="AA17" s="62"/>
      <c r="AB17" s="62"/>
      <c r="AC17" s="62"/>
      <c r="AD17" s="62"/>
      <c r="AE17" s="62"/>
      <c r="AF17" s="62"/>
      <c r="AG17" s="62"/>
      <c r="DA17" s="172" t="s">
        <v>449</v>
      </c>
    </row>
    <row r="18" spans="1:105" ht="11.45" customHeight="1" x14ac:dyDescent="0.25">
      <c r="A18" s="55" t="s">
        <v>30</v>
      </c>
      <c r="B18" s="63">
        <f>IF(B4=0,0,B4/TrNavi_act!B4*1000)</f>
        <v>454.11690616530262</v>
      </c>
      <c r="C18" s="63">
        <f>IF(C4=0,0,C4/TrNavi_act!C4*1000)</f>
        <v>505.38150432215554</v>
      </c>
      <c r="D18" s="63">
        <f>IF(D4=0,0,D4/TrNavi_act!D4*1000)</f>
        <v>911.01903428953221</v>
      </c>
      <c r="E18" s="63">
        <f>IF(E4=0,0,E4/TrNavi_act!E4*1000)</f>
        <v>646.55180829230824</v>
      </c>
      <c r="F18" s="63">
        <f>IF(F4=0,0,F4/TrNavi_act!F4*1000)</f>
        <v>248.23457605942625</v>
      </c>
      <c r="G18" s="63">
        <f>IF(G4=0,0,G4/TrNavi_act!G4*1000)</f>
        <v>145.32711719819162</v>
      </c>
      <c r="H18" s="63">
        <f>IF(H4=0,0,H4/TrNavi_act!H4*1000)</f>
        <v>169.34540227685835</v>
      </c>
      <c r="I18" s="63">
        <f>IF(I4=0,0,I4/TrNavi_act!I4*1000)</f>
        <v>931.41030819993591</v>
      </c>
      <c r="J18" s="63">
        <f>IF(J4=0,0,J4/TrNavi_act!J4*1000)</f>
        <v>974.30050111053117</v>
      </c>
      <c r="K18" s="63">
        <f>IF(K4=0,0,K4/TrNavi_act!K4*1000)</f>
        <v>1557.9276817015186</v>
      </c>
      <c r="L18" s="63">
        <f>IF(L4=0,0,L4/TrNavi_act!L4*1000)</f>
        <v>1003.5584312618236</v>
      </c>
      <c r="M18" s="63">
        <f>IF(M4=0,0,M4/TrNavi_act!M4*1000)</f>
        <v>931.26942361604404</v>
      </c>
      <c r="N18" s="63">
        <f>IF(N4=0,0,N4/TrNavi_act!N4*1000)</f>
        <v>1147.0857580613788</v>
      </c>
      <c r="O18" s="63">
        <f>IF(O4=0,0,O4/TrNavi_act!O4*1000)</f>
        <v>1137.9682068425921</v>
      </c>
      <c r="P18" s="63">
        <f>IF(P4=0,0,P4/TrNavi_act!P4*1000)</f>
        <v>834.48587694529772</v>
      </c>
      <c r="Q18" s="63">
        <f>IF(Q4=0,0,Q4/TrNavi_act!Q4*1000)</f>
        <v>1004.2045255960766</v>
      </c>
      <c r="R18" s="63">
        <f>IF(R4=0,0,R4/TrNavi_act!R4*1000)</f>
        <v>850.41386240818747</v>
      </c>
      <c r="S18" s="63">
        <f>IF(S4=0,0,S4/TrNavi_act!S4*1000)</f>
        <v>880.37173500455845</v>
      </c>
      <c r="T18" s="63">
        <f>IF(T4=0,0,T4/TrNavi_act!T4*1000)</f>
        <v>903.99010033104719</v>
      </c>
      <c r="U18" s="63">
        <f>IF(U4=0,0,U4/TrNavi_act!U4*1000)</f>
        <v>776.59535930901802</v>
      </c>
      <c r="V18" s="63">
        <f>IF(V4=0,0,V4/TrNavi_act!V4*1000)</f>
        <v>628.92935810843085</v>
      </c>
      <c r="W18" s="63">
        <f>IF(W4=0,0,W4/TrNavi_act!W4*1000)</f>
        <v>697.27548438317376</v>
      </c>
      <c r="X18" s="63">
        <f>IF(X4=0,0,X4/TrNavi_act!X4*1000)</f>
        <v>630.96151353466632</v>
      </c>
      <c r="Y18" s="63">
        <f>IF(Y4=0,0,Y4/TrNavi_act!Y4*1000)</f>
        <v>610.92607279797528</v>
      </c>
      <c r="Z18" s="63"/>
      <c r="AA18" s="63"/>
      <c r="AB18" s="63"/>
      <c r="AC18" s="63"/>
      <c r="AD18" s="63"/>
      <c r="AE18" s="63"/>
      <c r="AF18" s="63"/>
      <c r="AG18" s="63"/>
      <c r="DA18" s="181" t="s">
        <v>450</v>
      </c>
    </row>
    <row r="19" spans="1:105" ht="11.45" customHeight="1" x14ac:dyDescent="0.25">
      <c r="A19" s="57" t="s">
        <v>31</v>
      </c>
      <c r="B19" s="64">
        <f>IF(B5=0,0,B5/TrNavi_act!B5*1000)</f>
        <v>0</v>
      </c>
      <c r="C19" s="64">
        <f>IF(C5=0,0,C5/TrNavi_act!C5*1000)</f>
        <v>0</v>
      </c>
      <c r="D19" s="64">
        <f>IF(D5=0,0,D5/TrNavi_act!D5*1000)</f>
        <v>0</v>
      </c>
      <c r="E19" s="64">
        <f>IF(E5=0,0,E5/TrNavi_act!E5*1000)</f>
        <v>0</v>
      </c>
      <c r="F19" s="64">
        <f>IF(F5=0,0,F5/TrNavi_act!F5*1000)</f>
        <v>0</v>
      </c>
      <c r="G19" s="64">
        <f>IF(G5=0,0,G5/TrNavi_act!G5*1000)</f>
        <v>0</v>
      </c>
      <c r="H19" s="64">
        <f>IF(H5=0,0,H5/TrNavi_act!H5*1000)</f>
        <v>0</v>
      </c>
      <c r="I19" s="64">
        <f>IF(I5=0,0,I5/TrNavi_act!I5*1000)</f>
        <v>0</v>
      </c>
      <c r="J19" s="64">
        <f>IF(J5=0,0,J5/TrNavi_act!J5*1000)</f>
        <v>0</v>
      </c>
      <c r="K19" s="64">
        <f>IF(K5=0,0,K5/TrNavi_act!K5*1000)</f>
        <v>0</v>
      </c>
      <c r="L19" s="64">
        <f>IF(L5=0,0,L5/TrNavi_act!L5*1000)</f>
        <v>0</v>
      </c>
      <c r="M19" s="64">
        <f>IF(M5=0,0,M5/TrNavi_act!M5*1000)</f>
        <v>0</v>
      </c>
      <c r="N19" s="64">
        <f>IF(N5=0,0,N5/TrNavi_act!N5*1000)</f>
        <v>0</v>
      </c>
      <c r="O19" s="64">
        <f>IF(O5=0,0,O5/TrNavi_act!O5*1000)</f>
        <v>0</v>
      </c>
      <c r="P19" s="64">
        <f>IF(P5=0,0,P5/TrNavi_act!P5*1000)</f>
        <v>0</v>
      </c>
      <c r="Q19" s="64">
        <f>IF(Q5=0,0,Q5/TrNavi_act!Q5*1000)</f>
        <v>0</v>
      </c>
      <c r="R19" s="64">
        <f>IF(R5=0,0,R5/TrNavi_act!R5*1000)</f>
        <v>0</v>
      </c>
      <c r="S19" s="64">
        <f>IF(S5=0,0,S5/TrNavi_act!S5*1000)</f>
        <v>0</v>
      </c>
      <c r="T19" s="64">
        <f>IF(T5=0,0,T5/TrNavi_act!T5*1000)</f>
        <v>0</v>
      </c>
      <c r="U19" s="64">
        <f>IF(U5=0,0,U5/TrNavi_act!U5*1000)</f>
        <v>0</v>
      </c>
      <c r="V19" s="64">
        <f>IF(V5=0,0,V5/TrNavi_act!V5*1000)</f>
        <v>0</v>
      </c>
      <c r="W19" s="64">
        <f>IF(W5=0,0,W5/TrNavi_act!W5*1000)</f>
        <v>0</v>
      </c>
      <c r="X19" s="64">
        <f>IF(X5=0,0,X5/TrNavi_act!X5*1000)</f>
        <v>0</v>
      </c>
      <c r="Y19" s="64">
        <f>IF(Y5=0,0,Y5/TrNavi_act!Y5*1000)</f>
        <v>0</v>
      </c>
      <c r="Z19" s="64"/>
      <c r="AA19" s="64"/>
      <c r="AB19" s="64"/>
      <c r="AC19" s="64"/>
      <c r="AD19" s="64"/>
      <c r="AE19" s="64"/>
      <c r="AF19" s="64"/>
      <c r="AG19" s="64"/>
      <c r="DA19" s="182" t="s">
        <v>451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41</v>
      </c>
      <c r="B21" s="76">
        <f t="shared" ref="B21:U21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ref="V21:W21" si="4">IF(V3=0,0,V3/V$3)</f>
        <v>1</v>
      </c>
      <c r="W21" s="76">
        <f t="shared" si="4"/>
        <v>1</v>
      </c>
      <c r="X21" s="76">
        <f t="shared" ref="X21:Y21" si="5">IF(X3=0,0,X3/X$3)</f>
        <v>1</v>
      </c>
      <c r="Y21" s="76">
        <f t="shared" si="5"/>
        <v>1</v>
      </c>
      <c r="Z21" s="76"/>
      <c r="AA21" s="76"/>
      <c r="AB21" s="76"/>
      <c r="AC21" s="76"/>
      <c r="AD21" s="76"/>
      <c r="AE21" s="76"/>
      <c r="AF21" s="76"/>
      <c r="AG21" s="76"/>
      <c r="DA21" s="183"/>
    </row>
    <row r="22" spans="1:105" ht="11.45" customHeight="1" x14ac:dyDescent="0.25">
      <c r="A22" s="55" t="s">
        <v>30</v>
      </c>
      <c r="B22" s="77">
        <f t="shared" ref="B22:U22" si="6">IF(B4=0,0,B4/B$3)</f>
        <v>1</v>
      </c>
      <c r="C22" s="77">
        <f t="shared" si="6"/>
        <v>1</v>
      </c>
      <c r="D22" s="77">
        <f t="shared" si="6"/>
        <v>1</v>
      </c>
      <c r="E22" s="77">
        <f t="shared" si="6"/>
        <v>1</v>
      </c>
      <c r="F22" s="77">
        <f t="shared" si="6"/>
        <v>1</v>
      </c>
      <c r="G22" s="77">
        <f t="shared" si="6"/>
        <v>1</v>
      </c>
      <c r="H22" s="77">
        <f t="shared" si="6"/>
        <v>1</v>
      </c>
      <c r="I22" s="77">
        <f t="shared" si="6"/>
        <v>1</v>
      </c>
      <c r="J22" s="77">
        <f t="shared" si="6"/>
        <v>1</v>
      </c>
      <c r="K22" s="77">
        <f t="shared" si="6"/>
        <v>1</v>
      </c>
      <c r="L22" s="77">
        <f t="shared" si="6"/>
        <v>1</v>
      </c>
      <c r="M22" s="77">
        <f t="shared" si="6"/>
        <v>1</v>
      </c>
      <c r="N22" s="77">
        <f t="shared" si="6"/>
        <v>1</v>
      </c>
      <c r="O22" s="77">
        <f t="shared" si="6"/>
        <v>1</v>
      </c>
      <c r="P22" s="77">
        <f t="shared" si="6"/>
        <v>1</v>
      </c>
      <c r="Q22" s="77">
        <f t="shared" si="6"/>
        <v>1</v>
      </c>
      <c r="R22" s="77">
        <f t="shared" si="6"/>
        <v>1</v>
      </c>
      <c r="S22" s="77">
        <f t="shared" si="6"/>
        <v>1</v>
      </c>
      <c r="T22" s="77">
        <f t="shared" si="6"/>
        <v>1</v>
      </c>
      <c r="U22" s="77">
        <f t="shared" si="6"/>
        <v>1</v>
      </c>
      <c r="V22" s="77">
        <f t="shared" ref="V22:W22" si="7">IF(V4=0,0,V4/V$3)</f>
        <v>1</v>
      </c>
      <c r="W22" s="77">
        <f t="shared" si="7"/>
        <v>1</v>
      </c>
      <c r="X22" s="77">
        <f t="shared" ref="X22:Y22" si="8">IF(X4=0,0,X4/X$3)</f>
        <v>1</v>
      </c>
      <c r="Y22" s="77">
        <f t="shared" si="8"/>
        <v>1</v>
      </c>
      <c r="Z22" s="77"/>
      <c r="AA22" s="77"/>
      <c r="AB22" s="77"/>
      <c r="AC22" s="77"/>
      <c r="AD22" s="77"/>
      <c r="AE22" s="77"/>
      <c r="AF22" s="77"/>
      <c r="AG22" s="77"/>
      <c r="DA22" s="184"/>
    </row>
    <row r="23" spans="1:105" ht="11.45" customHeight="1" x14ac:dyDescent="0.25">
      <c r="A23" s="57" t="s">
        <v>31</v>
      </c>
      <c r="B23" s="78">
        <f t="shared" ref="B23:U23" si="9">IF(B5=0,0,B5/B$3)</f>
        <v>0</v>
      </c>
      <c r="C23" s="78">
        <f t="shared" si="9"/>
        <v>0</v>
      </c>
      <c r="D23" s="78">
        <f t="shared" si="9"/>
        <v>0</v>
      </c>
      <c r="E23" s="78">
        <f t="shared" si="9"/>
        <v>0</v>
      </c>
      <c r="F23" s="78">
        <f t="shared" si="9"/>
        <v>0</v>
      </c>
      <c r="G23" s="78">
        <f t="shared" si="9"/>
        <v>0</v>
      </c>
      <c r="H23" s="78">
        <f t="shared" si="9"/>
        <v>0</v>
      </c>
      <c r="I23" s="78">
        <f t="shared" si="9"/>
        <v>0</v>
      </c>
      <c r="J23" s="78">
        <f t="shared" si="9"/>
        <v>0</v>
      </c>
      <c r="K23" s="78">
        <f t="shared" si="9"/>
        <v>0</v>
      </c>
      <c r="L23" s="78">
        <f t="shared" si="9"/>
        <v>0</v>
      </c>
      <c r="M23" s="78">
        <f t="shared" si="9"/>
        <v>0</v>
      </c>
      <c r="N23" s="78">
        <f t="shared" si="9"/>
        <v>0</v>
      </c>
      <c r="O23" s="78">
        <f t="shared" si="9"/>
        <v>0</v>
      </c>
      <c r="P23" s="78">
        <f t="shared" si="9"/>
        <v>0</v>
      </c>
      <c r="Q23" s="78">
        <f t="shared" si="9"/>
        <v>0</v>
      </c>
      <c r="R23" s="78">
        <f t="shared" si="9"/>
        <v>0</v>
      </c>
      <c r="S23" s="78">
        <f t="shared" si="9"/>
        <v>0</v>
      </c>
      <c r="T23" s="78">
        <f t="shared" si="9"/>
        <v>0</v>
      </c>
      <c r="U23" s="78">
        <f t="shared" si="9"/>
        <v>0</v>
      </c>
      <c r="V23" s="78">
        <f t="shared" ref="V23:W23" si="10">IF(V5=0,0,V5/V$3)</f>
        <v>0</v>
      </c>
      <c r="W23" s="78">
        <f t="shared" si="10"/>
        <v>0</v>
      </c>
      <c r="X23" s="78">
        <f t="shared" ref="X23:Y23" si="11">IF(X5=0,0,X5/X$3)</f>
        <v>0</v>
      </c>
      <c r="Y23" s="78">
        <f t="shared" si="11"/>
        <v>0</v>
      </c>
      <c r="Z23" s="78"/>
      <c r="AA23" s="78"/>
      <c r="AB23" s="78"/>
      <c r="AC23" s="78"/>
      <c r="AD23" s="78"/>
      <c r="AE23" s="78"/>
      <c r="AF23" s="78"/>
      <c r="AG23" s="78"/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A25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164</v>
      </c>
      <c r="B3" s="54">
        <f t="shared" ref="B3:Q3" si="0">SUM(B4:B5)</f>
        <v>123879.61343699999</v>
      </c>
      <c r="C3" s="54">
        <f t="shared" si="0"/>
        <v>122719.23788</v>
      </c>
      <c r="D3" s="54">
        <f t="shared" si="0"/>
        <v>123424.57705600001</v>
      </c>
      <c r="E3" s="54">
        <f t="shared" si="0"/>
        <v>119241.910385</v>
      </c>
      <c r="F3" s="54">
        <f t="shared" si="0"/>
        <v>118082.84119600001</v>
      </c>
      <c r="G3" s="54">
        <f t="shared" si="0"/>
        <v>124464.95624</v>
      </c>
      <c r="H3" s="54">
        <f t="shared" si="0"/>
        <v>133496.04364399999</v>
      </c>
      <c r="I3" s="54">
        <f t="shared" si="0"/>
        <v>132891.77451000002</v>
      </c>
      <c r="J3" s="54">
        <f t="shared" si="0"/>
        <v>131840.454245</v>
      </c>
      <c r="K3" s="54">
        <f t="shared" si="0"/>
        <v>111302.224961</v>
      </c>
      <c r="L3" s="54">
        <f t="shared" si="0"/>
        <v>126125.22943599999</v>
      </c>
      <c r="M3" s="54">
        <f t="shared" si="0"/>
        <v>141613.73754300002</v>
      </c>
      <c r="N3" s="54">
        <f t="shared" si="0"/>
        <v>141215.69161899999</v>
      </c>
      <c r="O3" s="54">
        <f t="shared" si="0"/>
        <v>170574.26906699999</v>
      </c>
      <c r="P3" s="54">
        <f t="shared" si="0"/>
        <v>174334.98317299999</v>
      </c>
      <c r="Q3" s="54">
        <f t="shared" si="0"/>
        <v>188175.91097</v>
      </c>
      <c r="R3" s="54">
        <f t="shared" ref="R3:W3" si="1">SUM(R4:R5)</f>
        <v>193133.5386</v>
      </c>
      <c r="S3" s="54">
        <f t="shared" si="1"/>
        <v>205071.27781100001</v>
      </c>
      <c r="T3" s="54">
        <f t="shared" si="1"/>
        <v>195851.31426999997</v>
      </c>
      <c r="U3" s="54">
        <f t="shared" si="1"/>
        <v>180816.54208100002</v>
      </c>
      <c r="V3" s="54">
        <f t="shared" si="1"/>
        <v>167379.61567900001</v>
      </c>
      <c r="W3" s="54">
        <f t="shared" si="1"/>
        <v>179250.99906300002</v>
      </c>
      <c r="X3" s="54">
        <f t="shared" ref="X3:Y3" si="2">SUM(X4:X5)</f>
        <v>183261.87580800001</v>
      </c>
      <c r="Y3" s="54">
        <f t="shared" si="2"/>
        <v>192468.737826</v>
      </c>
      <c r="DA3" s="172" t="s">
        <v>388</v>
      </c>
    </row>
    <row r="4" spans="1:105" ht="11.45" customHeight="1" x14ac:dyDescent="0.25">
      <c r="A4" s="55" t="s">
        <v>166</v>
      </c>
      <c r="B4" s="56">
        <v>20938.128197999999</v>
      </c>
      <c r="C4" s="56">
        <v>20180.537816</v>
      </c>
      <c r="D4" s="56">
        <v>19969.948437999999</v>
      </c>
      <c r="E4" s="56">
        <v>17596.194653999999</v>
      </c>
      <c r="F4" s="56">
        <v>19154.378618000002</v>
      </c>
      <c r="G4" s="56">
        <v>20644.359805</v>
      </c>
      <c r="H4" s="56">
        <v>20160.730477000001</v>
      </c>
      <c r="I4" s="56">
        <v>18775.961467000001</v>
      </c>
      <c r="J4" s="56">
        <v>17950.230006999998</v>
      </c>
      <c r="K4" s="56">
        <v>16792.273561000002</v>
      </c>
      <c r="L4" s="56">
        <v>18289.073833999999</v>
      </c>
      <c r="M4" s="56">
        <v>18628.171537000002</v>
      </c>
      <c r="N4" s="56">
        <v>18124.081183000002</v>
      </c>
      <c r="O4" s="56">
        <v>21462.559781</v>
      </c>
      <c r="P4" s="56">
        <v>22758.530397999999</v>
      </c>
      <c r="Q4" s="56">
        <v>23311.252811999999</v>
      </c>
      <c r="R4" s="56">
        <v>23980.911306000002</v>
      </c>
      <c r="S4" s="56">
        <v>25630.607522999999</v>
      </c>
      <c r="T4" s="56">
        <v>26827.950980000001</v>
      </c>
      <c r="U4" s="56">
        <v>28815.284220999998</v>
      </c>
      <c r="V4" s="56">
        <v>26492.191094000002</v>
      </c>
      <c r="W4" s="56">
        <v>27611.908658999997</v>
      </c>
      <c r="X4" s="56">
        <v>28565.826847999997</v>
      </c>
      <c r="Y4" s="56">
        <v>28779.969373</v>
      </c>
      <c r="DA4" s="181" t="s">
        <v>389</v>
      </c>
    </row>
    <row r="5" spans="1:105" ht="11.45" customHeight="1" x14ac:dyDescent="0.25">
      <c r="A5" s="57" t="s">
        <v>167</v>
      </c>
      <c r="B5" s="58">
        <v>102941.485239</v>
      </c>
      <c r="C5" s="58">
        <v>102538.700064</v>
      </c>
      <c r="D5" s="58">
        <v>103454.628618</v>
      </c>
      <c r="E5" s="58">
        <v>101645.715731</v>
      </c>
      <c r="F5" s="58">
        <v>98928.462578000006</v>
      </c>
      <c r="G5" s="58">
        <v>103820.596435</v>
      </c>
      <c r="H5" s="58">
        <v>113335.313167</v>
      </c>
      <c r="I5" s="58">
        <v>114115.813043</v>
      </c>
      <c r="J5" s="58">
        <v>113890.224238</v>
      </c>
      <c r="K5" s="58">
        <v>94509.951400000005</v>
      </c>
      <c r="L5" s="58">
        <v>107836.155602</v>
      </c>
      <c r="M5" s="58">
        <v>122985.56600600001</v>
      </c>
      <c r="N5" s="58">
        <v>123091.610436</v>
      </c>
      <c r="O5" s="58">
        <v>149111.709286</v>
      </c>
      <c r="P5" s="58">
        <v>151576.45277499998</v>
      </c>
      <c r="Q5" s="58">
        <v>164864.65815800001</v>
      </c>
      <c r="R5" s="58">
        <v>169152.62729400001</v>
      </c>
      <c r="S5" s="58">
        <v>179440.67028800002</v>
      </c>
      <c r="T5" s="58">
        <v>169023.36328999998</v>
      </c>
      <c r="U5" s="58">
        <v>152001.25786000001</v>
      </c>
      <c r="V5" s="58">
        <v>140887.424585</v>
      </c>
      <c r="W5" s="58">
        <v>151639.09040400002</v>
      </c>
      <c r="X5" s="58">
        <v>154696.04896000001</v>
      </c>
      <c r="Y5" s="58">
        <v>163688.768453</v>
      </c>
      <c r="DA5" s="182" t="s">
        <v>390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DA6" s="181"/>
    </row>
    <row r="7" spans="1:105" ht="11.45" customHeight="1" x14ac:dyDescent="0.25">
      <c r="A7" s="53" t="s">
        <v>64</v>
      </c>
      <c r="B7" s="59">
        <f t="shared" ref="B7:W7" si="3">SUM(B8:B9)</f>
        <v>8.1552320000000016</v>
      </c>
      <c r="C7" s="59">
        <f t="shared" si="3"/>
        <v>7.6121369999999997</v>
      </c>
      <c r="D7" s="59">
        <f t="shared" si="3"/>
        <v>7.6566720000000004</v>
      </c>
      <c r="E7" s="59">
        <f t="shared" si="3"/>
        <v>7.1012620000000002</v>
      </c>
      <c r="F7" s="59">
        <f t="shared" si="3"/>
        <v>7.0387179999999994</v>
      </c>
      <c r="G7" s="59">
        <f t="shared" si="3"/>
        <v>7.6416660000000007</v>
      </c>
      <c r="H7" s="59">
        <f t="shared" si="3"/>
        <v>7.647151</v>
      </c>
      <c r="I7" s="59">
        <f t="shared" si="3"/>
        <v>7.4077689999999992</v>
      </c>
      <c r="J7" s="59">
        <f t="shared" si="3"/>
        <v>6.8117619999999999</v>
      </c>
      <c r="K7" s="59">
        <f t="shared" si="3"/>
        <v>6.0342020000000005</v>
      </c>
      <c r="L7" s="59">
        <f t="shared" si="3"/>
        <v>6.5686230000000005</v>
      </c>
      <c r="M7" s="59">
        <f t="shared" si="3"/>
        <v>7.0474740000000002</v>
      </c>
      <c r="N7" s="59">
        <f t="shared" si="3"/>
        <v>6.6522620000000003</v>
      </c>
      <c r="O7" s="59">
        <f t="shared" si="3"/>
        <v>7.6529949999999998</v>
      </c>
      <c r="P7" s="59">
        <f t="shared" si="3"/>
        <v>7.8350329999999992</v>
      </c>
      <c r="Q7" s="59">
        <f t="shared" si="3"/>
        <v>7.6915220000000009</v>
      </c>
      <c r="R7" s="59">
        <f t="shared" si="3"/>
        <v>7.7402670000000002</v>
      </c>
      <c r="S7" s="59">
        <f t="shared" si="3"/>
        <v>8.0543070000000014</v>
      </c>
      <c r="T7" s="59">
        <f t="shared" si="3"/>
        <v>8.1802790000000005</v>
      </c>
      <c r="U7" s="59">
        <f t="shared" si="3"/>
        <v>8.1573840000000004</v>
      </c>
      <c r="V7" s="59">
        <f t="shared" si="3"/>
        <v>7.2300959999999996</v>
      </c>
      <c r="W7" s="59">
        <f t="shared" si="3"/>
        <v>7.7862849999999995</v>
      </c>
      <c r="X7" s="59">
        <f t="shared" ref="X7:Y7" si="4">SUM(X8:X9)</f>
        <v>8.4842849999999999</v>
      </c>
      <c r="Y7" s="59">
        <f t="shared" si="4"/>
        <v>8.3663190000000007</v>
      </c>
      <c r="DA7" s="172" t="s">
        <v>963</v>
      </c>
    </row>
    <row r="8" spans="1:105" ht="11.45" customHeight="1" x14ac:dyDescent="0.25">
      <c r="A8" s="55" t="s">
        <v>166</v>
      </c>
      <c r="B8" s="60">
        <v>3.5121060000000002</v>
      </c>
      <c r="C8" s="60">
        <v>3.27738</v>
      </c>
      <c r="D8" s="60">
        <v>3.1326200000000002</v>
      </c>
      <c r="E8" s="60">
        <v>2.7125220000000003</v>
      </c>
      <c r="F8" s="60">
        <v>2.8995099999999998</v>
      </c>
      <c r="G8" s="60">
        <v>3.1742810000000001</v>
      </c>
      <c r="H8" s="60">
        <v>3.0606629999999999</v>
      </c>
      <c r="I8" s="60">
        <v>2.8194299999999997</v>
      </c>
      <c r="J8" s="60">
        <v>2.5706329999999999</v>
      </c>
      <c r="K8" s="60">
        <v>2.4059340000000002</v>
      </c>
      <c r="L8" s="60">
        <v>2.633359</v>
      </c>
      <c r="M8" s="60">
        <v>2.845421</v>
      </c>
      <c r="N8" s="60">
        <v>2.7076519999999999</v>
      </c>
      <c r="O8" s="60">
        <v>3.1197699999999999</v>
      </c>
      <c r="P8" s="60">
        <v>3.2852429999999999</v>
      </c>
      <c r="Q8" s="60">
        <v>3.0751690000000003</v>
      </c>
      <c r="R8" s="60">
        <v>3.0556559999999999</v>
      </c>
      <c r="S8" s="60">
        <v>3.2182000000000004</v>
      </c>
      <c r="T8" s="60">
        <v>3.5167620000000004</v>
      </c>
      <c r="U8" s="60">
        <v>3.8549549999999999</v>
      </c>
      <c r="V8" s="60">
        <v>3.2684869999999999</v>
      </c>
      <c r="W8" s="60">
        <v>3.6038580000000002</v>
      </c>
      <c r="X8" s="60">
        <v>3.8009659999999998</v>
      </c>
      <c r="Y8" s="60">
        <v>3.6276979999999996</v>
      </c>
      <c r="DA8" s="181" t="s">
        <v>964</v>
      </c>
    </row>
    <row r="9" spans="1:105" ht="11.45" customHeight="1" x14ac:dyDescent="0.25">
      <c r="A9" s="57" t="s">
        <v>167</v>
      </c>
      <c r="B9" s="61">
        <v>4.6431260000000005</v>
      </c>
      <c r="C9" s="61">
        <v>4.3347569999999997</v>
      </c>
      <c r="D9" s="61">
        <v>4.5240520000000002</v>
      </c>
      <c r="E9" s="61">
        <v>4.3887400000000003</v>
      </c>
      <c r="F9" s="61">
        <v>4.139208</v>
      </c>
      <c r="G9" s="61">
        <v>4.4673850000000002</v>
      </c>
      <c r="H9" s="61">
        <v>4.5864880000000001</v>
      </c>
      <c r="I9" s="61">
        <v>4.5883389999999995</v>
      </c>
      <c r="J9" s="61">
        <v>4.2411289999999999</v>
      </c>
      <c r="K9" s="61">
        <v>3.6282679999999998</v>
      </c>
      <c r="L9" s="61">
        <v>3.9352640000000001</v>
      </c>
      <c r="M9" s="61">
        <v>4.2020530000000003</v>
      </c>
      <c r="N9" s="61">
        <v>3.9446099999999999</v>
      </c>
      <c r="O9" s="61">
        <v>4.5332249999999998</v>
      </c>
      <c r="P9" s="61">
        <v>4.5497899999999998</v>
      </c>
      <c r="Q9" s="61">
        <v>4.6163530000000002</v>
      </c>
      <c r="R9" s="61">
        <v>4.6846110000000003</v>
      </c>
      <c r="S9" s="61">
        <v>4.8361070000000002</v>
      </c>
      <c r="T9" s="61">
        <v>4.6635169999999997</v>
      </c>
      <c r="U9" s="61">
        <v>4.3024290000000001</v>
      </c>
      <c r="V9" s="61">
        <v>3.9616090000000002</v>
      </c>
      <c r="W9" s="61">
        <v>4.1824269999999997</v>
      </c>
      <c r="X9" s="61">
        <v>4.683319</v>
      </c>
      <c r="Y9" s="61">
        <v>4.7386210000000002</v>
      </c>
      <c r="DA9" s="182" t="s">
        <v>965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DA12" s="181"/>
    </row>
    <row r="13" spans="1:105" ht="11.45" customHeight="1" x14ac:dyDescent="0.25">
      <c r="A13" s="53" t="s">
        <v>143</v>
      </c>
      <c r="B13" s="62">
        <f t="shared" ref="B13:W15" si="5">IF(B3=0,0,B3/B7)</f>
        <v>15190.201019051325</v>
      </c>
      <c r="C13" s="62">
        <f t="shared" si="5"/>
        <v>16121.522494931451</v>
      </c>
      <c r="D13" s="62">
        <f t="shared" si="5"/>
        <v>16119.872583806646</v>
      </c>
      <c r="E13" s="62">
        <f t="shared" si="5"/>
        <v>16791.650608722786</v>
      </c>
      <c r="F13" s="62">
        <f t="shared" si="5"/>
        <v>16776.185833272481</v>
      </c>
      <c r="G13" s="62">
        <f t="shared" si="5"/>
        <v>16287.672902741364</v>
      </c>
      <c r="H13" s="62">
        <f t="shared" si="5"/>
        <v>17456.964514496965</v>
      </c>
      <c r="I13" s="62">
        <f t="shared" si="5"/>
        <v>17939.513841481832</v>
      </c>
      <c r="J13" s="62">
        <f t="shared" si="5"/>
        <v>19354.82394202851</v>
      </c>
      <c r="K13" s="62">
        <f t="shared" si="5"/>
        <v>18445.22688517885</v>
      </c>
      <c r="L13" s="62">
        <f t="shared" si="5"/>
        <v>19201.167342988017</v>
      </c>
      <c r="M13" s="62">
        <f t="shared" si="5"/>
        <v>20094.254699343343</v>
      </c>
      <c r="N13" s="62">
        <f t="shared" si="5"/>
        <v>21228.221561177234</v>
      </c>
      <c r="O13" s="62">
        <f t="shared" si="5"/>
        <v>22288.564028462057</v>
      </c>
      <c r="P13" s="62">
        <f t="shared" si="5"/>
        <v>22250.701837886325</v>
      </c>
      <c r="Q13" s="62">
        <f t="shared" si="5"/>
        <v>24465.36731871793</v>
      </c>
      <c r="R13" s="62">
        <f t="shared" si="5"/>
        <v>24951.792825751359</v>
      </c>
      <c r="S13" s="62">
        <f t="shared" si="5"/>
        <v>25461.070432378598</v>
      </c>
      <c r="T13" s="62">
        <f t="shared" si="5"/>
        <v>23941.886856181794</v>
      </c>
      <c r="U13" s="62">
        <f t="shared" si="5"/>
        <v>22165.996118486026</v>
      </c>
      <c r="V13" s="62">
        <f t="shared" si="5"/>
        <v>23150.400171588321</v>
      </c>
      <c r="W13" s="62">
        <f t="shared" si="5"/>
        <v>23021.37656957073</v>
      </c>
      <c r="X13" s="62">
        <f t="shared" ref="X13:Y13" si="6">IF(X3=0,0,X3/X7)</f>
        <v>21600.155559130795</v>
      </c>
      <c r="Y13" s="62">
        <f t="shared" si="6"/>
        <v>23005.187565284086</v>
      </c>
      <c r="DA13" s="172" t="s">
        <v>966</v>
      </c>
    </row>
    <row r="14" spans="1:105" ht="11.45" customHeight="1" x14ac:dyDescent="0.25">
      <c r="A14" s="55" t="s">
        <v>166</v>
      </c>
      <c r="B14" s="63">
        <f t="shared" si="5"/>
        <v>5961.7016678881555</v>
      </c>
      <c r="C14" s="63">
        <f t="shared" si="5"/>
        <v>6157.5215007109337</v>
      </c>
      <c r="D14" s="63">
        <f t="shared" si="5"/>
        <v>6374.8390925168069</v>
      </c>
      <c r="E14" s="63">
        <f t="shared" si="5"/>
        <v>6487.0237564893469</v>
      </c>
      <c r="F14" s="63">
        <f t="shared" si="5"/>
        <v>6606.0743429062168</v>
      </c>
      <c r="G14" s="63">
        <f t="shared" si="5"/>
        <v>6503.6333598065194</v>
      </c>
      <c r="H14" s="63">
        <f t="shared" si="5"/>
        <v>6587.046818614137</v>
      </c>
      <c r="I14" s="63">
        <f t="shared" si="5"/>
        <v>6659.4884309949184</v>
      </c>
      <c r="J14" s="63">
        <f t="shared" si="5"/>
        <v>6982.8054051278414</v>
      </c>
      <c r="K14" s="63">
        <f t="shared" si="5"/>
        <v>6979.5237778758683</v>
      </c>
      <c r="L14" s="63">
        <f t="shared" si="5"/>
        <v>6945.1502184092633</v>
      </c>
      <c r="M14" s="63">
        <f t="shared" si="5"/>
        <v>6546.7189343861601</v>
      </c>
      <c r="N14" s="63">
        <f t="shared" si="5"/>
        <v>6693.6523537736766</v>
      </c>
      <c r="O14" s="63">
        <f t="shared" si="5"/>
        <v>6879.5327158732853</v>
      </c>
      <c r="P14" s="63">
        <f t="shared" si="5"/>
        <v>6927.5028964371886</v>
      </c>
      <c r="Q14" s="63">
        <f t="shared" si="5"/>
        <v>7580.4786052408817</v>
      </c>
      <c r="R14" s="63">
        <f t="shared" si="5"/>
        <v>7848.0402591129377</v>
      </c>
      <c r="S14" s="63">
        <f t="shared" si="5"/>
        <v>7964.2680762538048</v>
      </c>
      <c r="T14" s="63">
        <f t="shared" si="5"/>
        <v>7628.5944229379184</v>
      </c>
      <c r="U14" s="63">
        <f t="shared" si="5"/>
        <v>7474.8691543740451</v>
      </c>
      <c r="V14" s="63">
        <f t="shared" si="5"/>
        <v>8105.3377584184982</v>
      </c>
      <c r="W14" s="63">
        <f t="shared" si="5"/>
        <v>7661.7637706591086</v>
      </c>
      <c r="X14" s="63">
        <f t="shared" ref="X14:Y14" si="7">IF(X4=0,0,X4/X8)</f>
        <v>7515.4123578058834</v>
      </c>
      <c r="Y14" s="63">
        <f t="shared" si="7"/>
        <v>7933.3972599152421</v>
      </c>
      <c r="DA14" s="181" t="s">
        <v>967</v>
      </c>
    </row>
    <row r="15" spans="1:105" ht="11.45" customHeight="1" x14ac:dyDescent="0.25">
      <c r="A15" s="57" t="s">
        <v>167</v>
      </c>
      <c r="B15" s="64">
        <f t="shared" si="5"/>
        <v>22170.728349607569</v>
      </c>
      <c r="C15" s="64">
        <f t="shared" si="5"/>
        <v>23655.0053587779</v>
      </c>
      <c r="D15" s="64">
        <f t="shared" si="5"/>
        <v>22867.692196729833</v>
      </c>
      <c r="E15" s="64">
        <f t="shared" si="5"/>
        <v>23160.569031430434</v>
      </c>
      <c r="F15" s="64">
        <f t="shared" si="5"/>
        <v>23900.336145948695</v>
      </c>
      <c r="G15" s="64">
        <f t="shared" si="5"/>
        <v>23239.67968621464</v>
      </c>
      <c r="H15" s="64">
        <f t="shared" si="5"/>
        <v>24710.696543193833</v>
      </c>
      <c r="I15" s="64">
        <f t="shared" si="5"/>
        <v>24870.833005800141</v>
      </c>
      <c r="J15" s="64">
        <f t="shared" si="5"/>
        <v>26853.751498244925</v>
      </c>
      <c r="K15" s="64">
        <f t="shared" si="5"/>
        <v>26048.227804561298</v>
      </c>
      <c r="L15" s="64">
        <f t="shared" si="5"/>
        <v>27402.521305305057</v>
      </c>
      <c r="M15" s="64">
        <f t="shared" si="5"/>
        <v>29267.971157431857</v>
      </c>
      <c r="N15" s="64">
        <f t="shared" si="5"/>
        <v>31205.014040931805</v>
      </c>
      <c r="O15" s="64">
        <f t="shared" si="5"/>
        <v>32893.074860833069</v>
      </c>
      <c r="P15" s="64">
        <f t="shared" si="5"/>
        <v>33315.043721798145</v>
      </c>
      <c r="Q15" s="64">
        <f t="shared" si="5"/>
        <v>35713.182713280374</v>
      </c>
      <c r="R15" s="64">
        <f t="shared" si="5"/>
        <v>36108.1479964932</v>
      </c>
      <c r="S15" s="64">
        <f t="shared" si="5"/>
        <v>37104.36313505884</v>
      </c>
      <c r="T15" s="64">
        <f t="shared" si="5"/>
        <v>36243.754078734994</v>
      </c>
      <c r="U15" s="64">
        <f t="shared" si="5"/>
        <v>35329.172860261031</v>
      </c>
      <c r="V15" s="64">
        <f t="shared" si="5"/>
        <v>35563.182682844264</v>
      </c>
      <c r="W15" s="64">
        <f t="shared" si="5"/>
        <v>36256.243182248014</v>
      </c>
      <c r="X15" s="64">
        <f t="shared" ref="X15:Y15" si="8">IF(X5=0,0,X5/X9)</f>
        <v>33031.28592350852</v>
      </c>
      <c r="Y15" s="64">
        <f t="shared" si="8"/>
        <v>34543.545148050456</v>
      </c>
      <c r="DA15" s="182" t="s">
        <v>968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65</v>
      </c>
      <c r="B17" s="65">
        <f t="shared" ref="B17:W19" si="9">IF(B3=0,0,B3/B$3)</f>
        <v>1</v>
      </c>
      <c r="C17" s="65">
        <f t="shared" si="9"/>
        <v>1</v>
      </c>
      <c r="D17" s="65">
        <f t="shared" si="9"/>
        <v>1</v>
      </c>
      <c r="E17" s="65">
        <f t="shared" si="9"/>
        <v>1</v>
      </c>
      <c r="F17" s="65">
        <f t="shared" si="9"/>
        <v>1</v>
      </c>
      <c r="G17" s="65">
        <f t="shared" si="9"/>
        <v>1</v>
      </c>
      <c r="H17" s="65">
        <f t="shared" si="9"/>
        <v>1</v>
      </c>
      <c r="I17" s="65">
        <f t="shared" si="9"/>
        <v>1</v>
      </c>
      <c r="J17" s="65">
        <f t="shared" si="9"/>
        <v>1</v>
      </c>
      <c r="K17" s="65">
        <f t="shared" si="9"/>
        <v>1</v>
      </c>
      <c r="L17" s="65">
        <f t="shared" si="9"/>
        <v>1</v>
      </c>
      <c r="M17" s="65">
        <f t="shared" si="9"/>
        <v>1</v>
      </c>
      <c r="N17" s="65">
        <f t="shared" si="9"/>
        <v>1</v>
      </c>
      <c r="O17" s="65">
        <f t="shared" si="9"/>
        <v>1</v>
      </c>
      <c r="P17" s="65">
        <f t="shared" si="9"/>
        <v>1</v>
      </c>
      <c r="Q17" s="65">
        <f t="shared" si="9"/>
        <v>1</v>
      </c>
      <c r="R17" s="65">
        <f t="shared" si="9"/>
        <v>1</v>
      </c>
      <c r="S17" s="65">
        <f t="shared" si="9"/>
        <v>1</v>
      </c>
      <c r="T17" s="65">
        <f t="shared" si="9"/>
        <v>1</v>
      </c>
      <c r="U17" s="65">
        <f t="shared" si="9"/>
        <v>1</v>
      </c>
      <c r="V17" s="65">
        <f t="shared" si="9"/>
        <v>1</v>
      </c>
      <c r="W17" s="65">
        <f t="shared" si="9"/>
        <v>1</v>
      </c>
      <c r="X17" s="65">
        <f t="shared" ref="X17:Y17" si="10">IF(X3=0,0,X3/X$3)</f>
        <v>1</v>
      </c>
      <c r="Y17" s="65">
        <f t="shared" si="10"/>
        <v>1</v>
      </c>
      <c r="DA17" s="172"/>
    </row>
    <row r="18" spans="1:105" ht="11.45" customHeight="1" x14ac:dyDescent="0.25">
      <c r="A18" s="55" t="s">
        <v>166</v>
      </c>
      <c r="B18" s="66">
        <f t="shared" si="9"/>
        <v>0.16901996718490131</v>
      </c>
      <c r="C18" s="66">
        <f t="shared" si="9"/>
        <v>0.1644447778899456</v>
      </c>
      <c r="D18" s="66">
        <f t="shared" si="9"/>
        <v>0.16179879983659384</v>
      </c>
      <c r="E18" s="66">
        <f t="shared" si="9"/>
        <v>0.14756719845553151</v>
      </c>
      <c r="F18" s="66">
        <f t="shared" si="9"/>
        <v>0.162211363005795</v>
      </c>
      <c r="G18" s="66">
        <f t="shared" si="9"/>
        <v>0.16586483801265667</v>
      </c>
      <c r="H18" s="66">
        <f t="shared" si="9"/>
        <v>0.15102118330010997</v>
      </c>
      <c r="I18" s="66">
        <f t="shared" si="9"/>
        <v>0.14128761194009884</v>
      </c>
      <c r="J18" s="66">
        <f t="shared" si="9"/>
        <v>0.13615115413394258</v>
      </c>
      <c r="K18" s="66">
        <f t="shared" si="9"/>
        <v>0.15087096027850269</v>
      </c>
      <c r="L18" s="66">
        <f t="shared" si="9"/>
        <v>0.14500725918029322</v>
      </c>
      <c r="M18" s="66">
        <f t="shared" si="9"/>
        <v>0.13154212197346807</v>
      </c>
      <c r="N18" s="66">
        <f t="shared" si="9"/>
        <v>0.12834325261741297</v>
      </c>
      <c r="O18" s="66">
        <f t="shared" si="9"/>
        <v>0.12582530705478037</v>
      </c>
      <c r="P18" s="66">
        <f t="shared" si="9"/>
        <v>0.13054482803038875</v>
      </c>
      <c r="Q18" s="66">
        <f t="shared" si="9"/>
        <v>0.12388011139064661</v>
      </c>
      <c r="R18" s="66">
        <f t="shared" si="9"/>
        <v>0.12416751373083371</v>
      </c>
      <c r="S18" s="66">
        <f t="shared" si="9"/>
        <v>0.12498389728971189</v>
      </c>
      <c r="T18" s="66">
        <f t="shared" si="9"/>
        <v>0.13698121495889007</v>
      </c>
      <c r="U18" s="66">
        <f t="shared" si="9"/>
        <v>0.15936199138291049</v>
      </c>
      <c r="V18" s="66">
        <f t="shared" si="9"/>
        <v>0.15827608987229738</v>
      </c>
      <c r="W18" s="66">
        <f t="shared" si="9"/>
        <v>0.15404047287510761</v>
      </c>
      <c r="X18" s="66">
        <f t="shared" ref="X18:Y18" si="11">IF(X4=0,0,X4/X$3)</f>
        <v>0.15587435587491133</v>
      </c>
      <c r="Y18" s="66">
        <f t="shared" si="11"/>
        <v>0.14953061831276895</v>
      </c>
      <c r="DA18" s="181"/>
    </row>
    <row r="19" spans="1:105" ht="11.45" customHeight="1" x14ac:dyDescent="0.25">
      <c r="A19" s="57" t="s">
        <v>167</v>
      </c>
      <c r="B19" s="67">
        <f t="shared" si="9"/>
        <v>0.83098003281509869</v>
      </c>
      <c r="C19" s="67">
        <f t="shared" si="9"/>
        <v>0.8355552221100544</v>
      </c>
      <c r="D19" s="67">
        <f t="shared" si="9"/>
        <v>0.83820120016340605</v>
      </c>
      <c r="E19" s="67">
        <f t="shared" si="9"/>
        <v>0.85243280154446854</v>
      </c>
      <c r="F19" s="67">
        <f t="shared" si="9"/>
        <v>0.83778863699420503</v>
      </c>
      <c r="G19" s="67">
        <f t="shared" si="9"/>
        <v>0.83413516198734339</v>
      </c>
      <c r="H19" s="67">
        <f t="shared" si="9"/>
        <v>0.84897881669989017</v>
      </c>
      <c r="I19" s="67">
        <f t="shared" si="9"/>
        <v>0.85871238805990102</v>
      </c>
      <c r="J19" s="67">
        <f t="shared" si="9"/>
        <v>0.86384884586605737</v>
      </c>
      <c r="K19" s="67">
        <f t="shared" si="9"/>
        <v>0.84912903972149734</v>
      </c>
      <c r="L19" s="67">
        <f t="shared" si="9"/>
        <v>0.85499274081970678</v>
      </c>
      <c r="M19" s="67">
        <f t="shared" si="9"/>
        <v>0.86845787802653185</v>
      </c>
      <c r="N19" s="67">
        <f t="shared" si="9"/>
        <v>0.87165674738258714</v>
      </c>
      <c r="O19" s="67">
        <f t="shared" si="9"/>
        <v>0.87417469294521966</v>
      </c>
      <c r="P19" s="67">
        <f t="shared" si="9"/>
        <v>0.8694551719696112</v>
      </c>
      <c r="Q19" s="67">
        <f t="shared" si="9"/>
        <v>0.87611988860935341</v>
      </c>
      <c r="R19" s="67">
        <f t="shared" si="9"/>
        <v>0.87583248626916632</v>
      </c>
      <c r="S19" s="67">
        <f t="shared" si="9"/>
        <v>0.87501610271028818</v>
      </c>
      <c r="T19" s="67">
        <f t="shared" si="9"/>
        <v>0.86301878504110996</v>
      </c>
      <c r="U19" s="67">
        <f t="shared" si="9"/>
        <v>0.84063800861708948</v>
      </c>
      <c r="V19" s="67">
        <f t="shared" si="9"/>
        <v>0.84172391012770253</v>
      </c>
      <c r="W19" s="67">
        <f t="shared" si="9"/>
        <v>0.84595952712489231</v>
      </c>
      <c r="X19" s="67">
        <f t="shared" ref="X19:Y19" si="12">IF(X5=0,0,X5/X$3)</f>
        <v>0.84412564412508873</v>
      </c>
      <c r="Y19" s="67">
        <f t="shared" si="12"/>
        <v>0.85046938168723107</v>
      </c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DA20" s="181"/>
    </row>
    <row r="21" spans="1:105" ht="11.45" customHeight="1" x14ac:dyDescent="0.25">
      <c r="A21" s="53" t="s">
        <v>66</v>
      </c>
      <c r="B21" s="65">
        <f t="shared" ref="B21:W23" si="13">IF(B7=0,0,B7/B$7)</f>
        <v>1</v>
      </c>
      <c r="C21" s="65">
        <f t="shared" si="13"/>
        <v>1</v>
      </c>
      <c r="D21" s="65">
        <f t="shared" si="13"/>
        <v>1</v>
      </c>
      <c r="E21" s="65">
        <f t="shared" si="13"/>
        <v>1</v>
      </c>
      <c r="F21" s="65">
        <f t="shared" si="13"/>
        <v>1</v>
      </c>
      <c r="G21" s="65">
        <f t="shared" si="13"/>
        <v>1</v>
      </c>
      <c r="H21" s="65">
        <f t="shared" si="13"/>
        <v>1</v>
      </c>
      <c r="I21" s="65">
        <f t="shared" si="13"/>
        <v>1</v>
      </c>
      <c r="J21" s="65">
        <f t="shared" si="13"/>
        <v>1</v>
      </c>
      <c r="K21" s="65">
        <f t="shared" si="13"/>
        <v>1</v>
      </c>
      <c r="L21" s="65">
        <f t="shared" si="13"/>
        <v>1</v>
      </c>
      <c r="M21" s="65">
        <f t="shared" si="13"/>
        <v>1</v>
      </c>
      <c r="N21" s="65">
        <f t="shared" si="13"/>
        <v>1</v>
      </c>
      <c r="O21" s="65">
        <f t="shared" si="13"/>
        <v>1</v>
      </c>
      <c r="P21" s="65">
        <f t="shared" si="13"/>
        <v>1</v>
      </c>
      <c r="Q21" s="65">
        <f t="shared" si="13"/>
        <v>1</v>
      </c>
      <c r="R21" s="65">
        <f t="shared" si="13"/>
        <v>1</v>
      </c>
      <c r="S21" s="65">
        <f t="shared" si="13"/>
        <v>1</v>
      </c>
      <c r="T21" s="65">
        <f t="shared" si="13"/>
        <v>1</v>
      </c>
      <c r="U21" s="65">
        <f t="shared" si="13"/>
        <v>1</v>
      </c>
      <c r="V21" s="65">
        <f t="shared" si="13"/>
        <v>1</v>
      </c>
      <c r="W21" s="65">
        <f t="shared" si="13"/>
        <v>1</v>
      </c>
      <c r="X21" s="65">
        <f t="shared" ref="X21:Y21" si="14">IF(X7=0,0,X7/X$7)</f>
        <v>1</v>
      </c>
      <c r="Y21" s="65">
        <f t="shared" si="14"/>
        <v>1</v>
      </c>
      <c r="DA21" s="172"/>
    </row>
    <row r="22" spans="1:105" ht="11.45" customHeight="1" x14ac:dyDescent="0.25">
      <c r="A22" s="55" t="s">
        <v>166</v>
      </c>
      <c r="B22" s="66">
        <f t="shared" si="13"/>
        <v>0.43065678572970084</v>
      </c>
      <c r="C22" s="66">
        <f t="shared" si="13"/>
        <v>0.43054663887420841</v>
      </c>
      <c r="D22" s="66">
        <f t="shared" si="13"/>
        <v>0.40913597970502069</v>
      </c>
      <c r="E22" s="66">
        <f t="shared" si="13"/>
        <v>0.38197745696469165</v>
      </c>
      <c r="F22" s="66">
        <f t="shared" si="13"/>
        <v>0.41193723061500687</v>
      </c>
      <c r="G22" s="66">
        <f t="shared" si="13"/>
        <v>0.41539122489781677</v>
      </c>
      <c r="H22" s="66">
        <f t="shared" si="13"/>
        <v>0.40023572177403061</v>
      </c>
      <c r="I22" s="66">
        <f t="shared" si="13"/>
        <v>0.38060447079275828</v>
      </c>
      <c r="J22" s="66">
        <f t="shared" si="13"/>
        <v>0.37738150569558948</v>
      </c>
      <c r="K22" s="66">
        <f t="shared" si="13"/>
        <v>0.39871618484101129</v>
      </c>
      <c r="L22" s="66">
        <f t="shared" si="13"/>
        <v>0.40089970150517085</v>
      </c>
      <c r="M22" s="66">
        <f t="shared" si="13"/>
        <v>0.40375047854025425</v>
      </c>
      <c r="N22" s="66">
        <f t="shared" si="13"/>
        <v>0.40702726380891191</v>
      </c>
      <c r="O22" s="66">
        <f t="shared" si="13"/>
        <v>0.40765347422806364</v>
      </c>
      <c r="P22" s="66">
        <f t="shared" si="13"/>
        <v>0.41930174384715424</v>
      </c>
      <c r="Q22" s="66">
        <f t="shared" si="13"/>
        <v>0.39981280688009474</v>
      </c>
      <c r="R22" s="66">
        <f t="shared" si="13"/>
        <v>0.39477397872709041</v>
      </c>
      <c r="S22" s="66">
        <f t="shared" si="13"/>
        <v>0.39956261910552948</v>
      </c>
      <c r="T22" s="66">
        <f t="shared" si="13"/>
        <v>0.42990734179115409</v>
      </c>
      <c r="U22" s="66">
        <f t="shared" si="13"/>
        <v>0.47257245705240797</v>
      </c>
      <c r="V22" s="66">
        <f t="shared" si="13"/>
        <v>0.45206688818516383</v>
      </c>
      <c r="W22" s="66">
        <f t="shared" si="13"/>
        <v>0.46284691608385775</v>
      </c>
      <c r="X22" s="66">
        <f t="shared" ref="X22:Y22" si="15">IF(X8=0,0,X8/X$7)</f>
        <v>0.44800074490661262</v>
      </c>
      <c r="Y22" s="66">
        <f t="shared" si="15"/>
        <v>0.43360742041990025</v>
      </c>
      <c r="DA22" s="181"/>
    </row>
    <row r="23" spans="1:105" ht="11.45" customHeight="1" x14ac:dyDescent="0.25">
      <c r="A23" s="57" t="s">
        <v>167</v>
      </c>
      <c r="B23" s="67">
        <f t="shared" si="13"/>
        <v>0.5693432142702991</v>
      </c>
      <c r="C23" s="67">
        <f t="shared" si="13"/>
        <v>0.56945336112579159</v>
      </c>
      <c r="D23" s="67">
        <f t="shared" si="13"/>
        <v>0.59086402029497931</v>
      </c>
      <c r="E23" s="67">
        <f t="shared" si="13"/>
        <v>0.61802254303530835</v>
      </c>
      <c r="F23" s="67">
        <f t="shared" si="13"/>
        <v>0.58806276938499313</v>
      </c>
      <c r="G23" s="67">
        <f t="shared" si="13"/>
        <v>0.58460877510218323</v>
      </c>
      <c r="H23" s="67">
        <f t="shared" si="13"/>
        <v>0.59976427822596945</v>
      </c>
      <c r="I23" s="67">
        <f t="shared" si="13"/>
        <v>0.61939552920724172</v>
      </c>
      <c r="J23" s="67">
        <f t="shared" si="13"/>
        <v>0.62261849430441052</v>
      </c>
      <c r="K23" s="67">
        <f t="shared" si="13"/>
        <v>0.60128381515898865</v>
      </c>
      <c r="L23" s="67">
        <f t="shared" si="13"/>
        <v>0.59910029849482904</v>
      </c>
      <c r="M23" s="67">
        <f t="shared" si="13"/>
        <v>0.59624952145974575</v>
      </c>
      <c r="N23" s="67">
        <f t="shared" si="13"/>
        <v>0.59297273619108803</v>
      </c>
      <c r="O23" s="67">
        <f t="shared" si="13"/>
        <v>0.59234652577193636</v>
      </c>
      <c r="P23" s="67">
        <f t="shared" si="13"/>
        <v>0.58069825615284587</v>
      </c>
      <c r="Q23" s="67">
        <f t="shared" si="13"/>
        <v>0.6001871931199052</v>
      </c>
      <c r="R23" s="67">
        <f t="shared" si="13"/>
        <v>0.60522602127290959</v>
      </c>
      <c r="S23" s="67">
        <f t="shared" si="13"/>
        <v>0.60043738089447041</v>
      </c>
      <c r="T23" s="67">
        <f t="shared" si="13"/>
        <v>0.5700926582088458</v>
      </c>
      <c r="U23" s="67">
        <f t="shared" si="13"/>
        <v>0.52742754294759198</v>
      </c>
      <c r="V23" s="67">
        <f t="shared" si="13"/>
        <v>0.54793311181483628</v>
      </c>
      <c r="W23" s="67">
        <f t="shared" si="13"/>
        <v>0.53715308391614225</v>
      </c>
      <c r="X23" s="67">
        <f t="shared" ref="X23:Y23" si="16">IF(X9=0,0,X9/X$7)</f>
        <v>0.55199925509338732</v>
      </c>
      <c r="Y23" s="67">
        <f t="shared" si="16"/>
        <v>0.5663925795800997</v>
      </c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  <row r="25" spans="1:105" ht="11.45" customHeight="1" x14ac:dyDescent="0.25">
      <c r="A25" s="18" t="s">
        <v>168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A29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61</v>
      </c>
      <c r="B3" s="62">
        <f>SUM(B4,B10)</f>
        <v>666.64402407566638</v>
      </c>
      <c r="C3" s="62">
        <f t="shared" ref="C3:W3" si="0">SUM(C4,C10)</f>
        <v>476.77196904557172</v>
      </c>
      <c r="D3" s="62">
        <f t="shared" si="0"/>
        <v>483.63688736027507</v>
      </c>
      <c r="E3" s="62">
        <f t="shared" si="0"/>
        <v>580.7053310404126</v>
      </c>
      <c r="F3" s="62">
        <f t="shared" si="0"/>
        <v>655.94196044711941</v>
      </c>
      <c r="G3" s="62">
        <f t="shared" si="0"/>
        <v>577.51332760103196</v>
      </c>
      <c r="H3" s="62">
        <f t="shared" si="0"/>
        <v>632.04978503869302</v>
      </c>
      <c r="I3" s="62">
        <f t="shared" si="0"/>
        <v>493.69441100601887</v>
      </c>
      <c r="J3" s="62">
        <f t="shared" si="0"/>
        <v>526.5357695614789</v>
      </c>
      <c r="K3" s="62">
        <f t="shared" si="0"/>
        <v>474.06139294926913</v>
      </c>
      <c r="L3" s="62">
        <f t="shared" si="0"/>
        <v>458.39303525365426</v>
      </c>
      <c r="M3" s="62">
        <f t="shared" si="0"/>
        <v>558.92338779019769</v>
      </c>
      <c r="N3" s="62">
        <f t="shared" si="0"/>
        <v>603.49191745485814</v>
      </c>
      <c r="O3" s="62">
        <f t="shared" si="0"/>
        <v>643.42699914015475</v>
      </c>
      <c r="P3" s="62">
        <f t="shared" si="0"/>
        <v>605.09217540842656</v>
      </c>
      <c r="Q3" s="62">
        <f t="shared" si="0"/>
        <v>641.27730008598451</v>
      </c>
      <c r="R3" s="62">
        <f t="shared" si="0"/>
        <v>762.94539982803099</v>
      </c>
      <c r="S3" s="62">
        <f t="shared" si="0"/>
        <v>776.82424763542554</v>
      </c>
      <c r="T3" s="62">
        <f t="shared" si="0"/>
        <v>808.40825451418755</v>
      </c>
      <c r="U3" s="62">
        <f t="shared" si="0"/>
        <v>952.30128976784192</v>
      </c>
      <c r="V3" s="62">
        <f t="shared" si="0"/>
        <v>686.58968185726565</v>
      </c>
      <c r="W3" s="62">
        <f t="shared" si="0"/>
        <v>659.35984522785907</v>
      </c>
      <c r="X3" s="62">
        <f t="shared" ref="X3:Y3" si="1">SUM(X4,X10)</f>
        <v>701.60214961306951</v>
      </c>
      <c r="Y3" s="62">
        <f t="shared" si="1"/>
        <v>586.74686156491828</v>
      </c>
      <c r="DA3" s="172" t="s">
        <v>970</v>
      </c>
    </row>
    <row r="4" spans="1:105" ht="11.45" customHeight="1" x14ac:dyDescent="0.25">
      <c r="A4" s="70" t="s">
        <v>166</v>
      </c>
      <c r="B4" s="71">
        <f>SUM(B5:B9)</f>
        <v>272.91122343780069</v>
      </c>
      <c r="C4" s="71">
        <f t="shared" ref="C4:W4" si="2">SUM(C5:C9)</f>
        <v>194.99107124908704</v>
      </c>
      <c r="D4" s="71">
        <f t="shared" si="2"/>
        <v>193.19514453191124</v>
      </c>
      <c r="E4" s="71">
        <f t="shared" si="2"/>
        <v>220.35538036760857</v>
      </c>
      <c r="F4" s="71">
        <f t="shared" si="2"/>
        <v>263.54617361488818</v>
      </c>
      <c r="G4" s="71">
        <f t="shared" si="2"/>
        <v>234.9447799964322</v>
      </c>
      <c r="H4" s="71">
        <f t="shared" si="2"/>
        <v>245.55874790745901</v>
      </c>
      <c r="I4" s="71">
        <f t="shared" si="2"/>
        <v>186.21111952749848</v>
      </c>
      <c r="J4" s="71">
        <f t="shared" si="2"/>
        <v>196.23174733376902</v>
      </c>
      <c r="K4" s="71">
        <f t="shared" si="2"/>
        <v>187.41884775099683</v>
      </c>
      <c r="L4" s="71">
        <f t="shared" si="2"/>
        <v>178.11962023273088</v>
      </c>
      <c r="M4" s="71">
        <f t="shared" si="2"/>
        <v>209.42550264579071</v>
      </c>
      <c r="N4" s="71">
        <f t="shared" si="2"/>
        <v>224.24849865255231</v>
      </c>
      <c r="O4" s="71">
        <f t="shared" si="2"/>
        <v>237.39850196826049</v>
      </c>
      <c r="P4" s="71">
        <f t="shared" si="2"/>
        <v>226.8140635846506</v>
      </c>
      <c r="Q4" s="71">
        <f t="shared" si="2"/>
        <v>233.57014902846223</v>
      </c>
      <c r="R4" s="71">
        <f t="shared" si="2"/>
        <v>276.11875430206129</v>
      </c>
      <c r="S4" s="71">
        <f t="shared" si="2"/>
        <v>283.43978998790419</v>
      </c>
      <c r="T4" s="71">
        <f t="shared" si="2"/>
        <v>310.70818071947269</v>
      </c>
      <c r="U4" s="71">
        <f t="shared" si="2"/>
        <v>397.10141799778387</v>
      </c>
      <c r="V4" s="71">
        <f t="shared" si="2"/>
        <v>254.67526644566266</v>
      </c>
      <c r="W4" s="71">
        <f t="shared" si="2"/>
        <v>245.49375116623753</v>
      </c>
      <c r="X4" s="71">
        <f t="shared" ref="X4:Y4" si="3">SUM(X5:X9)</f>
        <v>281.81857746005909</v>
      </c>
      <c r="Y4" s="71">
        <f t="shared" si="3"/>
        <v>232.64931768414954</v>
      </c>
      <c r="DA4" s="186" t="s">
        <v>971</v>
      </c>
    </row>
    <row r="5" spans="1:105" ht="11.45" customHeight="1" x14ac:dyDescent="0.25">
      <c r="A5" s="72" t="s">
        <v>144</v>
      </c>
      <c r="B5" s="73">
        <v>166.54770554769956</v>
      </c>
      <c r="C5" s="73">
        <v>124.69354680427637</v>
      </c>
      <c r="D5" s="73">
        <v>102.1411573646791</v>
      </c>
      <c r="E5" s="73">
        <v>117.75076678683082</v>
      </c>
      <c r="F5" s="73">
        <v>117.4110777815587</v>
      </c>
      <c r="G5" s="73">
        <v>110.15084760578684</v>
      </c>
      <c r="H5" s="73">
        <v>106.61057807479837</v>
      </c>
      <c r="I5" s="73">
        <v>39.161782519044237</v>
      </c>
      <c r="J5" s="73">
        <v>43.12712395134627</v>
      </c>
      <c r="K5" s="73">
        <v>33.809088159524499</v>
      </c>
      <c r="L5" s="73">
        <v>39.739207747762585</v>
      </c>
      <c r="M5" s="73">
        <v>41.363857979436268</v>
      </c>
      <c r="N5" s="73">
        <v>37.843846621798058</v>
      </c>
      <c r="O5" s="73">
        <v>45.512019751790227</v>
      </c>
      <c r="P5" s="73">
        <v>44.931564758613597</v>
      </c>
      <c r="Q5" s="73">
        <v>83.611954854019075</v>
      </c>
      <c r="R5" s="73">
        <v>97.290669796432653</v>
      </c>
      <c r="S5" s="73">
        <v>99.855567580950208</v>
      </c>
      <c r="T5" s="73">
        <v>106.97730157022364</v>
      </c>
      <c r="U5" s="73">
        <v>123.95214806286081</v>
      </c>
      <c r="V5" s="73">
        <v>107.97291357044045</v>
      </c>
      <c r="W5" s="73">
        <v>108.78529441026195</v>
      </c>
      <c r="X5" s="73">
        <v>131.24505131830119</v>
      </c>
      <c r="Y5" s="73">
        <v>124.69409975954099</v>
      </c>
      <c r="DA5" s="187" t="s">
        <v>972</v>
      </c>
    </row>
    <row r="6" spans="1:105" ht="11.45" customHeight="1" x14ac:dyDescent="0.25">
      <c r="A6" s="72" t="s">
        <v>145</v>
      </c>
      <c r="B6" s="73">
        <v>106.36351789010115</v>
      </c>
      <c r="C6" s="73">
        <v>70.297524444810691</v>
      </c>
      <c r="D6" s="73">
        <v>91.053987167232137</v>
      </c>
      <c r="E6" s="73">
        <v>102.60461358077775</v>
      </c>
      <c r="F6" s="73">
        <v>146.13509583332944</v>
      </c>
      <c r="G6" s="73">
        <v>124.79393239064535</v>
      </c>
      <c r="H6" s="73">
        <v>138.94816983266065</v>
      </c>
      <c r="I6" s="73">
        <v>147.04933700845424</v>
      </c>
      <c r="J6" s="73">
        <v>153.10462338242274</v>
      </c>
      <c r="K6" s="73">
        <v>153.60975959147234</v>
      </c>
      <c r="L6" s="73">
        <v>138.3804124849683</v>
      </c>
      <c r="M6" s="73">
        <v>168.06164466635445</v>
      </c>
      <c r="N6" s="73">
        <v>186.40465203075425</v>
      </c>
      <c r="O6" s="73">
        <v>191.88648221647026</v>
      </c>
      <c r="P6" s="73">
        <v>181.88249882603699</v>
      </c>
      <c r="Q6" s="73">
        <v>149.95819417444315</v>
      </c>
      <c r="R6" s="73">
        <v>178.82808450562865</v>
      </c>
      <c r="S6" s="73">
        <v>183.58422240695398</v>
      </c>
      <c r="T6" s="73">
        <v>203.73087914924903</v>
      </c>
      <c r="U6" s="73">
        <v>273.14926993492304</v>
      </c>
      <c r="V6" s="73">
        <v>146.7023528752222</v>
      </c>
      <c r="W6" s="73">
        <v>136.70845675597556</v>
      </c>
      <c r="X6" s="73">
        <v>150.5735261417579</v>
      </c>
      <c r="Y6" s="73">
        <v>107.95521792460855</v>
      </c>
      <c r="DA6" s="187" t="s">
        <v>973</v>
      </c>
    </row>
    <row r="7" spans="1:105" ht="11.45" customHeight="1" x14ac:dyDescent="0.25">
      <c r="A7" s="72" t="s">
        <v>146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X7" s="73">
        <v>0</v>
      </c>
      <c r="Y7" s="73">
        <v>0</v>
      </c>
      <c r="DA7" s="187" t="s">
        <v>974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0</v>
      </c>
      <c r="DA8" s="187" t="s">
        <v>975</v>
      </c>
    </row>
    <row r="9" spans="1:105" ht="11.45" customHeight="1" x14ac:dyDescent="0.25">
      <c r="A9" s="74" t="s">
        <v>147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>
        <v>0</v>
      </c>
      <c r="Y9" s="75">
        <v>0</v>
      </c>
      <c r="DA9" s="188" t="s">
        <v>976</v>
      </c>
    </row>
    <row r="10" spans="1:105" ht="11.45" customHeight="1" x14ac:dyDescent="0.25">
      <c r="A10" s="70" t="s">
        <v>167</v>
      </c>
      <c r="B10" s="71">
        <f>SUM(B11:B15)</f>
        <v>393.73280063786569</v>
      </c>
      <c r="C10" s="71">
        <f t="shared" ref="C10:W10" si="4">SUM(C11:C15)</f>
        <v>281.78089779648468</v>
      </c>
      <c r="D10" s="71">
        <f t="shared" si="4"/>
        <v>290.44174282836383</v>
      </c>
      <c r="E10" s="71">
        <f t="shared" si="4"/>
        <v>360.34995067280397</v>
      </c>
      <c r="F10" s="71">
        <f t="shared" si="4"/>
        <v>392.39578683223124</v>
      </c>
      <c r="G10" s="71">
        <f t="shared" si="4"/>
        <v>342.56854760459976</v>
      </c>
      <c r="H10" s="71">
        <f t="shared" si="4"/>
        <v>386.49103713123395</v>
      </c>
      <c r="I10" s="71">
        <f t="shared" si="4"/>
        <v>307.48329147852041</v>
      </c>
      <c r="J10" s="71">
        <f t="shared" si="4"/>
        <v>330.30402222770988</v>
      </c>
      <c r="K10" s="71">
        <f t="shared" si="4"/>
        <v>286.64254519827227</v>
      </c>
      <c r="L10" s="71">
        <f t="shared" si="4"/>
        <v>280.27341502092338</v>
      </c>
      <c r="M10" s="71">
        <f t="shared" si="4"/>
        <v>349.49788514440695</v>
      </c>
      <c r="N10" s="71">
        <f t="shared" si="4"/>
        <v>379.24341880230577</v>
      </c>
      <c r="O10" s="71">
        <f t="shared" si="4"/>
        <v>406.02849717189423</v>
      </c>
      <c r="P10" s="71">
        <f t="shared" si="4"/>
        <v>378.27811182377593</v>
      </c>
      <c r="Q10" s="71">
        <f t="shared" si="4"/>
        <v>407.70715105752225</v>
      </c>
      <c r="R10" s="71">
        <f t="shared" si="4"/>
        <v>486.8266455259697</v>
      </c>
      <c r="S10" s="71">
        <f t="shared" si="4"/>
        <v>493.38445764752134</v>
      </c>
      <c r="T10" s="71">
        <f t="shared" si="4"/>
        <v>497.7000737947148</v>
      </c>
      <c r="U10" s="71">
        <f t="shared" si="4"/>
        <v>555.19987177005805</v>
      </c>
      <c r="V10" s="71">
        <f t="shared" si="4"/>
        <v>431.91441541160299</v>
      </c>
      <c r="W10" s="71">
        <f t="shared" si="4"/>
        <v>413.8660940616216</v>
      </c>
      <c r="X10" s="71">
        <f t="shared" ref="X10:Y10" si="5">SUM(X11:X15)</f>
        <v>419.78357215301048</v>
      </c>
      <c r="Y10" s="71">
        <f t="shared" si="5"/>
        <v>354.09754388076874</v>
      </c>
      <c r="DA10" s="186" t="s">
        <v>977</v>
      </c>
    </row>
    <row r="11" spans="1:105" ht="11.45" customHeight="1" x14ac:dyDescent="0.25">
      <c r="A11" s="72" t="s">
        <v>144</v>
      </c>
      <c r="B11" s="73">
        <v>45.610763927794835</v>
      </c>
      <c r="C11" s="73">
        <v>33.649101519025429</v>
      </c>
      <c r="D11" s="73">
        <v>29.293580382526407</v>
      </c>
      <c r="E11" s="73">
        <v>36.452242671466671</v>
      </c>
      <c r="F11" s="73">
        <v>32.652206827211693</v>
      </c>
      <c r="G11" s="73">
        <v>30.598163572201166</v>
      </c>
      <c r="H11" s="73">
        <v>32.039464917463036</v>
      </c>
      <c r="I11" s="73">
        <v>12.190066148195655</v>
      </c>
      <c r="J11" s="73">
        <v>13.359892385713055</v>
      </c>
      <c r="K11" s="73">
        <v>9.3265094329088676</v>
      </c>
      <c r="L11" s="73">
        <v>11.612640919477307</v>
      </c>
      <c r="M11" s="73">
        <v>13.069160077313523</v>
      </c>
      <c r="N11" s="73">
        <v>12.481002905287063</v>
      </c>
      <c r="O11" s="73">
        <v>15.083165114933752</v>
      </c>
      <c r="P11" s="73">
        <v>14.63662096795562</v>
      </c>
      <c r="Q11" s="73">
        <v>28.335078679944832</v>
      </c>
      <c r="R11" s="73">
        <v>33.14303613649944</v>
      </c>
      <c r="S11" s="73">
        <v>33.931448756109098</v>
      </c>
      <c r="T11" s="73">
        <v>33.256404362708466</v>
      </c>
      <c r="U11" s="73">
        <v>33.508127087612102</v>
      </c>
      <c r="V11" s="73">
        <v>35.492950574013541</v>
      </c>
      <c r="W11" s="73">
        <v>36.034138091887634</v>
      </c>
      <c r="X11" s="73">
        <v>38.165782731569813</v>
      </c>
      <c r="Y11" s="73">
        <v>36.659640567200199</v>
      </c>
      <c r="DA11" s="187" t="s">
        <v>978</v>
      </c>
    </row>
    <row r="12" spans="1:105" ht="11.45" customHeight="1" x14ac:dyDescent="0.25">
      <c r="A12" s="72" t="s">
        <v>145</v>
      </c>
      <c r="B12" s="73">
        <v>348.12203671007086</v>
      </c>
      <c r="C12" s="73">
        <v>248.13179627745927</v>
      </c>
      <c r="D12" s="73">
        <v>261.14816244583744</v>
      </c>
      <c r="E12" s="73">
        <v>323.89770800133732</v>
      </c>
      <c r="F12" s="73">
        <v>359.74358000501957</v>
      </c>
      <c r="G12" s="73">
        <v>311.97038403239861</v>
      </c>
      <c r="H12" s="73">
        <v>354.45157221377093</v>
      </c>
      <c r="I12" s="73">
        <v>295.29322533032473</v>
      </c>
      <c r="J12" s="73">
        <v>316.94412984199681</v>
      </c>
      <c r="K12" s="73">
        <v>277.31603576536338</v>
      </c>
      <c r="L12" s="73">
        <v>268.66077410144607</v>
      </c>
      <c r="M12" s="73">
        <v>336.42872506709341</v>
      </c>
      <c r="N12" s="73">
        <v>366.76241589701868</v>
      </c>
      <c r="O12" s="73">
        <v>390.94533205696047</v>
      </c>
      <c r="P12" s="73">
        <v>363.64149085582034</v>
      </c>
      <c r="Q12" s="73">
        <v>379.37207237757741</v>
      </c>
      <c r="R12" s="73">
        <v>453.68360938947023</v>
      </c>
      <c r="S12" s="73">
        <v>459.45300889141225</v>
      </c>
      <c r="T12" s="73">
        <v>464.44366943200635</v>
      </c>
      <c r="U12" s="73">
        <v>521.69174468244591</v>
      </c>
      <c r="V12" s="73">
        <v>396.42146483758944</v>
      </c>
      <c r="W12" s="73">
        <v>377.83195596973394</v>
      </c>
      <c r="X12" s="73">
        <v>381.61778942144065</v>
      </c>
      <c r="Y12" s="73">
        <v>317.43790331356854</v>
      </c>
      <c r="DA12" s="187" t="s">
        <v>979</v>
      </c>
    </row>
    <row r="13" spans="1:105" ht="11.45" customHeight="1" x14ac:dyDescent="0.25">
      <c r="A13" s="72" t="s">
        <v>146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0</v>
      </c>
      <c r="DA13" s="187" t="s">
        <v>980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0</v>
      </c>
      <c r="DA14" s="187" t="s">
        <v>981</v>
      </c>
    </row>
    <row r="15" spans="1:105" ht="11.45" customHeight="1" x14ac:dyDescent="0.25">
      <c r="A15" s="74" t="s">
        <v>147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>
        <v>0</v>
      </c>
      <c r="Y15" s="75">
        <v>0</v>
      </c>
      <c r="DA15" s="188" t="s">
        <v>982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DA18" s="181"/>
    </row>
    <row r="19" spans="1:105" ht="11.45" customHeight="1" x14ac:dyDescent="0.25">
      <c r="A19" s="53" t="s">
        <v>62</v>
      </c>
      <c r="B19" s="62">
        <f>IF(B3=0,0,B3/MBunk_act!B7*100)</f>
        <v>8174.4335915356696</v>
      </c>
      <c r="C19" s="62">
        <f>IF(C3=0,0,C3/MBunk_act!C7*100)</f>
        <v>6263.3130360839768</v>
      </c>
      <c r="D19" s="62">
        <f>IF(D3=0,0,D3/MBunk_act!D7*100)</f>
        <v>6316.5417998874063</v>
      </c>
      <c r="E19" s="62">
        <f>IF(E3=0,0,E3/MBunk_act!E7*100)</f>
        <v>8177.4948036055075</v>
      </c>
      <c r="F19" s="62">
        <f>IF(F3=0,0,F3/MBunk_act!F7*100)</f>
        <v>9319.0544137031702</v>
      </c>
      <c r="G19" s="62">
        <f>IF(G3=0,0,G3/MBunk_act!G7*100)</f>
        <v>7557.4269747072422</v>
      </c>
      <c r="H19" s="62">
        <f>IF(H3=0,0,H3/MBunk_act!H7*100)</f>
        <v>8265.1667926877999</v>
      </c>
      <c r="I19" s="62">
        <f>IF(I3=0,0,I3/MBunk_act!I7*100)</f>
        <v>6664.5492186111478</v>
      </c>
      <c r="J19" s="62">
        <f>IF(J3=0,0,J3/MBunk_act!J7*100)</f>
        <v>7729.8027964200583</v>
      </c>
      <c r="K19" s="62">
        <f>IF(K3=0,0,K3/MBunk_act!K7*100)</f>
        <v>7856.2400289096895</v>
      </c>
      <c r="L19" s="62">
        <f>IF(L3=0,0,L3/MBunk_act!L7*100)</f>
        <v>6978.5255639371326</v>
      </c>
      <c r="M19" s="62">
        <f>IF(M3=0,0,M3/MBunk_act!M7*100)</f>
        <v>7930.8329167329684</v>
      </c>
      <c r="N19" s="62">
        <f>IF(N3=0,0,N3/MBunk_act!N7*100)</f>
        <v>9071.9805902843</v>
      </c>
      <c r="O19" s="62">
        <f>IF(O3=0,0,O3/MBunk_act!O7*100)</f>
        <v>8407.518875161355</v>
      </c>
      <c r="P19" s="62">
        <f>IF(P3=0,0,P3/MBunk_act!P7*100)</f>
        <v>7722.9052565372303</v>
      </c>
      <c r="Q19" s="62">
        <f>IF(Q3=0,0,Q3/MBunk_act!Q7*100)</f>
        <v>8337.4564889235753</v>
      </c>
      <c r="R19" s="62">
        <f>IF(R3=0,0,R3/MBunk_act!R7*100)</f>
        <v>9856.835685746124</v>
      </c>
      <c r="S19" s="62">
        <f>IF(S3=0,0,S3/MBunk_act!S7*100)</f>
        <v>9644.8303700793294</v>
      </c>
      <c r="T19" s="62">
        <f>IF(T3=0,0,T3/MBunk_act!T7*100)</f>
        <v>9882.4044328339842</v>
      </c>
      <c r="U19" s="62">
        <f>IF(U3=0,0,U3/MBunk_act!U7*100)</f>
        <v>11674.101522839208</v>
      </c>
      <c r="V19" s="62">
        <f>IF(V3=0,0,V3/MBunk_act!V7*100)</f>
        <v>9496.2733808412177</v>
      </c>
      <c r="W19" s="62">
        <f>IF(W3=0,0,W3/MBunk_act!W7*100)</f>
        <v>8468.2213048695121</v>
      </c>
      <c r="X19" s="62">
        <f>IF(X3=0,0,X3/MBunk_act!X7*100)</f>
        <v>8269.4316564456476</v>
      </c>
      <c r="Y19" s="62">
        <f>IF(Y3=0,0,Y3/MBunk_act!Y7*100)</f>
        <v>7013.2021210871617</v>
      </c>
      <c r="DA19" s="172" t="s">
        <v>983</v>
      </c>
    </row>
    <row r="20" spans="1:105" ht="11.45" customHeight="1" x14ac:dyDescent="0.25">
      <c r="A20" s="55" t="s">
        <v>166</v>
      </c>
      <c r="B20" s="63">
        <f>IF(B4=0,0,B4/MBunk_act!B8*100)</f>
        <v>7770.5861792839014</v>
      </c>
      <c r="C20" s="63">
        <f>IF(C4=0,0,C4/MBunk_act!C8*100)</f>
        <v>5949.6021593189389</v>
      </c>
      <c r="D20" s="63">
        <f>IF(D4=0,0,D4/MBunk_act!D8*100)</f>
        <v>6167.206508670417</v>
      </c>
      <c r="E20" s="63">
        <f>IF(E4=0,0,E4/MBunk_act!E8*100)</f>
        <v>8123.6347711689914</v>
      </c>
      <c r="F20" s="63">
        <f>IF(F4=0,0,F4/MBunk_act!F8*100)</f>
        <v>9089.3348743369806</v>
      </c>
      <c r="G20" s="63">
        <f>IF(G4=0,0,G4/MBunk_act!G8*100)</f>
        <v>7401.5117123037371</v>
      </c>
      <c r="H20" s="63">
        <f>IF(H4=0,0,H4/MBunk_act!H8*100)</f>
        <v>8023.0573541568947</v>
      </c>
      <c r="I20" s="63">
        <f>IF(I4=0,0,I4/MBunk_act!I8*100)</f>
        <v>6604.5661544176837</v>
      </c>
      <c r="J20" s="63">
        <f>IF(J4=0,0,J4/MBunk_act!J8*100)</f>
        <v>7633.5963684341177</v>
      </c>
      <c r="K20" s="63">
        <f>IF(K4=0,0,K4/MBunk_act!K8*100)</f>
        <v>7789.8582318133749</v>
      </c>
      <c r="L20" s="63">
        <f>IF(L4=0,0,L4/MBunk_act!L8*100)</f>
        <v>6763.9702840642276</v>
      </c>
      <c r="M20" s="63">
        <f>IF(M4=0,0,M4/MBunk_act!M8*100)</f>
        <v>7360.0884595211301</v>
      </c>
      <c r="N20" s="63">
        <f>IF(N4=0,0,N4/MBunk_act!N8*100)</f>
        <v>8282.0280690632444</v>
      </c>
      <c r="O20" s="63">
        <f>IF(O4=0,0,O4/MBunk_act!O8*100)</f>
        <v>7609.4873009311741</v>
      </c>
      <c r="P20" s="63">
        <f>IF(P4=0,0,P4/MBunk_act!P8*100)</f>
        <v>6904.0269954049254</v>
      </c>
      <c r="Q20" s="63">
        <f>IF(Q4=0,0,Q4/MBunk_act!Q8*100)</f>
        <v>7595.3597681448473</v>
      </c>
      <c r="R20" s="63">
        <f>IF(R4=0,0,R4/MBunk_act!R8*100)</f>
        <v>9036.3167287829947</v>
      </c>
      <c r="S20" s="63">
        <f>IF(S4=0,0,S4/MBunk_act!S8*100)</f>
        <v>8807.40134198944</v>
      </c>
      <c r="T20" s="63">
        <f>IF(T4=0,0,T4/MBunk_act!T8*100)</f>
        <v>8835.064207343934</v>
      </c>
      <c r="U20" s="63">
        <f>IF(U4=0,0,U4/MBunk_act!U8*100)</f>
        <v>10301.064941037803</v>
      </c>
      <c r="V20" s="63">
        <f>IF(V4=0,0,V4/MBunk_act!V8*100)</f>
        <v>7791.8396629897161</v>
      </c>
      <c r="W20" s="63">
        <f>IF(W4=0,0,W4/MBunk_act!W8*100)</f>
        <v>6811.9707037912558</v>
      </c>
      <c r="X20" s="63">
        <f>IF(X4=0,0,X4/MBunk_act!X8*100)</f>
        <v>7414.3935373286449</v>
      </c>
      <c r="Y20" s="63">
        <f>IF(Y4=0,0,Y4/MBunk_act!Y8*100)</f>
        <v>6413.1390673686055</v>
      </c>
      <c r="DA20" s="181" t="s">
        <v>984</v>
      </c>
    </row>
    <row r="21" spans="1:105" ht="11.45" customHeight="1" x14ac:dyDescent="0.25">
      <c r="A21" s="57" t="s">
        <v>167</v>
      </c>
      <c r="B21" s="64">
        <f>IF(B10=0,0,B10/MBunk_act!B9*100)</f>
        <v>8479.9077310817247</v>
      </c>
      <c r="C21" s="64">
        <f>IF(C10=0,0,C10/MBunk_act!C9*100)</f>
        <v>6500.5004385824786</v>
      </c>
      <c r="D21" s="64">
        <f>IF(D10=0,0,D10/MBunk_act!D9*100)</f>
        <v>6419.9470480967902</v>
      </c>
      <c r="E21" s="64">
        <f>IF(E10=0,0,E10/MBunk_act!E9*100)</f>
        <v>8210.7837482467385</v>
      </c>
      <c r="F21" s="64">
        <f>IF(F10=0,0,F10/MBunk_act!F9*100)</f>
        <v>9479.9726622153612</v>
      </c>
      <c r="G21" s="64">
        <f>IF(G10=0,0,G10/MBunk_act!G9*100)</f>
        <v>7668.211886922657</v>
      </c>
      <c r="H21" s="64">
        <f>IF(H10=0,0,H10/MBunk_act!H9*100)</f>
        <v>8426.7316764206935</v>
      </c>
      <c r="I21" s="64">
        <f>IF(I10=0,0,I10/MBunk_act!I9*100)</f>
        <v>6701.4074478481307</v>
      </c>
      <c r="J21" s="64">
        <f>IF(J10=0,0,J10/MBunk_act!J9*100)</f>
        <v>7788.1154340674357</v>
      </c>
      <c r="K21" s="64">
        <f>IF(K10=0,0,K10/MBunk_act!K9*100)</f>
        <v>7900.2583380905789</v>
      </c>
      <c r="L21" s="64">
        <f>IF(L10=0,0,L10/MBunk_act!L9*100)</f>
        <v>7122.0994327425897</v>
      </c>
      <c r="M21" s="64">
        <f>IF(M10=0,0,M10/MBunk_act!M9*100)</f>
        <v>8317.31263609495</v>
      </c>
      <c r="N21" s="64">
        <f>IF(N10=0,0,N10/MBunk_act!N9*100)</f>
        <v>9614.2183587808613</v>
      </c>
      <c r="O21" s="64">
        <f>IF(O10=0,0,O10/MBunk_act!O9*100)</f>
        <v>8956.7250064114232</v>
      </c>
      <c r="P21" s="64">
        <f>IF(P10=0,0,P10/MBunk_act!P9*100)</f>
        <v>8314.1883872393228</v>
      </c>
      <c r="Q21" s="64">
        <f>IF(Q10=0,0,Q10/MBunk_act!Q9*100)</f>
        <v>8831.8018803484538</v>
      </c>
      <c r="R21" s="64">
        <f>IF(R10=0,0,R10/MBunk_act!R9*100)</f>
        <v>10392.039926601583</v>
      </c>
      <c r="S21" s="64">
        <f>IF(S10=0,0,S10/MBunk_act!S9*100)</f>
        <v>10202.09969811506</v>
      </c>
      <c r="T21" s="64">
        <f>IF(T10=0,0,T10/MBunk_act!T9*100)</f>
        <v>10672.204557091029</v>
      </c>
      <c r="U21" s="64">
        <f>IF(U10=0,0,U10/MBunk_act!U9*100)</f>
        <v>12904.335475845342</v>
      </c>
      <c r="V21" s="64">
        <f>IF(V10=0,0,V10/MBunk_act!V9*100)</f>
        <v>10902.499853256668</v>
      </c>
      <c r="W21" s="64">
        <f>IF(W10=0,0,W10/MBunk_act!W9*100)</f>
        <v>9895.3572665254305</v>
      </c>
      <c r="X21" s="64">
        <f>IF(X10=0,0,X10/MBunk_act!X9*100)</f>
        <v>8963.3777274836611</v>
      </c>
      <c r="Y21" s="64">
        <f>IF(Y10=0,0,Y10/MBunk_act!Y9*100)</f>
        <v>7472.5863047660641</v>
      </c>
      <c r="DA21" s="182" t="s">
        <v>985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DA22" s="181"/>
    </row>
    <row r="23" spans="1:105" ht="11.45" customHeight="1" x14ac:dyDescent="0.25">
      <c r="A23" s="53" t="s">
        <v>63</v>
      </c>
      <c r="B23" s="62">
        <f>IF(B3=0,0,B3/MBunk_act!B3*1000)</f>
        <v>5.3813860536035154</v>
      </c>
      <c r="C23" s="62">
        <f>IF(C3=0,0,C3/MBunk_act!C3*1000)</f>
        <v>3.8850629883456356</v>
      </c>
      <c r="D23" s="62">
        <f>IF(D3=0,0,D3/MBunk_act!D3*1000)</f>
        <v>3.9184812206473274</v>
      </c>
      <c r="E23" s="62">
        <f>IF(E3=0,0,E3/MBunk_act!E3*1000)</f>
        <v>4.8699767486571757</v>
      </c>
      <c r="F23" s="62">
        <f>IF(F3=0,0,F3/MBunk_act!F3*1000)</f>
        <v>5.5549303675574082</v>
      </c>
      <c r="G23" s="62">
        <f>IF(G3=0,0,G3/MBunk_act!G3*1000)</f>
        <v>4.6399673052344133</v>
      </c>
      <c r="H23" s="62">
        <f>IF(H3=0,0,H3/MBunk_act!H3*1000)</f>
        <v>4.734595631344769</v>
      </c>
      <c r="I23" s="62">
        <f>IF(I3=0,0,I3/MBunk_act!I3*1000)</f>
        <v>3.7150110518606154</v>
      </c>
      <c r="J23" s="62">
        <f>IF(J3=0,0,J3/MBunk_act!J3*1000)</f>
        <v>3.9937344920172522</v>
      </c>
      <c r="K23" s="62">
        <f>IF(K3=0,0,K3/MBunk_act!K3*1000)</f>
        <v>4.2592265618713281</v>
      </c>
      <c r="L23" s="62">
        <f>IF(L3=0,0,L3/MBunk_act!L3*1000)</f>
        <v>3.6344277612296247</v>
      </c>
      <c r="M23" s="62">
        <f>IF(M3=0,0,M3/MBunk_act!M3*1000)</f>
        <v>3.9468161598410219</v>
      </c>
      <c r="N23" s="62">
        <f>IF(N3=0,0,N3/MBunk_act!N3*1000)</f>
        <v>4.2735471570898769</v>
      </c>
      <c r="O23" s="62">
        <f>IF(O3=0,0,O3/MBunk_act!O3*1000)</f>
        <v>3.7721222706070785</v>
      </c>
      <c r="P23" s="62">
        <f>IF(P3=0,0,P3/MBunk_act!P3*1000)</f>
        <v>3.4708591723553726</v>
      </c>
      <c r="Q23" s="62">
        <f>IF(Q3=0,0,Q3/MBunk_act!Q3*1000)</f>
        <v>3.407860744663648</v>
      </c>
      <c r="R23" s="62">
        <f>IF(R3=0,0,R3/MBunk_act!R3*1000)</f>
        <v>3.9503516859812304</v>
      </c>
      <c r="S23" s="62">
        <f>IF(S3=0,0,S3/MBunk_act!S3*1000)</f>
        <v>3.7880694748065626</v>
      </c>
      <c r="T23" s="62">
        <f>IF(T3=0,0,T3/MBunk_act!T3*1000)</f>
        <v>4.1276631587966701</v>
      </c>
      <c r="U23" s="62">
        <f>IF(U3=0,0,U3/MBunk_act!U3*1000)</f>
        <v>5.2666712835446292</v>
      </c>
      <c r="V23" s="62">
        <f>IF(V3=0,0,V3/MBunk_act!V3*1000)</f>
        <v>4.101991028429679</v>
      </c>
      <c r="W23" s="62">
        <f>IF(W3=0,0,W3/MBunk_act!W3*1000)</f>
        <v>3.678416570476791</v>
      </c>
      <c r="X23" s="62">
        <f>IF(X3=0,0,X3/MBunk_act!X3*1000)</f>
        <v>3.8284130101785312</v>
      </c>
      <c r="Y23" s="62">
        <f>IF(Y3=0,0,Y3/MBunk_act!Y3*1000)</f>
        <v>3.0485307286389678</v>
      </c>
      <c r="DA23" s="172" t="s">
        <v>432</v>
      </c>
    </row>
    <row r="24" spans="1:105" ht="11.45" customHeight="1" x14ac:dyDescent="0.25">
      <c r="A24" s="55" t="s">
        <v>166</v>
      </c>
      <c r="B24" s="63">
        <f>IF(B4=0,0,B4/MBunk_act!B4*1000)</f>
        <v>13.034174824847479</v>
      </c>
      <c r="C24" s="63">
        <f>IF(C4=0,0,C4/MBunk_act!C4*1000)</f>
        <v>9.6623327399376695</v>
      </c>
      <c r="D24" s="63">
        <f>IF(D4=0,0,D4/MBunk_act!D4*1000)</f>
        <v>9.6742936083043709</v>
      </c>
      <c r="E24" s="63">
        <f>IF(E4=0,0,E4/MBunk_act!E4*1000)</f>
        <v>12.522899678057209</v>
      </c>
      <c r="F24" s="63">
        <f>IF(F4=0,0,F4/MBunk_act!F4*1000)</f>
        <v>13.759056290514437</v>
      </c>
      <c r="G24" s="63">
        <f>IF(G4=0,0,G4/MBunk_act!G4*1000)</f>
        <v>11.380579597315936</v>
      </c>
      <c r="H24" s="63">
        <f>IF(H4=0,0,H4/MBunk_act!H4*1000)</f>
        <v>12.180052116048087</v>
      </c>
      <c r="I24" s="63">
        <f>IF(I4=0,0,I4/MBunk_act!I4*1000)</f>
        <v>9.9175277843841378</v>
      </c>
      <c r="J24" s="63">
        <f>IF(J4=0,0,J4/MBunk_act!J4*1000)</f>
        <v>10.931990690773606</v>
      </c>
      <c r="K24" s="63">
        <f>IF(K4=0,0,K4/MBunk_act!K4*1000)</f>
        <v>11.161016825397393</v>
      </c>
      <c r="L24" s="63">
        <f>IF(L4=0,0,L4/MBunk_act!L4*1000)</f>
        <v>9.7391274074032417</v>
      </c>
      <c r="M24" s="63">
        <f>IF(M4=0,0,M4/MBunk_act!M4*1000)</f>
        <v>11.242407889030956</v>
      </c>
      <c r="N24" s="63">
        <f>IF(N4=0,0,N4/MBunk_act!N4*1000)</f>
        <v>12.37295818686205</v>
      </c>
      <c r="O24" s="63">
        <f>IF(O4=0,0,O4/MBunk_act!O4*1000)</f>
        <v>11.0610525673839</v>
      </c>
      <c r="P24" s="63">
        <f>IF(P4=0,0,P4/MBunk_act!P4*1000)</f>
        <v>9.9661120300009713</v>
      </c>
      <c r="Q24" s="63">
        <f>IF(Q4=0,0,Q4/MBunk_act!Q4*1000)</f>
        <v>10.019630901528668</v>
      </c>
      <c r="R24" s="63">
        <f>IF(R4=0,0,R4/MBunk_act!R4*1000)</f>
        <v>11.514105981159133</v>
      </c>
      <c r="S24" s="63">
        <f>IF(S4=0,0,S4/MBunk_act!S4*1000)</f>
        <v>11.058645010016066</v>
      </c>
      <c r="T24" s="63">
        <f>IF(T4=0,0,T4/MBunk_act!T4*1000)</f>
        <v>11.58150993160465</v>
      </c>
      <c r="U24" s="63">
        <f>IF(U4=0,0,U4/MBunk_act!U4*1000)</f>
        <v>13.780930111679563</v>
      </c>
      <c r="V24" s="63">
        <f>IF(V4=0,0,V4/MBunk_act!V4*1000)</f>
        <v>9.6132201954160728</v>
      </c>
      <c r="W24" s="63">
        <f>IF(W4=0,0,W4/MBunk_act!W4*1000)</f>
        <v>8.8908649596817995</v>
      </c>
      <c r="X24" s="63">
        <f>IF(X4=0,0,X4/MBunk_act!X4*1000)</f>
        <v>9.8655844607484315</v>
      </c>
      <c r="Y24" s="63">
        <f>IF(Y4=0,0,Y4/MBunk_act!Y4*1000)</f>
        <v>8.0837236019580363</v>
      </c>
      <c r="DA24" s="181" t="s">
        <v>433</v>
      </c>
    </row>
    <row r="25" spans="1:105" ht="11.45" customHeight="1" x14ac:dyDescent="0.25">
      <c r="A25" s="57" t="s">
        <v>167</v>
      </c>
      <c r="B25" s="64">
        <f>IF(B10=0,0,B10/MBunk_act!B5*1000)</f>
        <v>3.8248214480656983</v>
      </c>
      <c r="C25" s="64">
        <f>IF(C10=0,0,C10/MBunk_act!C5*1000)</f>
        <v>2.7480443736911999</v>
      </c>
      <c r="D25" s="64">
        <f>IF(D10=0,0,D10/MBunk_act!D5*1000)</f>
        <v>2.8074311097360614</v>
      </c>
      <c r="E25" s="64">
        <f>IF(E10=0,0,E10/MBunk_act!E5*1000)</f>
        <v>3.5451563116191833</v>
      </c>
      <c r="F25" s="64">
        <f>IF(F10=0,0,F10/MBunk_act!F5*1000)</f>
        <v>3.9664599712428297</v>
      </c>
      <c r="G25" s="64">
        <f>IF(G10=0,0,G10/MBunk_act!G5*1000)</f>
        <v>3.2996203004774207</v>
      </c>
      <c r="H25" s="64">
        <f>IF(H10=0,0,H10/MBunk_act!H5*1000)</f>
        <v>3.4101554610939133</v>
      </c>
      <c r="I25" s="64">
        <f>IF(I10=0,0,I10/MBunk_act!I5*1000)</f>
        <v>2.6944845177824526</v>
      </c>
      <c r="J25" s="64">
        <f>IF(J10=0,0,J10/MBunk_act!J5*1000)</f>
        <v>2.9001964342212823</v>
      </c>
      <c r="K25" s="64">
        <f>IF(K10=0,0,K10/MBunk_act!K5*1000)</f>
        <v>3.0329350608286552</v>
      </c>
      <c r="L25" s="64">
        <f>IF(L10=0,0,L10/MBunk_act!L5*1000)</f>
        <v>2.5990672002009432</v>
      </c>
      <c r="M25" s="64">
        <f>IF(M10=0,0,M10/MBunk_act!M5*1000)</f>
        <v>2.8417797022404745</v>
      </c>
      <c r="N25" s="64">
        <f>IF(N10=0,0,N10/MBunk_act!N5*1000)</f>
        <v>3.0809851090500504</v>
      </c>
      <c r="O25" s="64">
        <f>IF(O10=0,0,O10/MBunk_act!O5*1000)</f>
        <v>2.722981978518678</v>
      </c>
      <c r="P25" s="64">
        <f>IF(P10=0,0,P10/MBunk_act!P5*1000)</f>
        <v>2.4956258369846651</v>
      </c>
      <c r="Q25" s="64">
        <f>IF(Q10=0,0,Q10/MBunk_act!Q5*1000)</f>
        <v>2.4729809021093607</v>
      </c>
      <c r="R25" s="64">
        <f>IF(R10=0,0,R10/MBunk_act!R5*1000)</f>
        <v>2.8780318302702348</v>
      </c>
      <c r="S25" s="64">
        <f>IF(S10=0,0,S10/MBunk_act!S5*1000)</f>
        <v>2.7495687396599973</v>
      </c>
      <c r="T25" s="64">
        <f>IF(T10=0,0,T10/MBunk_act!T5*1000)</f>
        <v>2.9445637816400052</v>
      </c>
      <c r="U25" s="64">
        <f>IF(U10=0,0,U10/MBunk_act!U5*1000)</f>
        <v>3.6526005086183044</v>
      </c>
      <c r="V25" s="64">
        <f>IF(V10=0,0,V10/MBunk_act!V5*1000)</f>
        <v>3.065670457699516</v>
      </c>
      <c r="W25" s="64">
        <f>IF(W10=0,0,W10/MBunk_act!W5*1000)</f>
        <v>2.7292836758581904</v>
      </c>
      <c r="X25" s="64">
        <f>IF(X10=0,0,X10/MBunk_act!X5*1000)</f>
        <v>2.7136024156735545</v>
      </c>
      <c r="Y25" s="64">
        <f>IF(Y10=0,0,Y10/MBunk_act!Y5*1000)</f>
        <v>2.1632366547032875</v>
      </c>
      <c r="DA25" s="182" t="s">
        <v>434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DA26" s="181"/>
    </row>
    <row r="27" spans="1:105" ht="11.45" customHeight="1" x14ac:dyDescent="0.25">
      <c r="A27" s="53" t="s">
        <v>40</v>
      </c>
      <c r="B27" s="76">
        <f>IF(B3=0,0,B3/B$3)</f>
        <v>1</v>
      </c>
      <c r="C27" s="76">
        <f t="shared" ref="C27:W28" si="6">IF(C3=0,0,C3/C$3)</f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si="6"/>
        <v>1</v>
      </c>
      <c r="W27" s="76">
        <f t="shared" si="6"/>
        <v>1</v>
      </c>
      <c r="X27" s="76">
        <f t="shared" ref="X27:Y27" si="7">IF(X3=0,0,X3/X$3)</f>
        <v>1</v>
      </c>
      <c r="Y27" s="76">
        <f t="shared" si="7"/>
        <v>1</v>
      </c>
      <c r="DA27" s="183"/>
    </row>
    <row r="28" spans="1:105" ht="11.45" customHeight="1" x14ac:dyDescent="0.25">
      <c r="A28" s="55" t="s">
        <v>166</v>
      </c>
      <c r="B28" s="77">
        <f>IF(B4=0,0,B4/B$3)</f>
        <v>0.40938073931766666</v>
      </c>
      <c r="C28" s="77">
        <f t="shared" si="6"/>
        <v>0.40898182760079388</v>
      </c>
      <c r="D28" s="77">
        <f t="shared" si="6"/>
        <v>0.39946321213500535</v>
      </c>
      <c r="E28" s="77">
        <f t="shared" si="6"/>
        <v>0.37946161088759411</v>
      </c>
      <c r="F28" s="77">
        <f t="shared" si="6"/>
        <v>0.40178276357750203</v>
      </c>
      <c r="G28" s="77">
        <f t="shared" si="6"/>
        <v>0.40682139920888705</v>
      </c>
      <c r="H28" s="77">
        <f t="shared" si="6"/>
        <v>0.3885117180957926</v>
      </c>
      <c r="I28" s="77">
        <f t="shared" si="6"/>
        <v>0.3771789094149342</v>
      </c>
      <c r="J28" s="77">
        <f t="shared" si="6"/>
        <v>0.37268455189131605</v>
      </c>
      <c r="K28" s="77">
        <f t="shared" si="6"/>
        <v>0.39534720721510669</v>
      </c>
      <c r="L28" s="77">
        <f t="shared" si="6"/>
        <v>0.38857401080312537</v>
      </c>
      <c r="M28" s="77">
        <f t="shared" si="6"/>
        <v>0.37469447015590351</v>
      </c>
      <c r="N28" s="77">
        <f t="shared" si="6"/>
        <v>0.37158492461388493</v>
      </c>
      <c r="O28" s="77">
        <f t="shared" si="6"/>
        <v>0.36895949701443764</v>
      </c>
      <c r="P28" s="77">
        <f t="shared" si="6"/>
        <v>0.37484216918117491</v>
      </c>
      <c r="Q28" s="77">
        <f t="shared" si="6"/>
        <v>0.36422644150532757</v>
      </c>
      <c r="R28" s="77">
        <f t="shared" si="6"/>
        <v>0.36191155273273667</v>
      </c>
      <c r="S28" s="77">
        <f t="shared" si="6"/>
        <v>0.36486990570990319</v>
      </c>
      <c r="T28" s="77">
        <f t="shared" si="6"/>
        <v>0.38434563104033692</v>
      </c>
      <c r="U28" s="77">
        <f t="shared" si="6"/>
        <v>0.41699136845083112</v>
      </c>
      <c r="V28" s="77">
        <f t="shared" si="6"/>
        <v>0.37092789649379965</v>
      </c>
      <c r="W28" s="77">
        <f t="shared" si="6"/>
        <v>0.37232135524024934</v>
      </c>
      <c r="X28" s="77">
        <f t="shared" ref="X28:Y28" si="8">IF(X4=0,0,X4/X$3)</f>
        <v>0.40167861175379921</v>
      </c>
      <c r="Y28" s="77">
        <f t="shared" si="8"/>
        <v>0.39650713608190125</v>
      </c>
      <c r="DA28" s="184"/>
    </row>
    <row r="29" spans="1:105" ht="11.45" customHeight="1" x14ac:dyDescent="0.25">
      <c r="A29" s="57" t="s">
        <v>167</v>
      </c>
      <c r="B29" s="78">
        <f>IF(B10=0,0,B10/B$3)</f>
        <v>0.59061926068233328</v>
      </c>
      <c r="C29" s="78">
        <f t="shared" ref="C29:W29" si="9">IF(C10=0,0,C10/C$3)</f>
        <v>0.59101817239920618</v>
      </c>
      <c r="D29" s="78">
        <f t="shared" si="9"/>
        <v>0.60053678786499465</v>
      </c>
      <c r="E29" s="78">
        <f t="shared" si="9"/>
        <v>0.62053838911240577</v>
      </c>
      <c r="F29" s="78">
        <f t="shared" si="9"/>
        <v>0.59821723642249791</v>
      </c>
      <c r="G29" s="78">
        <f t="shared" si="9"/>
        <v>0.59317860079111295</v>
      </c>
      <c r="H29" s="78">
        <f t="shared" si="9"/>
        <v>0.61148828190420734</v>
      </c>
      <c r="I29" s="78">
        <f t="shared" si="9"/>
        <v>0.62282109058506585</v>
      </c>
      <c r="J29" s="78">
        <f t="shared" si="9"/>
        <v>0.62731544810868389</v>
      </c>
      <c r="K29" s="78">
        <f t="shared" si="9"/>
        <v>0.60465279278489326</v>
      </c>
      <c r="L29" s="78">
        <f t="shared" si="9"/>
        <v>0.61142598919687463</v>
      </c>
      <c r="M29" s="78">
        <f t="shared" si="9"/>
        <v>0.62530552984409649</v>
      </c>
      <c r="N29" s="78">
        <f t="shared" si="9"/>
        <v>0.62841507538611496</v>
      </c>
      <c r="O29" s="78">
        <f t="shared" si="9"/>
        <v>0.63104050298556236</v>
      </c>
      <c r="P29" s="78">
        <f t="shared" si="9"/>
        <v>0.62515783081882503</v>
      </c>
      <c r="Q29" s="78">
        <f t="shared" si="9"/>
        <v>0.63577355849467243</v>
      </c>
      <c r="R29" s="78">
        <f t="shared" si="9"/>
        <v>0.63808844726726333</v>
      </c>
      <c r="S29" s="78">
        <f t="shared" si="9"/>
        <v>0.63513009429009681</v>
      </c>
      <c r="T29" s="78">
        <f t="shared" si="9"/>
        <v>0.61565436895966308</v>
      </c>
      <c r="U29" s="78">
        <f t="shared" si="9"/>
        <v>0.58300863154916882</v>
      </c>
      <c r="V29" s="78">
        <f t="shared" si="9"/>
        <v>0.62907210350620035</v>
      </c>
      <c r="W29" s="78">
        <f t="shared" si="9"/>
        <v>0.62767864475975077</v>
      </c>
      <c r="X29" s="78">
        <f t="shared" ref="X29:Y29" si="10">IF(X10=0,0,X10/X$3)</f>
        <v>0.59832138824620085</v>
      </c>
      <c r="Y29" s="78">
        <f t="shared" si="10"/>
        <v>0.60349286391809875</v>
      </c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A23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986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44</v>
      </c>
      <c r="B3" s="62">
        <f t="shared" ref="B3" si="0">SUM(B4:B5)</f>
        <v>2131.0026771600005</v>
      </c>
      <c r="C3" s="62">
        <f t="shared" ref="C3:W3" si="1">SUM(C4:C5)</f>
        <v>1523.1419161199997</v>
      </c>
      <c r="D3" s="62">
        <f t="shared" si="1"/>
        <v>1549.1059704000002</v>
      </c>
      <c r="E3" s="62">
        <f t="shared" si="1"/>
        <v>1860.5185736399999</v>
      </c>
      <c r="F3" s="62">
        <f t="shared" si="1"/>
        <v>2104.9010935199999</v>
      </c>
      <c r="G3" s="62">
        <f t="shared" si="1"/>
        <v>1852.0334845200007</v>
      </c>
      <c r="H3" s="62">
        <f t="shared" si="1"/>
        <v>2029.0534149600001</v>
      </c>
      <c r="I3" s="62">
        <f t="shared" si="1"/>
        <v>1592.7628168800002</v>
      </c>
      <c r="J3" s="62">
        <f t="shared" si="1"/>
        <v>1698.4784743200005</v>
      </c>
      <c r="K3" s="62">
        <f t="shared" si="1"/>
        <v>1530.1033768800003</v>
      </c>
      <c r="L3" s="62">
        <f t="shared" si="1"/>
        <v>1478.1935667600003</v>
      </c>
      <c r="M3" s="62">
        <f t="shared" si="1"/>
        <v>1803.5448303600001</v>
      </c>
      <c r="N3" s="62">
        <f t="shared" si="1"/>
        <v>1948.7126664000002</v>
      </c>
      <c r="O3" s="62">
        <f t="shared" si="1"/>
        <v>2076.5344215600003</v>
      </c>
      <c r="P3" s="62">
        <f t="shared" si="1"/>
        <v>1952.6213354400002</v>
      </c>
      <c r="Q3" s="62">
        <f t="shared" si="1"/>
        <v>2062.4731455600004</v>
      </c>
      <c r="R3" s="62">
        <f t="shared" si="1"/>
        <v>2454.1945455600007</v>
      </c>
      <c r="S3" s="62">
        <f t="shared" si="1"/>
        <v>2498.7341782799999</v>
      </c>
      <c r="T3" s="62">
        <f t="shared" si="1"/>
        <v>2600.2311102000008</v>
      </c>
      <c r="U3" s="62">
        <f t="shared" si="1"/>
        <v>3064.1766001200003</v>
      </c>
      <c r="V3" s="62">
        <f t="shared" si="1"/>
        <v>2205.01993356</v>
      </c>
      <c r="W3" s="62">
        <f t="shared" si="1"/>
        <v>2116.6001164800005</v>
      </c>
      <c r="X3" s="62">
        <f t="shared" ref="X3:Y3" si="2">SUM(X4:X5)</f>
        <v>2250.1291949999995</v>
      </c>
      <c r="Y3" s="62">
        <f t="shared" si="2"/>
        <v>1879.0330788000003</v>
      </c>
      <c r="DA3" s="172" t="s">
        <v>987</v>
      </c>
    </row>
    <row r="4" spans="1:105" ht="11.45" customHeight="1" x14ac:dyDescent="0.25">
      <c r="A4" s="55" t="s">
        <v>166</v>
      </c>
      <c r="B4" s="63">
        <v>861.38056195560875</v>
      </c>
      <c r="C4" s="63">
        <v>614.65658056170969</v>
      </c>
      <c r="D4" s="63">
        <v>611.95266796908709</v>
      </c>
      <c r="E4" s="63">
        <v>697.81097960623981</v>
      </c>
      <c r="F4" s="63">
        <v>837.82127152564738</v>
      </c>
      <c r="G4" s="63">
        <v>746.13918121518918</v>
      </c>
      <c r="H4" s="63">
        <v>781.02376652858925</v>
      </c>
      <c r="I4" s="63">
        <v>598.0218614093294</v>
      </c>
      <c r="J4" s="63">
        <v>629.94667051199349</v>
      </c>
      <c r="K4" s="63">
        <v>602.61377205986457</v>
      </c>
      <c r="L4" s="63">
        <v>571.66236119868154</v>
      </c>
      <c r="M4" s="63">
        <v>672.88838601900841</v>
      </c>
      <c r="N4" s="63">
        <v>721.4672449964911</v>
      </c>
      <c r="O4" s="63">
        <v>762.96476103017187</v>
      </c>
      <c r="P4" s="63">
        <v>728.8019012902156</v>
      </c>
      <c r="Q4" s="63">
        <v>745.30252008227194</v>
      </c>
      <c r="R4" s="63">
        <v>881.29500241113669</v>
      </c>
      <c r="S4" s="63">
        <v>904.67239014783388</v>
      </c>
      <c r="T4" s="63">
        <v>992.0623892714583</v>
      </c>
      <c r="U4" s="63">
        <v>1269.6870699213973</v>
      </c>
      <c r="V4" s="63">
        <v>810.34888671060207</v>
      </c>
      <c r="W4" s="63">
        <v>780.48572163299173</v>
      </c>
      <c r="X4" s="63">
        <v>895.10493362730745</v>
      </c>
      <c r="Y4" s="63">
        <v>736.67199913749755</v>
      </c>
      <c r="DA4" s="181" t="s">
        <v>988</v>
      </c>
    </row>
    <row r="5" spans="1:105" ht="11.45" customHeight="1" x14ac:dyDescent="0.25">
      <c r="A5" s="57" t="s">
        <v>167</v>
      </c>
      <c r="B5" s="64">
        <v>1269.6221152043915</v>
      </c>
      <c r="C5" s="64">
        <v>908.48533555828999</v>
      </c>
      <c r="D5" s="64">
        <v>937.15330243091307</v>
      </c>
      <c r="E5" s="64">
        <v>1162.70759403376</v>
      </c>
      <c r="F5" s="64">
        <v>1267.0798219943526</v>
      </c>
      <c r="G5" s="64">
        <v>1105.8943033048115</v>
      </c>
      <c r="H5" s="64">
        <v>1248.0296484314108</v>
      </c>
      <c r="I5" s="64">
        <v>994.74095547067077</v>
      </c>
      <c r="J5" s="64">
        <v>1068.531803808007</v>
      </c>
      <c r="K5" s="64">
        <v>927.4896048201357</v>
      </c>
      <c r="L5" s="64">
        <v>906.53120556131876</v>
      </c>
      <c r="M5" s="64">
        <v>1130.6564443409916</v>
      </c>
      <c r="N5" s="64">
        <v>1227.245421403509</v>
      </c>
      <c r="O5" s="64">
        <v>1313.5696605298283</v>
      </c>
      <c r="P5" s="64">
        <v>1223.8194341497847</v>
      </c>
      <c r="Q5" s="64">
        <v>1317.1706254777284</v>
      </c>
      <c r="R5" s="64">
        <v>1572.8995431488643</v>
      </c>
      <c r="S5" s="64">
        <v>1594.0617881321662</v>
      </c>
      <c r="T5" s="64">
        <v>1608.1687209285424</v>
      </c>
      <c r="U5" s="64">
        <v>1794.489530198603</v>
      </c>
      <c r="V5" s="64">
        <v>1394.6710468493977</v>
      </c>
      <c r="W5" s="64">
        <v>1336.1143948470087</v>
      </c>
      <c r="X5" s="64">
        <v>1355.0242613726923</v>
      </c>
      <c r="Y5" s="64">
        <v>1142.3610796625028</v>
      </c>
      <c r="DA5" s="182" t="s">
        <v>989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DA8" s="181"/>
    </row>
    <row r="9" spans="1:105" ht="11.45" customHeight="1" x14ac:dyDescent="0.25">
      <c r="A9" s="53" t="s">
        <v>148</v>
      </c>
      <c r="B9" s="79">
        <f>IF(B3=0,0,B3/MBunk_ene!B3)</f>
        <v>3.1966125851270277</v>
      </c>
      <c r="C9" s="79">
        <f>IF(C3=0,0,C3/MBunk_ene!C3)</f>
        <v>3.1946968677061882</v>
      </c>
      <c r="D9" s="79">
        <f>IF(D3=0,0,D3/MBunk_ene!D3)</f>
        <v>3.203035192073814</v>
      </c>
      <c r="E9" s="79">
        <f>IF(E3=0,0,E3/MBunk_ene!E3)</f>
        <v>3.2038944266391143</v>
      </c>
      <c r="F9" s="79">
        <f>IF(F3=0,0,F3/MBunk_ene!F3)</f>
        <v>3.2089746051391574</v>
      </c>
      <c r="G9" s="79">
        <f>IF(G3=0,0,G3/MBunk_ene!G3)</f>
        <v>3.2069103793903357</v>
      </c>
      <c r="H9" s="79">
        <f>IF(H3=0,0,H3/MBunk_ene!H3)</f>
        <v>3.2102746697964384</v>
      </c>
      <c r="I9" s="79">
        <f>IF(I3=0,0,I3/MBunk_ene!I3)</f>
        <v>3.2262119671040432</v>
      </c>
      <c r="J9" s="79">
        <f>IF(J3=0,0,J3/MBunk_ene!J3)</f>
        <v>3.2257608552113464</v>
      </c>
      <c r="K9" s="79">
        <f>IF(K3=0,0,K3/MBunk_ene!K3)</f>
        <v>3.227648147765835</v>
      </c>
      <c r="L9" s="79">
        <f>IF(L3=0,0,L3/MBunk_ene!L3)</f>
        <v>3.2247295510108129</v>
      </c>
      <c r="M9" s="79">
        <f>IF(M3=0,0,M3/MBunk_ene!M3)</f>
        <v>3.2268193991499139</v>
      </c>
      <c r="N9" s="79">
        <f>IF(N3=0,0,N3/MBunk_ene!N3)</f>
        <v>3.2290617488605653</v>
      </c>
      <c r="O9" s="79">
        <f>IF(O3=0,0,O3/MBunk_ene!O3)</f>
        <v>3.2273038345219924</v>
      </c>
      <c r="P9" s="79">
        <f>IF(P3=0,0,P3/MBunk_ene!P3)</f>
        <v>3.2269816315539286</v>
      </c>
      <c r="Q9" s="79">
        <f>IF(Q3=0,0,Q3/MBunk_ene!Q3)</f>
        <v>3.2161954668962358</v>
      </c>
      <c r="R9" s="79">
        <f>IF(R3=0,0,R3/MBunk_ene!R3)</f>
        <v>3.2167368020217171</v>
      </c>
      <c r="S9" s="79">
        <f>IF(S3=0,0,S3/MBunk_ene!S3)</f>
        <v>3.2166016777744697</v>
      </c>
      <c r="T9" s="79">
        <f>IF(T3=0,0,T3/MBunk_ene!T3)</f>
        <v>3.2164826319872355</v>
      </c>
      <c r="U9" s="79">
        <f>IF(U3=0,0,U3/MBunk_ene!U3)</f>
        <v>3.2176545732359605</v>
      </c>
      <c r="V9" s="79">
        <f>IF(V3=0,0,V3/MBunk_ene!V3)</f>
        <v>3.2115541375385819</v>
      </c>
      <c r="W9" s="79">
        <f>IF(W3=0,0,W3/MBunk_ene!W3)</f>
        <v>3.2100834344083449</v>
      </c>
      <c r="X9" s="79">
        <f>IF(X3=0,0,X3/MBunk_ene!X3)</f>
        <v>3.207129847365684</v>
      </c>
      <c r="Y9" s="79">
        <f>IF(Y3=0,0,Y3/MBunk_ene!Y3)</f>
        <v>3.2024595304837473</v>
      </c>
      <c r="DA9" s="172"/>
    </row>
    <row r="10" spans="1:105" ht="11.45" customHeight="1" x14ac:dyDescent="0.25">
      <c r="A10" s="55" t="s">
        <v>166</v>
      </c>
      <c r="B10" s="80">
        <f>IF(B4=0,0,B4/MBunk_ene!B4)</f>
        <v>3.1562665364399218</v>
      </c>
      <c r="C10" s="80">
        <f>IF(C4=0,0,C4/MBunk_ene!C4)</f>
        <v>3.1522293642693526</v>
      </c>
      <c r="D10" s="80">
        <f>IF(D4=0,0,D4/MBunk_ene!D4)</f>
        <v>3.1675364795102658</v>
      </c>
      <c r="E10" s="80">
        <f>IF(E4=0,0,E4/MBunk_ene!E4)</f>
        <v>3.1667526267891186</v>
      </c>
      <c r="F10" s="80">
        <f>IF(F4=0,0,F4/MBunk_ene!F4)</f>
        <v>3.1790303005875908</v>
      </c>
      <c r="G10" s="80">
        <f>IF(G4=0,0,G4/MBunk_ene!G4)</f>
        <v>3.1758065926236787</v>
      </c>
      <c r="H10" s="80">
        <f>IF(H4=0,0,H4/MBunk_ene!H4)</f>
        <v>3.180598423734124</v>
      </c>
      <c r="I10" s="80">
        <f>IF(I4=0,0,I4/MBunk_ene!I4)</f>
        <v>3.2115260513270116</v>
      </c>
      <c r="J10" s="80">
        <f>IF(J4=0,0,J4/MBunk_ene!J4)</f>
        <v>3.2102179136208893</v>
      </c>
      <c r="K10" s="80">
        <f>IF(K4=0,0,K4/MBunk_ene!K4)</f>
        <v>3.2153317518016777</v>
      </c>
      <c r="L10" s="80">
        <f>IF(L4=0,0,L4/MBunk_ene!L4)</f>
        <v>3.2094294859361825</v>
      </c>
      <c r="M10" s="80">
        <f>IF(M4=0,0,M4/MBunk_ene!M4)</f>
        <v>3.2130202745989824</v>
      </c>
      <c r="N10" s="80">
        <f>IF(N4=0,0,N4/MBunk_ene!N4)</f>
        <v>3.2172667791828697</v>
      </c>
      <c r="O10" s="80">
        <f>IF(O4=0,0,O4/MBunk_ene!O4)</f>
        <v>3.2138566785572138</v>
      </c>
      <c r="P10" s="80">
        <f>IF(P4=0,0,P4/MBunk_ene!P4)</f>
        <v>3.2132130158596413</v>
      </c>
      <c r="Q10" s="80">
        <f>IF(Q4=0,0,Q4/MBunk_ene!Q4)</f>
        <v>3.1909151198574239</v>
      </c>
      <c r="R10" s="80">
        <f>IF(R4=0,0,R4/MBunk_ene!R4)</f>
        <v>3.1917245340279941</v>
      </c>
      <c r="S10" s="80">
        <f>IF(S4=0,0,S4/MBunk_ene!S4)</f>
        <v>3.1917621382179293</v>
      </c>
      <c r="T10" s="80">
        <f>IF(T4=0,0,T4/MBunk_ene!T4)</f>
        <v>3.192907206286776</v>
      </c>
      <c r="U10" s="80">
        <f>IF(U4=0,0,U4/MBunk_ene!U4)</f>
        <v>3.1973873987236257</v>
      </c>
      <c r="V10" s="80">
        <f>IF(V4=0,0,V4/MBunk_ene!V4)</f>
        <v>3.1818907977210169</v>
      </c>
      <c r="W10" s="80">
        <f>IF(W4=0,0,W4/MBunk_ene!W4)</f>
        <v>3.1792488318958525</v>
      </c>
      <c r="X10" s="80">
        <f>IF(X4=0,0,X4/MBunk_ene!X4)</f>
        <v>3.176174337740977</v>
      </c>
      <c r="Y10" s="80">
        <f>IF(Y4=0,0,Y4/MBunk_ene!Y4)</f>
        <v>3.1664481395024837</v>
      </c>
      <c r="DA10" s="181"/>
    </row>
    <row r="11" spans="1:105" ht="11.45" customHeight="1" x14ac:dyDescent="0.25">
      <c r="A11" s="57" t="s">
        <v>167</v>
      </c>
      <c r="B11" s="81">
        <f>IF(B5=0,0,B5/MBunk_ene!B10)</f>
        <v>3.2245779705108233</v>
      </c>
      <c r="C11" s="81">
        <f>IF(C5=0,0,C5/MBunk_ene!C10)</f>
        <v>3.2240841826490327</v>
      </c>
      <c r="D11" s="81">
        <f>IF(D5=0,0,D5/MBunk_ene!D10)</f>
        <v>3.2266481164338785</v>
      </c>
      <c r="E11" s="81">
        <f>IF(E5=0,0,E5/MBunk_ene!E10)</f>
        <v>3.2266067800561262</v>
      </c>
      <c r="F11" s="81">
        <f>IF(F5=0,0,F5/MBunk_ene!F10)</f>
        <v>3.2290862045776563</v>
      </c>
      <c r="G11" s="81">
        <f>IF(G5=0,0,G5/MBunk_ene!G10)</f>
        <v>3.2282423796280892</v>
      </c>
      <c r="H11" s="81">
        <f>IF(H5=0,0,H5/MBunk_ene!H10)</f>
        <v>3.2291296007664969</v>
      </c>
      <c r="I11" s="81">
        <f>IF(I5=0,0,I5/MBunk_ene!I10)</f>
        <v>3.2351057213141594</v>
      </c>
      <c r="J11" s="81">
        <f>IF(J5=0,0,J5/MBunk_ene!J10)</f>
        <v>3.2349948287077375</v>
      </c>
      <c r="K11" s="81">
        <f>IF(K5=0,0,K5/MBunk_ene!K10)</f>
        <v>3.2357011209853228</v>
      </c>
      <c r="L11" s="81">
        <f>IF(L5=0,0,L5/MBunk_ene!L10)</f>
        <v>3.2344530625341084</v>
      </c>
      <c r="M11" s="81">
        <f>IF(M5=0,0,M5/MBunk_ene!M10)</f>
        <v>3.2350880860804705</v>
      </c>
      <c r="N11" s="81">
        <f>IF(N5=0,0,N5/MBunk_ene!N10)</f>
        <v>3.2360361724385114</v>
      </c>
      <c r="O11" s="81">
        <f>IF(O5=0,0,O5/MBunk_ene!O10)</f>
        <v>3.235166175968486</v>
      </c>
      <c r="P11" s="81">
        <f>IF(P5=0,0,P5/MBunk_ene!P10)</f>
        <v>3.2352372392085731</v>
      </c>
      <c r="Q11" s="81">
        <f>IF(Q5=0,0,Q5/MBunk_ene!Q10)</f>
        <v>3.2306782504579923</v>
      </c>
      <c r="R11" s="81">
        <f>IF(R5=0,0,R5/MBunk_ene!R10)</f>
        <v>3.2309232816324105</v>
      </c>
      <c r="S11" s="81">
        <f>IF(S5=0,0,S5/MBunk_ene!S10)</f>
        <v>3.2308715108958284</v>
      </c>
      <c r="T11" s="81">
        <f>IF(T5=0,0,T5/MBunk_ene!T10)</f>
        <v>3.2312004872072011</v>
      </c>
      <c r="U11" s="81">
        <f>IF(U5=0,0,U5/MBunk_ene!U10)</f>
        <v>3.2321504766878082</v>
      </c>
      <c r="V11" s="81">
        <f>IF(V5=0,0,V5/MBunk_ene!V10)</f>
        <v>3.2290449151142897</v>
      </c>
      <c r="W11" s="81">
        <f>IF(W5=0,0,W5/MBunk_ene!W10)</f>
        <v>3.2283736551950333</v>
      </c>
      <c r="X11" s="81">
        <f>IF(X5=0,0,X5/MBunk_ene!X10)</f>
        <v>3.2279115984052562</v>
      </c>
      <c r="Y11" s="81">
        <f>IF(Y5=0,0,Y5/MBunk_ene!Y10)</f>
        <v>3.2261197497804646</v>
      </c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DA12" s="181"/>
    </row>
    <row r="13" spans="1:105" ht="11.45" customHeight="1" x14ac:dyDescent="0.25">
      <c r="A13" s="53" t="s">
        <v>49</v>
      </c>
      <c r="B13" s="62">
        <f>IF(B3=0,0,B3/MBunk_act!B7*100)</f>
        <v>26130.497294988054</v>
      </c>
      <c r="C13" s="62">
        <f>IF(C3=0,0,C3/MBunk_act!C7*100)</f>
        <v>20009.386537840815</v>
      </c>
      <c r="D13" s="62">
        <f>IF(D3=0,0,D3/MBunk_act!D7*100)</f>
        <v>20232.105677244632</v>
      </c>
      <c r="E13" s="62">
        <f>IF(E3=0,0,E3/MBunk_act!E7*100)</f>
        <v>26199.830025142008</v>
      </c>
      <c r="F13" s="62">
        <f>IF(F3=0,0,F3/MBunk_act!F7*100)</f>
        <v>29904.608957483451</v>
      </c>
      <c r="G13" s="62">
        <f>IF(G3=0,0,G3/MBunk_act!G7*100)</f>
        <v>24235.991006673161</v>
      </c>
      <c r="H13" s="62">
        <f>IF(H3=0,0,H3/MBunk_act!H7*100)</f>
        <v>26533.455596208314</v>
      </c>
      <c r="I13" s="62">
        <f>IF(I3=0,0,I3/MBunk_act!I7*100)</f>
        <v>21501.248444437188</v>
      </c>
      <c r="J13" s="62">
        <f>IF(J3=0,0,J3/MBunk_act!J7*100)</f>
        <v>24934.495279195024</v>
      </c>
      <c r="K13" s="62">
        <f>IF(K3=0,0,K3/MBunk_act!K7*100)</f>
        <v>25357.17857771417</v>
      </c>
      <c r="L13" s="62">
        <f>IF(L3=0,0,L3/MBunk_act!L7*100)</f>
        <v>22503.85760851247</v>
      </c>
      <c r="M13" s="62">
        <f>IF(M3=0,0,M3/MBunk_act!M7*100)</f>
        <v>25591.365507130642</v>
      </c>
      <c r="N13" s="62">
        <f>IF(N3=0,0,N3/MBunk_act!N7*100)</f>
        <v>29293.985510492523</v>
      </c>
      <c r="O13" s="62">
        <f>IF(O3=0,0,O3/MBunk_act!O7*100)</f>
        <v>27133.617904624269</v>
      </c>
      <c r="P13" s="62">
        <f>IF(P3=0,0,P3/MBunk_act!P7*100)</f>
        <v>24921.673405076919</v>
      </c>
      <c r="Q13" s="62">
        <f>IF(Q3=0,0,Q3/MBunk_act!Q7*100)</f>
        <v>26814.889765120613</v>
      </c>
      <c r="R13" s="62">
        <f>IF(R3=0,0,R3/MBunk_act!R7*100)</f>
        <v>31706.846101820527</v>
      </c>
      <c r="S13" s="62">
        <f>IF(S3=0,0,S3/MBunk_act!S7*100)</f>
        <v>31023.577550247337</v>
      </c>
      <c r="T13" s="62">
        <f>IF(T3=0,0,T3/MBunk_act!T7*100)</f>
        <v>31786.582220484172</v>
      </c>
      <c r="U13" s="62">
        <f>IF(U3=0,0,U3/MBunk_act!U7*100)</f>
        <v>37563.226153384472</v>
      </c>
      <c r="V13" s="62">
        <f>IF(V3=0,0,V3/MBunk_act!V7*100)</f>
        <v>30497.79606743811</v>
      </c>
      <c r="W13" s="62">
        <f>IF(W3=0,0,W3/MBunk_act!W7*100)</f>
        <v>27183.696929665439</v>
      </c>
      <c r="X13" s="62">
        <f>IF(X3=0,0,X3/MBunk_act!X7*100)</f>
        <v>26521.141086137482</v>
      </c>
      <c r="Y13" s="62">
        <f>IF(Y3=0,0,Y3/MBunk_act!Y7*100)</f>
        <v>22459.495971884411</v>
      </c>
      <c r="DA13" s="172" t="s">
        <v>990</v>
      </c>
    </row>
    <row r="14" spans="1:105" ht="11.45" customHeight="1" x14ac:dyDescent="0.25">
      <c r="A14" s="55" t="s">
        <v>166</v>
      </c>
      <c r="B14" s="63">
        <f>IF(B4=0,0,B4/MBunk_act!B8*100)</f>
        <v>24526.041126196324</v>
      </c>
      <c r="C14" s="63">
        <f>IF(C4=0,0,C4/MBunk_act!C8*100)</f>
        <v>18754.510632325506</v>
      </c>
      <c r="D14" s="63">
        <f>IF(D4=0,0,D4/MBunk_act!D8*100)</f>
        <v>19534.851592886691</v>
      </c>
      <c r="E14" s="63">
        <f>IF(E4=0,0,E4/MBunk_act!E8*100)</f>
        <v>25725.541750674824</v>
      </c>
      <c r="F14" s="63">
        <f>IF(F4=0,0,F4/MBunk_act!F8*100)</f>
        <v>28895.270977704764</v>
      </c>
      <c r="G14" s="63">
        <f>IF(G4=0,0,G4/MBunk_act!G8*100)</f>
        <v>23505.769691315581</v>
      </c>
      <c r="H14" s="63">
        <f>IF(H4=0,0,H4/MBunk_act!H8*100)</f>
        <v>25518.12357415989</v>
      </c>
      <c r="I14" s="63">
        <f>IF(I4=0,0,I4/MBunk_act!I8*100)</f>
        <v>21210.736262625051</v>
      </c>
      <c r="J14" s="63">
        <f>IF(J4=0,0,J4/MBunk_act!J8*100)</f>
        <v>24505.507807298571</v>
      </c>
      <c r="K14" s="63">
        <f>IF(K4=0,0,K4/MBunk_act!K8*100)</f>
        <v>25046.978514783219</v>
      </c>
      <c r="L14" s="63">
        <f>IF(L4=0,0,L4/MBunk_act!L8*100)</f>
        <v>21708.485671671868</v>
      </c>
      <c r="M14" s="63">
        <f>IF(M4=0,0,M4/MBunk_act!M8*100)</f>
        <v>23648.113443283382</v>
      </c>
      <c r="N14" s="63">
        <f>IF(N4=0,0,N4/MBunk_act!N8*100)</f>
        <v>26645.493770857229</v>
      </c>
      <c r="O14" s="63">
        <f>IF(O4=0,0,O4/MBunk_act!O8*100)</f>
        <v>24455.801582493961</v>
      </c>
      <c r="P14" s="63">
        <f>IF(P4=0,0,P4/MBunk_act!P8*100)</f>
        <v>22184.109403481434</v>
      </c>
      <c r="Q14" s="63">
        <f>IF(Q4=0,0,Q4/MBunk_act!Q8*100)</f>
        <v>24236.148324930171</v>
      </c>
      <c r="R14" s="63">
        <f>IF(R4=0,0,R4/MBunk_act!R8*100)</f>
        <v>28841.433800504266</v>
      </c>
      <c r="S14" s="63">
        <f>IF(S4=0,0,S4/MBunk_act!S8*100)</f>
        <v>28111.13013945167</v>
      </c>
      <c r="T14" s="63">
        <f>IF(T4=0,0,T4/MBunk_act!T8*100)</f>
        <v>28209.540175634804</v>
      </c>
      <c r="U14" s="63">
        <f>IF(U4=0,0,U4/MBunk_act!U8*100)</f>
        <v>32936.495235907998</v>
      </c>
      <c r="V14" s="63">
        <f>IF(V4=0,0,V4/MBunk_act!V8*100)</f>
        <v>24792.782920984602</v>
      </c>
      <c r="W14" s="63">
        <f>IF(W4=0,0,W4/MBunk_act!W8*100)</f>
        <v>21656.949902937122</v>
      </c>
      <c r="X14" s="63">
        <f>IF(X4=0,0,X4/MBunk_act!X8*100)</f>
        <v>23549.40648317579</v>
      </c>
      <c r="Y14" s="63">
        <f>IF(Y4=0,0,Y4/MBunk_act!Y8*100)</f>
        <v>20306.872268240015</v>
      </c>
      <c r="DA14" s="181" t="s">
        <v>991</v>
      </c>
    </row>
    <row r="15" spans="1:105" ht="11.45" customHeight="1" x14ac:dyDescent="0.25">
      <c r="A15" s="57" t="s">
        <v>167</v>
      </c>
      <c r="B15" s="64">
        <f>IF(B5=0,0,B5/MBunk_act!B9*100)</f>
        <v>27344.123661610545</v>
      </c>
      <c r="C15" s="64">
        <f>IF(C5=0,0,C5/MBunk_act!C9*100)</f>
        <v>20958.160643336869</v>
      </c>
      <c r="D15" s="64">
        <f>IF(D5=0,0,D5/MBunk_act!D9*100)</f>
        <v>20714.910050346749</v>
      </c>
      <c r="E15" s="64">
        <f>IF(E5=0,0,E5/MBunk_act!E9*100)</f>
        <v>26492.970511667583</v>
      </c>
      <c r="F15" s="64">
        <f>IF(F5=0,0,F5/MBunk_act!F9*100)</f>
        <v>30611.648943332944</v>
      </c>
      <c r="G15" s="64">
        <f>IF(G5=0,0,G5/MBunk_act!G9*100)</f>
        <v>24754.846589331599</v>
      </c>
      <c r="H15" s="64">
        <f>IF(H5=0,0,H5/MBunk_act!H9*100)</f>
        <v>27211.008694046744</v>
      </c>
      <c r="I15" s="64">
        <f>IF(I5=0,0,I5/MBunk_act!I9*100)</f>
        <v>21679.761575390807</v>
      </c>
      <c r="J15" s="64">
        <f>IF(J5=0,0,J5/MBunk_act!J9*100)</f>
        <v>25194.513154587068</v>
      </c>
      <c r="K15" s="64">
        <f>IF(K5=0,0,K5/MBunk_act!K9*100)</f>
        <v>25562.874760633331</v>
      </c>
      <c r="L15" s="64">
        <f>IF(L5=0,0,L5/MBunk_act!L9*100)</f>
        <v>23036.096321906705</v>
      </c>
      <c r="M15" s="64">
        <f>IF(M5=0,0,M5/MBunk_act!M9*100)</f>
        <v>26907.239017237323</v>
      </c>
      <c r="N15" s="64">
        <f>IF(N5=0,0,N5/MBunk_act!N9*100)</f>
        <v>31111.95837873729</v>
      </c>
      <c r="O15" s="64">
        <f>IF(O5=0,0,O5/MBunk_act!O9*100)</f>
        <v>28976.493788193358</v>
      </c>
      <c r="P15" s="64">
        <f>IF(P5=0,0,P5/MBunk_act!P9*100)</f>
        <v>26898.371884192125</v>
      </c>
      <c r="Q15" s="64">
        <f>IF(Q5=0,0,Q5/MBunk_act!Q9*100)</f>
        <v>28532.710247195751</v>
      </c>
      <c r="R15" s="64">
        <f>IF(R5=0,0,R5/MBunk_act!R9*100)</f>
        <v>33575.883742510618</v>
      </c>
      <c r="S15" s="64">
        <f>IF(S5=0,0,S5/MBunk_act!S9*100)</f>
        <v>32961.673265958882</v>
      </c>
      <c r="T15" s="64">
        <f>IF(T5=0,0,T5/MBunk_act!T9*100)</f>
        <v>34484.032564447443</v>
      </c>
      <c r="U15" s="64">
        <f>IF(U5=0,0,U5/MBunk_act!U9*100)</f>
        <v>41708.754059592917</v>
      </c>
      <c r="V15" s="64">
        <f>IF(V5=0,0,V5/MBunk_act!V9*100)</f>
        <v>35204.661713192734</v>
      </c>
      <c r="W15" s="64">
        <f>IF(W5=0,0,W5/MBunk_act!W9*100)</f>
        <v>31945.910707993444</v>
      </c>
      <c r="X15" s="64">
        <f>IF(X5=0,0,X5/MBunk_act!X9*100)</f>
        <v>28932.990927431852</v>
      </c>
      <c r="Y15" s="64">
        <f>IF(Y5=0,0,Y5/MBunk_act!Y9*100)</f>
        <v>24107.458259744824</v>
      </c>
      <c r="DA15" s="182" t="s">
        <v>992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50</v>
      </c>
      <c r="B17" s="62">
        <f>IF(B3=0,0,B3/MBunk_act!B3*1000)</f>
        <v>17.202206384376066</v>
      </c>
      <c r="C17" s="62">
        <f>IF(C3=0,0,C3/MBunk_act!C3*1000)</f>
        <v>12.411598559709043</v>
      </c>
      <c r="D17" s="62">
        <f>IF(D3=0,0,D3/MBunk_act!D3*1000)</f>
        <v>12.551033249213747</v>
      </c>
      <c r="E17" s="62">
        <f>IF(E3=0,0,E3/MBunk_act!E3*1000)</f>
        <v>15.602891362884801</v>
      </c>
      <c r="F17" s="62">
        <f>IF(F3=0,0,F3/MBunk_act!F3*1000)</f>
        <v>17.825630482808048</v>
      </c>
      <c r="G17" s="62">
        <f>IF(G3=0,0,G3/MBunk_act!G3*1000)</f>
        <v>14.879959311188045</v>
      </c>
      <c r="H17" s="62">
        <f>IF(H3=0,0,H3/MBunk_act!H3*1000)</f>
        <v>15.199352427034988</v>
      </c>
      <c r="I17" s="62">
        <f>IF(I3=0,0,I3/MBunk_act!I3*1000)</f>
        <v>11.985413113436497</v>
      </c>
      <c r="J17" s="62">
        <f>IF(J3=0,0,J3/MBunk_act!J3*1000)</f>
        <v>12.882832390456624</v>
      </c>
      <c r="K17" s="62">
        <f>IF(K3=0,0,K3/MBunk_act!K3*1000)</f>
        <v>13.747284723339039</v>
      </c>
      <c r="L17" s="62">
        <f>IF(L3=0,0,L3/MBunk_act!L3*1000)</f>
        <v>11.720046602651243</v>
      </c>
      <c r="M17" s="62">
        <f>IF(M3=0,0,M3/MBunk_act!M3*1000)</f>
        <v>12.735662949453378</v>
      </c>
      <c r="N17" s="62">
        <f>IF(N3=0,0,N3/MBunk_act!N3*1000)</f>
        <v>13.799547656910734</v>
      </c>
      <c r="O17" s="62">
        <f>IF(O3=0,0,O3/MBunk_act!O3*1000)</f>
        <v>12.17378466821603</v>
      </c>
      <c r="P17" s="62">
        <f>IF(P3=0,0,P3/MBunk_act!P3*1000)</f>
        <v>11.200398794901258</v>
      </c>
      <c r="Q17" s="62">
        <f>IF(Q3=0,0,Q3/MBunk_act!Q3*1000)</f>
        <v>10.960346278800856</v>
      </c>
      <c r="R17" s="62">
        <f>IF(R3=0,0,R3/MBunk_act!R3*1000)</f>
        <v>12.707241649224361</v>
      </c>
      <c r="S17" s="62">
        <f>IF(S3=0,0,S3/MBunk_act!S3*1000)</f>
        <v>12.184710628189045</v>
      </c>
      <c r="T17" s="62">
        <f>IF(T3=0,0,T3/MBunk_act!T3*1000)</f>
        <v>13.276556860963062</v>
      </c>
      <c r="U17" s="62">
        <f>IF(U3=0,0,U3/MBunk_act!U3*1000)</f>
        <v>16.946328941227883</v>
      </c>
      <c r="V17" s="62">
        <f>IF(V3=0,0,V3/MBunk_act!V3*1000)</f>
        <v>13.173766259499477</v>
      </c>
      <c r="W17" s="62">
        <f>IF(W3=0,0,W3/MBunk_act!W3*1000)</f>
        <v>11.808024097740702</v>
      </c>
      <c r="X17" s="62">
        <f>IF(X3=0,0,X3/MBunk_act!X3*1000)</f>
        <v>12.278217632986673</v>
      </c>
      <c r="Y17" s="62">
        <f>IF(Y3=0,0,Y3/MBunk_act!Y3*1000)</f>
        <v>9.7627962859024251</v>
      </c>
      <c r="DA17" s="172" t="s">
        <v>452</v>
      </c>
    </row>
    <row r="18" spans="1:105" ht="11.45" customHeight="1" x14ac:dyDescent="0.25">
      <c r="A18" s="55" t="s">
        <v>166</v>
      </c>
      <c r="B18" s="63">
        <f>IF(B4=0,0,B4/MBunk_act!B4*1000)</f>
        <v>41.139329829773772</v>
      </c>
      <c r="C18" s="63">
        <f>IF(C4=0,0,C4/MBunk_act!C4*1000)</f>
        <v>30.457888990172673</v>
      </c>
      <c r="D18" s="63">
        <f>IF(D4=0,0,D4/MBunk_act!D4*1000)</f>
        <v>30.643677917797088</v>
      </c>
      <c r="E18" s="63">
        <f>IF(E4=0,0,E4/MBunk_act!E4*1000)</f>
        <v>39.656925450504275</v>
      </c>
      <c r="F18" s="63">
        <f>IF(F4=0,0,F4/MBunk_act!F4*1000)</f>
        <v>43.740456855035696</v>
      </c>
      <c r="G18" s="63">
        <f>IF(G4=0,0,G4/MBunk_act!G4*1000)</f>
        <v>36.142519713034481</v>
      </c>
      <c r="H18" s="63">
        <f>IF(H4=0,0,H4/MBunk_act!H4*1000)</f>
        <v>38.739854561302025</v>
      </c>
      <c r="I18" s="63">
        <f>IF(I4=0,0,I4/MBunk_act!I4*1000)</f>
        <v>31.850398844309119</v>
      </c>
      <c r="J18" s="63">
        <f>IF(J4=0,0,J4/MBunk_act!J4*1000)</f>
        <v>35.09407234705823</v>
      </c>
      <c r="K18" s="63">
        <f>IF(K4=0,0,K4/MBunk_act!K4*1000)</f>
        <v>35.886371781093004</v>
      </c>
      <c r="L18" s="63">
        <f>IF(L4=0,0,L4/MBunk_act!L4*1000)</f>
        <v>31.257042668609174</v>
      </c>
      <c r="M18" s="63">
        <f>IF(M4=0,0,M4/MBunk_act!M4*1000)</f>
        <v>36.122084482768003</v>
      </c>
      <c r="N18" s="63">
        <f>IF(N4=0,0,N4/MBunk_act!N4*1000)</f>
        <v>39.807107334809992</v>
      </c>
      <c r="O18" s="63">
        <f>IF(O4=0,0,O4/MBunk_act!O4*1000)</f>
        <v>35.548637665559163</v>
      </c>
      <c r="P18" s="63">
        <f>IF(P4=0,0,P4/MBunk_act!P4*1000)</f>
        <v>32.023240892314476</v>
      </c>
      <c r="Q18" s="63">
        <f>IF(Q4=0,0,Q4/MBunk_act!Q4*1000)</f>
        <v>31.971791739078498</v>
      </c>
      <c r="R18" s="63">
        <f>IF(R4=0,0,R4/MBunk_act!R4*1000)</f>
        <v>36.749854547464075</v>
      </c>
      <c r="S18" s="63">
        <f>IF(S4=0,0,S4/MBunk_act!S4*1000)</f>
        <v>35.296564442961916</v>
      </c>
      <c r="T18" s="63">
        <f>IF(T4=0,0,T4/MBunk_act!T4*1000)</f>
        <v>36.978686520302354</v>
      </c>
      <c r="U18" s="63">
        <f>IF(U4=0,0,U4/MBunk_act!U4*1000)</f>
        <v>44.06297228177521</v>
      </c>
      <c r="V18" s="63">
        <f>IF(V4=0,0,V4/MBunk_act!V4*1000)</f>
        <v>30.58821687626024</v>
      </c>
      <c r="W18" s="63">
        <f>IF(W4=0,0,W4/MBunk_act!W4*1000)</f>
        <v>28.266272037612122</v>
      </c>
      <c r="X18" s="63">
        <f>IF(X4=0,0,X4/MBunk_act!X4*1000)</f>
        <v>31.33481619104532</v>
      </c>
      <c r="Y18" s="63">
        <f>IF(Y4=0,0,Y4/MBunk_act!Y4*1000)</f>
        <v>25.59669155967234</v>
      </c>
      <c r="DA18" s="181" t="s">
        <v>453</v>
      </c>
    </row>
    <row r="19" spans="1:105" ht="11.45" customHeight="1" x14ac:dyDescent="0.25">
      <c r="A19" s="57" t="s">
        <v>167</v>
      </c>
      <c r="B19" s="64">
        <f>IF(B5=0,0,B5/MBunk_act!B5*1000)</f>
        <v>12.333434982569958</v>
      </c>
      <c r="C19" s="64">
        <f>IF(C5=0,0,C5/MBunk_act!C5*1000)</f>
        <v>8.8599263984354657</v>
      </c>
      <c r="D19" s="64">
        <f>IF(D5=0,0,D5/MBunk_act!D5*1000)</f>
        <v>9.0585923022477353</v>
      </c>
      <c r="E19" s="64">
        <f>IF(E5=0,0,E5/MBunk_act!E5*1000)</f>
        <v>11.438825391429226</v>
      </c>
      <c r="F19" s="64">
        <f>IF(F5=0,0,F5/MBunk_act!F5*1000)</f>
        <v>12.808041174149707</v>
      </c>
      <c r="G19" s="64">
        <f>IF(G5=0,0,G5/MBunk_act!G5*1000)</f>
        <v>10.65197409068238</v>
      </c>
      <c r="H19" s="64">
        <f>IF(H5=0,0,H5/MBunk_act!H5*1000)</f>
        <v>11.011833942633878</v>
      </c>
      <c r="I19" s="64">
        <f>IF(I5=0,0,I5/MBunk_act!I5*1000)</f>
        <v>8.7169422794704374</v>
      </c>
      <c r="J19" s="64">
        <f>IF(J5=0,0,J5/MBunk_act!J5*1000)</f>
        <v>9.3821204669424674</v>
      </c>
      <c r="K19" s="64">
        <f>IF(K5=0,0,K5/MBunk_act!K5*1000)</f>
        <v>9.8136713761989682</v>
      </c>
      <c r="L19" s="64">
        <f>IF(L5=0,0,L5/MBunk_act!L5*1000)</f>
        <v>8.4065608654218913</v>
      </c>
      <c r="M19" s="64">
        <f>IF(M5=0,0,M5/MBunk_act!M5*1000)</f>
        <v>9.1934076579834674</v>
      </c>
      <c r="N19" s="64">
        <f>IF(N5=0,0,N5/MBunk_act!N5*1000)</f>
        <v>9.9701792596303758</v>
      </c>
      <c r="O19" s="64">
        <f>IF(O5=0,0,O5/MBunk_act!O5*1000)</f>
        <v>8.8092991946753738</v>
      </c>
      <c r="P19" s="64">
        <f>IF(P5=0,0,P5/MBunk_act!P5*1000)</f>
        <v>8.0739416429438524</v>
      </c>
      <c r="Q19" s="64">
        <f>IF(Q5=0,0,Q5/MBunk_act!Q5*1000)</f>
        <v>7.9894056142426981</v>
      </c>
      <c r="R19" s="64">
        <f>IF(R5=0,0,R5/MBunk_act!R5*1000)</f>
        <v>9.2987000456992401</v>
      </c>
      <c r="S19" s="64">
        <f>IF(S5=0,0,S5/MBunk_act!S5*1000)</f>
        <v>8.8835033082172341</v>
      </c>
      <c r="T19" s="64">
        <f>IF(T5=0,0,T5/MBunk_act!T5*1000)</f>
        <v>9.5144759258478633</v>
      </c>
      <c r="U19" s="64">
        <f>IF(U5=0,0,U5/MBunk_act!U5*1000)</f>
        <v>11.805754475080782</v>
      </c>
      <c r="V19" s="64">
        <f>IF(V5=0,0,V5/MBunk_act!V5*1000)</f>
        <v>9.89918760285072</v>
      </c>
      <c r="W19" s="64">
        <f>IF(W5=0,0,W5/MBunk_act!W5*1000)</f>
        <v>8.811147516694442</v>
      </c>
      <c r="X19" s="64">
        <f>IF(X5=0,0,X5/MBunk_act!X5*1000)</f>
        <v>8.7592687110131884</v>
      </c>
      <c r="Y19" s="64">
        <f>IF(Y5=0,0,Y5/MBunk_act!Y5*1000)</f>
        <v>6.9788604951873001</v>
      </c>
      <c r="DA19" s="182" t="s">
        <v>454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DA20" s="181"/>
    </row>
    <row r="21" spans="1:105" ht="11.45" customHeight="1" x14ac:dyDescent="0.25">
      <c r="A21" s="53" t="s">
        <v>41</v>
      </c>
      <c r="B21" s="76">
        <f t="shared" ref="B21:W23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si="3"/>
        <v>1</v>
      </c>
      <c r="W21" s="76">
        <f t="shared" si="3"/>
        <v>1</v>
      </c>
      <c r="X21" s="76">
        <f t="shared" ref="X21:Y21" si="4">IF(X3=0,0,X3/X$3)</f>
        <v>1</v>
      </c>
      <c r="Y21" s="76">
        <f t="shared" si="4"/>
        <v>1</v>
      </c>
      <c r="DA21" s="183"/>
    </row>
    <row r="22" spans="1:105" ht="11.45" customHeight="1" x14ac:dyDescent="0.25">
      <c r="A22" s="55" t="s">
        <v>166</v>
      </c>
      <c r="B22" s="77">
        <f t="shared" si="3"/>
        <v>0.40421373993934889</v>
      </c>
      <c r="C22" s="77">
        <f t="shared" si="3"/>
        <v>0.40354518121821842</v>
      </c>
      <c r="D22" s="77">
        <f t="shared" si="3"/>
        <v>0.39503602701309881</v>
      </c>
      <c r="E22" s="77">
        <f t="shared" si="3"/>
        <v>0.37506262473962404</v>
      </c>
      <c r="F22" s="77">
        <f t="shared" si="3"/>
        <v>0.3980335580160535</v>
      </c>
      <c r="G22" s="77">
        <f t="shared" si="3"/>
        <v>0.4028756431520833</v>
      </c>
      <c r="H22" s="77">
        <f t="shared" si="3"/>
        <v>0.38492025925497186</v>
      </c>
      <c r="I22" s="77">
        <f t="shared" si="3"/>
        <v>0.37546196776540192</v>
      </c>
      <c r="J22" s="77">
        <f t="shared" si="3"/>
        <v>0.37088881610006724</v>
      </c>
      <c r="K22" s="77">
        <f t="shared" si="3"/>
        <v>0.39383860016611483</v>
      </c>
      <c r="L22" s="77">
        <f t="shared" si="3"/>
        <v>0.38673038095524109</v>
      </c>
      <c r="M22" s="77">
        <f t="shared" si="3"/>
        <v>0.37309213205678687</v>
      </c>
      <c r="N22" s="77">
        <f t="shared" si="3"/>
        <v>0.37022761612634786</v>
      </c>
      <c r="O22" s="77">
        <f t="shared" si="3"/>
        <v>0.36742215929991334</v>
      </c>
      <c r="P22" s="77">
        <f t="shared" si="3"/>
        <v>0.37324282392212449</v>
      </c>
      <c r="Q22" s="77">
        <f t="shared" si="3"/>
        <v>0.36136350268934447</v>
      </c>
      <c r="R22" s="77">
        <f t="shared" si="3"/>
        <v>0.35909744971340152</v>
      </c>
      <c r="S22" s="77">
        <f t="shared" si="3"/>
        <v>0.36205227351176822</v>
      </c>
      <c r="T22" s="77">
        <f t="shared" si="3"/>
        <v>0.38152854389745083</v>
      </c>
      <c r="U22" s="77">
        <f t="shared" si="3"/>
        <v>0.41436484759777664</v>
      </c>
      <c r="V22" s="77">
        <f t="shared" si="3"/>
        <v>0.36750184176443951</v>
      </c>
      <c r="W22" s="77">
        <f t="shared" si="3"/>
        <v>0.36874500551902734</v>
      </c>
      <c r="X22" s="77">
        <f t="shared" ref="X22:Y22" si="5">IF(X4=0,0,X4/X$3)</f>
        <v>0.39780157317913811</v>
      </c>
      <c r="Y22" s="77">
        <f t="shared" si="5"/>
        <v>0.39204844632535985</v>
      </c>
      <c r="DA22" s="184"/>
    </row>
    <row r="23" spans="1:105" ht="11.45" customHeight="1" x14ac:dyDescent="0.25">
      <c r="A23" s="57" t="s">
        <v>167</v>
      </c>
      <c r="B23" s="78">
        <f t="shared" si="3"/>
        <v>0.59578626006065094</v>
      </c>
      <c r="C23" s="78">
        <f t="shared" si="3"/>
        <v>0.59645481878178164</v>
      </c>
      <c r="D23" s="78">
        <f t="shared" si="3"/>
        <v>0.60496397298690119</v>
      </c>
      <c r="E23" s="78">
        <f t="shared" si="3"/>
        <v>0.62493737526037596</v>
      </c>
      <c r="F23" s="78">
        <f t="shared" si="3"/>
        <v>0.60196644198394655</v>
      </c>
      <c r="G23" s="78">
        <f t="shared" si="3"/>
        <v>0.59712435684791665</v>
      </c>
      <c r="H23" s="78">
        <f t="shared" si="3"/>
        <v>0.61507974074502814</v>
      </c>
      <c r="I23" s="78">
        <f t="shared" si="3"/>
        <v>0.62453803223459803</v>
      </c>
      <c r="J23" s="78">
        <f t="shared" si="3"/>
        <v>0.6291111838999327</v>
      </c>
      <c r="K23" s="78">
        <f t="shared" si="3"/>
        <v>0.60616139983388517</v>
      </c>
      <c r="L23" s="78">
        <f t="shared" si="3"/>
        <v>0.61326961904475885</v>
      </c>
      <c r="M23" s="78">
        <f t="shared" si="3"/>
        <v>0.62690786794321307</v>
      </c>
      <c r="N23" s="78">
        <f t="shared" si="3"/>
        <v>0.62977238387365209</v>
      </c>
      <c r="O23" s="78">
        <f t="shared" si="3"/>
        <v>0.6325778407000866</v>
      </c>
      <c r="P23" s="78">
        <f t="shared" si="3"/>
        <v>0.62675717607787551</v>
      </c>
      <c r="Q23" s="78">
        <f t="shared" si="3"/>
        <v>0.63863649731065553</v>
      </c>
      <c r="R23" s="78">
        <f t="shared" si="3"/>
        <v>0.64090255028659859</v>
      </c>
      <c r="S23" s="78">
        <f t="shared" si="3"/>
        <v>0.63794772648823184</v>
      </c>
      <c r="T23" s="78">
        <f t="shared" si="3"/>
        <v>0.61847145610254917</v>
      </c>
      <c r="U23" s="78">
        <f t="shared" si="3"/>
        <v>0.5856351524022233</v>
      </c>
      <c r="V23" s="78">
        <f t="shared" si="3"/>
        <v>0.63249815823556033</v>
      </c>
      <c r="W23" s="78">
        <f t="shared" si="3"/>
        <v>0.63125499448097266</v>
      </c>
      <c r="X23" s="78">
        <f t="shared" ref="X23:Y23" si="6">IF(X5=0,0,X5/X$3)</f>
        <v>0.602198426820862</v>
      </c>
      <c r="Y23" s="78">
        <f t="shared" si="6"/>
        <v>0.60795155367464015</v>
      </c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cover</vt:lpstr>
      <vt:lpstr>index</vt:lpstr>
      <vt:lpstr>Transport</vt:lpstr>
      <vt:lpstr>TrRoad_act</vt:lpstr>
      <vt:lpstr>TrRoad_ene</vt:lpstr>
      <vt:lpstr>TrRoad_emi</vt:lpstr>
      <vt:lpstr>TrRoad_tech</vt:lpstr>
      <vt:lpstr>TrRail_act</vt:lpstr>
      <vt:lpstr>TrRail_ene</vt:lpstr>
      <vt:lpstr>TrRail_emi</vt:lpstr>
      <vt:lpstr>TrAvia_act</vt:lpstr>
      <vt:lpstr>TrAvia_ene</vt:lpstr>
      <vt:lpstr>TrAvia_emi</vt:lpstr>
      <vt:lpstr>TrAvia_png</vt:lpstr>
      <vt:lpstr>TrNavi_act</vt:lpstr>
      <vt:lpstr>TrNavi_ene</vt:lpstr>
      <vt:lpstr>TrNavi_emi</vt:lpstr>
      <vt:lpstr>MBunk_act</vt:lpstr>
      <vt:lpstr>MBunk_ene</vt:lpstr>
      <vt:lpstr>MBunk_emi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2025-11-06T10:29:56Z</dcterms:created>
  <dcterms:modified xsi:type="dcterms:W3CDTF">2025-11-06T10:29:57Z</dcterms:modified>
</cp:coreProperties>
</file>