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PT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121" i="59" l="1"/>
  <c r="AA117" i="59"/>
  <c r="AA114" i="59"/>
  <c r="AA113" i="59"/>
  <c r="AA78" i="59"/>
  <c r="AA109" i="59"/>
  <c r="AA106" i="59"/>
  <c r="AA102" i="59"/>
  <c r="AA66" i="59"/>
  <c r="AA98" i="59"/>
  <c r="AA94" i="59"/>
  <c r="AA93" i="59"/>
  <c r="AA5" i="59"/>
  <c r="Z111" i="59"/>
  <c r="Y75" i="57"/>
  <c r="J75" i="57"/>
  <c r="O75" i="57"/>
  <c r="T75" i="57"/>
  <c r="K75" i="57"/>
  <c r="F75" i="57"/>
  <c r="P54" i="57"/>
  <c r="S54" i="57"/>
  <c r="L54" i="57"/>
  <c r="J54" i="57"/>
  <c r="I54" i="57"/>
  <c r="E39" i="57"/>
  <c r="U39" i="57"/>
  <c r="O39" i="57"/>
  <c r="I39" i="57"/>
  <c r="H39" i="57"/>
  <c r="G16" i="57"/>
  <c r="S16" i="57"/>
  <c r="M16" i="57"/>
  <c r="Q75" i="57"/>
  <c r="D75" i="57"/>
  <c r="U75" i="57"/>
  <c r="R54" i="57"/>
  <c r="Q54" i="57"/>
  <c r="Y16" i="57"/>
  <c r="O16" i="57"/>
  <c r="AA89" i="59" l="1"/>
  <c r="AA80" i="59"/>
  <c r="Z54" i="55"/>
  <c r="Z99" i="59"/>
  <c r="Z103" i="59"/>
  <c r="Z107" i="59"/>
  <c r="Z115" i="59"/>
  <c r="AA70" i="59"/>
  <c r="AA74" i="59"/>
  <c r="AA79" i="59"/>
  <c r="AA81" i="59"/>
  <c r="AA82" i="59"/>
  <c r="AA84" i="59"/>
  <c r="AA88" i="59"/>
  <c r="E16" i="57"/>
  <c r="Q39" i="57"/>
  <c r="K54" i="57"/>
  <c r="E75" i="57"/>
  <c r="F16" i="57"/>
  <c r="N16" i="57"/>
  <c r="V16" i="57"/>
  <c r="H16" i="57"/>
  <c r="P16" i="57"/>
  <c r="X16" i="57"/>
  <c r="J16" i="57"/>
  <c r="J39" i="57"/>
  <c r="R39" i="57"/>
  <c r="D39" i="57"/>
  <c r="L39" i="57"/>
  <c r="T39" i="57"/>
  <c r="F39" i="57"/>
  <c r="N39" i="57"/>
  <c r="V39" i="57"/>
  <c r="D54" i="57"/>
  <c r="T54" i="57"/>
  <c r="F54" i="57"/>
  <c r="N54" i="57"/>
  <c r="V54" i="57"/>
  <c r="H54" i="57"/>
  <c r="X54" i="57"/>
  <c r="V75" i="57"/>
  <c r="W16" i="57"/>
  <c r="I16" i="57"/>
  <c r="Q16" i="57"/>
  <c r="K16" i="57"/>
  <c r="U16" i="57"/>
  <c r="K39" i="57"/>
  <c r="S39" i="57"/>
  <c r="M39" i="57"/>
  <c r="G39" i="57"/>
  <c r="W39" i="57"/>
  <c r="Y39" i="57"/>
  <c r="E54" i="57"/>
  <c r="M54" i="57"/>
  <c r="U54" i="57"/>
  <c r="G54" i="57"/>
  <c r="O54" i="57"/>
  <c r="W54" i="57"/>
  <c r="Y54" i="57"/>
  <c r="G75" i="57"/>
  <c r="W75" i="57"/>
  <c r="I75" i="57"/>
  <c r="S75" i="57"/>
  <c r="M75" i="57"/>
  <c r="AA54" i="57"/>
  <c r="Z5" i="59"/>
  <c r="AA97" i="59"/>
  <c r="AA101" i="59"/>
  <c r="AA105" i="59"/>
  <c r="AA110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Z10" i="59" s="1"/>
  <c r="AA12" i="59"/>
  <c r="AA13" i="59" s="1"/>
  <c r="Z12" i="59"/>
  <c r="Z13" i="59" s="1"/>
  <c r="AA96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T1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5" i="4"/>
  <c r="B6" i="4"/>
  <c r="B4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<sst xmlns="http://schemas.openxmlformats.org/spreadsheetml/2006/main" count="722" uniqueCount="281">
  <si>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</si>
  <si>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</si>
  <si>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</si>
  <si>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</si>
  <si>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</si>
  <si>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</si>
  <si>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</si>
  <si>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</si>
  <si>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</si>
  <si>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</si>
  <si>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</si>
  <si>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</si>
  <si>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</si>
  <si>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</si>
  <si>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</si>
  <si>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</si>
  <si>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</si>
  <si>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</si>
  <si>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</si>
  <si>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</si>
  <si>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</si>
  <si>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</si>
  <si>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</si>
  <si>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</si>
  <si>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</si>
  <si>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</si>
  <si>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</si>
  <si>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</si>
  <si>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</si>
  <si>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</si>
  <si>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</si>
  <si>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</si>
  <si>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</si>
  <si>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</si>
  <si>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</si>
  <si>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</si>
  <si>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</si>
  <si>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</si>
  <si>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</si>
  <si>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</si>
  <si>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</si>
  <si>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</si>
  <si>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</si>
  <si>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</si>
  <si>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</si>
  <si>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</si>
  <si>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</si>
  <si>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</si>
  <si>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</si>
  <si>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</si>
  <si>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</si>
  <si>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</si>
  <si>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</si>
  <si>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</si>
  <si>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</si>
  <si>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</si>
  <si>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</si>
  <si>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</si>
  <si>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</si>
  <si>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</si>
  <si>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</si>
  <si>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</si>
  <si>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</si>
  <si>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</si>
  <si>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</si>
  <si>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</si>
  <si>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</si>
  <si>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</si>
  <si>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</si>
  <si>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</si>
  <si>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</si>
  <si>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</si>
  <si>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</si>
  <si>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</si>
  <si>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</si>
  <si>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</si>
  <si>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</si>
  <si>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</si>
  <si>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</si>
  <si>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</si>
  <si>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</si>
  <si>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</si>
  <si>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</si>
  <si>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</si>
  <si>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</si>
  <si>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</si>
  <si>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</si>
  <si>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</si>
  <si>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</si>
  <si>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</si>
  <si>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</si>
  <si>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</si>
  <si>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</si>
  <si>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</si>
  <si>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</si>
  <si>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</si>
  <si>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</si>
  <si>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</si>
  <si>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</si>
  <si>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</si>
  <si>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</si>
  <si>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</si>
  <si>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</si>
  <si>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</si>
  <si>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</si>
  <si>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</si>
  <si>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</si>
  <si>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</si>
  <si>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</si>
  <si>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</si>
  <si>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</si>
  <si>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</si>
  <si>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</si>
  <si>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</si>
  <si>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</si>
  <si>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</si>
  <si>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</si>
  <si>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</si>
  <si>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</si>
  <si>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</si>
  <si>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</si>
  <si>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</si>
  <si>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</si>
  <si>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</si>
  <si>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</si>
  <si>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</si>
  <si>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</si>
  <si>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</si>
  <si>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</si>
  <si>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</si>
  <si>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</si>
  <si>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</si>
  <si>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</si>
  <si>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</si>
  <si>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</si>
  <si>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</si>
  <si>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</si>
  <si>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</si>
  <si>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</si>
  <si>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</si>
  <si>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</si>
  <si>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</si>
  <si>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</si>
  <si>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</si>
  <si>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</si>
  <si>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</si>
  <si>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</si>
  <si>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</si>
  <si>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</si>
  <si>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</si>
  <si>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</si>
  <si>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</si>
  <si>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</si>
  <si>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</si>
  <si>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</si>
  <si>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</si>
  <si>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</si>
  <si>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</si>
  <si>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</si>
  <si>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</si>
  <si>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</si>
  <si>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</si>
  <si>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</si>
  <si>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</si>
  <si>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</si>
  <si>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</si>
  <si>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</si>
  <si>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</si>
  <si>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</si>
  <si>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</si>
  <si>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</si>
  <si>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</si>
  <si>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</si>
  <si>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</si>
  <si>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</si>
  <si>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</si>
  <si>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</si>
  <si>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</si>
  <si>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</si>
  <si>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</si>
  <si>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</si>
  <si>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</si>
  <si>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</si>
  <si>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</si>
  <si>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</si>
  <si>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</si>
  <si>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</si>
  <si>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</si>
  <si>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</si>
  <si>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</si>
  <si>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</si>
  <si>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</si>
  <si>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</si>
  <si>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</si>
  <si>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</si>
  <si>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</si>
  <si>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</si>
  <si>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</si>
  <si>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</si>
  <si>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</si>
  <si>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</si>
  <si>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</si>
  <si>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</si>
  <si>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</si>
  <si>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</si>
  <si>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</si>
  <si>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</si>
  <si>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</si>
  <si>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</si>
  <si>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</si>
  <si>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</si>
  <si>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</si>
  <si>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</si>
  <si>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</si>
  <si>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</si>
  <si>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</si>
  <si>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</si>
  <si>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</si>
  <si>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</si>
  <si>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</si>
  <si>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</si>
  <si>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</si>
  <si>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</si>
  <si>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</si>
  <si>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</si>
  <si>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</si>
  <si>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</si>
  <si>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</si>
  <si>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</si>
  <si>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</si>
  <si>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</si>
  <si>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</si>
  <si>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</si>
  <si>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</si>
  <si>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</si>
  <si>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</si>
  <si>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</si>
  <si>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</si>
  <si>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</si>
  <si>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</si>
  <si>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</si>
  <si>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</si>
  <si>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</si>
  <si>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</si>
  <si>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</si>
  <si>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</si>
  <si>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</si>
  <si>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</si>
  <si>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</si>
  <si>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</si>
  <si>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</si>
  <si>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</si>
  <si>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</si>
  <si>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</si>
  <si>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</si>
  <si>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</si>
  <si>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</si>
  <si>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</si>
  <si>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</si>
  <si>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</si>
  <si>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</si>
  <si>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</si>
  <si>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</si>
  <si>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</si>
  <si>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</si>
  <si>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</si>
  <si>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</si>
  <si>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</si>
  <si>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</si>
  <si>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</si>
  <si>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</si>
  <si>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</si>
  <si>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</si>
  <si>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</si>
  <si>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</si>
  <si>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</si>
  <si>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</si>
  <si>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</si>
  <si>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</si>
  <si>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PT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</si>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</sst>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45967.478935185187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128414.39999999999</v>
      </c>
      <c r="E2" s="19">
        <v>135775</v>
      </c>
      <c r="F2" s="19">
        <v>142554.29999999999</v>
      </c>
      <c r="G2" s="19">
        <v>146067.9</v>
      </c>
      <c r="H2" s="19">
        <v>152248.4</v>
      </c>
      <c r="I2" s="19">
        <v>158552.70000000001</v>
      </c>
      <c r="J2" s="19">
        <v>166260.5</v>
      </c>
      <c r="K2" s="19">
        <v>175483.4</v>
      </c>
      <c r="L2" s="19">
        <v>179102.8</v>
      </c>
      <c r="M2" s="19">
        <v>175416.4</v>
      </c>
      <c r="N2" s="19">
        <v>179860.4</v>
      </c>
      <c r="O2" s="19">
        <v>176318</v>
      </c>
      <c r="P2" s="19">
        <v>168538.8</v>
      </c>
      <c r="Q2" s="19">
        <v>170675.6</v>
      </c>
      <c r="R2" s="19">
        <v>173186.7</v>
      </c>
      <c r="S2" s="19">
        <v>179392.7</v>
      </c>
      <c r="T2" s="19">
        <v>186380.7</v>
      </c>
      <c r="U2" s="19">
        <v>195509.1</v>
      </c>
      <c r="V2" s="19">
        <v>204997.6</v>
      </c>
      <c r="W2" s="19">
        <v>214489.9</v>
      </c>
      <c r="X2" s="19">
        <v>201032.7</v>
      </c>
      <c r="Y2" s="19">
        <v>216493.7</v>
      </c>
      <c r="Z2" s="19">
        <v>243957.1</v>
      </c>
      <c r="AA2" s="19">
        <v>270352.59999999998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81498.5</v>
      </c>
      <c r="E3" s="23">
        <v>85363.199999999997</v>
      </c>
      <c r="F3" s="23">
        <v>89473.600000000006</v>
      </c>
      <c r="G3" s="23">
        <v>92379.5</v>
      </c>
      <c r="H3" s="23">
        <v>96959.2</v>
      </c>
      <c r="I3" s="23">
        <v>102260.9</v>
      </c>
      <c r="J3" s="23">
        <v>107485.6</v>
      </c>
      <c r="K3" s="23">
        <v>113909</v>
      </c>
      <c r="L3" s="23">
        <v>118731.5</v>
      </c>
      <c r="M3" s="23">
        <v>113679.6</v>
      </c>
      <c r="N3" s="23">
        <v>118450.2</v>
      </c>
      <c r="O3" s="23">
        <v>116079.1</v>
      </c>
      <c r="P3" s="23">
        <v>111963.4</v>
      </c>
      <c r="Q3" s="23">
        <v>111646.9</v>
      </c>
      <c r="R3" s="23">
        <v>114534.3</v>
      </c>
      <c r="S3" s="23">
        <v>117450.1</v>
      </c>
      <c r="T3" s="23">
        <v>121508.1</v>
      </c>
      <c r="U3" s="23">
        <v>125659.4</v>
      </c>
      <c r="V3" s="23">
        <v>130983.6</v>
      </c>
      <c r="W3" s="23">
        <v>136737.79999999999</v>
      </c>
      <c r="X3" s="23">
        <v>128047.1</v>
      </c>
      <c r="Y3" s="23">
        <v>137058.29999999999</v>
      </c>
      <c r="Z3" s="23">
        <v>155215.29999999999</v>
      </c>
      <c r="AA3" s="23">
        <v>166611.9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112482.8</v>
      </c>
      <c r="E4" s="27">
        <v>119059</v>
      </c>
      <c r="F4" s="27">
        <v>124675</v>
      </c>
      <c r="G4" s="27">
        <v>127682.6</v>
      </c>
      <c r="H4" s="27">
        <v>133071.70000000001</v>
      </c>
      <c r="I4" s="27">
        <v>137401</v>
      </c>
      <c r="J4" s="27">
        <v>143475</v>
      </c>
      <c r="K4" s="27">
        <v>152061.79999999999</v>
      </c>
      <c r="L4" s="27">
        <v>156036.79999999999</v>
      </c>
      <c r="M4" s="27">
        <v>155410.29999999999</v>
      </c>
      <c r="N4" s="27">
        <v>158032.29999999999</v>
      </c>
      <c r="O4" s="27">
        <v>154178</v>
      </c>
      <c r="P4" s="27">
        <v>147300.5</v>
      </c>
      <c r="Q4" s="27">
        <v>149851.5</v>
      </c>
      <c r="R4" s="27">
        <v>151138.9</v>
      </c>
      <c r="S4" s="27">
        <v>156080.70000000001</v>
      </c>
      <c r="T4" s="27">
        <v>161745</v>
      </c>
      <c r="U4" s="27">
        <v>169071.4</v>
      </c>
      <c r="V4" s="27">
        <v>177157.3</v>
      </c>
      <c r="W4" s="27">
        <v>185473.9</v>
      </c>
      <c r="X4" s="27">
        <v>175104.3</v>
      </c>
      <c r="Y4" s="27">
        <v>187361.5</v>
      </c>
      <c r="Z4" s="27">
        <v>211027.9</v>
      </c>
      <c r="AA4" s="27">
        <v>235589.3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3993.4</v>
      </c>
      <c r="E6" s="19">
        <v>4020</v>
      </c>
      <c r="F6" s="19">
        <v>3881.6</v>
      </c>
      <c r="G6" s="19">
        <v>3872.5</v>
      </c>
      <c r="H6" s="19">
        <v>3961.7</v>
      </c>
      <c r="I6" s="19">
        <v>3652.3</v>
      </c>
      <c r="J6" s="19">
        <v>3746.1</v>
      </c>
      <c r="K6" s="19">
        <v>3506.4</v>
      </c>
      <c r="L6" s="19">
        <v>3517.2</v>
      </c>
      <c r="M6" s="19">
        <v>3421.7</v>
      </c>
      <c r="N6" s="19">
        <v>3489.9</v>
      </c>
      <c r="O6" s="19">
        <v>3241.5</v>
      </c>
      <c r="P6" s="19">
        <v>3236</v>
      </c>
      <c r="Q6" s="19">
        <v>3485</v>
      </c>
      <c r="R6" s="19">
        <v>3423.2</v>
      </c>
      <c r="S6" s="19">
        <v>3543.7</v>
      </c>
      <c r="T6" s="19">
        <v>3582.9</v>
      </c>
      <c r="U6" s="19">
        <v>3839.2</v>
      </c>
      <c r="V6" s="19">
        <v>3932.2</v>
      </c>
      <c r="W6" s="19">
        <v>4289.6000000000004</v>
      </c>
      <c r="X6" s="19">
        <v>4303.8999999999996</v>
      </c>
      <c r="Y6" s="19">
        <v>4680.7</v>
      </c>
      <c r="Z6" s="19">
        <v>4648.3999999999996</v>
      </c>
      <c r="AA6" s="19">
        <v>5778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22809.4</v>
      </c>
      <c r="E7" s="23">
        <v>23554.799999999999</v>
      </c>
      <c r="F7" s="23">
        <v>24016.5</v>
      </c>
      <c r="G7" s="23">
        <v>23896.9</v>
      </c>
      <c r="H7" s="23">
        <v>24390.400000000001</v>
      </c>
      <c r="I7" s="23">
        <v>24365.5</v>
      </c>
      <c r="J7" s="23">
        <v>25478.1</v>
      </c>
      <c r="K7" s="23">
        <v>26829.4</v>
      </c>
      <c r="L7" s="23">
        <v>25983.599999999999</v>
      </c>
      <c r="M7" s="23">
        <v>25064.799999999999</v>
      </c>
      <c r="N7" s="23">
        <v>26607.599999999999</v>
      </c>
      <c r="O7" s="23">
        <v>25601.4</v>
      </c>
      <c r="P7" s="23">
        <v>24994.7</v>
      </c>
      <c r="Q7" s="23">
        <v>25455.8</v>
      </c>
      <c r="R7" s="23">
        <v>26575.200000000001</v>
      </c>
      <c r="S7" s="23">
        <v>28751.8</v>
      </c>
      <c r="T7" s="23">
        <v>29723.9</v>
      </c>
      <c r="U7" s="23">
        <v>30714</v>
      </c>
      <c r="V7" s="23">
        <v>32191.599999999999</v>
      </c>
      <c r="W7" s="23">
        <v>32357</v>
      </c>
      <c r="X7" s="23">
        <v>30637.1</v>
      </c>
      <c r="Y7" s="23">
        <v>33115.4</v>
      </c>
      <c r="Z7" s="23">
        <v>34847.800000000003</v>
      </c>
      <c r="AA7" s="23">
        <v>39040.5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8602.7999999999993</v>
      </c>
      <c r="E8" s="23">
        <v>9226.6</v>
      </c>
      <c r="F8" s="23">
        <v>9479.4</v>
      </c>
      <c r="G8" s="23">
        <v>9157.7999999999993</v>
      </c>
      <c r="H8" s="23">
        <v>9465</v>
      </c>
      <c r="I8" s="23">
        <v>9538.2999999999993</v>
      </c>
      <c r="J8" s="23">
        <v>9682.1</v>
      </c>
      <c r="K8" s="23">
        <v>10291.200000000001</v>
      </c>
      <c r="L8" s="23">
        <v>10528.8</v>
      </c>
      <c r="M8" s="23">
        <v>9767.9</v>
      </c>
      <c r="N8" s="23">
        <v>9244.9</v>
      </c>
      <c r="O8" s="23">
        <v>8484.2999999999993</v>
      </c>
      <c r="P8" s="23">
        <v>7173.9</v>
      </c>
      <c r="Q8" s="23">
        <v>6773</v>
      </c>
      <c r="R8" s="23">
        <v>6304.4</v>
      </c>
      <c r="S8" s="23">
        <v>6398.1</v>
      </c>
      <c r="T8" s="23">
        <v>6523.8</v>
      </c>
      <c r="U8" s="23">
        <v>6920.3</v>
      </c>
      <c r="V8" s="23">
        <v>7541.1</v>
      </c>
      <c r="W8" s="23">
        <v>8151.7</v>
      </c>
      <c r="X8" s="23">
        <v>8352.2000000000007</v>
      </c>
      <c r="Y8" s="23">
        <v>8695.7000000000007</v>
      </c>
      <c r="Z8" s="23">
        <v>10048.200000000001</v>
      </c>
      <c r="AA8" s="23">
        <v>11547.6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25463.599999999999</v>
      </c>
      <c r="E9" s="23">
        <v>26895.3</v>
      </c>
      <c r="F9" s="23">
        <v>28235.3</v>
      </c>
      <c r="G9" s="23">
        <v>28625</v>
      </c>
      <c r="H9" s="23">
        <v>29851.1</v>
      </c>
      <c r="I9" s="23">
        <v>30598.5</v>
      </c>
      <c r="J9" s="23">
        <v>32012.9</v>
      </c>
      <c r="K9" s="23">
        <v>34086.800000000003</v>
      </c>
      <c r="L9" s="23">
        <v>34609.4</v>
      </c>
      <c r="M9" s="23">
        <v>35423.699999999997</v>
      </c>
      <c r="N9" s="23">
        <v>36114.800000000003</v>
      </c>
      <c r="O9" s="23">
        <v>36432.5</v>
      </c>
      <c r="P9" s="23">
        <v>36118.9</v>
      </c>
      <c r="Q9" s="23">
        <v>36948.699999999997</v>
      </c>
      <c r="R9" s="23">
        <v>37302</v>
      </c>
      <c r="S9" s="23">
        <v>38758.9</v>
      </c>
      <c r="T9" s="23">
        <v>40063.300000000003</v>
      </c>
      <c r="U9" s="23">
        <v>41994.2</v>
      </c>
      <c r="V9" s="23">
        <v>43375</v>
      </c>
      <c r="W9" s="23">
        <v>45442.5</v>
      </c>
      <c r="X9" s="23">
        <v>36532.9</v>
      </c>
      <c r="Y9" s="23">
        <v>39631.5</v>
      </c>
      <c r="Z9" s="23">
        <v>48774.7</v>
      </c>
      <c r="AA9" s="23">
        <v>54805.9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4046.3</v>
      </c>
      <c r="E10" s="23">
        <v>4422.3999999999996</v>
      </c>
      <c r="F10" s="23">
        <v>4768.8999999999996</v>
      </c>
      <c r="G10" s="23">
        <v>4893.6000000000004</v>
      </c>
      <c r="H10" s="23">
        <v>5163</v>
      </c>
      <c r="I10" s="23">
        <v>5341.4</v>
      </c>
      <c r="J10" s="23">
        <v>5587.1</v>
      </c>
      <c r="K10" s="23">
        <v>5798.7</v>
      </c>
      <c r="L10" s="23">
        <v>5976.7</v>
      </c>
      <c r="M10" s="23">
        <v>5984.7</v>
      </c>
      <c r="N10" s="23">
        <v>5646.8</v>
      </c>
      <c r="O10" s="23">
        <v>5629.3</v>
      </c>
      <c r="P10" s="23">
        <v>5374.5</v>
      </c>
      <c r="Q10" s="23">
        <v>5197.8</v>
      </c>
      <c r="R10" s="23">
        <v>5160.8</v>
      </c>
      <c r="S10" s="23">
        <v>5317.1</v>
      </c>
      <c r="T10" s="23">
        <v>5660.3</v>
      </c>
      <c r="U10" s="23">
        <v>5946.9</v>
      </c>
      <c r="V10" s="23">
        <v>6375.7</v>
      </c>
      <c r="W10" s="23">
        <v>7140.6</v>
      </c>
      <c r="X10" s="23">
        <v>7782.4</v>
      </c>
      <c r="Y10" s="23">
        <v>8499.7999999999993</v>
      </c>
      <c r="Z10" s="23">
        <v>10019.799999999999</v>
      </c>
      <c r="AA10" s="23">
        <v>11230.9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6529</v>
      </c>
      <c r="E11" s="23">
        <v>7607.2</v>
      </c>
      <c r="F11" s="23">
        <v>7767.3</v>
      </c>
      <c r="G11" s="23">
        <v>8215</v>
      </c>
      <c r="H11" s="23">
        <v>8800.5</v>
      </c>
      <c r="I11" s="23">
        <v>9008.2000000000007</v>
      </c>
      <c r="J11" s="23">
        <v>10669.7</v>
      </c>
      <c r="K11" s="23">
        <v>11674</v>
      </c>
      <c r="L11" s="23">
        <v>12601.9</v>
      </c>
      <c r="M11" s="23">
        <v>10955.1</v>
      </c>
      <c r="N11" s="23">
        <v>10367.9</v>
      </c>
      <c r="O11" s="23">
        <v>10755.4</v>
      </c>
      <c r="P11" s="23">
        <v>9214.2000000000007</v>
      </c>
      <c r="Q11" s="23">
        <v>8203.2999999999993</v>
      </c>
      <c r="R11" s="23">
        <v>7948.2</v>
      </c>
      <c r="S11" s="23">
        <v>7861.2</v>
      </c>
      <c r="T11" s="23">
        <v>8084.5</v>
      </c>
      <c r="U11" s="23">
        <v>7968</v>
      </c>
      <c r="V11" s="23">
        <v>8363.7000000000007</v>
      </c>
      <c r="W11" s="23">
        <v>8909.7000000000007</v>
      </c>
      <c r="X11" s="23">
        <v>9255.7999999999993</v>
      </c>
      <c r="Y11" s="23">
        <v>9604.2000000000007</v>
      </c>
      <c r="Z11" s="23">
        <v>11430.9</v>
      </c>
      <c r="AA11" s="23">
        <v>16582.599999999999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8595</v>
      </c>
      <c r="E12" s="23">
        <v>8798.4</v>
      </c>
      <c r="F12" s="23">
        <v>9679.7000000000007</v>
      </c>
      <c r="G12" s="23">
        <v>10456.700000000001</v>
      </c>
      <c r="H12" s="23">
        <v>10940.7</v>
      </c>
      <c r="I12" s="23">
        <v>11922.3</v>
      </c>
      <c r="J12" s="23">
        <v>12484.4</v>
      </c>
      <c r="K12" s="23">
        <v>13958.2</v>
      </c>
      <c r="L12" s="23">
        <v>14671.9</v>
      </c>
      <c r="M12" s="23">
        <v>15243.6</v>
      </c>
      <c r="N12" s="23">
        <v>16723.400000000001</v>
      </c>
      <c r="O12" s="23">
        <v>16538.2</v>
      </c>
      <c r="P12" s="23">
        <v>17376</v>
      </c>
      <c r="Q12" s="23">
        <v>18578.3</v>
      </c>
      <c r="R12" s="23">
        <v>18862.5</v>
      </c>
      <c r="S12" s="23">
        <v>19100.2</v>
      </c>
      <c r="T12" s="23">
        <v>20173.900000000001</v>
      </c>
      <c r="U12" s="23">
        <v>21214.2</v>
      </c>
      <c r="V12" s="23">
        <v>22163.3</v>
      </c>
      <c r="W12" s="23">
        <v>23260.5</v>
      </c>
      <c r="X12" s="23">
        <v>23562.400000000001</v>
      </c>
      <c r="Y12" s="23">
        <v>24399.8</v>
      </c>
      <c r="Z12" s="23">
        <v>25585.5</v>
      </c>
      <c r="AA12" s="23">
        <v>24767.1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7100.3</v>
      </c>
      <c r="E13" s="23">
        <v>7285.1</v>
      </c>
      <c r="F13" s="23">
        <v>7570.1</v>
      </c>
      <c r="G13" s="23">
        <v>7903.4</v>
      </c>
      <c r="H13" s="23">
        <v>8318.1</v>
      </c>
      <c r="I13" s="23">
        <v>8858.6</v>
      </c>
      <c r="J13" s="23">
        <v>9209.2000000000007</v>
      </c>
      <c r="K13" s="23">
        <v>10333.5</v>
      </c>
      <c r="L13" s="23">
        <v>11120.7</v>
      </c>
      <c r="M13" s="23">
        <v>11082.6</v>
      </c>
      <c r="N13" s="23">
        <v>11353.8</v>
      </c>
      <c r="O13" s="23">
        <v>10906.8</v>
      </c>
      <c r="P13" s="23">
        <v>10173.6</v>
      </c>
      <c r="Q13" s="23">
        <v>10315.700000000001</v>
      </c>
      <c r="R13" s="23">
        <v>11073.1</v>
      </c>
      <c r="S13" s="23">
        <v>11203.4</v>
      </c>
      <c r="T13" s="23">
        <v>11947.2</v>
      </c>
      <c r="U13" s="23">
        <v>13085</v>
      </c>
      <c r="V13" s="23">
        <v>14405.1</v>
      </c>
      <c r="W13" s="23">
        <v>15425.6</v>
      </c>
      <c r="X13" s="23">
        <v>14787.1</v>
      </c>
      <c r="Y13" s="23">
        <v>16535.8</v>
      </c>
      <c r="Z13" s="23">
        <v>20097.7</v>
      </c>
      <c r="AA13" s="23">
        <v>22518.3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22715.899999999994</v>
      </c>
      <c r="E14" s="23">
        <v>24558.500000000015</v>
      </c>
      <c r="F14" s="23">
        <v>26298.599999999991</v>
      </c>
      <c r="G14" s="23">
        <v>27523.800000000017</v>
      </c>
      <c r="H14" s="23">
        <v>28891.800000000003</v>
      </c>
      <c r="I14" s="23">
        <v>30710.599999999991</v>
      </c>
      <c r="J14" s="23">
        <v>31037.200000000012</v>
      </c>
      <c r="K14" s="23">
        <v>31724.699999999997</v>
      </c>
      <c r="L14" s="23">
        <v>32807.900000000009</v>
      </c>
      <c r="M14" s="23">
        <v>34128.299999999974</v>
      </c>
      <c r="N14" s="23">
        <v>33988.999999999971</v>
      </c>
      <c r="O14" s="23">
        <v>32131.100000000006</v>
      </c>
      <c r="P14" s="23">
        <v>29297.800000000003</v>
      </c>
      <c r="Q14" s="23">
        <v>30647.099999999991</v>
      </c>
      <c r="R14" s="23">
        <v>30139.199999999983</v>
      </c>
      <c r="S14" s="23">
        <v>30632.800000000017</v>
      </c>
      <c r="T14" s="23">
        <v>31391.800000000003</v>
      </c>
      <c r="U14" s="23">
        <v>32490.600000000006</v>
      </c>
      <c r="V14" s="23">
        <v>33750.399999999994</v>
      </c>
      <c r="W14" s="23">
        <v>35169.900000000023</v>
      </c>
      <c r="X14" s="23">
        <v>35388.499999999971</v>
      </c>
      <c r="Y14" s="23">
        <v>37509.399999999994</v>
      </c>
      <c r="Z14" s="23">
        <v>39696.199999999983</v>
      </c>
      <c r="AA14" s="23">
        <v>42604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2627.1</v>
      </c>
      <c r="E15" s="23">
        <v>2690.7</v>
      </c>
      <c r="F15" s="23">
        <v>2977.6</v>
      </c>
      <c r="G15" s="23">
        <v>3137.9</v>
      </c>
      <c r="H15" s="23">
        <v>3289.4</v>
      </c>
      <c r="I15" s="23">
        <v>3405.3</v>
      </c>
      <c r="J15" s="23">
        <v>3568.2</v>
      </c>
      <c r="K15" s="23">
        <v>3858.9</v>
      </c>
      <c r="L15" s="23">
        <v>4218.7</v>
      </c>
      <c r="M15" s="23">
        <v>4337.8999999999996</v>
      </c>
      <c r="N15" s="23">
        <v>4494.2</v>
      </c>
      <c r="O15" s="23">
        <v>4457.5</v>
      </c>
      <c r="P15" s="23">
        <v>4340.8999999999996</v>
      </c>
      <c r="Q15" s="23">
        <v>4246.8</v>
      </c>
      <c r="R15" s="23">
        <v>4350.3</v>
      </c>
      <c r="S15" s="23">
        <v>4513.5</v>
      </c>
      <c r="T15" s="23">
        <v>4593.3999999999996</v>
      </c>
      <c r="U15" s="23">
        <v>4899</v>
      </c>
      <c r="V15" s="23">
        <v>5059.2</v>
      </c>
      <c r="W15" s="23">
        <v>5326.8</v>
      </c>
      <c r="X15" s="23">
        <v>4502</v>
      </c>
      <c r="Y15" s="23">
        <v>4689.2</v>
      </c>
      <c r="Z15" s="23">
        <v>5878.7</v>
      </c>
      <c r="AA15" s="23">
        <v>6714.4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112482.8</v>
      </c>
      <c r="E16" s="30">
        <f t="shared" ref="E16:Y16" si="0">SUM(E6:E15)</f>
        <v>119059</v>
      </c>
      <c r="F16" s="30">
        <f t="shared" si="0"/>
        <v>124675</v>
      </c>
      <c r="G16" s="30">
        <f t="shared" si="0"/>
        <v>127682.6</v>
      </c>
      <c r="H16" s="30">
        <f t="shared" si="0"/>
        <v>133071.70000000001</v>
      </c>
      <c r="I16" s="30">
        <f t="shared" si="0"/>
        <v>137401</v>
      </c>
      <c r="J16" s="30">
        <f t="shared" si="0"/>
        <v>143475</v>
      </c>
      <c r="K16" s="30">
        <f t="shared" si="0"/>
        <v>152061.79999999999</v>
      </c>
      <c r="L16" s="30">
        <f t="shared" si="0"/>
        <v>156036.79999999999</v>
      </c>
      <c r="M16" s="30">
        <f t="shared" si="0"/>
        <v>155410.29999999999</v>
      </c>
      <c r="N16" s="30">
        <f t="shared" si="0"/>
        <v>158032.29999999999</v>
      </c>
      <c r="O16" s="30">
        <f t="shared" si="0"/>
        <v>154178</v>
      </c>
      <c r="P16" s="30">
        <f t="shared" si="0"/>
        <v>147300.5</v>
      </c>
      <c r="Q16" s="30">
        <f t="shared" si="0"/>
        <v>149851.5</v>
      </c>
      <c r="R16" s="30">
        <f t="shared" si="0"/>
        <v>151138.89999999997</v>
      </c>
      <c r="S16" s="30">
        <f t="shared" si="0"/>
        <v>156080.70000000001</v>
      </c>
      <c r="T16" s="30">
        <f t="shared" si="0"/>
        <v>161745</v>
      </c>
      <c r="U16" s="30">
        <f t="shared" si="0"/>
        <v>169071.4</v>
      </c>
      <c r="V16" s="30">
        <f t="shared" si="0"/>
        <v>177157.3</v>
      </c>
      <c r="W16" s="30">
        <f t="shared" si="0"/>
        <v>185473.9</v>
      </c>
      <c r="X16" s="30">
        <f t="shared" si="0"/>
        <v>175104.3</v>
      </c>
      <c r="Y16" s="30">
        <f t="shared" si="0"/>
        <v>187361.5</v>
      </c>
      <c r="Z16" s="30">
        <f t="shared" ref="Z16:AA16" si="1">SUM(Z6:Z15)</f>
        <v>211027.9</v>
      </c>
      <c r="AA16" s="30">
        <f t="shared" si="1"/>
        <v>235589.3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3993.4</v>
      </c>
      <c r="E18" s="19">
        <v>4020</v>
      </c>
      <c r="F18" s="19">
        <v>3881.6</v>
      </c>
      <c r="G18" s="19">
        <v>3872.5</v>
      </c>
      <c r="H18" s="19">
        <v>3961.7</v>
      </c>
      <c r="I18" s="19">
        <v>3652.3</v>
      </c>
      <c r="J18" s="19">
        <v>3746.1</v>
      </c>
      <c r="K18" s="19">
        <v>3506.4</v>
      </c>
      <c r="L18" s="19">
        <v>3517.2</v>
      </c>
      <c r="M18" s="19">
        <v>3421.7</v>
      </c>
      <c r="N18" s="19">
        <v>3489.9</v>
      </c>
      <c r="O18" s="19">
        <v>3241.5</v>
      </c>
      <c r="P18" s="19">
        <v>3236</v>
      </c>
      <c r="Q18" s="19">
        <v>3485</v>
      </c>
      <c r="R18" s="19">
        <v>3423.2</v>
      </c>
      <c r="S18" s="19">
        <v>3543.7</v>
      </c>
      <c r="T18" s="19">
        <v>3582.9</v>
      </c>
      <c r="U18" s="19">
        <v>3839.2</v>
      </c>
      <c r="V18" s="19">
        <v>3932.2</v>
      </c>
      <c r="W18" s="19">
        <v>4289.6000000000004</v>
      </c>
      <c r="X18" s="19">
        <v>4303.8999999999996</v>
      </c>
      <c r="Y18" s="19">
        <v>4680.7</v>
      </c>
      <c r="Z18" s="19">
        <v>4648.3999999999996</v>
      </c>
      <c r="AA18" s="19">
        <v>5778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628.8000000000003</v>
      </c>
      <c r="E19" s="23">
        <v>649.6999999999997</v>
      </c>
      <c r="F19" s="23">
        <v>579.50000000000023</v>
      </c>
      <c r="G19" s="23">
        <v>535.90000000000032</v>
      </c>
      <c r="H19" s="23">
        <v>608.80000000000018</v>
      </c>
      <c r="I19" s="23">
        <v>657.98518218258789</v>
      </c>
      <c r="J19" s="23">
        <v>803.19999999999948</v>
      </c>
      <c r="K19" s="23">
        <v>804.10000000000025</v>
      </c>
      <c r="L19" s="23">
        <v>608.01302680350489</v>
      </c>
      <c r="M19" s="23">
        <v>646.0999999999998</v>
      </c>
      <c r="N19" s="23">
        <v>714</v>
      </c>
      <c r="O19" s="23">
        <v>650.08844636383049</v>
      </c>
      <c r="P19" s="23">
        <v>635.71091742804174</v>
      </c>
      <c r="Q19" s="23">
        <v>569.89003131067534</v>
      </c>
      <c r="R19" s="23">
        <v>529.70873055116022</v>
      </c>
      <c r="S19" s="23">
        <v>500.50000000000006</v>
      </c>
      <c r="T19" s="23">
        <v>533.40000000000032</v>
      </c>
      <c r="U19" s="23">
        <v>603.9000000000002</v>
      </c>
      <c r="V19" s="23">
        <v>593.09144353396039</v>
      </c>
      <c r="W19" s="23">
        <v>561.59168221807522</v>
      </c>
      <c r="X19" s="23">
        <v>524.79999999999973</v>
      </c>
      <c r="Y19" s="23">
        <v>752.68781506483435</v>
      </c>
      <c r="Z19" s="23">
        <v>678.80000000000075</v>
      </c>
      <c r="AA19" s="23">
        <v>1686.1949305951628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19325.5</v>
      </c>
      <c r="E20" s="23">
        <v>19928.900000000001</v>
      </c>
      <c r="F20" s="23">
        <v>20235.099999999999</v>
      </c>
      <c r="G20" s="23">
        <v>19684.599999999999</v>
      </c>
      <c r="H20" s="23">
        <v>19872.5</v>
      </c>
      <c r="I20" s="23">
        <v>19925</v>
      </c>
      <c r="J20" s="23">
        <v>20521.900000000001</v>
      </c>
      <c r="K20" s="23">
        <v>21485.5</v>
      </c>
      <c r="L20" s="23">
        <v>21316.2</v>
      </c>
      <c r="M20" s="23">
        <v>19529.400000000001</v>
      </c>
      <c r="N20" s="23">
        <v>20837.099999999999</v>
      </c>
      <c r="O20" s="23">
        <v>19974.7</v>
      </c>
      <c r="P20" s="23">
        <v>19171.8</v>
      </c>
      <c r="Q20" s="23">
        <v>19739</v>
      </c>
      <c r="R20" s="23">
        <v>20507.900000000001</v>
      </c>
      <c r="S20" s="23">
        <v>21978</v>
      </c>
      <c r="T20" s="23">
        <v>22819.599999999999</v>
      </c>
      <c r="U20" s="23">
        <v>24303.599999999999</v>
      </c>
      <c r="V20" s="23">
        <v>25260.1</v>
      </c>
      <c r="W20" s="23">
        <v>25605.3</v>
      </c>
      <c r="X20" s="23">
        <v>24304.9</v>
      </c>
      <c r="Y20" s="23">
        <v>26938.2</v>
      </c>
      <c r="Z20" s="23">
        <v>30402.6</v>
      </c>
      <c r="AA20" s="23">
        <v>32661.200000000001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2119.900000000001</v>
      </c>
      <c r="E21" s="23">
        <v>2222.5999999999985</v>
      </c>
      <c r="F21" s="23">
        <v>2375.8000000000011</v>
      </c>
      <c r="G21" s="23">
        <v>2681.2000000000016</v>
      </c>
      <c r="H21" s="23">
        <v>2810.2000000000012</v>
      </c>
      <c r="I21" s="23">
        <v>2599.0414696212219</v>
      </c>
      <c r="J21" s="23">
        <v>2827.8999999999983</v>
      </c>
      <c r="K21" s="23">
        <v>3158.3000000000015</v>
      </c>
      <c r="L21" s="23">
        <v>2645.8566880209105</v>
      </c>
      <c r="M21" s="23">
        <v>3396.1999999999985</v>
      </c>
      <c r="N21" s="23">
        <v>3341.2999999999997</v>
      </c>
      <c r="O21" s="23">
        <v>3191.5432785952949</v>
      </c>
      <c r="P21" s="23">
        <v>3391.5582451741443</v>
      </c>
      <c r="Q21" s="23">
        <v>3383.9408070807608</v>
      </c>
      <c r="R21" s="23">
        <v>3790.162468684071</v>
      </c>
      <c r="S21" s="23">
        <v>4553.2</v>
      </c>
      <c r="T21" s="23">
        <v>4650.7000000000016</v>
      </c>
      <c r="U21" s="23">
        <v>4121.0000000000009</v>
      </c>
      <c r="V21" s="23">
        <v>4660.0327702117838</v>
      </c>
      <c r="W21" s="23">
        <v>4426.7344352617083</v>
      </c>
      <c r="X21" s="23">
        <v>3959.0999999999981</v>
      </c>
      <c r="Y21" s="23">
        <v>3445.6442199666531</v>
      </c>
      <c r="Z21" s="23">
        <v>1767.1000000000017</v>
      </c>
      <c r="AA21" s="23">
        <v>2681.4447250182893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735.2000000000005</v>
      </c>
      <c r="E22" s="23">
        <v>753.59999999999957</v>
      </c>
      <c r="F22" s="23">
        <v>826.10000000000036</v>
      </c>
      <c r="G22" s="23">
        <v>995.20000000000073</v>
      </c>
      <c r="H22" s="23">
        <v>1098.9000000000005</v>
      </c>
      <c r="I22" s="23">
        <v>1183.4733481961896</v>
      </c>
      <c r="J22" s="23">
        <v>1325.099999999999</v>
      </c>
      <c r="K22" s="23">
        <v>1381.5000000000005</v>
      </c>
      <c r="L22" s="23">
        <v>1413.5302851755825</v>
      </c>
      <c r="M22" s="23">
        <v>1493.0999999999995</v>
      </c>
      <c r="N22" s="23">
        <v>1715.2</v>
      </c>
      <c r="O22" s="23">
        <v>1785.0682750408762</v>
      </c>
      <c r="P22" s="23">
        <v>1795.6308373978161</v>
      </c>
      <c r="Q22" s="23">
        <v>1762.969161608564</v>
      </c>
      <c r="R22" s="23">
        <v>1747.4288007647674</v>
      </c>
      <c r="S22" s="23">
        <v>1720.0999999999997</v>
      </c>
      <c r="T22" s="23">
        <v>1720.200000000001</v>
      </c>
      <c r="U22" s="23">
        <v>1685.5000000000005</v>
      </c>
      <c r="V22" s="23">
        <v>1678.3757862542559</v>
      </c>
      <c r="W22" s="23">
        <v>1763.3738825202167</v>
      </c>
      <c r="X22" s="23">
        <v>1848.299999999999</v>
      </c>
      <c r="Y22" s="23">
        <v>1978.8679649685143</v>
      </c>
      <c r="Z22" s="23">
        <v>1999.300000000002</v>
      </c>
      <c r="AA22" s="23">
        <v>2011.6603443865467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8602.7999999999993</v>
      </c>
      <c r="E23" s="23">
        <v>9226.6</v>
      </c>
      <c r="F23" s="23">
        <v>9479.4</v>
      </c>
      <c r="G23" s="23">
        <v>9157.7999999999993</v>
      </c>
      <c r="H23" s="23">
        <v>9465</v>
      </c>
      <c r="I23" s="23">
        <v>9538.2999999999993</v>
      </c>
      <c r="J23" s="23">
        <v>9682.1</v>
      </c>
      <c r="K23" s="23">
        <v>10291.200000000001</v>
      </c>
      <c r="L23" s="23">
        <v>10528.8</v>
      </c>
      <c r="M23" s="23">
        <v>9767.9</v>
      </c>
      <c r="N23" s="23">
        <v>9244.9</v>
      </c>
      <c r="O23" s="23">
        <v>8484.2999999999993</v>
      </c>
      <c r="P23" s="23">
        <v>7173.9</v>
      </c>
      <c r="Q23" s="23">
        <v>6773</v>
      </c>
      <c r="R23" s="23">
        <v>6304.4</v>
      </c>
      <c r="S23" s="23">
        <v>6398.1</v>
      </c>
      <c r="T23" s="23">
        <v>6523.8</v>
      </c>
      <c r="U23" s="23">
        <v>6920.3</v>
      </c>
      <c r="V23" s="23">
        <v>7541.1</v>
      </c>
      <c r="W23" s="23">
        <v>8151.7</v>
      </c>
      <c r="X23" s="23">
        <v>8352.2000000000007</v>
      </c>
      <c r="Y23" s="23">
        <v>8695.7000000000007</v>
      </c>
      <c r="Z23" s="23">
        <v>10048.200000000001</v>
      </c>
      <c r="AA23" s="23">
        <v>11547.6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15849.999999999998</v>
      </c>
      <c r="E24" s="23">
        <v>16805.599999999999</v>
      </c>
      <c r="F24" s="23">
        <v>17506.2</v>
      </c>
      <c r="G24" s="23">
        <v>17547.099999999999</v>
      </c>
      <c r="H24" s="23">
        <v>18143.199999999997</v>
      </c>
      <c r="I24" s="23">
        <v>18442.099999999999</v>
      </c>
      <c r="J24" s="23">
        <v>19017.800000000003</v>
      </c>
      <c r="K24" s="23">
        <v>19978.400000000001</v>
      </c>
      <c r="L24" s="23">
        <v>20486.5</v>
      </c>
      <c r="M24" s="23">
        <v>20904.899999999998</v>
      </c>
      <c r="N24" s="23">
        <v>20985.200000000004</v>
      </c>
      <c r="O24" s="23">
        <v>21664.2</v>
      </c>
      <c r="P24" s="23">
        <v>21635.300000000003</v>
      </c>
      <c r="Q24" s="23">
        <v>22266.199999999997</v>
      </c>
      <c r="R24" s="23">
        <v>22431</v>
      </c>
      <c r="S24" s="23">
        <v>23004.300000000003</v>
      </c>
      <c r="T24" s="23">
        <v>23554.9</v>
      </c>
      <c r="U24" s="23">
        <v>23541.299999999996</v>
      </c>
      <c r="V24" s="23">
        <v>23863.8</v>
      </c>
      <c r="W24" s="23">
        <v>24675.1</v>
      </c>
      <c r="X24" s="23">
        <v>23154.800000000003</v>
      </c>
      <c r="Y24" s="23">
        <v>23942.400000000001</v>
      </c>
      <c r="Z24" s="23">
        <v>26047.1</v>
      </c>
      <c r="AA24" s="23">
        <v>23853.895820831942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4647.5</v>
      </c>
      <c r="E25" s="23">
        <v>4882.5</v>
      </c>
      <c r="F25" s="23">
        <v>5062.8999999999996</v>
      </c>
      <c r="G25" s="23">
        <v>5236.1000000000004</v>
      </c>
      <c r="H25" s="23">
        <v>5436.2</v>
      </c>
      <c r="I25" s="23">
        <v>5574.3</v>
      </c>
      <c r="J25" s="23">
        <v>6026</v>
      </c>
      <c r="K25" s="23">
        <v>6816.9</v>
      </c>
      <c r="L25" s="23">
        <v>6808.9</v>
      </c>
      <c r="M25" s="23">
        <v>6996.8</v>
      </c>
      <c r="N25" s="23">
        <v>7446.8</v>
      </c>
      <c r="O25" s="23">
        <v>7173</v>
      </c>
      <c r="P25" s="23">
        <v>6951.1</v>
      </c>
      <c r="Q25" s="23">
        <v>7211.2</v>
      </c>
      <c r="R25" s="23">
        <v>7152.2</v>
      </c>
      <c r="S25" s="23">
        <v>7666.6</v>
      </c>
      <c r="T25" s="23">
        <v>7768.9</v>
      </c>
      <c r="U25" s="23">
        <v>8454.1</v>
      </c>
      <c r="V25" s="23">
        <v>8786</v>
      </c>
      <c r="W25" s="23">
        <v>9452</v>
      </c>
      <c r="X25" s="23">
        <v>6989.4</v>
      </c>
      <c r="Y25" s="23">
        <v>7775.4</v>
      </c>
      <c r="Z25" s="23">
        <v>9767.7000000000007</v>
      </c>
      <c r="AA25" s="23">
        <v>9858.4514116774226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4966.1000000000004</v>
      </c>
      <c r="E26" s="23">
        <v>5207.2</v>
      </c>
      <c r="F26" s="23">
        <v>5666.2</v>
      </c>
      <c r="G26" s="23">
        <v>5841.8</v>
      </c>
      <c r="H26" s="23">
        <v>6271.7</v>
      </c>
      <c r="I26" s="23">
        <v>6582.1</v>
      </c>
      <c r="J26" s="23">
        <v>6969.1</v>
      </c>
      <c r="K26" s="23">
        <v>7291.5</v>
      </c>
      <c r="L26" s="23">
        <v>7314</v>
      </c>
      <c r="M26" s="23">
        <v>7522</v>
      </c>
      <c r="N26" s="23">
        <v>7682.8</v>
      </c>
      <c r="O26" s="23">
        <v>7595.3</v>
      </c>
      <c r="P26" s="23">
        <v>7532.5</v>
      </c>
      <c r="Q26" s="23">
        <v>7471.3</v>
      </c>
      <c r="R26" s="23">
        <v>7718.8</v>
      </c>
      <c r="S26" s="23">
        <v>8088</v>
      </c>
      <c r="T26" s="23">
        <v>8739.5</v>
      </c>
      <c r="U26" s="23">
        <v>9998.7999999999993</v>
      </c>
      <c r="V26" s="23">
        <v>10725.2</v>
      </c>
      <c r="W26" s="23">
        <v>11315.4</v>
      </c>
      <c r="X26" s="23">
        <v>6388.7</v>
      </c>
      <c r="Y26" s="23">
        <v>7913.7</v>
      </c>
      <c r="Z26" s="23">
        <v>12959.9</v>
      </c>
      <c r="AA26" s="23">
        <v>21093.552767490637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4046.3</v>
      </c>
      <c r="E27" s="23">
        <v>4422.3999999999996</v>
      </c>
      <c r="F27" s="23">
        <v>4768.8999999999996</v>
      </c>
      <c r="G27" s="23">
        <v>4893.6000000000004</v>
      </c>
      <c r="H27" s="23">
        <v>5163</v>
      </c>
      <c r="I27" s="23">
        <v>5341.4</v>
      </c>
      <c r="J27" s="23">
        <v>5587.1</v>
      </c>
      <c r="K27" s="23">
        <v>5798.7</v>
      </c>
      <c r="L27" s="23">
        <v>5976.7</v>
      </c>
      <c r="M27" s="23">
        <v>5984.7</v>
      </c>
      <c r="N27" s="23">
        <v>5646.8</v>
      </c>
      <c r="O27" s="23">
        <v>5629.3</v>
      </c>
      <c r="P27" s="23">
        <v>5374.5</v>
      </c>
      <c r="Q27" s="23">
        <v>5197.8</v>
      </c>
      <c r="R27" s="23">
        <v>5160.8</v>
      </c>
      <c r="S27" s="23">
        <v>5317.1</v>
      </c>
      <c r="T27" s="23">
        <v>5660.3</v>
      </c>
      <c r="U27" s="23">
        <v>5946.9</v>
      </c>
      <c r="V27" s="23">
        <v>6375.7</v>
      </c>
      <c r="W27" s="23">
        <v>7140.6</v>
      </c>
      <c r="X27" s="23">
        <v>7782.4</v>
      </c>
      <c r="Y27" s="23">
        <v>8499.7999999999993</v>
      </c>
      <c r="Z27" s="23">
        <v>10019.799999999999</v>
      </c>
      <c r="AA27" s="23">
        <v>11230.9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6529</v>
      </c>
      <c r="E28" s="23">
        <v>7607.2</v>
      </c>
      <c r="F28" s="23">
        <v>7767.3</v>
      </c>
      <c r="G28" s="23">
        <v>8215</v>
      </c>
      <c r="H28" s="23">
        <v>8800.5</v>
      </c>
      <c r="I28" s="23">
        <v>9008.2000000000007</v>
      </c>
      <c r="J28" s="23">
        <v>10669.7</v>
      </c>
      <c r="K28" s="23">
        <v>11674</v>
      </c>
      <c r="L28" s="23">
        <v>12601.9</v>
      </c>
      <c r="M28" s="23">
        <v>10955.1</v>
      </c>
      <c r="N28" s="23">
        <v>10367.9</v>
      </c>
      <c r="O28" s="23">
        <v>10755.4</v>
      </c>
      <c r="P28" s="23">
        <v>9214.2000000000007</v>
      </c>
      <c r="Q28" s="23">
        <v>8203.2999999999993</v>
      </c>
      <c r="R28" s="23">
        <v>7948.2</v>
      </c>
      <c r="S28" s="23">
        <v>7861.2</v>
      </c>
      <c r="T28" s="23">
        <v>8084.5</v>
      </c>
      <c r="U28" s="23">
        <v>7968</v>
      </c>
      <c r="V28" s="23">
        <v>8363.7000000000007</v>
      </c>
      <c r="W28" s="23">
        <v>8909.7000000000007</v>
      </c>
      <c r="X28" s="23">
        <v>9255.7999999999993</v>
      </c>
      <c r="Y28" s="23">
        <v>9604.2000000000007</v>
      </c>
      <c r="Z28" s="23">
        <v>11430.9</v>
      </c>
      <c r="AA28" s="23">
        <v>16582.599999999999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8595</v>
      </c>
      <c r="E29" s="23">
        <v>8798.4</v>
      </c>
      <c r="F29" s="23">
        <v>9679.7000000000007</v>
      </c>
      <c r="G29" s="23">
        <v>10456.700000000001</v>
      </c>
      <c r="H29" s="23">
        <v>10940.7</v>
      </c>
      <c r="I29" s="23">
        <v>11922.3</v>
      </c>
      <c r="J29" s="23">
        <v>12484.4</v>
      </c>
      <c r="K29" s="23">
        <v>13958.2</v>
      </c>
      <c r="L29" s="23">
        <v>14671.9</v>
      </c>
      <c r="M29" s="23">
        <v>15243.6</v>
      </c>
      <c r="N29" s="23">
        <v>16723.400000000001</v>
      </c>
      <c r="O29" s="23">
        <v>16538.2</v>
      </c>
      <c r="P29" s="23">
        <v>17376</v>
      </c>
      <c r="Q29" s="23">
        <v>18578.3</v>
      </c>
      <c r="R29" s="23">
        <v>18862.5</v>
      </c>
      <c r="S29" s="23">
        <v>19100.2</v>
      </c>
      <c r="T29" s="23">
        <v>20173.900000000001</v>
      </c>
      <c r="U29" s="23">
        <v>21214.2</v>
      </c>
      <c r="V29" s="23">
        <v>22163.3</v>
      </c>
      <c r="W29" s="23">
        <v>23260.5</v>
      </c>
      <c r="X29" s="23">
        <v>23562.400000000001</v>
      </c>
      <c r="Y29" s="23">
        <v>24399.8</v>
      </c>
      <c r="Z29" s="23">
        <v>25585.5</v>
      </c>
      <c r="AA29" s="23">
        <v>24767.1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3892.2000000000003</v>
      </c>
      <c r="E30" s="23">
        <v>4004.1000000000004</v>
      </c>
      <c r="F30" s="23">
        <v>4061.0000000000005</v>
      </c>
      <c r="G30" s="23">
        <v>4268.7</v>
      </c>
      <c r="H30" s="23">
        <v>4479.4000000000005</v>
      </c>
      <c r="I30" s="23">
        <v>4815.9000000000005</v>
      </c>
      <c r="J30" s="23">
        <v>4850.4000000000005</v>
      </c>
      <c r="K30" s="23">
        <v>5475.2</v>
      </c>
      <c r="L30" s="23">
        <v>5974.6</v>
      </c>
      <c r="M30" s="23">
        <v>5894.9000000000005</v>
      </c>
      <c r="N30" s="23">
        <v>5936.4999999999991</v>
      </c>
      <c r="O30" s="23">
        <v>5704.9999999999991</v>
      </c>
      <c r="P30" s="23">
        <v>5296.6</v>
      </c>
      <c r="Q30" s="23">
        <v>5435.3000000000011</v>
      </c>
      <c r="R30" s="23">
        <v>5878</v>
      </c>
      <c r="S30" s="23">
        <v>5780.5</v>
      </c>
      <c r="T30" s="23">
        <v>6028.4000000000005</v>
      </c>
      <c r="U30" s="23">
        <v>6473.8</v>
      </c>
      <c r="V30" s="23">
        <v>7255.8</v>
      </c>
      <c r="W30" s="23">
        <v>7972</v>
      </c>
      <c r="X30" s="23">
        <v>8142.8</v>
      </c>
      <c r="Y30" s="23">
        <v>8888.9</v>
      </c>
      <c r="Z30" s="23">
        <v>10628.5</v>
      </c>
      <c r="AA30" s="23">
        <v>11751.35626995788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3208.1</v>
      </c>
      <c r="E31" s="23">
        <v>3281</v>
      </c>
      <c r="F31" s="23">
        <v>3509.1</v>
      </c>
      <c r="G31" s="23">
        <v>3634.7</v>
      </c>
      <c r="H31" s="23">
        <v>3838.7</v>
      </c>
      <c r="I31" s="23">
        <v>4042.7</v>
      </c>
      <c r="J31" s="23">
        <v>4358.8</v>
      </c>
      <c r="K31" s="23">
        <v>4858.3</v>
      </c>
      <c r="L31" s="23">
        <v>5146.1000000000004</v>
      </c>
      <c r="M31" s="23">
        <v>5187.7</v>
      </c>
      <c r="N31" s="23">
        <v>5417.3</v>
      </c>
      <c r="O31" s="23">
        <v>5201.8</v>
      </c>
      <c r="P31" s="23">
        <v>4877</v>
      </c>
      <c r="Q31" s="23">
        <v>4880.3999999999996</v>
      </c>
      <c r="R31" s="23">
        <v>5195.1000000000004</v>
      </c>
      <c r="S31" s="23">
        <v>5422.9</v>
      </c>
      <c r="T31" s="23">
        <v>5918.8</v>
      </c>
      <c r="U31" s="23">
        <v>6611.2</v>
      </c>
      <c r="V31" s="23">
        <v>7149.3</v>
      </c>
      <c r="W31" s="23">
        <v>7453.6</v>
      </c>
      <c r="X31" s="23">
        <v>6644.3</v>
      </c>
      <c r="Y31" s="23">
        <v>7646.9</v>
      </c>
      <c r="Z31" s="23">
        <v>9469.2000000000007</v>
      </c>
      <c r="AA31" s="23">
        <v>10766.94373004212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9612.5999999999949</v>
      </c>
      <c r="E32" s="23">
        <v>10016.700000000015</v>
      </c>
      <c r="F32" s="23">
        <v>10555.899999999991</v>
      </c>
      <c r="G32" s="23">
        <v>11150.600000000017</v>
      </c>
      <c r="H32" s="23">
        <v>11492.400000000001</v>
      </c>
      <c r="I32" s="23">
        <v>12220.599999999991</v>
      </c>
      <c r="J32" s="23">
        <v>12434.200000000012</v>
      </c>
      <c r="K32" s="23">
        <v>12664.999999999996</v>
      </c>
      <c r="L32" s="23">
        <v>13060.100000000009</v>
      </c>
      <c r="M32" s="23">
        <v>13703.399999999972</v>
      </c>
      <c r="N32" s="23">
        <v>13145.79999999997</v>
      </c>
      <c r="O32" s="23">
        <v>12474.300000000003</v>
      </c>
      <c r="P32" s="23">
        <v>11145</v>
      </c>
      <c r="Q32" s="23">
        <v>12003.099999999991</v>
      </c>
      <c r="R32" s="23">
        <v>11392.699999999983</v>
      </c>
      <c r="S32" s="23">
        <v>11608.700000000019</v>
      </c>
      <c r="T32" s="23">
        <v>11758.400000000001</v>
      </c>
      <c r="U32" s="23">
        <v>11987.300000000007</v>
      </c>
      <c r="V32" s="23">
        <v>12278.399999999994</v>
      </c>
      <c r="W32" s="23">
        <v>12762.60000000002</v>
      </c>
      <c r="X32" s="23">
        <v>12907.899999999972</v>
      </c>
      <c r="Y32" s="23">
        <v>13462.899999999994</v>
      </c>
      <c r="Z32" s="23">
        <v>14102.599999999984</v>
      </c>
      <c r="AA32" s="23">
        <v>14936.752653191248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7504.2</v>
      </c>
      <c r="E33" s="23">
        <v>8068.5</v>
      </c>
      <c r="F33" s="23">
        <v>8778.2000000000007</v>
      </c>
      <c r="G33" s="23">
        <v>9061.1</v>
      </c>
      <c r="H33" s="23">
        <v>9469.7999999999993</v>
      </c>
      <c r="I33" s="23">
        <v>10007.1</v>
      </c>
      <c r="J33" s="23">
        <v>10096.799999999999</v>
      </c>
      <c r="K33" s="23">
        <v>9975</v>
      </c>
      <c r="L33" s="23">
        <v>10493.9</v>
      </c>
      <c r="M33" s="23">
        <v>10858.3</v>
      </c>
      <c r="N33" s="23">
        <v>11061.2</v>
      </c>
      <c r="O33" s="23">
        <v>10153.200000000001</v>
      </c>
      <c r="P33" s="23">
        <v>8984.1</v>
      </c>
      <c r="Q33" s="23">
        <v>9379.4</v>
      </c>
      <c r="R33" s="23">
        <v>9375.9</v>
      </c>
      <c r="S33" s="23">
        <v>9338.2999999999993</v>
      </c>
      <c r="T33" s="23">
        <v>9405.6</v>
      </c>
      <c r="U33" s="23">
        <v>9691.7999999999993</v>
      </c>
      <c r="V33" s="23">
        <v>9939.5</v>
      </c>
      <c r="W33" s="23">
        <v>10198.6</v>
      </c>
      <c r="X33" s="23">
        <v>10311.9</v>
      </c>
      <c r="Y33" s="23">
        <v>10553.5</v>
      </c>
      <c r="Z33" s="23">
        <v>11195.4</v>
      </c>
      <c r="AA33" s="23">
        <v>12074.426240767039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5599.1</v>
      </c>
      <c r="E34" s="23">
        <v>6473.3</v>
      </c>
      <c r="F34" s="23">
        <v>6964.5</v>
      </c>
      <c r="G34" s="23">
        <v>7312.1</v>
      </c>
      <c r="H34" s="23">
        <v>7929.6</v>
      </c>
      <c r="I34" s="23">
        <v>8482.9</v>
      </c>
      <c r="J34" s="23">
        <v>8506.2000000000007</v>
      </c>
      <c r="K34" s="23">
        <v>9084.7000000000007</v>
      </c>
      <c r="L34" s="23">
        <v>9253.9</v>
      </c>
      <c r="M34" s="23">
        <v>9566.6</v>
      </c>
      <c r="N34" s="23">
        <v>9782</v>
      </c>
      <c r="O34" s="23">
        <v>9503.6</v>
      </c>
      <c r="P34" s="23">
        <v>9168.7000000000007</v>
      </c>
      <c r="Q34" s="23">
        <v>9264.6</v>
      </c>
      <c r="R34" s="23">
        <v>9370.6</v>
      </c>
      <c r="S34" s="23">
        <v>9685.7999999999993</v>
      </c>
      <c r="T34" s="23">
        <v>10227.799999999999</v>
      </c>
      <c r="U34" s="23">
        <v>10811.5</v>
      </c>
      <c r="V34" s="23">
        <v>11532.5</v>
      </c>
      <c r="W34" s="23">
        <v>12208.7</v>
      </c>
      <c r="X34" s="23">
        <v>12168.7</v>
      </c>
      <c r="Y34" s="23">
        <v>13493</v>
      </c>
      <c r="Z34" s="23">
        <v>14398.2</v>
      </c>
      <c r="AA34" s="23">
        <v>15592.821106041712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845.29999999999973</v>
      </c>
      <c r="E35" s="23">
        <v>863.09999999999991</v>
      </c>
      <c r="F35" s="23">
        <v>941.09999999999991</v>
      </c>
      <c r="G35" s="23">
        <v>988.59999999999991</v>
      </c>
      <c r="H35" s="23">
        <v>1061.5999999999999</v>
      </c>
      <c r="I35" s="23">
        <v>1056.6000000000004</v>
      </c>
      <c r="J35" s="23">
        <v>1089.7999999999997</v>
      </c>
      <c r="K35" s="23">
        <v>1112.7999999999997</v>
      </c>
      <c r="L35" s="23">
        <v>1192.6999999999998</v>
      </c>
      <c r="M35" s="23">
        <v>1225.2999999999997</v>
      </c>
      <c r="N35" s="23">
        <v>1258.8999999999996</v>
      </c>
      <c r="O35" s="23">
        <v>1241.6000000000004</v>
      </c>
      <c r="P35" s="23">
        <v>1086.5999999999999</v>
      </c>
      <c r="Q35" s="23">
        <v>1037</v>
      </c>
      <c r="R35" s="23">
        <v>1107.3000000000002</v>
      </c>
      <c r="S35" s="23">
        <v>1240.8999999999996</v>
      </c>
      <c r="T35" s="23">
        <v>1296.5999999999995</v>
      </c>
      <c r="U35" s="23">
        <v>1513.2999999999997</v>
      </c>
      <c r="V35" s="23">
        <v>1580.5999999999995</v>
      </c>
      <c r="W35" s="23">
        <v>1697.8000000000002</v>
      </c>
      <c r="X35" s="23">
        <v>1237.1999999999998</v>
      </c>
      <c r="Y35" s="23">
        <v>1467.0999999999995</v>
      </c>
      <c r="Z35" s="23">
        <v>2147.7999999999997</v>
      </c>
      <c r="AA35" s="23">
        <v>2623.8869926635425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1055.2</v>
      </c>
      <c r="E36" s="23">
        <v>1060.5</v>
      </c>
      <c r="F36" s="23">
        <v>1198.3</v>
      </c>
      <c r="G36" s="23">
        <v>1271.9000000000001</v>
      </c>
      <c r="H36" s="23">
        <v>1344.2</v>
      </c>
      <c r="I36" s="23">
        <v>1421.3</v>
      </c>
      <c r="J36" s="23">
        <v>1515.8</v>
      </c>
      <c r="K36" s="23">
        <v>1668.7</v>
      </c>
      <c r="L36" s="23">
        <v>1870.3</v>
      </c>
      <c r="M36" s="23">
        <v>1903</v>
      </c>
      <c r="N36" s="23">
        <v>2003.3</v>
      </c>
      <c r="O36" s="23">
        <v>2015.3</v>
      </c>
      <c r="P36" s="23">
        <v>2103.6999999999998</v>
      </c>
      <c r="Q36" s="23">
        <v>2103.8000000000002</v>
      </c>
      <c r="R36" s="23">
        <v>2130.3000000000002</v>
      </c>
      <c r="S36" s="23">
        <v>2187.4</v>
      </c>
      <c r="T36" s="23">
        <v>2200.4</v>
      </c>
      <c r="U36" s="23">
        <v>2290.3000000000002</v>
      </c>
      <c r="V36" s="23">
        <v>2358.3000000000002</v>
      </c>
      <c r="W36" s="23">
        <v>2459.6999999999998</v>
      </c>
      <c r="X36" s="23">
        <v>2158.5</v>
      </c>
      <c r="Y36" s="23">
        <v>2188.8000000000002</v>
      </c>
      <c r="Z36" s="23">
        <v>2520.3000000000002</v>
      </c>
      <c r="AA36" s="23">
        <v>2808.7221494711898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726.6</v>
      </c>
      <c r="E37" s="23">
        <v>767.1</v>
      </c>
      <c r="F37" s="23">
        <v>838.2</v>
      </c>
      <c r="G37" s="23">
        <v>877.4</v>
      </c>
      <c r="H37" s="23">
        <v>883.6</v>
      </c>
      <c r="I37" s="23">
        <v>927.4</v>
      </c>
      <c r="J37" s="23">
        <v>962.6</v>
      </c>
      <c r="K37" s="23">
        <v>1077.4000000000001</v>
      </c>
      <c r="L37" s="23">
        <v>1155.7</v>
      </c>
      <c r="M37" s="23">
        <v>1209.5999999999999</v>
      </c>
      <c r="N37" s="23">
        <v>1232</v>
      </c>
      <c r="O37" s="23">
        <v>1200.5999999999999</v>
      </c>
      <c r="P37" s="23">
        <v>1150.5999999999999</v>
      </c>
      <c r="Q37" s="23">
        <v>1106</v>
      </c>
      <c r="R37" s="23">
        <v>1112.7</v>
      </c>
      <c r="S37" s="23">
        <v>1085.2</v>
      </c>
      <c r="T37" s="23">
        <v>1096.4000000000001</v>
      </c>
      <c r="U37" s="23">
        <v>1095.4000000000001</v>
      </c>
      <c r="V37" s="23">
        <v>1120.3</v>
      </c>
      <c r="W37" s="23">
        <v>1169.3</v>
      </c>
      <c r="X37" s="23">
        <v>1106.3</v>
      </c>
      <c r="Y37" s="23">
        <v>1033.3</v>
      </c>
      <c r="Z37" s="23">
        <v>1210.5999999999999</v>
      </c>
      <c r="AA37" s="23">
        <v>1281.7908578652671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112482.8</v>
      </c>
      <c r="E39" s="30">
        <f t="shared" ref="E39:Y39" si="2">SUM(E18:E38)</f>
        <v>119059.00000000001</v>
      </c>
      <c r="F39" s="30">
        <f t="shared" si="2"/>
        <v>124675</v>
      </c>
      <c r="G39" s="30">
        <f t="shared" si="2"/>
        <v>127682.60000000002</v>
      </c>
      <c r="H39" s="30">
        <f t="shared" si="2"/>
        <v>133071.70000000001</v>
      </c>
      <c r="I39" s="30">
        <f t="shared" si="2"/>
        <v>137400.99999999997</v>
      </c>
      <c r="J39" s="30">
        <f t="shared" si="2"/>
        <v>143475</v>
      </c>
      <c r="K39" s="30">
        <f t="shared" si="2"/>
        <v>152061.80000000002</v>
      </c>
      <c r="L39" s="30">
        <f t="shared" si="2"/>
        <v>156036.80000000002</v>
      </c>
      <c r="M39" s="30">
        <f t="shared" si="2"/>
        <v>155410.29999999996</v>
      </c>
      <c r="N39" s="30">
        <f t="shared" si="2"/>
        <v>158032.29999999999</v>
      </c>
      <c r="O39" s="30">
        <f t="shared" si="2"/>
        <v>154178.00000000003</v>
      </c>
      <c r="P39" s="30">
        <f t="shared" si="2"/>
        <v>147300.50000000003</v>
      </c>
      <c r="Q39" s="30">
        <f t="shared" si="2"/>
        <v>149851.5</v>
      </c>
      <c r="R39" s="30">
        <f t="shared" si="2"/>
        <v>151138.9</v>
      </c>
      <c r="S39" s="30">
        <f t="shared" si="2"/>
        <v>156080.69999999998</v>
      </c>
      <c r="T39" s="30">
        <f t="shared" si="2"/>
        <v>161745</v>
      </c>
      <c r="U39" s="30">
        <f t="shared" si="2"/>
        <v>169071.39999999997</v>
      </c>
      <c r="V39" s="30">
        <f t="shared" si="2"/>
        <v>177157.29999999996</v>
      </c>
      <c r="W39" s="30">
        <f t="shared" si="2"/>
        <v>185473.9</v>
      </c>
      <c r="X39" s="30">
        <f t="shared" si="2"/>
        <v>175104.29999999996</v>
      </c>
      <c r="Y39" s="30">
        <f t="shared" si="2"/>
        <v>187361.49999999997</v>
      </c>
      <c r="Z39" s="30">
        <f t="shared" ref="Z39:AA39" si="3">SUM(Z18:Z38)</f>
        <v>211027.89999999997</v>
      </c>
      <c r="AA39" s="30">
        <f t="shared" si="3"/>
        <v>235589.30000000002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2466.4</v>
      </c>
      <c r="E41" s="19">
        <v>2708.9</v>
      </c>
      <c r="F41" s="19">
        <v>2916</v>
      </c>
      <c r="G41" s="19">
        <v>3010.4</v>
      </c>
      <c r="H41" s="19">
        <v>3093.4</v>
      </c>
      <c r="I41" s="19">
        <v>3182.4</v>
      </c>
      <c r="J41" s="19">
        <v>3239.1</v>
      </c>
      <c r="K41" s="19">
        <v>3221.4</v>
      </c>
      <c r="L41" s="19">
        <v>3358.9</v>
      </c>
      <c r="M41" s="19">
        <v>3543.3</v>
      </c>
      <c r="N41" s="19">
        <v>3567.8</v>
      </c>
      <c r="O41" s="19">
        <v>3418.1</v>
      </c>
      <c r="P41" s="19">
        <v>3354.5</v>
      </c>
      <c r="Q41" s="19">
        <v>3508.5</v>
      </c>
      <c r="R41" s="19">
        <v>3743.7</v>
      </c>
      <c r="S41" s="19">
        <v>3854.2</v>
      </c>
      <c r="T41" s="19">
        <v>4082.9</v>
      </c>
      <c r="U41" s="19">
        <v>4095.9</v>
      </c>
      <c r="V41" s="19">
        <v>4235</v>
      </c>
      <c r="W41" s="19">
        <v>4283.5</v>
      </c>
      <c r="X41" s="19">
        <v>4163.8999999999996</v>
      </c>
      <c r="Y41" s="19">
        <v>4320.2</v>
      </c>
      <c r="Z41" s="19">
        <v>4647.8999999999996</v>
      </c>
      <c r="AA41" s="19">
        <v>4881.5283108318208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3812.2</v>
      </c>
      <c r="E42" s="23">
        <v>3873.2</v>
      </c>
      <c r="F42" s="23">
        <v>3987.2</v>
      </c>
      <c r="G42" s="23">
        <v>3863.4</v>
      </c>
      <c r="H42" s="23">
        <v>3685.1</v>
      </c>
      <c r="I42" s="23">
        <v>3414.6</v>
      </c>
      <c r="J42" s="23">
        <v>3445</v>
      </c>
      <c r="K42" s="23">
        <v>3585.2</v>
      </c>
      <c r="L42" s="23">
        <v>3489</v>
      </c>
      <c r="M42" s="23">
        <v>3317.9</v>
      </c>
      <c r="N42" s="23">
        <v>3363.4</v>
      </c>
      <c r="O42" s="23">
        <v>3384.3</v>
      </c>
      <c r="P42" s="23">
        <v>3374.5</v>
      </c>
      <c r="Q42" s="23">
        <v>3563.5</v>
      </c>
      <c r="R42" s="23">
        <v>3765.1</v>
      </c>
      <c r="S42" s="23">
        <v>3940</v>
      </c>
      <c r="T42" s="23">
        <v>4110.7</v>
      </c>
      <c r="U42" s="23">
        <v>4159.1000000000004</v>
      </c>
      <c r="V42" s="23">
        <v>4195.8</v>
      </c>
      <c r="W42" s="23">
        <v>4047.3</v>
      </c>
      <c r="X42" s="23">
        <v>3819.4</v>
      </c>
      <c r="Y42" s="23">
        <v>4066.8</v>
      </c>
      <c r="Z42" s="23">
        <v>4360.3999999999996</v>
      </c>
      <c r="AA42" s="23">
        <v>4538.4794360370106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2554.3000000000002</v>
      </c>
      <c r="E43" s="23">
        <v>2462.6999999999998</v>
      </c>
      <c r="F43" s="23">
        <v>2415.9</v>
      </c>
      <c r="G43" s="23">
        <v>2303.1</v>
      </c>
      <c r="H43" s="23">
        <v>2229.6</v>
      </c>
      <c r="I43" s="23">
        <v>2353</v>
      </c>
      <c r="J43" s="23">
        <v>2542.3000000000002</v>
      </c>
      <c r="K43" s="23">
        <v>2649.2</v>
      </c>
      <c r="L43" s="23">
        <v>2390.5</v>
      </c>
      <c r="M43" s="23">
        <v>2097.1999999999998</v>
      </c>
      <c r="N43" s="23">
        <v>2457.6</v>
      </c>
      <c r="O43" s="23">
        <v>2273</v>
      </c>
      <c r="P43" s="23">
        <v>2097.8000000000002</v>
      </c>
      <c r="Q43" s="23">
        <v>2152.9</v>
      </c>
      <c r="R43" s="23">
        <v>2174.8000000000002</v>
      </c>
      <c r="S43" s="23">
        <v>2436.3000000000002</v>
      </c>
      <c r="T43" s="23">
        <v>2423.6</v>
      </c>
      <c r="U43" s="23">
        <v>2445.1</v>
      </c>
      <c r="V43" s="23">
        <v>2714.6</v>
      </c>
      <c r="W43" s="23">
        <v>2693.2</v>
      </c>
      <c r="X43" s="23">
        <v>2470.5</v>
      </c>
      <c r="Y43" s="23">
        <v>2667.6</v>
      </c>
      <c r="Z43" s="23">
        <v>3372.7</v>
      </c>
      <c r="AA43" s="23">
        <v>3812.0053153985305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206.3</v>
      </c>
      <c r="E44" s="23">
        <v>202.1</v>
      </c>
      <c r="F44" s="23">
        <v>158.1</v>
      </c>
      <c r="G44" s="23">
        <v>182.8</v>
      </c>
      <c r="H44" s="23">
        <v>315</v>
      </c>
      <c r="I44" s="23">
        <v>545.9</v>
      </c>
      <c r="J44" s="23">
        <v>624.70000000000005</v>
      </c>
      <c r="K44" s="23">
        <v>545</v>
      </c>
      <c r="L44" s="23">
        <v>652.5</v>
      </c>
      <c r="M44" s="23">
        <v>158.19999999999999</v>
      </c>
      <c r="N44" s="23">
        <v>430.8</v>
      </c>
      <c r="O44" s="23">
        <v>309.8</v>
      </c>
      <c r="P44" s="23">
        <v>255.5</v>
      </c>
      <c r="Q44" s="23">
        <v>201.2</v>
      </c>
      <c r="R44" s="23">
        <v>188</v>
      </c>
      <c r="S44" s="23">
        <v>589.29999999999995</v>
      </c>
      <c r="T44" s="23">
        <v>415.1</v>
      </c>
      <c r="U44" s="23">
        <v>823.7</v>
      </c>
      <c r="V44" s="23">
        <v>554.6</v>
      </c>
      <c r="W44" s="23">
        <v>420.6</v>
      </c>
      <c r="X44" s="23">
        <v>-63.1</v>
      </c>
      <c r="Y44" s="23">
        <v>162.9</v>
      </c>
      <c r="Z44" s="23">
        <v>840.6</v>
      </c>
      <c r="AA44" s="23">
        <v>1382.4109305161305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691.2</v>
      </c>
      <c r="E45" s="23">
        <v>695.8</v>
      </c>
      <c r="F45" s="23">
        <v>706.9</v>
      </c>
      <c r="G45" s="23">
        <v>718.2</v>
      </c>
      <c r="H45" s="23">
        <v>771.1</v>
      </c>
      <c r="I45" s="23">
        <v>771.1</v>
      </c>
      <c r="J45" s="23">
        <v>760</v>
      </c>
      <c r="K45" s="23">
        <v>851.6</v>
      </c>
      <c r="L45" s="23">
        <v>739.7</v>
      </c>
      <c r="M45" s="23">
        <v>681.8</v>
      </c>
      <c r="N45" s="23">
        <v>805.6</v>
      </c>
      <c r="O45" s="23">
        <v>814</v>
      </c>
      <c r="P45" s="23">
        <v>671.4</v>
      </c>
      <c r="Q45" s="23">
        <v>708.7</v>
      </c>
      <c r="R45" s="23">
        <v>704.4</v>
      </c>
      <c r="S45" s="23">
        <v>878.7</v>
      </c>
      <c r="T45" s="23">
        <v>955.5</v>
      </c>
      <c r="U45" s="23">
        <v>945.8</v>
      </c>
      <c r="V45" s="23">
        <v>833.2</v>
      </c>
      <c r="W45" s="23">
        <v>878.4</v>
      </c>
      <c r="X45" s="23">
        <v>965.8</v>
      </c>
      <c r="Y45" s="23">
        <v>1200.9000000000001</v>
      </c>
      <c r="Z45" s="23">
        <v>1333.1</v>
      </c>
      <c r="AA45" s="23">
        <v>1411.8480332970428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339.1</v>
      </c>
      <c r="E46" s="23">
        <v>356.1</v>
      </c>
      <c r="F46" s="23">
        <v>386.7</v>
      </c>
      <c r="G46" s="23">
        <v>364.2</v>
      </c>
      <c r="H46" s="23">
        <v>372.5</v>
      </c>
      <c r="I46" s="23">
        <v>387.8</v>
      </c>
      <c r="J46" s="23">
        <v>366.6</v>
      </c>
      <c r="K46" s="23">
        <v>437.3</v>
      </c>
      <c r="L46" s="23">
        <v>440.1</v>
      </c>
      <c r="M46" s="23">
        <v>468</v>
      </c>
      <c r="N46" s="23">
        <v>427.9</v>
      </c>
      <c r="O46" s="23">
        <v>428.5</v>
      </c>
      <c r="P46" s="23">
        <v>449.1</v>
      </c>
      <c r="Q46" s="23">
        <v>487.1</v>
      </c>
      <c r="R46" s="23">
        <v>454.1</v>
      </c>
      <c r="S46" s="23">
        <v>505.2</v>
      </c>
      <c r="T46" s="23">
        <v>515.70000000000005</v>
      </c>
      <c r="U46" s="23">
        <v>590</v>
      </c>
      <c r="V46" s="23">
        <v>601.79999999999995</v>
      </c>
      <c r="W46" s="23">
        <v>618.20000000000005</v>
      </c>
      <c r="X46" s="23">
        <v>737</v>
      </c>
      <c r="Y46" s="23">
        <v>772.7</v>
      </c>
      <c r="Z46" s="23">
        <v>833.8</v>
      </c>
      <c r="AA46" s="23">
        <v>883.9849247774232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2510.8000000000002</v>
      </c>
      <c r="E47" s="23">
        <v>2567.1</v>
      </c>
      <c r="F47" s="23">
        <v>2605.6</v>
      </c>
      <c r="G47" s="23">
        <v>2469.3000000000002</v>
      </c>
      <c r="H47" s="23">
        <v>2497.9</v>
      </c>
      <c r="I47" s="23">
        <v>2461</v>
      </c>
      <c r="J47" s="23">
        <v>2482.1</v>
      </c>
      <c r="K47" s="23">
        <v>2624.1</v>
      </c>
      <c r="L47" s="23">
        <v>2566.9</v>
      </c>
      <c r="M47" s="23">
        <v>2476.8000000000002</v>
      </c>
      <c r="N47" s="23">
        <v>2481</v>
      </c>
      <c r="O47" s="23">
        <v>2378.1</v>
      </c>
      <c r="P47" s="23">
        <v>2259.6999999999998</v>
      </c>
      <c r="Q47" s="23">
        <v>2257.6</v>
      </c>
      <c r="R47" s="23">
        <v>2291.6999999999998</v>
      </c>
      <c r="S47" s="23">
        <v>2449.4</v>
      </c>
      <c r="T47" s="23">
        <v>2531.6</v>
      </c>
      <c r="U47" s="23">
        <v>2706.7</v>
      </c>
      <c r="V47" s="23">
        <v>2849.5</v>
      </c>
      <c r="W47" s="23">
        <v>3053.5</v>
      </c>
      <c r="X47" s="23">
        <v>3143.9</v>
      </c>
      <c r="Y47" s="23">
        <v>3381.7</v>
      </c>
      <c r="Z47" s="23">
        <v>3715.1</v>
      </c>
      <c r="AA47" s="23">
        <v>3914.1323503997351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1881.7</v>
      </c>
      <c r="E48" s="23">
        <v>1914</v>
      </c>
      <c r="F48" s="23">
        <v>1981.6</v>
      </c>
      <c r="G48" s="23">
        <v>1923.2</v>
      </c>
      <c r="H48" s="23">
        <v>2075.4</v>
      </c>
      <c r="I48" s="23">
        <v>2082</v>
      </c>
      <c r="J48" s="23">
        <v>2273.1</v>
      </c>
      <c r="K48" s="23">
        <v>2452</v>
      </c>
      <c r="L48" s="23">
        <v>2612.3000000000002</v>
      </c>
      <c r="M48" s="23">
        <v>2203.5</v>
      </c>
      <c r="N48" s="23">
        <v>2334.4</v>
      </c>
      <c r="O48" s="23">
        <v>2236.3000000000002</v>
      </c>
      <c r="P48" s="23">
        <v>2157.5</v>
      </c>
      <c r="Q48" s="23">
        <v>2198.5</v>
      </c>
      <c r="R48" s="23">
        <v>2343.8000000000002</v>
      </c>
      <c r="S48" s="23">
        <v>2297.6999999999998</v>
      </c>
      <c r="T48" s="23">
        <v>2552</v>
      </c>
      <c r="U48" s="23">
        <v>2834.8</v>
      </c>
      <c r="V48" s="23">
        <v>3016.3</v>
      </c>
      <c r="W48" s="23">
        <v>3082</v>
      </c>
      <c r="X48" s="23">
        <v>2980.2</v>
      </c>
      <c r="Y48" s="23">
        <v>3563.2</v>
      </c>
      <c r="Z48" s="23">
        <v>3960.2</v>
      </c>
      <c r="AA48" s="23">
        <v>4196.6510789537788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706.8</v>
      </c>
      <c r="E49" s="23">
        <v>738.6</v>
      </c>
      <c r="F49" s="23">
        <v>632.79999999999995</v>
      </c>
      <c r="G49" s="23">
        <v>633.20000000000005</v>
      </c>
      <c r="H49" s="23">
        <v>662.3</v>
      </c>
      <c r="I49" s="23">
        <v>703.3</v>
      </c>
      <c r="J49" s="23">
        <v>716.3</v>
      </c>
      <c r="K49" s="23">
        <v>786.5</v>
      </c>
      <c r="L49" s="23">
        <v>696.3</v>
      </c>
      <c r="M49" s="23">
        <v>448.5</v>
      </c>
      <c r="N49" s="23">
        <v>575.9</v>
      </c>
      <c r="O49" s="23">
        <v>452</v>
      </c>
      <c r="P49" s="23">
        <v>399.2</v>
      </c>
      <c r="Q49" s="23">
        <v>426.3</v>
      </c>
      <c r="R49" s="23">
        <v>407</v>
      </c>
      <c r="S49" s="23">
        <v>418.5</v>
      </c>
      <c r="T49" s="23">
        <v>496.1</v>
      </c>
      <c r="U49" s="23">
        <v>519.79999999999995</v>
      </c>
      <c r="V49" s="23">
        <v>570.1</v>
      </c>
      <c r="W49" s="23">
        <v>527.79999999999995</v>
      </c>
      <c r="X49" s="23">
        <v>459.9</v>
      </c>
      <c r="Y49" s="23">
        <v>497.2</v>
      </c>
      <c r="Z49" s="23">
        <v>578.70000000000005</v>
      </c>
      <c r="AA49" s="23">
        <v>627.56967037119921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696.3</v>
      </c>
      <c r="E50" s="23">
        <v>717.8</v>
      </c>
      <c r="F50" s="23">
        <v>691.1</v>
      </c>
      <c r="G50" s="23">
        <v>634.20000000000005</v>
      </c>
      <c r="H50" s="23">
        <v>612</v>
      </c>
      <c r="I50" s="23">
        <v>608.4</v>
      </c>
      <c r="J50" s="23">
        <v>610.79999999999995</v>
      </c>
      <c r="K50" s="23">
        <v>633.70000000000005</v>
      </c>
      <c r="L50" s="23">
        <v>662.8</v>
      </c>
      <c r="M50" s="23">
        <v>629.6</v>
      </c>
      <c r="N50" s="23">
        <v>668.3</v>
      </c>
      <c r="O50" s="23">
        <v>605.70000000000005</v>
      </c>
      <c r="P50" s="23">
        <v>556.5</v>
      </c>
      <c r="Q50" s="23">
        <v>579.4</v>
      </c>
      <c r="R50" s="23">
        <v>580.79999999999995</v>
      </c>
      <c r="S50" s="23">
        <v>591.6</v>
      </c>
      <c r="T50" s="23">
        <v>600</v>
      </c>
      <c r="U50" s="23">
        <v>646.5</v>
      </c>
      <c r="V50" s="23">
        <v>647.79999999999995</v>
      </c>
      <c r="W50" s="23">
        <v>689.6</v>
      </c>
      <c r="X50" s="23">
        <v>656.2</v>
      </c>
      <c r="Y50" s="23">
        <v>744.2</v>
      </c>
      <c r="Z50" s="23">
        <v>806.7</v>
      </c>
      <c r="AA50" s="23">
        <v>844.24896238680503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613.79999999999995</v>
      </c>
      <c r="E51" s="23">
        <v>614.4</v>
      </c>
      <c r="F51" s="23">
        <v>658.9</v>
      </c>
      <c r="G51" s="23">
        <v>643.4</v>
      </c>
      <c r="H51" s="23">
        <v>630.70000000000005</v>
      </c>
      <c r="I51" s="23">
        <v>628.29999999999995</v>
      </c>
      <c r="J51" s="23">
        <v>671.6</v>
      </c>
      <c r="K51" s="23">
        <v>754.1</v>
      </c>
      <c r="L51" s="23">
        <v>786.6</v>
      </c>
      <c r="M51" s="23">
        <v>725.4</v>
      </c>
      <c r="N51" s="23">
        <v>712</v>
      </c>
      <c r="O51" s="23">
        <v>653.6</v>
      </c>
      <c r="P51" s="23">
        <v>701.1</v>
      </c>
      <c r="Q51" s="23">
        <v>737.7</v>
      </c>
      <c r="R51" s="23">
        <v>826.1</v>
      </c>
      <c r="S51" s="23">
        <v>833.5</v>
      </c>
      <c r="T51" s="23">
        <v>857.4</v>
      </c>
      <c r="U51" s="23">
        <v>896.2</v>
      </c>
      <c r="V51" s="23">
        <v>923.6</v>
      </c>
      <c r="W51" s="23">
        <v>946.1</v>
      </c>
      <c r="X51" s="23">
        <v>920.4</v>
      </c>
      <c r="Y51" s="23">
        <v>1008.8</v>
      </c>
      <c r="Z51" s="23">
        <v>1083.5999999999999</v>
      </c>
      <c r="AA51" s="23">
        <v>1128.8812005790473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1494.3</v>
      </c>
      <c r="E52" s="23">
        <v>1597.1</v>
      </c>
      <c r="F52" s="23">
        <v>1557.4</v>
      </c>
      <c r="G52" s="23">
        <v>1420.7</v>
      </c>
      <c r="H52" s="23">
        <v>1406.1</v>
      </c>
      <c r="I52" s="23">
        <v>1344.8</v>
      </c>
      <c r="J52" s="23">
        <v>1356.5</v>
      </c>
      <c r="K52" s="23">
        <v>1425.1</v>
      </c>
      <c r="L52" s="23">
        <v>1301.9000000000001</v>
      </c>
      <c r="M52" s="23">
        <v>1101</v>
      </c>
      <c r="N52" s="23">
        <v>1324.7</v>
      </c>
      <c r="O52" s="23">
        <v>1362.1</v>
      </c>
      <c r="P52" s="23">
        <v>1299</v>
      </c>
      <c r="Q52" s="23">
        <v>1334.9</v>
      </c>
      <c r="R52" s="23">
        <v>1386.3</v>
      </c>
      <c r="S52" s="23">
        <v>1458.7</v>
      </c>
      <c r="T52" s="23">
        <v>1518.6</v>
      </c>
      <c r="U52" s="23">
        <v>1691.4</v>
      </c>
      <c r="V52" s="23">
        <v>1985.2</v>
      </c>
      <c r="W52" s="23">
        <v>2076</v>
      </c>
      <c r="X52" s="23">
        <v>1863.7</v>
      </c>
      <c r="Y52" s="23">
        <v>2105.5</v>
      </c>
      <c r="Z52" s="23">
        <v>2265.4</v>
      </c>
      <c r="AA52" s="23">
        <v>2396.8725098819941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1352.2999999999993</v>
      </c>
      <c r="E53" s="23">
        <v>1481.1000000000022</v>
      </c>
      <c r="F53" s="23">
        <v>1536.8999999999942</v>
      </c>
      <c r="G53" s="23">
        <v>1518.4999999999927</v>
      </c>
      <c r="H53" s="23">
        <v>1521.4000000000015</v>
      </c>
      <c r="I53" s="23">
        <v>1442.4000000000015</v>
      </c>
      <c r="J53" s="23">
        <v>1433.7999999999993</v>
      </c>
      <c r="K53" s="23">
        <v>1520.3000000000029</v>
      </c>
      <c r="L53" s="23">
        <v>1618.7000000000007</v>
      </c>
      <c r="M53" s="23">
        <v>1678.2000000000007</v>
      </c>
      <c r="N53" s="23">
        <v>1687.6999999999971</v>
      </c>
      <c r="O53" s="23">
        <v>1659.2000000000044</v>
      </c>
      <c r="P53" s="23">
        <v>1595.9999999999964</v>
      </c>
      <c r="Q53" s="23">
        <v>1582.6999999999971</v>
      </c>
      <c r="R53" s="23">
        <v>1642.1000000000058</v>
      </c>
      <c r="S53" s="23">
        <v>1724.9000000000015</v>
      </c>
      <c r="T53" s="23">
        <v>1760.3999999999978</v>
      </c>
      <c r="U53" s="23">
        <v>1948.5999999999985</v>
      </c>
      <c r="V53" s="23">
        <v>2132.6000000000022</v>
      </c>
      <c r="W53" s="23">
        <v>2289.1000000000022</v>
      </c>
      <c r="X53" s="23">
        <v>2187.0999999999985</v>
      </c>
      <c r="Y53" s="23">
        <v>2446.5</v>
      </c>
      <c r="Z53" s="23">
        <v>2604.3999999999978</v>
      </c>
      <c r="AA53" s="23">
        <v>2642.5872765694839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19325.5</v>
      </c>
      <c r="E54" s="30">
        <f t="shared" ref="E54:Y54" si="4">SUM(E41:E53)</f>
        <v>19928.900000000001</v>
      </c>
      <c r="F54" s="30">
        <f t="shared" si="4"/>
        <v>20235.099999999999</v>
      </c>
      <c r="G54" s="30">
        <f t="shared" si="4"/>
        <v>19684.599999999999</v>
      </c>
      <c r="H54" s="30">
        <f t="shared" si="4"/>
        <v>19872.5</v>
      </c>
      <c r="I54" s="30">
        <f t="shared" si="4"/>
        <v>19925</v>
      </c>
      <c r="J54" s="30">
        <f t="shared" si="4"/>
        <v>20521.900000000001</v>
      </c>
      <c r="K54" s="30">
        <f t="shared" si="4"/>
        <v>21485.5</v>
      </c>
      <c r="L54" s="30">
        <f t="shared" si="4"/>
        <v>21316.2</v>
      </c>
      <c r="M54" s="30">
        <f t="shared" si="4"/>
        <v>19529.400000000001</v>
      </c>
      <c r="N54" s="30">
        <f t="shared" si="4"/>
        <v>20837.099999999999</v>
      </c>
      <c r="O54" s="30">
        <f t="shared" si="4"/>
        <v>19974.7</v>
      </c>
      <c r="P54" s="30">
        <f t="shared" si="4"/>
        <v>19171.8</v>
      </c>
      <c r="Q54" s="30">
        <f t="shared" si="4"/>
        <v>19739</v>
      </c>
      <c r="R54" s="30">
        <f t="shared" si="4"/>
        <v>20507.900000000001</v>
      </c>
      <c r="S54" s="30">
        <f t="shared" si="4"/>
        <v>21978</v>
      </c>
      <c r="T54" s="30">
        <f t="shared" si="4"/>
        <v>22819.599999999999</v>
      </c>
      <c r="U54" s="30">
        <f t="shared" si="4"/>
        <v>24303.599999999999</v>
      </c>
      <c r="V54" s="30">
        <f t="shared" si="4"/>
        <v>25260.1</v>
      </c>
      <c r="W54" s="30">
        <f t="shared" si="4"/>
        <v>25605.3</v>
      </c>
      <c r="X54" s="30">
        <f t="shared" si="4"/>
        <v>24304.9</v>
      </c>
      <c r="Y54" s="30">
        <f t="shared" si="4"/>
        <v>26938.2</v>
      </c>
      <c r="Z54" s="30">
        <f t="shared" ref="Z54:AA54" si="5">SUM(Z41:Z53)</f>
        <v>30402.6</v>
      </c>
      <c r="AA54" s="30">
        <f t="shared" si="5"/>
        <v>32661.200000000001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2466.4</v>
      </c>
      <c r="E56" s="19">
        <v>2708.9</v>
      </c>
      <c r="F56" s="19">
        <v>2916</v>
      </c>
      <c r="G56" s="19">
        <v>3010.4</v>
      </c>
      <c r="H56" s="19">
        <v>3093.4</v>
      </c>
      <c r="I56" s="19">
        <v>3182.4</v>
      </c>
      <c r="J56" s="19">
        <v>3239.1</v>
      </c>
      <c r="K56" s="19">
        <v>3221.4</v>
      </c>
      <c r="L56" s="19">
        <v>3358.9</v>
      </c>
      <c r="M56" s="19">
        <v>3543.3</v>
      </c>
      <c r="N56" s="19">
        <v>3567.8</v>
      </c>
      <c r="O56" s="19">
        <v>3418.1</v>
      </c>
      <c r="P56" s="19">
        <v>3354.5</v>
      </c>
      <c r="Q56" s="19">
        <v>3508.5</v>
      </c>
      <c r="R56" s="19">
        <v>3743.7</v>
      </c>
      <c r="S56" s="19">
        <v>3854.2</v>
      </c>
      <c r="T56" s="19">
        <v>4082.9</v>
      </c>
      <c r="U56" s="19">
        <v>4095.9</v>
      </c>
      <c r="V56" s="19">
        <v>4235</v>
      </c>
      <c r="W56" s="19">
        <v>4283.5</v>
      </c>
      <c r="X56" s="19">
        <v>4163.8999999999996</v>
      </c>
      <c r="Y56" s="19">
        <v>4320.2</v>
      </c>
      <c r="Z56" s="19">
        <v>4647.8999999999996</v>
      </c>
      <c r="AA56" s="19">
        <v>4881.5283108318208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3812.2</v>
      </c>
      <c r="E57" s="23">
        <v>3873.2</v>
      </c>
      <c r="F57" s="23">
        <v>3987.2</v>
      </c>
      <c r="G57" s="23">
        <v>3863.4</v>
      </c>
      <c r="H57" s="23">
        <v>3685.1</v>
      </c>
      <c r="I57" s="23">
        <v>3414.6</v>
      </c>
      <c r="J57" s="23">
        <v>3445</v>
      </c>
      <c r="K57" s="23">
        <v>3585.2</v>
      </c>
      <c r="L57" s="23">
        <v>3489</v>
      </c>
      <c r="M57" s="23">
        <v>3317.9</v>
      </c>
      <c r="N57" s="23">
        <v>3363.4</v>
      </c>
      <c r="O57" s="23">
        <v>3384.3</v>
      </c>
      <c r="P57" s="23">
        <v>3374.5</v>
      </c>
      <c r="Q57" s="23">
        <v>3563.5</v>
      </c>
      <c r="R57" s="23">
        <v>3765.1</v>
      </c>
      <c r="S57" s="23">
        <v>3940</v>
      </c>
      <c r="T57" s="23">
        <v>4110.7</v>
      </c>
      <c r="U57" s="23">
        <v>4159.1000000000004</v>
      </c>
      <c r="V57" s="23">
        <v>4195.8</v>
      </c>
      <c r="W57" s="23">
        <v>4047.3</v>
      </c>
      <c r="X57" s="23">
        <v>3819.4</v>
      </c>
      <c r="Y57" s="23">
        <v>4066.8</v>
      </c>
      <c r="Z57" s="23">
        <v>4360.3999999999996</v>
      </c>
      <c r="AA57" s="23">
        <v>4538.4794360370106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981.6</v>
      </c>
      <c r="E58" s="23">
        <v>947.2</v>
      </c>
      <c r="F58" s="23">
        <v>928.9</v>
      </c>
      <c r="G58" s="23">
        <v>886.9</v>
      </c>
      <c r="H58" s="23">
        <v>859.6</v>
      </c>
      <c r="I58" s="23">
        <v>906</v>
      </c>
      <c r="J58" s="23">
        <v>977.7</v>
      </c>
      <c r="K58" s="23">
        <v>1019.1</v>
      </c>
      <c r="L58" s="23">
        <v>921.6</v>
      </c>
      <c r="M58" s="23">
        <v>807.5</v>
      </c>
      <c r="N58" s="23">
        <v>941.3</v>
      </c>
      <c r="O58" s="23">
        <v>911.6</v>
      </c>
      <c r="P58" s="23">
        <v>867.3</v>
      </c>
      <c r="Q58" s="23">
        <v>927.4</v>
      </c>
      <c r="R58" s="23">
        <v>1006.6</v>
      </c>
      <c r="S58" s="23">
        <v>1114.8</v>
      </c>
      <c r="T58" s="23">
        <v>1121.9000000000001</v>
      </c>
      <c r="U58" s="23">
        <v>1117.3</v>
      </c>
      <c r="V58" s="23">
        <v>1166.8</v>
      </c>
      <c r="W58" s="23">
        <v>1195.9000000000001</v>
      </c>
      <c r="X58" s="23">
        <v>1225</v>
      </c>
      <c r="Y58" s="23">
        <v>1158.8</v>
      </c>
      <c r="Z58" s="23">
        <v>1381.4</v>
      </c>
      <c r="AA58" s="23">
        <v>1512.256529809112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1022.7</v>
      </c>
      <c r="E59" s="23">
        <v>980.3</v>
      </c>
      <c r="F59" s="23">
        <v>964</v>
      </c>
      <c r="G59" s="23">
        <v>908.9</v>
      </c>
      <c r="H59" s="23">
        <v>872.6</v>
      </c>
      <c r="I59" s="23">
        <v>929.8</v>
      </c>
      <c r="J59" s="23">
        <v>1013</v>
      </c>
      <c r="K59" s="23">
        <v>1053.2</v>
      </c>
      <c r="L59" s="23">
        <v>935.6</v>
      </c>
      <c r="M59" s="23">
        <v>828.2</v>
      </c>
      <c r="N59" s="23">
        <v>983.5</v>
      </c>
      <c r="O59" s="23">
        <v>890.6</v>
      </c>
      <c r="P59" s="23">
        <v>811.3</v>
      </c>
      <c r="Q59" s="23">
        <v>821</v>
      </c>
      <c r="R59" s="23">
        <v>751.8</v>
      </c>
      <c r="S59" s="23">
        <v>896.6</v>
      </c>
      <c r="T59" s="23">
        <v>891.3</v>
      </c>
      <c r="U59" s="23">
        <v>881.2</v>
      </c>
      <c r="V59" s="23">
        <v>1117.8</v>
      </c>
      <c r="W59" s="23">
        <v>1056.3</v>
      </c>
      <c r="X59" s="23">
        <v>877.7</v>
      </c>
      <c r="Y59" s="23">
        <v>1109.5</v>
      </c>
      <c r="Z59" s="23">
        <v>1537.3</v>
      </c>
      <c r="AA59" s="23">
        <v>1814.365677399561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550</v>
      </c>
      <c r="E60" s="23">
        <v>535.19999999999982</v>
      </c>
      <c r="F60" s="23">
        <v>523</v>
      </c>
      <c r="G60" s="23">
        <v>507.29999999999995</v>
      </c>
      <c r="H60" s="23">
        <v>497.39999999999986</v>
      </c>
      <c r="I60" s="23">
        <v>517.20000000000005</v>
      </c>
      <c r="J60" s="23">
        <v>551.60000000000014</v>
      </c>
      <c r="K60" s="23">
        <v>576.89999999999964</v>
      </c>
      <c r="L60" s="23">
        <v>533.29999999999995</v>
      </c>
      <c r="M60" s="23">
        <v>461.49999999999977</v>
      </c>
      <c r="N60" s="23">
        <v>532.79999999999995</v>
      </c>
      <c r="O60" s="23">
        <v>470.79999999999995</v>
      </c>
      <c r="P60" s="23">
        <v>419.20000000000027</v>
      </c>
      <c r="Q60" s="23">
        <v>404.5</v>
      </c>
      <c r="R60" s="23">
        <v>416.40000000000009</v>
      </c>
      <c r="S60" s="23">
        <v>424.90000000000009</v>
      </c>
      <c r="T60" s="23">
        <v>410.39999999999986</v>
      </c>
      <c r="U60" s="23">
        <v>446.59999999999991</v>
      </c>
      <c r="V60" s="23">
        <v>430</v>
      </c>
      <c r="W60" s="23">
        <v>441</v>
      </c>
      <c r="X60" s="23">
        <v>367.80000000000018</v>
      </c>
      <c r="Y60" s="23">
        <v>399.29999999999973</v>
      </c>
      <c r="Z60" s="23">
        <v>454</v>
      </c>
      <c r="AA60" s="23">
        <v>485.38310818985747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206.3</v>
      </c>
      <c r="E61" s="23">
        <v>202.1</v>
      </c>
      <c r="F61" s="23">
        <v>158.1</v>
      </c>
      <c r="G61" s="23">
        <v>182.8</v>
      </c>
      <c r="H61" s="23">
        <v>315</v>
      </c>
      <c r="I61" s="23">
        <v>545.9</v>
      </c>
      <c r="J61" s="23">
        <v>624.70000000000005</v>
      </c>
      <c r="K61" s="23">
        <v>545</v>
      </c>
      <c r="L61" s="23">
        <v>652.5</v>
      </c>
      <c r="M61" s="23">
        <v>158.19999999999999</v>
      </c>
      <c r="N61" s="23">
        <v>430.8</v>
      </c>
      <c r="O61" s="23">
        <v>309.8</v>
      </c>
      <c r="P61" s="23">
        <v>255.5</v>
      </c>
      <c r="Q61" s="23">
        <v>201.2</v>
      </c>
      <c r="R61" s="23">
        <v>188</v>
      </c>
      <c r="S61" s="23">
        <v>589.29999999999995</v>
      </c>
      <c r="T61" s="23">
        <v>415.1</v>
      </c>
      <c r="U61" s="23">
        <v>823.7</v>
      </c>
      <c r="V61" s="23">
        <v>554.6</v>
      </c>
      <c r="W61" s="23">
        <v>420.6</v>
      </c>
      <c r="X61" s="23">
        <v>-63.1</v>
      </c>
      <c r="Y61" s="23">
        <v>162.9</v>
      </c>
      <c r="Z61" s="23">
        <v>840.6</v>
      </c>
      <c r="AA61" s="23">
        <v>1382.4109305161305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691.2</v>
      </c>
      <c r="E62" s="23">
        <v>695.8</v>
      </c>
      <c r="F62" s="23">
        <v>706.9</v>
      </c>
      <c r="G62" s="23">
        <v>718.2</v>
      </c>
      <c r="H62" s="23">
        <v>771.1</v>
      </c>
      <c r="I62" s="23">
        <v>771.1</v>
      </c>
      <c r="J62" s="23">
        <v>760</v>
      </c>
      <c r="K62" s="23">
        <v>851.6</v>
      </c>
      <c r="L62" s="23">
        <v>739.7</v>
      </c>
      <c r="M62" s="23">
        <v>681.8</v>
      </c>
      <c r="N62" s="23">
        <v>805.6</v>
      </c>
      <c r="O62" s="23">
        <v>814</v>
      </c>
      <c r="P62" s="23">
        <v>671.4</v>
      </c>
      <c r="Q62" s="23">
        <v>708.7</v>
      </c>
      <c r="R62" s="23">
        <v>704.4</v>
      </c>
      <c r="S62" s="23">
        <v>878.7</v>
      </c>
      <c r="T62" s="23">
        <v>955.5</v>
      </c>
      <c r="U62" s="23">
        <v>945.8</v>
      </c>
      <c r="V62" s="23">
        <v>833.2</v>
      </c>
      <c r="W62" s="23">
        <v>878.4</v>
      </c>
      <c r="X62" s="23">
        <v>965.8</v>
      </c>
      <c r="Y62" s="23">
        <v>1200.9000000000001</v>
      </c>
      <c r="Z62" s="23">
        <v>1333.1</v>
      </c>
      <c r="AA62" s="23">
        <v>1411.8480332970428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339.1</v>
      </c>
      <c r="E63" s="23">
        <v>356.1</v>
      </c>
      <c r="F63" s="23">
        <v>386.7</v>
      </c>
      <c r="G63" s="23">
        <v>364.2</v>
      </c>
      <c r="H63" s="23">
        <v>372.5</v>
      </c>
      <c r="I63" s="23">
        <v>387.8</v>
      </c>
      <c r="J63" s="23">
        <v>366.6</v>
      </c>
      <c r="K63" s="23">
        <v>437.3</v>
      </c>
      <c r="L63" s="23">
        <v>440.1</v>
      </c>
      <c r="M63" s="23">
        <v>468</v>
      </c>
      <c r="N63" s="23">
        <v>427.9</v>
      </c>
      <c r="O63" s="23">
        <v>428.5</v>
      </c>
      <c r="P63" s="23">
        <v>449.1</v>
      </c>
      <c r="Q63" s="23">
        <v>487.1</v>
      </c>
      <c r="R63" s="23">
        <v>454.1</v>
      </c>
      <c r="S63" s="23">
        <v>505.2</v>
      </c>
      <c r="T63" s="23">
        <v>515.70000000000005</v>
      </c>
      <c r="U63" s="23">
        <v>590</v>
      </c>
      <c r="V63" s="23">
        <v>601.79999999999995</v>
      </c>
      <c r="W63" s="23">
        <v>618.20000000000005</v>
      </c>
      <c r="X63" s="23">
        <v>737</v>
      </c>
      <c r="Y63" s="23">
        <v>772.7</v>
      </c>
      <c r="Z63" s="23">
        <v>833.8</v>
      </c>
      <c r="AA63" s="23">
        <v>883.9849247774232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942.1</v>
      </c>
      <c r="E64" s="23">
        <v>962.1</v>
      </c>
      <c r="F64" s="23">
        <v>976.8</v>
      </c>
      <c r="G64" s="23">
        <v>922.7</v>
      </c>
      <c r="H64" s="23">
        <v>930.8</v>
      </c>
      <c r="I64" s="23">
        <v>912.8</v>
      </c>
      <c r="J64" s="23">
        <v>918.6</v>
      </c>
      <c r="K64" s="23">
        <v>970</v>
      </c>
      <c r="L64" s="23">
        <v>945.4</v>
      </c>
      <c r="M64" s="23">
        <v>922.5</v>
      </c>
      <c r="N64" s="23">
        <v>896.9</v>
      </c>
      <c r="O64" s="23">
        <v>953.8</v>
      </c>
      <c r="P64" s="23">
        <v>980.4</v>
      </c>
      <c r="Q64" s="23">
        <v>1025.8</v>
      </c>
      <c r="R64" s="23">
        <v>1071.5999999999999</v>
      </c>
      <c r="S64" s="23">
        <v>1186.9000000000001</v>
      </c>
      <c r="T64" s="23">
        <v>1200.2</v>
      </c>
      <c r="U64" s="23">
        <v>1249.8</v>
      </c>
      <c r="V64" s="23">
        <v>1292.4000000000001</v>
      </c>
      <c r="W64" s="23">
        <v>1369.8</v>
      </c>
      <c r="X64" s="23">
        <v>1416.8</v>
      </c>
      <c r="Y64" s="23">
        <v>1526.6</v>
      </c>
      <c r="Z64" s="23">
        <v>1713</v>
      </c>
      <c r="AA64" s="23">
        <v>1812.349997499628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1568.7000000000003</v>
      </c>
      <c r="E65" s="23">
        <v>1605</v>
      </c>
      <c r="F65" s="23">
        <v>1628.8</v>
      </c>
      <c r="G65" s="23">
        <v>1546.6000000000001</v>
      </c>
      <c r="H65" s="23">
        <v>1567.1000000000001</v>
      </c>
      <c r="I65" s="23">
        <v>1548.2</v>
      </c>
      <c r="J65" s="23">
        <v>1563.5</v>
      </c>
      <c r="K65" s="23">
        <v>1654.1</v>
      </c>
      <c r="L65" s="23">
        <v>1621.5</v>
      </c>
      <c r="M65" s="23">
        <v>1554.3000000000002</v>
      </c>
      <c r="N65" s="23">
        <v>1584.1</v>
      </c>
      <c r="O65" s="23">
        <v>1424.3</v>
      </c>
      <c r="P65" s="23">
        <v>1279.2999999999997</v>
      </c>
      <c r="Q65" s="23">
        <v>1231.8</v>
      </c>
      <c r="R65" s="23">
        <v>1220.0999999999999</v>
      </c>
      <c r="S65" s="23">
        <v>1262.5</v>
      </c>
      <c r="T65" s="23">
        <v>1331.3999999999999</v>
      </c>
      <c r="U65" s="23">
        <v>1456.8999999999999</v>
      </c>
      <c r="V65" s="23">
        <v>1557.1</v>
      </c>
      <c r="W65" s="23">
        <v>1683.7</v>
      </c>
      <c r="X65" s="23">
        <v>1727.1000000000001</v>
      </c>
      <c r="Y65" s="23">
        <v>1855.1</v>
      </c>
      <c r="Z65" s="23">
        <v>2002.1</v>
      </c>
      <c r="AA65" s="23">
        <v>2101.7823529001071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302.89999999999998</v>
      </c>
      <c r="E66" s="23">
        <v>305.39999999999998</v>
      </c>
      <c r="F66" s="23">
        <v>323.39999999999998</v>
      </c>
      <c r="G66" s="23">
        <v>296</v>
      </c>
      <c r="H66" s="23">
        <v>305.2</v>
      </c>
      <c r="I66" s="23">
        <v>298</v>
      </c>
      <c r="J66" s="23">
        <v>325.7</v>
      </c>
      <c r="K66" s="23">
        <v>330.5</v>
      </c>
      <c r="L66" s="23">
        <v>362.5</v>
      </c>
      <c r="M66" s="23">
        <v>337.3</v>
      </c>
      <c r="N66" s="23">
        <v>349.1</v>
      </c>
      <c r="O66" s="23">
        <v>366.2</v>
      </c>
      <c r="P66" s="23">
        <v>321.89999999999998</v>
      </c>
      <c r="Q66" s="23">
        <v>337.8</v>
      </c>
      <c r="R66" s="23">
        <v>362.5</v>
      </c>
      <c r="S66" s="23">
        <v>302.5</v>
      </c>
      <c r="T66" s="23">
        <v>394</v>
      </c>
      <c r="U66" s="23">
        <v>467.7</v>
      </c>
      <c r="V66" s="23">
        <v>489.3</v>
      </c>
      <c r="W66" s="23">
        <v>452.8</v>
      </c>
      <c r="X66" s="23">
        <v>424.7</v>
      </c>
      <c r="Y66" s="23">
        <v>754.7</v>
      </c>
      <c r="Z66" s="23">
        <v>746.5</v>
      </c>
      <c r="AA66" s="23">
        <v>722.5337011918474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1578.8000000000002</v>
      </c>
      <c r="E67" s="23">
        <v>1608.6</v>
      </c>
      <c r="F67" s="23">
        <v>1658.1999999999998</v>
      </c>
      <c r="G67" s="23">
        <v>1627.2</v>
      </c>
      <c r="H67" s="23">
        <v>1770.2</v>
      </c>
      <c r="I67" s="23">
        <v>1784</v>
      </c>
      <c r="J67" s="23">
        <v>1947.3999999999999</v>
      </c>
      <c r="K67" s="23">
        <v>2121.5</v>
      </c>
      <c r="L67" s="23">
        <v>2249.8000000000002</v>
      </c>
      <c r="M67" s="23">
        <v>1866.2</v>
      </c>
      <c r="N67" s="23">
        <v>1985.3000000000002</v>
      </c>
      <c r="O67" s="23">
        <v>1870.1000000000001</v>
      </c>
      <c r="P67" s="23">
        <v>1835.6</v>
      </c>
      <c r="Q67" s="23">
        <v>1860.7</v>
      </c>
      <c r="R67" s="23">
        <v>1981.3000000000002</v>
      </c>
      <c r="S67" s="23">
        <v>1995.1999999999998</v>
      </c>
      <c r="T67" s="23">
        <v>2158</v>
      </c>
      <c r="U67" s="23">
        <v>2367.1000000000004</v>
      </c>
      <c r="V67" s="23">
        <v>2527</v>
      </c>
      <c r="W67" s="23">
        <v>2629.2</v>
      </c>
      <c r="X67" s="23">
        <v>2555.5</v>
      </c>
      <c r="Y67" s="23">
        <v>2808.5</v>
      </c>
      <c r="Z67" s="23">
        <v>3213.7</v>
      </c>
      <c r="AA67" s="23">
        <v>3474.1173777619315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706.8</v>
      </c>
      <c r="E68" s="23">
        <v>738.6</v>
      </c>
      <c r="F68" s="23">
        <v>632.79999999999995</v>
      </c>
      <c r="G68" s="23">
        <v>633.20000000000005</v>
      </c>
      <c r="H68" s="23">
        <v>662.3</v>
      </c>
      <c r="I68" s="23">
        <v>703.3</v>
      </c>
      <c r="J68" s="23">
        <v>716.3</v>
      </c>
      <c r="K68" s="23">
        <v>786.5</v>
      </c>
      <c r="L68" s="23">
        <v>696.3</v>
      </c>
      <c r="M68" s="23">
        <v>448.5</v>
      </c>
      <c r="N68" s="23">
        <v>575.9</v>
      </c>
      <c r="O68" s="23">
        <v>452</v>
      </c>
      <c r="P68" s="23">
        <v>399.2</v>
      </c>
      <c r="Q68" s="23">
        <v>426.3</v>
      </c>
      <c r="R68" s="23">
        <v>407</v>
      </c>
      <c r="S68" s="23">
        <v>418.5</v>
      </c>
      <c r="T68" s="23">
        <v>496.1</v>
      </c>
      <c r="U68" s="23">
        <v>519.79999999999995</v>
      </c>
      <c r="V68" s="23">
        <v>570.1</v>
      </c>
      <c r="W68" s="23">
        <v>527.79999999999995</v>
      </c>
      <c r="X68" s="23">
        <v>459.9</v>
      </c>
      <c r="Y68" s="23">
        <v>497.2</v>
      </c>
      <c r="Z68" s="23">
        <v>578.70000000000005</v>
      </c>
      <c r="AA68" s="23">
        <v>627.56967037119921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696.3</v>
      </c>
      <c r="E69" s="23">
        <v>717.8</v>
      </c>
      <c r="F69" s="23">
        <v>691.1</v>
      </c>
      <c r="G69" s="23">
        <v>634.20000000000005</v>
      </c>
      <c r="H69" s="23">
        <v>612</v>
      </c>
      <c r="I69" s="23">
        <v>608.4</v>
      </c>
      <c r="J69" s="23">
        <v>610.79999999999995</v>
      </c>
      <c r="K69" s="23">
        <v>633.70000000000005</v>
      </c>
      <c r="L69" s="23">
        <v>662.8</v>
      </c>
      <c r="M69" s="23">
        <v>629.6</v>
      </c>
      <c r="N69" s="23">
        <v>668.3</v>
      </c>
      <c r="O69" s="23">
        <v>605.70000000000005</v>
      </c>
      <c r="P69" s="23">
        <v>556.5</v>
      </c>
      <c r="Q69" s="23">
        <v>579.4</v>
      </c>
      <c r="R69" s="23">
        <v>580.79999999999995</v>
      </c>
      <c r="S69" s="23">
        <v>591.6</v>
      </c>
      <c r="T69" s="23">
        <v>600</v>
      </c>
      <c r="U69" s="23">
        <v>646.5</v>
      </c>
      <c r="V69" s="23">
        <v>647.79999999999995</v>
      </c>
      <c r="W69" s="23">
        <v>689.6</v>
      </c>
      <c r="X69" s="23">
        <v>656.2</v>
      </c>
      <c r="Y69" s="23">
        <v>744.2</v>
      </c>
      <c r="Z69" s="23">
        <v>806.7</v>
      </c>
      <c r="AA69" s="23">
        <v>844.24896238680503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613.79999999999995</v>
      </c>
      <c r="E70" s="23">
        <v>614.4</v>
      </c>
      <c r="F70" s="23">
        <v>658.9</v>
      </c>
      <c r="G70" s="23">
        <v>643.4</v>
      </c>
      <c r="H70" s="23">
        <v>630.70000000000005</v>
      </c>
      <c r="I70" s="23">
        <v>628.29999999999995</v>
      </c>
      <c r="J70" s="23">
        <v>671.6</v>
      </c>
      <c r="K70" s="23">
        <v>754.1</v>
      </c>
      <c r="L70" s="23">
        <v>786.6</v>
      </c>
      <c r="M70" s="23">
        <v>725.4</v>
      </c>
      <c r="N70" s="23">
        <v>712</v>
      </c>
      <c r="O70" s="23">
        <v>653.6</v>
      </c>
      <c r="P70" s="23">
        <v>701.1</v>
      </c>
      <c r="Q70" s="23">
        <v>737.7</v>
      </c>
      <c r="R70" s="23">
        <v>826.1</v>
      </c>
      <c r="S70" s="23">
        <v>833.5</v>
      </c>
      <c r="T70" s="23">
        <v>857.4</v>
      </c>
      <c r="U70" s="23">
        <v>896.2</v>
      </c>
      <c r="V70" s="23">
        <v>923.6</v>
      </c>
      <c r="W70" s="23">
        <v>946.1</v>
      </c>
      <c r="X70" s="23">
        <v>920.4</v>
      </c>
      <c r="Y70" s="23">
        <v>1008.8</v>
      </c>
      <c r="Z70" s="23">
        <v>1083.5999999999999</v>
      </c>
      <c r="AA70" s="23">
        <v>1128.8812005790473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1377.6</v>
      </c>
      <c r="E71" s="23">
        <v>1475.2</v>
      </c>
      <c r="F71" s="23">
        <v>1437.2</v>
      </c>
      <c r="G71" s="23">
        <v>1308.7</v>
      </c>
      <c r="H71" s="23">
        <v>1296.5</v>
      </c>
      <c r="I71" s="23">
        <v>1240.0999999999999</v>
      </c>
      <c r="J71" s="23">
        <v>1248</v>
      </c>
      <c r="K71" s="23">
        <v>1313</v>
      </c>
      <c r="L71" s="23">
        <v>1197.8</v>
      </c>
      <c r="M71" s="23">
        <v>1015.7</v>
      </c>
      <c r="N71" s="23">
        <v>1222.5999999999999</v>
      </c>
      <c r="O71" s="23">
        <v>1260.5</v>
      </c>
      <c r="P71" s="23">
        <v>1205.9000000000001</v>
      </c>
      <c r="Q71" s="23">
        <v>1202.2</v>
      </c>
      <c r="R71" s="23">
        <v>1290.4000000000001</v>
      </c>
      <c r="S71" s="23">
        <v>1341.4</v>
      </c>
      <c r="T71" s="23">
        <v>1361.5</v>
      </c>
      <c r="U71" s="23">
        <v>1505.8</v>
      </c>
      <c r="V71" s="23">
        <v>1783.5</v>
      </c>
      <c r="W71" s="23">
        <v>1863.8</v>
      </c>
      <c r="X71" s="23">
        <v>1647.7</v>
      </c>
      <c r="Y71" s="23">
        <v>1820.2</v>
      </c>
      <c r="Z71" s="23">
        <v>1907.3</v>
      </c>
      <c r="AA71" s="23">
        <v>2010.8925640012053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116.70000000000005</v>
      </c>
      <c r="E72" s="23">
        <v>121.89999999999986</v>
      </c>
      <c r="F72" s="23">
        <v>120.20000000000005</v>
      </c>
      <c r="G72" s="23">
        <v>112</v>
      </c>
      <c r="H72" s="23">
        <v>109.59999999999991</v>
      </c>
      <c r="I72" s="23">
        <v>104.70000000000005</v>
      </c>
      <c r="J72" s="23">
        <v>108.5</v>
      </c>
      <c r="K72" s="23">
        <v>112.09999999999991</v>
      </c>
      <c r="L72" s="23">
        <v>104.10000000000014</v>
      </c>
      <c r="M72" s="23">
        <v>85.299999999999955</v>
      </c>
      <c r="N72" s="23">
        <v>102.10000000000014</v>
      </c>
      <c r="O72" s="23">
        <v>101.59999999999991</v>
      </c>
      <c r="P72" s="23">
        <v>93.099999999999909</v>
      </c>
      <c r="Q72" s="23">
        <v>132.70000000000005</v>
      </c>
      <c r="R72" s="23">
        <v>95.899999999999864</v>
      </c>
      <c r="S72" s="23">
        <v>117.29999999999995</v>
      </c>
      <c r="T72" s="23">
        <v>157.09999999999991</v>
      </c>
      <c r="U72" s="23">
        <v>185.60000000000014</v>
      </c>
      <c r="V72" s="23">
        <v>201.70000000000005</v>
      </c>
      <c r="W72" s="23">
        <v>212.20000000000005</v>
      </c>
      <c r="X72" s="23">
        <v>216</v>
      </c>
      <c r="Y72" s="23">
        <v>285.29999999999995</v>
      </c>
      <c r="Z72" s="23">
        <v>358.10000000000014</v>
      </c>
      <c r="AA72" s="23">
        <v>385.97994588078882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791.4</v>
      </c>
      <c r="E73" s="23">
        <v>864.3</v>
      </c>
      <c r="F73" s="23">
        <v>895.6</v>
      </c>
      <c r="G73" s="23">
        <v>885.9</v>
      </c>
      <c r="H73" s="23">
        <v>888.3</v>
      </c>
      <c r="I73" s="23">
        <v>844.5</v>
      </c>
      <c r="J73" s="23">
        <v>841.1</v>
      </c>
      <c r="K73" s="23">
        <v>892.3</v>
      </c>
      <c r="L73" s="23">
        <v>950.3</v>
      </c>
      <c r="M73" s="23">
        <v>981.5</v>
      </c>
      <c r="N73" s="23">
        <v>988.4</v>
      </c>
      <c r="O73" s="23">
        <v>953</v>
      </c>
      <c r="P73" s="23">
        <v>901.6</v>
      </c>
      <c r="Q73" s="23">
        <v>922.4</v>
      </c>
      <c r="R73" s="23">
        <v>966.4</v>
      </c>
      <c r="S73" s="23">
        <v>1022.7</v>
      </c>
      <c r="T73" s="23">
        <v>1038.4000000000001</v>
      </c>
      <c r="U73" s="23">
        <v>1146.4000000000001</v>
      </c>
      <c r="V73" s="23">
        <v>1237.5</v>
      </c>
      <c r="W73" s="23">
        <v>1314</v>
      </c>
      <c r="X73" s="23">
        <v>1259.7</v>
      </c>
      <c r="Y73" s="23">
        <v>1431.5</v>
      </c>
      <c r="Z73" s="23">
        <v>1541.1</v>
      </c>
      <c r="AA73" s="23">
        <v>1570.1421951766765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560.8999999999993</v>
      </c>
      <c r="E74" s="23">
        <v>616.80000000000223</v>
      </c>
      <c r="F74" s="23">
        <v>641.29999999999416</v>
      </c>
      <c r="G74" s="23">
        <v>632.59999999999275</v>
      </c>
      <c r="H74" s="23">
        <v>633.1000000000015</v>
      </c>
      <c r="I74" s="23">
        <v>597.90000000000146</v>
      </c>
      <c r="J74" s="23">
        <v>592.69999999999925</v>
      </c>
      <c r="K74" s="23">
        <v>628.00000000000296</v>
      </c>
      <c r="L74" s="23">
        <v>668.40000000000077</v>
      </c>
      <c r="M74" s="23">
        <v>696.70000000000073</v>
      </c>
      <c r="N74" s="23">
        <v>699.29999999999711</v>
      </c>
      <c r="O74" s="23">
        <v>706.20000000000437</v>
      </c>
      <c r="P74" s="23">
        <v>694.39999999999634</v>
      </c>
      <c r="Q74" s="23">
        <v>660.29999999999711</v>
      </c>
      <c r="R74" s="23">
        <v>675.70000000000584</v>
      </c>
      <c r="S74" s="23">
        <v>702.20000000000141</v>
      </c>
      <c r="T74" s="23">
        <v>721.99999999999773</v>
      </c>
      <c r="U74" s="23">
        <v>802.19999999999845</v>
      </c>
      <c r="V74" s="23">
        <v>895.10000000000218</v>
      </c>
      <c r="W74" s="23">
        <v>975.10000000000218</v>
      </c>
      <c r="X74" s="23">
        <v>927.3999999999985</v>
      </c>
      <c r="Y74" s="23">
        <v>1015</v>
      </c>
      <c r="Z74" s="23">
        <v>1063.2999999999979</v>
      </c>
      <c r="AA74" s="23">
        <v>1072.4450813928074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19325.5</v>
      </c>
      <c r="E75" s="30">
        <f t="shared" ref="E75:Y75" si="6">SUM(E56:E74)</f>
        <v>19928.900000000005</v>
      </c>
      <c r="F75" s="30">
        <f t="shared" si="6"/>
        <v>20235.099999999991</v>
      </c>
      <c r="G75" s="30">
        <f t="shared" si="6"/>
        <v>19684.599999999999</v>
      </c>
      <c r="H75" s="30">
        <f t="shared" si="6"/>
        <v>19872.5</v>
      </c>
      <c r="I75" s="30">
        <f t="shared" si="6"/>
        <v>19925</v>
      </c>
      <c r="J75" s="30">
        <f t="shared" si="6"/>
        <v>20521.899999999998</v>
      </c>
      <c r="K75" s="30">
        <f t="shared" si="6"/>
        <v>21485.500000000004</v>
      </c>
      <c r="L75" s="30">
        <f t="shared" si="6"/>
        <v>21316.199999999997</v>
      </c>
      <c r="M75" s="30">
        <f t="shared" si="6"/>
        <v>19529.400000000001</v>
      </c>
      <c r="N75" s="30">
        <f t="shared" si="6"/>
        <v>20837.099999999995</v>
      </c>
      <c r="O75" s="30">
        <f t="shared" si="6"/>
        <v>19974.7</v>
      </c>
      <c r="P75" s="30">
        <f t="shared" si="6"/>
        <v>19171.799999999996</v>
      </c>
      <c r="Q75" s="30">
        <f t="shared" si="6"/>
        <v>19738.999999999996</v>
      </c>
      <c r="R75" s="30">
        <f t="shared" si="6"/>
        <v>20507.900000000005</v>
      </c>
      <c r="S75" s="30">
        <f t="shared" si="6"/>
        <v>21978</v>
      </c>
      <c r="T75" s="30">
        <f t="shared" si="6"/>
        <v>22819.599999999995</v>
      </c>
      <c r="U75" s="30">
        <f t="shared" si="6"/>
        <v>24303.599999999995</v>
      </c>
      <c r="V75" s="30">
        <f t="shared" si="6"/>
        <v>25260.1</v>
      </c>
      <c r="W75" s="30">
        <f t="shared" si="6"/>
        <v>25605.3</v>
      </c>
      <c r="X75" s="30">
        <f t="shared" si="6"/>
        <v>24304.9</v>
      </c>
      <c r="Y75" s="30">
        <f t="shared" si="6"/>
        <v>26938.2</v>
      </c>
      <c r="Z75" s="30">
        <f t="shared" ref="Z75:AA75" si="7">SUM(Z56:Z74)</f>
        <v>30402.599999999995</v>
      </c>
      <c r="AA75" s="30">
        <f t="shared" si="7"/>
        <v>32661.200000000004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220809.78622152141</v>
      </c>
      <c r="E2" s="19">
        <v>225100.5642349734</v>
      </c>
      <c r="F2" s="19">
        <v>226835.19245487134</v>
      </c>
      <c r="G2" s="19">
        <v>224725.58584512098</v>
      </c>
      <c r="H2" s="19">
        <v>228745.11960281263</v>
      </c>
      <c r="I2" s="19">
        <v>230533.63564449758</v>
      </c>
      <c r="J2" s="19">
        <v>234278.60048569101</v>
      </c>
      <c r="K2" s="19">
        <v>240153.16505934155</v>
      </c>
      <c r="L2" s="19">
        <v>240917.81602330972</v>
      </c>
      <c r="M2" s="19">
        <v>233397.72905858842</v>
      </c>
      <c r="N2" s="19">
        <v>237452.370609723</v>
      </c>
      <c r="O2" s="19">
        <v>233384.63325101507</v>
      </c>
      <c r="P2" s="19">
        <v>223928.85843390576</v>
      </c>
      <c r="Q2" s="19">
        <v>221725.78151792131</v>
      </c>
      <c r="R2" s="19">
        <v>223370.66968952332</v>
      </c>
      <c r="S2" s="19">
        <v>226921.001938</v>
      </c>
      <c r="T2" s="19">
        <v>231468.96799143872</v>
      </c>
      <c r="U2" s="19">
        <v>239140.62849103127</v>
      </c>
      <c r="V2" s="19">
        <v>246187.85165100163</v>
      </c>
      <c r="W2" s="19">
        <v>252947.78589435213</v>
      </c>
      <c r="X2" s="19">
        <v>232194.07178545991</v>
      </c>
      <c r="Y2" s="19">
        <v>245101.17325516869</v>
      </c>
      <c r="Z2" s="19">
        <v>262222.32104382111</v>
      </c>
      <c r="AA2" s="19">
        <v>270352.59999999998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135908.11175928981</v>
      </c>
      <c r="E3" s="23">
        <v>137087.44963540355</v>
      </c>
      <c r="F3" s="23">
        <v>138864.4278712846</v>
      </c>
      <c r="G3" s="23">
        <v>138419.25179967156</v>
      </c>
      <c r="H3" s="23">
        <v>141935.70209419032</v>
      </c>
      <c r="I3" s="23">
        <v>144193.09730536834</v>
      </c>
      <c r="J3" s="23">
        <v>146362.83130302079</v>
      </c>
      <c r="K3" s="23">
        <v>149991.24581963391</v>
      </c>
      <c r="L3" s="23">
        <v>152109.33999324331</v>
      </c>
      <c r="M3" s="23">
        <v>148509.57358137134</v>
      </c>
      <c r="N3" s="23">
        <v>151890.07343949785</v>
      </c>
      <c r="O3" s="23">
        <v>146283.5585753897</v>
      </c>
      <c r="P3" s="23">
        <v>138454.17479287891</v>
      </c>
      <c r="Q3" s="23">
        <v>136849.52341996544</v>
      </c>
      <c r="R3" s="23">
        <v>140047.78995485781</v>
      </c>
      <c r="S3" s="23">
        <v>142524.52184900001</v>
      </c>
      <c r="T3" s="23">
        <v>145887.86412288513</v>
      </c>
      <c r="U3" s="23">
        <v>148483.3151300927</v>
      </c>
      <c r="V3" s="23">
        <v>152283.36855598987</v>
      </c>
      <c r="W3" s="23">
        <v>157554.36298568119</v>
      </c>
      <c r="X3" s="23">
        <v>146905.93393179605</v>
      </c>
      <c r="Y3" s="23">
        <v>154095.98308842603</v>
      </c>
      <c r="Z3" s="23">
        <v>162688.15754437484</v>
      </c>
      <c r="AA3" s="23">
        <v>166611.9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188946.34522606418</v>
      </c>
      <c r="E4" s="27">
        <v>193160.57200531478</v>
      </c>
      <c r="F4" s="27">
        <v>194448.96157011087</v>
      </c>
      <c r="G4" s="27">
        <v>192837.44450417452</v>
      </c>
      <c r="H4" s="27">
        <v>196029.29144355256</v>
      </c>
      <c r="I4" s="27">
        <v>196986.52217304913</v>
      </c>
      <c r="J4" s="27">
        <v>200195.62131217791</v>
      </c>
      <c r="K4" s="27">
        <v>205850.62638210776</v>
      </c>
      <c r="L4" s="27">
        <v>207176.77545848058</v>
      </c>
      <c r="M4" s="27">
        <v>201775.3473785375</v>
      </c>
      <c r="N4" s="27">
        <v>204896.78397026841</v>
      </c>
      <c r="O4" s="27">
        <v>202819.30390643614</v>
      </c>
      <c r="P4" s="27">
        <v>196258.48173329138</v>
      </c>
      <c r="Q4" s="27">
        <v>195010.73243766717</v>
      </c>
      <c r="R4" s="27">
        <v>195551.8419635852</v>
      </c>
      <c r="S4" s="27">
        <v>198203.75931600001</v>
      </c>
      <c r="T4" s="27">
        <v>201626.32826150974</v>
      </c>
      <c r="U4" s="27">
        <v>208004.71757331499</v>
      </c>
      <c r="V4" s="27">
        <v>214007.06999866819</v>
      </c>
      <c r="W4" s="27">
        <v>219815.02032870112</v>
      </c>
      <c r="X4" s="27">
        <v>202971.57401805519</v>
      </c>
      <c r="Y4" s="27">
        <v>213760.94660617222</v>
      </c>
      <c r="Z4" s="27">
        <v>228540.82029388435</v>
      </c>
      <c r="AA4" s="27">
        <v>235589.3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6708.0330061641844</v>
      </c>
      <c r="E6" s="19">
        <v>6522.0226901062961</v>
      </c>
      <c r="F6" s="19">
        <v>6053.9249186327843</v>
      </c>
      <c r="G6" s="19">
        <v>5848.5886396612841</v>
      </c>
      <c r="H6" s="19">
        <v>5836.0210616676723</v>
      </c>
      <c r="I6" s="19">
        <v>5236.1618542268789</v>
      </c>
      <c r="J6" s="19">
        <v>5227.0626729224587</v>
      </c>
      <c r="K6" s="19">
        <v>4746.7190073129659</v>
      </c>
      <c r="L6" s="19">
        <v>4669.937826477907</v>
      </c>
      <c r="M6" s="19">
        <v>4442.5286234254863</v>
      </c>
      <c r="N6" s="19">
        <v>4524.8299643670298</v>
      </c>
      <c r="O6" s="19">
        <v>4264.1542477701923</v>
      </c>
      <c r="P6" s="19">
        <v>4311.5430489980063</v>
      </c>
      <c r="Q6" s="19">
        <v>4535.2392371465758</v>
      </c>
      <c r="R6" s="19">
        <v>4429.1249004044948</v>
      </c>
      <c r="S6" s="19">
        <v>4500.0737559999998</v>
      </c>
      <c r="T6" s="19">
        <v>4466.332631785609</v>
      </c>
      <c r="U6" s="19">
        <v>4723.2808843333105</v>
      </c>
      <c r="V6" s="19">
        <v>4750.1209413823935</v>
      </c>
      <c r="W6" s="19">
        <v>5083.833958319723</v>
      </c>
      <c r="X6" s="19">
        <v>4988.8515440015335</v>
      </c>
      <c r="Y6" s="19">
        <v>5340.2159076411663</v>
      </c>
      <c r="Z6" s="19">
        <v>5034.1644353855199</v>
      </c>
      <c r="AA6" s="19">
        <v>5778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38314.77138548639</v>
      </c>
      <c r="E7" s="23">
        <v>38215.159219133275</v>
      </c>
      <c r="F7" s="23">
        <v>37457.256751943598</v>
      </c>
      <c r="G7" s="23">
        <v>36091.191184795804</v>
      </c>
      <c r="H7" s="23">
        <v>35929.749375899039</v>
      </c>
      <c r="I7" s="23">
        <v>34931.878996567917</v>
      </c>
      <c r="J7" s="23">
        <v>35550.47262138909</v>
      </c>
      <c r="K7" s="23">
        <v>36319.76469735412</v>
      </c>
      <c r="L7" s="23">
        <v>34499.544099872437</v>
      </c>
      <c r="M7" s="23">
        <v>32542.622509406181</v>
      </c>
      <c r="N7" s="23">
        <v>34498.084690074837</v>
      </c>
      <c r="O7" s="23">
        <v>33678.33365999192</v>
      </c>
      <c r="P7" s="23">
        <v>33302.140002098415</v>
      </c>
      <c r="Q7" s="23">
        <v>33127.15723757699</v>
      </c>
      <c r="R7" s="23">
        <v>34384.459001293973</v>
      </c>
      <c r="S7" s="23">
        <v>36511.335783999995</v>
      </c>
      <c r="T7" s="23">
        <v>37052.896958869147</v>
      </c>
      <c r="U7" s="23">
        <v>37786.739185615057</v>
      </c>
      <c r="V7" s="23">
        <v>38887.643888053877</v>
      </c>
      <c r="W7" s="23">
        <v>38348.008063537687</v>
      </c>
      <c r="X7" s="23">
        <v>35512.893802999461</v>
      </c>
      <c r="Y7" s="23">
        <v>37781.39719868829</v>
      </c>
      <c r="Z7" s="23">
        <v>37739.771837928653</v>
      </c>
      <c r="AA7" s="23">
        <v>39040.5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14450.810423556179</v>
      </c>
      <c r="E8" s="23">
        <v>14969.177749386754</v>
      </c>
      <c r="F8" s="23">
        <v>14784.515631102538</v>
      </c>
      <c r="G8" s="23">
        <v>13830.911567279561</v>
      </c>
      <c r="H8" s="23">
        <v>13942.988956428939</v>
      </c>
      <c r="I8" s="23">
        <v>13674.693375180635</v>
      </c>
      <c r="J8" s="23">
        <v>13509.768427298401</v>
      </c>
      <c r="K8" s="23">
        <v>13931.506573140314</v>
      </c>
      <c r="L8" s="23">
        <v>13979.540938081596</v>
      </c>
      <c r="M8" s="23">
        <v>12682.05141910682</v>
      </c>
      <c r="N8" s="23">
        <v>11986.475411208559</v>
      </c>
      <c r="O8" s="23">
        <v>11160.994565588968</v>
      </c>
      <c r="P8" s="23">
        <v>9558.2752407932003</v>
      </c>
      <c r="Q8" s="23">
        <v>8814.1105748045211</v>
      </c>
      <c r="R8" s="23">
        <v>8156.9803172791817</v>
      </c>
      <c r="S8" s="23">
        <v>8124.8192279999994</v>
      </c>
      <c r="T8" s="23">
        <v>8132.3678649258854</v>
      </c>
      <c r="U8" s="23">
        <v>8513.8884933975351</v>
      </c>
      <c r="V8" s="23">
        <v>9109.6935636688795</v>
      </c>
      <c r="W8" s="23">
        <v>9661.0148447489009</v>
      </c>
      <c r="X8" s="23">
        <v>9681.4251878086416</v>
      </c>
      <c r="Y8" s="23">
        <v>9920.933934683977</v>
      </c>
      <c r="Z8" s="23">
        <v>10882.086541528437</v>
      </c>
      <c r="AA8" s="23">
        <v>11547.6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42773.243165163098</v>
      </c>
      <c r="E9" s="23">
        <v>43634.76538736713</v>
      </c>
      <c r="F9" s="23">
        <v>44037.094562827762</v>
      </c>
      <c r="G9" s="23">
        <v>43231.981874836478</v>
      </c>
      <c r="H9" s="23">
        <v>43973.962772029146</v>
      </c>
      <c r="I9" s="23">
        <v>43867.891054010121</v>
      </c>
      <c r="J9" s="23">
        <v>44668.704690744875</v>
      </c>
      <c r="K9" s="23">
        <v>46144.325079419235</v>
      </c>
      <c r="L9" s="23">
        <v>45952.390029484959</v>
      </c>
      <c r="M9" s="23">
        <v>45991.992634549315</v>
      </c>
      <c r="N9" s="23">
        <v>46824.645175254998</v>
      </c>
      <c r="O9" s="23">
        <v>47926.515388519983</v>
      </c>
      <c r="P9" s="23">
        <v>48123.668798657018</v>
      </c>
      <c r="Q9" s="23">
        <v>48083.556384951982</v>
      </c>
      <c r="R9" s="23">
        <v>48263.384270532973</v>
      </c>
      <c r="S9" s="23">
        <v>49219.151932000001</v>
      </c>
      <c r="T9" s="23">
        <v>49941.674098360658</v>
      </c>
      <c r="U9" s="23">
        <v>51664.513990641259</v>
      </c>
      <c r="V9" s="23">
        <v>52397.257472270314</v>
      </c>
      <c r="W9" s="23">
        <v>53856.332676926519</v>
      </c>
      <c r="X9" s="23">
        <v>42346.991001615665</v>
      </c>
      <c r="Y9" s="23">
        <v>45215.623035802528</v>
      </c>
      <c r="Z9" s="23">
        <v>52822.446451810974</v>
      </c>
      <c r="AA9" s="23">
        <v>54805.9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6796.8933622582617</v>
      </c>
      <c r="E10" s="23">
        <v>7174.8739165985271</v>
      </c>
      <c r="F10" s="23">
        <v>7437.7995013571426</v>
      </c>
      <c r="G10" s="23">
        <v>7390.7432839371104</v>
      </c>
      <c r="H10" s="23">
        <v>7605.6684608602864</v>
      </c>
      <c r="I10" s="23">
        <v>7657.7594743497111</v>
      </c>
      <c r="J10" s="23">
        <v>7795.8735377819785</v>
      </c>
      <c r="K10" s="23">
        <v>7849.8743747734688</v>
      </c>
      <c r="L10" s="23">
        <v>7935.5218376863722</v>
      </c>
      <c r="M10" s="23">
        <v>7770.1730287910996</v>
      </c>
      <c r="N10" s="23">
        <v>7321.3587331407043</v>
      </c>
      <c r="O10" s="23">
        <v>7405.2764173909436</v>
      </c>
      <c r="P10" s="23">
        <v>7160.8121498268811</v>
      </c>
      <c r="Q10" s="23">
        <v>6764.208466812187</v>
      </c>
      <c r="R10" s="23">
        <v>6677.3275841340028</v>
      </c>
      <c r="S10" s="23">
        <v>6752.0789480000003</v>
      </c>
      <c r="T10" s="23">
        <v>7055.955398056346</v>
      </c>
      <c r="U10" s="23">
        <v>7316.3365000629728</v>
      </c>
      <c r="V10" s="23">
        <v>7701.8834459009531</v>
      </c>
      <c r="W10" s="23">
        <v>8462.7062576412281</v>
      </c>
      <c r="X10" s="23">
        <v>9020.9433899573723</v>
      </c>
      <c r="Y10" s="23">
        <v>9697.4314038003668</v>
      </c>
      <c r="Z10" s="23">
        <v>10851.32966390066</v>
      </c>
      <c r="AA10" s="23">
        <v>11230.9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10967.282891081775</v>
      </c>
      <c r="E11" s="23">
        <v>12341.873385118561</v>
      </c>
      <c r="F11" s="23">
        <v>12114.244389039681</v>
      </c>
      <c r="G11" s="23">
        <v>12407.012440236913</v>
      </c>
      <c r="H11" s="23">
        <v>12964.107164400726</v>
      </c>
      <c r="I11" s="23">
        <v>12914.709420158961</v>
      </c>
      <c r="J11" s="23">
        <v>14887.800806513644</v>
      </c>
      <c r="K11" s="23">
        <v>15803.444470502955</v>
      </c>
      <c r="L11" s="23">
        <v>16732.085037954035</v>
      </c>
      <c r="M11" s="23">
        <v>14223.440197120888</v>
      </c>
      <c r="N11" s="23">
        <v>13442.501099619167</v>
      </c>
      <c r="O11" s="23">
        <v>14148.599289362186</v>
      </c>
      <c r="P11" s="23">
        <v>12276.70579792257</v>
      </c>
      <c r="Q11" s="23">
        <v>10675.445633883644</v>
      </c>
      <c r="R11" s="23">
        <v>10283.819389283421</v>
      </c>
      <c r="S11" s="23">
        <v>9982.780655999999</v>
      </c>
      <c r="T11" s="23">
        <v>10077.888347894375</v>
      </c>
      <c r="U11" s="23">
        <v>9802.8500954281681</v>
      </c>
      <c r="V11" s="23">
        <v>10103.399246589677</v>
      </c>
      <c r="W11" s="23">
        <v>10559.36111022968</v>
      </c>
      <c r="X11" s="23">
        <v>10728.830158918514</v>
      </c>
      <c r="Y11" s="23">
        <v>10957.442609047213</v>
      </c>
      <c r="Z11" s="23">
        <v>12379.534946314505</v>
      </c>
      <c r="AA11" s="23">
        <v>16582.599999999999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14437.708140426996</v>
      </c>
      <c r="E12" s="23">
        <v>14274.468765331152</v>
      </c>
      <c r="F12" s="23">
        <v>15096.912879969541</v>
      </c>
      <c r="G12" s="23">
        <v>15792.624100283061</v>
      </c>
      <c r="H12" s="23">
        <v>16116.857820982788</v>
      </c>
      <c r="I12" s="23">
        <v>17092.542363619941</v>
      </c>
      <c r="J12" s="23">
        <v>17419.914373303738</v>
      </c>
      <c r="K12" s="23">
        <v>18895.634624650877</v>
      </c>
      <c r="L12" s="23">
        <v>19480.513134397021</v>
      </c>
      <c r="M12" s="23">
        <v>19791.369589399637</v>
      </c>
      <c r="N12" s="23">
        <v>21682.724841999941</v>
      </c>
      <c r="O12" s="23">
        <v>21755.803109817367</v>
      </c>
      <c r="P12" s="23">
        <v>23151.227447277306</v>
      </c>
      <c r="Q12" s="23">
        <v>24177.054553652863</v>
      </c>
      <c r="R12" s="23">
        <v>24405.342496459391</v>
      </c>
      <c r="S12" s="23">
        <v>24254.961975999999</v>
      </c>
      <c r="T12" s="23">
        <v>25148.161511730636</v>
      </c>
      <c r="U12" s="23">
        <v>26099.350212654648</v>
      </c>
      <c r="V12" s="23">
        <v>26773.397960464983</v>
      </c>
      <c r="W12" s="23">
        <v>27567.260301076069</v>
      </c>
      <c r="X12" s="23">
        <v>27312.278542805769</v>
      </c>
      <c r="Y12" s="23">
        <v>27837.759331566416</v>
      </c>
      <c r="Z12" s="23">
        <v>27708.806075543464</v>
      </c>
      <c r="AA12" s="23">
        <v>24767.1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11926.941141300034</v>
      </c>
      <c r="E13" s="23">
        <v>11819.300373058055</v>
      </c>
      <c r="F13" s="23">
        <v>11806.68204517262</v>
      </c>
      <c r="G13" s="23">
        <v>11936.406831426466</v>
      </c>
      <c r="H13" s="23">
        <v>12253.478757366251</v>
      </c>
      <c r="I13" s="23">
        <v>12700.233661488441</v>
      </c>
      <c r="J13" s="23">
        <v>12849.914729312488</v>
      </c>
      <c r="K13" s="23">
        <v>13988.769353772681</v>
      </c>
      <c r="L13" s="23">
        <v>14765.432044499281</v>
      </c>
      <c r="M13" s="23">
        <v>14388.97849664649</v>
      </c>
      <c r="N13" s="23">
        <v>14720.769778340462</v>
      </c>
      <c r="O13" s="23">
        <v>14347.764167693947</v>
      </c>
      <c r="P13" s="23">
        <v>13554.979716713882</v>
      </c>
      <c r="Q13" s="23">
        <v>13424.438277943453</v>
      </c>
      <c r="R13" s="23">
        <v>14326.98730271939</v>
      </c>
      <c r="S13" s="23">
        <v>14226.973591999998</v>
      </c>
      <c r="T13" s="23">
        <v>14893.011029743791</v>
      </c>
      <c r="U13" s="23">
        <v>16098.179404954515</v>
      </c>
      <c r="V13" s="23">
        <v>17401.446308099163</v>
      </c>
      <c r="W13" s="23">
        <v>18281.702048549214</v>
      </c>
      <c r="X13" s="23">
        <v>17140.418380144773</v>
      </c>
      <c r="Y13" s="23">
        <v>18865.712864651185</v>
      </c>
      <c r="Z13" s="23">
        <v>21765.580968300401</v>
      </c>
      <c r="AA13" s="23">
        <v>22518.3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38157.711965925017</v>
      </c>
      <c r="E14" s="23">
        <v>39843.555779844668</v>
      </c>
      <c r="F14" s="23">
        <v>41016.526655285474</v>
      </c>
      <c r="G14" s="23">
        <v>41568.853195689953</v>
      </c>
      <c r="H14" s="23">
        <v>42560.808064590979</v>
      </c>
      <c r="I14" s="23">
        <v>44028.604506864154</v>
      </c>
      <c r="J14" s="23">
        <v>43307.276792405166</v>
      </c>
      <c r="K14" s="23">
        <v>42946.679355265122</v>
      </c>
      <c r="L14" s="23">
        <v>43560.460939754514</v>
      </c>
      <c r="M14" s="23">
        <v>44310.123511369173</v>
      </c>
      <c r="N14" s="23">
        <v>44068.439112545013</v>
      </c>
      <c r="O14" s="23">
        <v>42268.075443630682</v>
      </c>
      <c r="P14" s="23">
        <v>39035.45301017732</v>
      </c>
      <c r="Q14" s="23">
        <v>39882.906865065932</v>
      </c>
      <c r="R14" s="23">
        <v>38995.758704799919</v>
      </c>
      <c r="S14" s="23">
        <v>38899.980064000018</v>
      </c>
      <c r="T14" s="23">
        <v>39132.04965544321</v>
      </c>
      <c r="U14" s="23">
        <v>39972.449963669489</v>
      </c>
      <c r="V14" s="23">
        <v>40770.683541028513</v>
      </c>
      <c r="W14" s="23">
        <v>41681.726018908274</v>
      </c>
      <c r="X14" s="23">
        <v>41020.463501684084</v>
      </c>
      <c r="Y14" s="23">
        <v>42794.516753065895</v>
      </c>
      <c r="Z14" s="23">
        <v>42990.534003087218</v>
      </c>
      <c r="AA14" s="23">
        <v>42604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4412.9497447022404</v>
      </c>
      <c r="E15" s="23">
        <v>4365.3747393704007</v>
      </c>
      <c r="F15" s="23">
        <v>4644.0042347797244</v>
      </c>
      <c r="G15" s="23">
        <v>4739.1313860279261</v>
      </c>
      <c r="H15" s="23">
        <v>4845.6490093267139</v>
      </c>
      <c r="I15" s="23">
        <v>4882.0474665823704</v>
      </c>
      <c r="J15" s="23">
        <v>4978.8326605061038</v>
      </c>
      <c r="K15" s="23">
        <v>5223.9088459160403</v>
      </c>
      <c r="L15" s="23">
        <v>5601.349570272474</v>
      </c>
      <c r="M15" s="23">
        <v>5632.0673687223934</v>
      </c>
      <c r="N15" s="23">
        <v>5826.9551637176728</v>
      </c>
      <c r="O15" s="23">
        <v>5863.7876166699461</v>
      </c>
      <c r="P15" s="23">
        <v>5783.6765208267752</v>
      </c>
      <c r="Q15" s="23">
        <v>5526.6152058290036</v>
      </c>
      <c r="R15" s="23">
        <v>5628.6579966784511</v>
      </c>
      <c r="S15" s="23">
        <v>5731.6033799999996</v>
      </c>
      <c r="T15" s="23">
        <v>5725.9907647001073</v>
      </c>
      <c r="U15" s="23">
        <v>6027.1288425580569</v>
      </c>
      <c r="V15" s="23">
        <v>6111.5436312094516</v>
      </c>
      <c r="W15" s="23">
        <v>6313.0750487638707</v>
      </c>
      <c r="X15" s="23">
        <v>5218.4785081193577</v>
      </c>
      <c r="Y15" s="23">
        <v>5349.9135672251923</v>
      </c>
      <c r="Z15" s="23">
        <v>6366.5653700845151</v>
      </c>
      <c r="AA15" s="23">
        <v>6714.4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188946.34522606412</v>
      </c>
      <c r="E16" s="30">
        <f t="shared" ref="E16:S16" si="0">SUM(E6:E15)</f>
        <v>193160.57200531481</v>
      </c>
      <c r="F16" s="30">
        <f t="shared" si="0"/>
        <v>194448.96157011087</v>
      </c>
      <c r="G16" s="30">
        <f t="shared" si="0"/>
        <v>192837.44450417455</v>
      </c>
      <c r="H16" s="30">
        <f t="shared" si="0"/>
        <v>196029.29144355253</v>
      </c>
      <c r="I16" s="30">
        <f t="shared" si="0"/>
        <v>196986.52217304913</v>
      </c>
      <c r="J16" s="30">
        <f t="shared" si="0"/>
        <v>200195.62131217797</v>
      </c>
      <c r="K16" s="30">
        <f t="shared" si="0"/>
        <v>205850.62638210779</v>
      </c>
      <c r="L16" s="30">
        <f t="shared" si="0"/>
        <v>207176.77545848061</v>
      </c>
      <c r="M16" s="30">
        <f t="shared" si="0"/>
        <v>201775.3473785375</v>
      </c>
      <c r="N16" s="30">
        <f t="shared" si="0"/>
        <v>204896.78397026841</v>
      </c>
      <c r="O16" s="30">
        <f t="shared" si="0"/>
        <v>202819.30390643614</v>
      </c>
      <c r="P16" s="30">
        <f t="shared" si="0"/>
        <v>196258.48173329141</v>
      </c>
      <c r="Q16" s="30">
        <f t="shared" si="0"/>
        <v>195010.73243766712</v>
      </c>
      <c r="R16" s="30">
        <f t="shared" si="0"/>
        <v>195551.84196358523</v>
      </c>
      <c r="S16" s="30">
        <f t="shared" si="0"/>
        <v>198203.75931599998</v>
      </c>
      <c r="T16" s="30">
        <f t="shared" ref="T16:Y16" si="1">SUM(T6:T15)</f>
        <v>201626.32826150977</v>
      </c>
      <c r="U16" s="30">
        <f t="shared" si="1"/>
        <v>208004.71757331502</v>
      </c>
      <c r="V16" s="30">
        <f t="shared" si="1"/>
        <v>214007.06999866819</v>
      </c>
      <c r="W16" s="30">
        <f t="shared" si="1"/>
        <v>219815.02032870115</v>
      </c>
      <c r="X16" s="30">
        <f t="shared" si="1"/>
        <v>202971.57401805517</v>
      </c>
      <c r="Y16" s="30">
        <f t="shared" si="1"/>
        <v>213760.94660617225</v>
      </c>
      <c r="Z16" s="30">
        <f t="shared" ref="Z16:AA16" si="2">SUM(Z6:Z15)</f>
        <v>228540.82029388435</v>
      </c>
      <c r="AA16" s="30">
        <f t="shared" si="2"/>
        <v>235589.3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6708.0330061641844</v>
      </c>
      <c r="E18" s="19">
        <v>6522.0226901062961</v>
      </c>
      <c r="F18" s="19">
        <v>6053.9249186327843</v>
      </c>
      <c r="G18" s="19">
        <v>5848.5886396612841</v>
      </c>
      <c r="H18" s="19">
        <v>5836.0210616676723</v>
      </c>
      <c r="I18" s="19">
        <v>5236.1618542268789</v>
      </c>
      <c r="J18" s="19">
        <v>5227.0626729224587</v>
      </c>
      <c r="K18" s="19">
        <v>4746.7190073129659</v>
      </c>
      <c r="L18" s="19">
        <v>4669.937826477907</v>
      </c>
      <c r="M18" s="19">
        <v>4442.5286234254863</v>
      </c>
      <c r="N18" s="19">
        <v>4524.8299643670298</v>
      </c>
      <c r="O18" s="19">
        <v>4264.1542477701923</v>
      </c>
      <c r="P18" s="19">
        <v>4311.5430489980063</v>
      </c>
      <c r="Q18" s="19">
        <v>4535.2392371465758</v>
      </c>
      <c r="R18" s="19">
        <v>4429.1249004044948</v>
      </c>
      <c r="S18" s="19">
        <v>4500.0737559999998</v>
      </c>
      <c r="T18" s="19">
        <v>4466.332631785609</v>
      </c>
      <c r="U18" s="19">
        <v>4723.2808843333105</v>
      </c>
      <c r="V18" s="19">
        <v>4750.1209413823935</v>
      </c>
      <c r="W18" s="19">
        <v>5083.833958319723</v>
      </c>
      <c r="X18" s="19">
        <v>4988.8515440015335</v>
      </c>
      <c r="Y18" s="19">
        <v>5340.2159076411663</v>
      </c>
      <c r="Z18" s="19">
        <v>5034.1644353855199</v>
      </c>
      <c r="AA18" s="19">
        <v>5778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1056.2455937987784</v>
      </c>
      <c r="E19" s="23">
        <v>1054.0691894930494</v>
      </c>
      <c r="F19" s="23">
        <v>903.81530563368199</v>
      </c>
      <c r="G19" s="23">
        <v>809.36311219999584</v>
      </c>
      <c r="H19" s="23">
        <v>896.82954851283046</v>
      </c>
      <c r="I19" s="23">
        <v>943.32801565889713</v>
      </c>
      <c r="J19" s="23">
        <v>1120.7326923710834</v>
      </c>
      <c r="K19" s="23">
        <v>1088.5343240304462</v>
      </c>
      <c r="L19" s="23">
        <v>807.28506563772692</v>
      </c>
      <c r="M19" s="23">
        <v>838.85721822345783</v>
      </c>
      <c r="N19" s="23">
        <v>925.73672442134716</v>
      </c>
      <c r="O19" s="23">
        <v>855.18352922679389</v>
      </c>
      <c r="P19" s="23">
        <v>847.00092311774381</v>
      </c>
      <c r="Q19" s="23">
        <v>741.63203181029132</v>
      </c>
      <c r="R19" s="23">
        <v>685.36636142959776</v>
      </c>
      <c r="S19" s="23">
        <v>635.57493999999997</v>
      </c>
      <c r="T19" s="23">
        <v>664.91998822028108</v>
      </c>
      <c r="U19" s="23">
        <v>742.96450459702214</v>
      </c>
      <c r="V19" s="23">
        <v>716.45798435618201</v>
      </c>
      <c r="W19" s="23">
        <v>665.57228290986313</v>
      </c>
      <c r="X19" s="23">
        <v>608.32019570436205</v>
      </c>
      <c r="Y19" s="23">
        <v>858.74237688741016</v>
      </c>
      <c r="Z19" s="23">
        <v>735.13269484977525</v>
      </c>
      <c r="AA19" s="23">
        <v>1686.1949305951628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32462.586232440011</v>
      </c>
      <c r="E20" s="23">
        <v>32332.521887775962</v>
      </c>
      <c r="F20" s="23">
        <v>31559.608440083019</v>
      </c>
      <c r="G20" s="23">
        <v>29729.406826669205</v>
      </c>
      <c r="H20" s="23">
        <v>29274.384367314746</v>
      </c>
      <c r="I20" s="23">
        <v>28565.705157153181</v>
      </c>
      <c r="J20" s="23">
        <v>28634.915636915033</v>
      </c>
      <c r="K20" s="23">
        <v>29085.566744131509</v>
      </c>
      <c r="L20" s="23">
        <v>28302.436226762304</v>
      </c>
      <c r="M20" s="23">
        <v>25355.793464747258</v>
      </c>
      <c r="N20" s="23">
        <v>27016.342717703152</v>
      </c>
      <c r="O20" s="23">
        <v>26276.477511317371</v>
      </c>
      <c r="P20" s="23">
        <v>25543.894013220019</v>
      </c>
      <c r="Q20" s="23">
        <v>25687.54298480237</v>
      </c>
      <c r="R20" s="23">
        <v>26534.251736680693</v>
      </c>
      <c r="S20" s="23">
        <v>27909.422639999997</v>
      </c>
      <c r="T20" s="23">
        <v>28446.209529792868</v>
      </c>
      <c r="U20" s="23">
        <v>29900.169123901607</v>
      </c>
      <c r="V20" s="23">
        <v>30514.350742946288</v>
      </c>
      <c r="W20" s="23">
        <v>30346.207957143786</v>
      </c>
      <c r="X20" s="23">
        <v>28172.94497822972</v>
      </c>
      <c r="Y20" s="23">
        <v>30733.822753694803</v>
      </c>
      <c r="Z20" s="23">
        <v>32925.670695992558</v>
      </c>
      <c r="AA20" s="23">
        <v>32661.200000000001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3560.9653853276559</v>
      </c>
      <c r="E21" s="23">
        <v>3605.9322465249361</v>
      </c>
      <c r="F21" s="23">
        <v>3705.4088060819704</v>
      </c>
      <c r="G21" s="23">
        <v>4049.383049879882</v>
      </c>
      <c r="H21" s="23">
        <v>4139.7345552410588</v>
      </c>
      <c r="I21" s="23">
        <v>3726.1456618526436</v>
      </c>
      <c r="J21" s="23">
        <v>3945.8665099056116</v>
      </c>
      <c r="K21" s="23">
        <v>4275.4855808796901</v>
      </c>
      <c r="L21" s="23">
        <v>3513.017807013649</v>
      </c>
      <c r="M21" s="23">
        <v>4409.4209635203642</v>
      </c>
      <c r="N21" s="23">
        <v>4332.1626292843794</v>
      </c>
      <c r="O21" s="23">
        <v>4198.4367818493083</v>
      </c>
      <c r="P21" s="23">
        <v>4518.8038866663965</v>
      </c>
      <c r="Q21" s="23">
        <v>4403.7248563713392</v>
      </c>
      <c r="R21" s="23">
        <v>4903.9211751072653</v>
      </c>
      <c r="S21" s="23">
        <v>5782.0176159999992</v>
      </c>
      <c r="T21" s="23">
        <v>5797.4191773829407</v>
      </c>
      <c r="U21" s="23">
        <v>5069.9730475978276</v>
      </c>
      <c r="V21" s="23">
        <v>5629.3472481845283</v>
      </c>
      <c r="W21" s="23">
        <v>5246.3592984070201</v>
      </c>
      <c r="X21" s="23">
        <v>4589.1777568847938</v>
      </c>
      <c r="Y21" s="23">
        <v>3931.1393756356438</v>
      </c>
      <c r="Z21" s="23">
        <v>1913.7492414098963</v>
      </c>
      <c r="AA21" s="23">
        <v>2681.4447250182893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1234.9741739199458</v>
      </c>
      <c r="E22" s="23">
        <v>1222.6358953393287</v>
      </c>
      <c r="F22" s="23">
        <v>1288.4242001449261</v>
      </c>
      <c r="G22" s="23">
        <v>1503.0381960467175</v>
      </c>
      <c r="H22" s="23">
        <v>1618.8009048304034</v>
      </c>
      <c r="I22" s="23">
        <v>1696.7001619031987</v>
      </c>
      <c r="J22" s="23">
        <v>1848.9577821973637</v>
      </c>
      <c r="K22" s="23">
        <v>1870.1780483124755</v>
      </c>
      <c r="L22" s="23">
        <v>1876.8050004587617</v>
      </c>
      <c r="M22" s="23">
        <v>1938.5508629150982</v>
      </c>
      <c r="N22" s="23">
        <v>2223.842618665959</v>
      </c>
      <c r="O22" s="23">
        <v>2348.2358375984459</v>
      </c>
      <c r="P22" s="23">
        <v>2392.4411790942595</v>
      </c>
      <c r="Q22" s="23">
        <v>2294.2573645929879</v>
      </c>
      <c r="R22" s="23">
        <v>2260.9197280764188</v>
      </c>
      <c r="S22" s="23">
        <v>2184.3205879999996</v>
      </c>
      <c r="T22" s="23">
        <v>2144.3482634730549</v>
      </c>
      <c r="U22" s="23">
        <v>2073.6325095185971</v>
      </c>
      <c r="V22" s="23">
        <v>2027.487912566879</v>
      </c>
      <c r="W22" s="23">
        <v>2089.8685250770168</v>
      </c>
      <c r="X22" s="23">
        <v>2142.4508721805873</v>
      </c>
      <c r="Y22" s="23">
        <v>2257.6926924704344</v>
      </c>
      <c r="Z22" s="23">
        <v>2165.219205676422</v>
      </c>
      <c r="AA22" s="23">
        <v>2011.6603443865467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14450.810423556179</v>
      </c>
      <c r="E23" s="23">
        <v>14969.177749386754</v>
      </c>
      <c r="F23" s="23">
        <v>14784.515631102538</v>
      </c>
      <c r="G23" s="23">
        <v>13830.911567279561</v>
      </c>
      <c r="H23" s="23">
        <v>13942.988956428939</v>
      </c>
      <c r="I23" s="23">
        <v>13674.693375180635</v>
      </c>
      <c r="J23" s="23">
        <v>13509.768427298401</v>
      </c>
      <c r="K23" s="23">
        <v>13931.506573140314</v>
      </c>
      <c r="L23" s="23">
        <v>13979.540938081596</v>
      </c>
      <c r="M23" s="23">
        <v>12682.05141910682</v>
      </c>
      <c r="N23" s="23">
        <v>11986.475411208559</v>
      </c>
      <c r="O23" s="23">
        <v>11160.994565588968</v>
      </c>
      <c r="P23" s="23">
        <v>9558.2752407932003</v>
      </c>
      <c r="Q23" s="23">
        <v>8814.1105748045211</v>
      </c>
      <c r="R23" s="23">
        <v>8156.9803172791817</v>
      </c>
      <c r="S23" s="23">
        <v>8124.8192279999994</v>
      </c>
      <c r="T23" s="23">
        <v>8132.3678649258854</v>
      </c>
      <c r="U23" s="23">
        <v>8513.8884933975351</v>
      </c>
      <c r="V23" s="23">
        <v>9109.6935636688795</v>
      </c>
      <c r="W23" s="23">
        <v>9661.0148447489009</v>
      </c>
      <c r="X23" s="23">
        <v>9681.4251878086416</v>
      </c>
      <c r="Y23" s="23">
        <v>9920.933934683977</v>
      </c>
      <c r="Z23" s="23">
        <v>10882.086541528437</v>
      </c>
      <c r="AA23" s="23">
        <v>11547.6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26624.511230455832</v>
      </c>
      <c r="E24" s="23">
        <v>27265.299632052327</v>
      </c>
      <c r="F24" s="23">
        <v>27303.488358040308</v>
      </c>
      <c r="G24" s="23">
        <v>26501.167132085346</v>
      </c>
      <c r="H24" s="23">
        <v>26726.93473156698</v>
      </c>
      <c r="I24" s="23">
        <v>26439.728535946531</v>
      </c>
      <c r="J24" s="23">
        <v>26536.192974321228</v>
      </c>
      <c r="K24" s="23">
        <v>27045.360202972097</v>
      </c>
      <c r="L24" s="23">
        <v>27200.807825014115</v>
      </c>
      <c r="M24" s="23">
        <v>27141.659590217565</v>
      </c>
      <c r="N24" s="23">
        <v>27208.361777768707</v>
      </c>
      <c r="O24" s="23">
        <v>28498.994432991825</v>
      </c>
      <c r="P24" s="23">
        <v>28826.182734235656</v>
      </c>
      <c r="Q24" s="23">
        <v>28976.339713673766</v>
      </c>
      <c r="R24" s="23">
        <v>29022.464548075841</v>
      </c>
      <c r="S24" s="23">
        <v>29212.700484000001</v>
      </c>
      <c r="T24" s="23">
        <v>29362.811830764702</v>
      </c>
      <c r="U24" s="23">
        <v>28962.328683672575</v>
      </c>
      <c r="V24" s="23">
        <v>28827.612054565172</v>
      </c>
      <c r="W24" s="23">
        <v>29243.778278845341</v>
      </c>
      <c r="X24" s="23">
        <v>26839.810342026238</v>
      </c>
      <c r="Y24" s="23">
        <v>27315.911155833073</v>
      </c>
      <c r="Z24" s="23">
        <v>28208.713635859691</v>
      </c>
      <c r="AA24" s="23">
        <v>23853.895820831942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7806.7770311383902</v>
      </c>
      <c r="E25" s="23">
        <v>7921.3372598119377</v>
      </c>
      <c r="F25" s="23">
        <v>7896.3356529642215</v>
      </c>
      <c r="G25" s="23">
        <v>7908.0167788587351</v>
      </c>
      <c r="H25" s="23">
        <v>8008.1221938657145</v>
      </c>
      <c r="I25" s="23">
        <v>7991.659235007226</v>
      </c>
      <c r="J25" s="23">
        <v>8408.2858618378414</v>
      </c>
      <c r="K25" s="23">
        <v>9228.2423000660947</v>
      </c>
      <c r="L25" s="23">
        <v>9040.4695970389585</v>
      </c>
      <c r="M25" s="23">
        <v>9084.2225421233434</v>
      </c>
      <c r="N25" s="23">
        <v>9655.1487947071255</v>
      </c>
      <c r="O25" s="23">
        <v>9435.9951933535667</v>
      </c>
      <c r="P25" s="23">
        <v>9261.423636554402</v>
      </c>
      <c r="Q25" s="23">
        <v>9384.3664811797371</v>
      </c>
      <c r="R25" s="23">
        <v>9253.9107012949953</v>
      </c>
      <c r="S25" s="23">
        <v>9735.6620079999993</v>
      </c>
      <c r="T25" s="23">
        <v>9684.471122018258</v>
      </c>
      <c r="U25" s="23">
        <v>10400.8879256726</v>
      </c>
      <c r="V25" s="23">
        <v>10613.540153345637</v>
      </c>
      <c r="W25" s="23">
        <v>11202.069790665335</v>
      </c>
      <c r="X25" s="23">
        <v>8101.7400454574499</v>
      </c>
      <c r="Y25" s="23">
        <v>8870.9626270158569</v>
      </c>
      <c r="Z25" s="23">
        <v>10578.308225521718</v>
      </c>
      <c r="AA25" s="23">
        <v>9858.4514116774226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8341.9549035688779</v>
      </c>
      <c r="E26" s="23">
        <v>8448.1284955028605</v>
      </c>
      <c r="F26" s="23">
        <v>8837.2705518232378</v>
      </c>
      <c r="G26" s="23">
        <v>8822.7979638923916</v>
      </c>
      <c r="H26" s="23">
        <v>9238.9058465964463</v>
      </c>
      <c r="I26" s="23">
        <v>9436.5032830563596</v>
      </c>
      <c r="J26" s="23">
        <v>9724.2258545858112</v>
      </c>
      <c r="K26" s="23">
        <v>9870.722576381042</v>
      </c>
      <c r="L26" s="23">
        <v>9711.1126074318818</v>
      </c>
      <c r="M26" s="23">
        <v>9766.1105022084066</v>
      </c>
      <c r="N26" s="23">
        <v>9961.1346027791678</v>
      </c>
      <c r="O26" s="23">
        <v>9991.5257621745932</v>
      </c>
      <c r="P26" s="23">
        <v>10036.06242786696</v>
      </c>
      <c r="Q26" s="23">
        <v>9722.8501900984829</v>
      </c>
      <c r="R26" s="23">
        <v>9987.0090211621336</v>
      </c>
      <c r="S26" s="23">
        <v>10270.789439999999</v>
      </c>
      <c r="T26" s="23">
        <v>10894.391145577696</v>
      </c>
      <c r="U26" s="23">
        <v>12301.297381296079</v>
      </c>
      <c r="V26" s="23">
        <v>12956.105264359507</v>
      </c>
      <c r="W26" s="23">
        <v>13410.484607415839</v>
      </c>
      <c r="X26" s="23">
        <v>7405.4406141319732</v>
      </c>
      <c r="Y26" s="23">
        <v>9028.7492529535957</v>
      </c>
      <c r="Z26" s="23">
        <v>14035.424590429568</v>
      </c>
      <c r="AA26" s="23">
        <v>21093.552767490637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6796.8933622582617</v>
      </c>
      <c r="E27" s="23">
        <v>7174.8739165985271</v>
      </c>
      <c r="F27" s="23">
        <v>7437.7995013571426</v>
      </c>
      <c r="G27" s="23">
        <v>7390.7432839371104</v>
      </c>
      <c r="H27" s="23">
        <v>7605.6684608602864</v>
      </c>
      <c r="I27" s="23">
        <v>7657.7594743497111</v>
      </c>
      <c r="J27" s="23">
        <v>7795.8735377819785</v>
      </c>
      <c r="K27" s="23">
        <v>7849.8743747734688</v>
      </c>
      <c r="L27" s="23">
        <v>7935.5218376863722</v>
      </c>
      <c r="M27" s="23">
        <v>7770.1730287910996</v>
      </c>
      <c r="N27" s="23">
        <v>7321.3587331407043</v>
      </c>
      <c r="O27" s="23">
        <v>7405.2764173909436</v>
      </c>
      <c r="P27" s="23">
        <v>7160.8121498268811</v>
      </c>
      <c r="Q27" s="23">
        <v>6764.208466812187</v>
      </c>
      <c r="R27" s="23">
        <v>6677.3275841340028</v>
      </c>
      <c r="S27" s="23">
        <v>6752.0789480000003</v>
      </c>
      <c r="T27" s="23">
        <v>7055.955398056346</v>
      </c>
      <c r="U27" s="23">
        <v>7316.3365000629728</v>
      </c>
      <c r="V27" s="23">
        <v>7701.8834459009531</v>
      </c>
      <c r="W27" s="23">
        <v>8462.7062576412281</v>
      </c>
      <c r="X27" s="23">
        <v>9020.9433899573723</v>
      </c>
      <c r="Y27" s="23">
        <v>9697.4314038003668</v>
      </c>
      <c r="Z27" s="23">
        <v>10851.32966390066</v>
      </c>
      <c r="AA27" s="23">
        <v>11230.9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10967.282891081775</v>
      </c>
      <c r="E28" s="23">
        <v>12341.873385118561</v>
      </c>
      <c r="F28" s="23">
        <v>12114.244389039681</v>
      </c>
      <c r="G28" s="23">
        <v>12407.012440236913</v>
      </c>
      <c r="H28" s="23">
        <v>12964.107164400726</v>
      </c>
      <c r="I28" s="23">
        <v>12914.709420158961</v>
      </c>
      <c r="J28" s="23">
        <v>14887.800806513644</v>
      </c>
      <c r="K28" s="23">
        <v>15803.444470502955</v>
      </c>
      <c r="L28" s="23">
        <v>16732.085037954035</v>
      </c>
      <c r="M28" s="23">
        <v>14223.440197120888</v>
      </c>
      <c r="N28" s="23">
        <v>13442.501099619167</v>
      </c>
      <c r="O28" s="23">
        <v>14148.599289362186</v>
      </c>
      <c r="P28" s="23">
        <v>12276.70579792257</v>
      </c>
      <c r="Q28" s="23">
        <v>10675.445633883644</v>
      </c>
      <c r="R28" s="23">
        <v>10283.819389283421</v>
      </c>
      <c r="S28" s="23">
        <v>9982.780655999999</v>
      </c>
      <c r="T28" s="23">
        <v>10077.888347894375</v>
      </c>
      <c r="U28" s="23">
        <v>9802.8500954281681</v>
      </c>
      <c r="V28" s="23">
        <v>10103.399246589677</v>
      </c>
      <c r="W28" s="23">
        <v>10559.36111022968</v>
      </c>
      <c r="X28" s="23">
        <v>10728.830158918514</v>
      </c>
      <c r="Y28" s="23">
        <v>10957.442609047213</v>
      </c>
      <c r="Z28" s="23">
        <v>12379.534946314505</v>
      </c>
      <c r="AA28" s="23">
        <v>16582.599999999999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14437.708140426996</v>
      </c>
      <c r="E29" s="23">
        <v>14274.468765331152</v>
      </c>
      <c r="F29" s="23">
        <v>15096.912879969541</v>
      </c>
      <c r="G29" s="23">
        <v>15792.624100283061</v>
      </c>
      <c r="H29" s="23">
        <v>16116.857820982788</v>
      </c>
      <c r="I29" s="23">
        <v>17092.542363619941</v>
      </c>
      <c r="J29" s="23">
        <v>17419.914373303738</v>
      </c>
      <c r="K29" s="23">
        <v>18895.634624650877</v>
      </c>
      <c r="L29" s="23">
        <v>19480.513134397021</v>
      </c>
      <c r="M29" s="23">
        <v>19791.369589399637</v>
      </c>
      <c r="N29" s="23">
        <v>21682.724841999941</v>
      </c>
      <c r="O29" s="23">
        <v>21755.803109817367</v>
      </c>
      <c r="P29" s="23">
        <v>23151.227447277306</v>
      </c>
      <c r="Q29" s="23">
        <v>24177.054553652863</v>
      </c>
      <c r="R29" s="23">
        <v>24405.342496459391</v>
      </c>
      <c r="S29" s="23">
        <v>24254.961975999999</v>
      </c>
      <c r="T29" s="23">
        <v>25148.161511730636</v>
      </c>
      <c r="U29" s="23">
        <v>26099.350212654648</v>
      </c>
      <c r="V29" s="23">
        <v>26773.397960464983</v>
      </c>
      <c r="W29" s="23">
        <v>27567.260301076069</v>
      </c>
      <c r="X29" s="23">
        <v>27312.278542805769</v>
      </c>
      <c r="Y29" s="23">
        <v>27837.759331566416</v>
      </c>
      <c r="Z29" s="23">
        <v>27708.806075543464</v>
      </c>
      <c r="AA29" s="23">
        <v>24767.1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6538.0392814624729</v>
      </c>
      <c r="E30" s="23">
        <v>6496.2266302125927</v>
      </c>
      <c r="F30" s="23">
        <v>6333.7255499195535</v>
      </c>
      <c r="G30" s="23">
        <v>6446.9645774363125</v>
      </c>
      <c r="H30" s="23">
        <v>6598.6502621688105</v>
      </c>
      <c r="I30" s="23">
        <v>6904.3703621748564</v>
      </c>
      <c r="J30" s="23">
        <v>6767.9305914799643</v>
      </c>
      <c r="K30" s="23">
        <v>7411.9427072895123</v>
      </c>
      <c r="L30" s="23">
        <v>7932.7335772986771</v>
      </c>
      <c r="M30" s="23">
        <v>7653.5821323409127</v>
      </c>
      <c r="N30" s="23">
        <v>7696.969278049477</v>
      </c>
      <c r="O30" s="23">
        <v>7504.8588565568234</v>
      </c>
      <c r="P30" s="23">
        <v>7057.0206777882704</v>
      </c>
      <c r="Q30" s="23">
        <v>7073.2814420840141</v>
      </c>
      <c r="R30" s="23">
        <v>7605.2804874321164</v>
      </c>
      <c r="S30" s="23">
        <v>7340.5413399999998</v>
      </c>
      <c r="T30" s="23">
        <v>7514.8175046628057</v>
      </c>
      <c r="U30" s="23">
        <v>7964.5696470611038</v>
      </c>
      <c r="V30" s="23">
        <v>8765.0494701394564</v>
      </c>
      <c r="W30" s="23">
        <v>9448.0427815471903</v>
      </c>
      <c r="X30" s="23">
        <v>9438.6998658183711</v>
      </c>
      <c r="Y30" s="23">
        <v>10141.356032523247</v>
      </c>
      <c r="Z30" s="23">
        <v>11510.544854464977</v>
      </c>
      <c r="AA30" s="23">
        <v>11751.35626995788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5388.9018598375615</v>
      </c>
      <c r="E31" s="23">
        <v>5323.0737428454622</v>
      </c>
      <c r="F31" s="23">
        <v>5472.9564952530664</v>
      </c>
      <c r="G31" s="23">
        <v>5489.4422539901525</v>
      </c>
      <c r="H31" s="23">
        <v>5654.8284951974392</v>
      </c>
      <c r="I31" s="23">
        <v>5795.8632993135834</v>
      </c>
      <c r="J31" s="23">
        <v>6081.9841378325227</v>
      </c>
      <c r="K31" s="23">
        <v>6576.8266464831686</v>
      </c>
      <c r="L31" s="23">
        <v>6832.6984672006029</v>
      </c>
      <c r="M31" s="23">
        <v>6735.3963643055777</v>
      </c>
      <c r="N31" s="23">
        <v>7023.8005002909858</v>
      </c>
      <c r="O31" s="23">
        <v>6842.905311137124</v>
      </c>
      <c r="P31" s="23">
        <v>6497.9590389256118</v>
      </c>
      <c r="Q31" s="23">
        <v>6351.1568358594395</v>
      </c>
      <c r="R31" s="23">
        <v>6721.7068152872725</v>
      </c>
      <c r="S31" s="23">
        <v>6886.4322519999987</v>
      </c>
      <c r="T31" s="23">
        <v>7378.1935250809856</v>
      </c>
      <c r="U31" s="23">
        <v>8133.6097578934114</v>
      </c>
      <c r="V31" s="23">
        <v>8636.3968379597045</v>
      </c>
      <c r="W31" s="23">
        <v>8833.6592670020254</v>
      </c>
      <c r="X31" s="23">
        <v>7701.7185143263996</v>
      </c>
      <c r="Y31" s="23">
        <v>8724.3568321279363</v>
      </c>
      <c r="Z31" s="23">
        <v>10255.036113835422</v>
      </c>
      <c r="AA31" s="23">
        <v>10766.94373004212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16147.052154818903</v>
      </c>
      <c r="E32" s="23">
        <v>16251.031014922346</v>
      </c>
      <c r="F32" s="23">
        <v>16463.475383500554</v>
      </c>
      <c r="G32" s="23">
        <v>16840.612649556413</v>
      </c>
      <c r="H32" s="23">
        <v>16929.57277156513</v>
      </c>
      <c r="I32" s="23">
        <v>17520.203585621377</v>
      </c>
      <c r="J32" s="23">
        <v>17349.868580030565</v>
      </c>
      <c r="K32" s="23">
        <v>17144.990938745919</v>
      </c>
      <c r="L32" s="23">
        <v>17340.456899688434</v>
      </c>
      <c r="M32" s="23">
        <v>17791.666931130341</v>
      </c>
      <c r="N32" s="23">
        <v>17044.187439633217</v>
      </c>
      <c r="O32" s="23">
        <v>16409.79155729129</v>
      </c>
      <c r="P32" s="23">
        <v>14849.242052250551</v>
      </c>
      <c r="Q32" s="23">
        <v>15620.352966253666</v>
      </c>
      <c r="R32" s="23">
        <v>14740.503404077534</v>
      </c>
      <c r="S32" s="23">
        <v>14741.655956000022</v>
      </c>
      <c r="T32" s="23">
        <v>14657.658772945912</v>
      </c>
      <c r="U32" s="23">
        <v>14747.70393435318</v>
      </c>
      <c r="V32" s="23">
        <v>14832.380084092762</v>
      </c>
      <c r="W32" s="23">
        <v>15125.638585521119</v>
      </c>
      <c r="X32" s="23">
        <v>14962.149874489942</v>
      </c>
      <c r="Y32" s="23">
        <v>15359.837789856694</v>
      </c>
      <c r="Z32" s="23">
        <v>15272.955719487943</v>
      </c>
      <c r="AA32" s="23">
        <v>14936.752653191248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12605.40423820736</v>
      </c>
      <c r="E33" s="23">
        <v>13090.283600776778</v>
      </c>
      <c r="F33" s="23">
        <v>13690.891313051914</v>
      </c>
      <c r="G33" s="23">
        <v>13684.866758640377</v>
      </c>
      <c r="H33" s="23">
        <v>13950.059885852166</v>
      </c>
      <c r="I33" s="23">
        <v>14346.793880960984</v>
      </c>
      <c r="J33" s="23">
        <v>14088.413655792283</v>
      </c>
      <c r="K33" s="23">
        <v>13503.457134938064</v>
      </c>
      <c r="L33" s="23">
        <v>13933.202705924175</v>
      </c>
      <c r="M33" s="23">
        <v>14097.760923441843</v>
      </c>
      <c r="N33" s="23">
        <v>14341.3992383325</v>
      </c>
      <c r="O33" s="23">
        <v>13356.412435125812</v>
      </c>
      <c r="P33" s="23">
        <v>11970.127906830345</v>
      </c>
      <c r="Q33" s="23">
        <v>12205.975007429724</v>
      </c>
      <c r="R33" s="23">
        <v>12131.056366470701</v>
      </c>
      <c r="S33" s="23">
        <v>11858.520403999999</v>
      </c>
      <c r="T33" s="23">
        <v>11724.730860901149</v>
      </c>
      <c r="U33" s="23">
        <v>11923.602228271926</v>
      </c>
      <c r="V33" s="23">
        <v>12006.975000475637</v>
      </c>
      <c r="W33" s="23">
        <v>12086.905307562365</v>
      </c>
      <c r="X33" s="23">
        <v>11953.005003970682</v>
      </c>
      <c r="Y33" s="23">
        <v>12040.500049413773</v>
      </c>
      <c r="Z33" s="23">
        <v>12124.491119506723</v>
      </c>
      <c r="AA33" s="23">
        <v>12074.426240767039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9405.2555728987554</v>
      </c>
      <c r="E34" s="23">
        <v>10502.241164145544</v>
      </c>
      <c r="F34" s="23">
        <v>10862.159958733004</v>
      </c>
      <c r="G34" s="23">
        <v>11043.373787493163</v>
      </c>
      <c r="H34" s="23">
        <v>11681.175407173683</v>
      </c>
      <c r="I34" s="23">
        <v>12161.607040281791</v>
      </c>
      <c r="J34" s="23">
        <v>11868.994556582318</v>
      </c>
      <c r="K34" s="23">
        <v>12298.231281581138</v>
      </c>
      <c r="L34" s="23">
        <v>12286.801334141905</v>
      </c>
      <c r="M34" s="23">
        <v>12420.69565679699</v>
      </c>
      <c r="N34" s="23">
        <v>12682.852434579296</v>
      </c>
      <c r="O34" s="23">
        <v>12501.871451213574</v>
      </c>
      <c r="P34" s="23">
        <v>12216.083051096424</v>
      </c>
      <c r="Q34" s="23">
        <v>12056.578891382544</v>
      </c>
      <c r="R34" s="23">
        <v>12124.198934251683</v>
      </c>
      <c r="S34" s="23">
        <v>12299.803703999998</v>
      </c>
      <c r="T34" s="23">
        <v>12749.66002159615</v>
      </c>
      <c r="U34" s="23">
        <v>13301.143801044382</v>
      </c>
      <c r="V34" s="23">
        <v>13931.328456460113</v>
      </c>
      <c r="W34" s="23">
        <v>14469.182125824786</v>
      </c>
      <c r="X34" s="23">
        <v>14105.308623223464</v>
      </c>
      <c r="Y34" s="23">
        <v>15394.178913795427</v>
      </c>
      <c r="Z34" s="23">
        <v>15593.087164092549</v>
      </c>
      <c r="AA34" s="23">
        <v>15592.821106041712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1419.9179396280322</v>
      </c>
      <c r="E35" s="23">
        <v>1400.2880059280455</v>
      </c>
      <c r="F35" s="23">
        <v>1467.7835791749053</v>
      </c>
      <c r="G35" s="23">
        <v>1493.0702980423873</v>
      </c>
      <c r="H35" s="23">
        <v>1563.85389077073</v>
      </c>
      <c r="I35" s="23">
        <v>1514.8067286849716</v>
      </c>
      <c r="J35" s="23">
        <v>1520.6355679108656</v>
      </c>
      <c r="K35" s="23">
        <v>1506.4307869432657</v>
      </c>
      <c r="L35" s="23">
        <v>1583.5991259070281</v>
      </c>
      <c r="M35" s="23">
        <v>1590.8555169311298</v>
      </c>
      <c r="N35" s="23">
        <v>1632.2268380588705</v>
      </c>
      <c r="O35" s="23">
        <v>1633.3098608765918</v>
      </c>
      <c r="P35" s="23">
        <v>1447.7511362920993</v>
      </c>
      <c r="Q35" s="23">
        <v>1349.510212028981</v>
      </c>
      <c r="R35" s="23">
        <v>1432.6857917205825</v>
      </c>
      <c r="S35" s="23">
        <v>1575.7940919999994</v>
      </c>
      <c r="T35" s="23">
        <v>1616.301568665946</v>
      </c>
      <c r="U35" s="23">
        <v>1861.7787461610749</v>
      </c>
      <c r="V35" s="23">
        <v>1909.374182378569</v>
      </c>
      <c r="W35" s="23">
        <v>2012.1534162708006</v>
      </c>
      <c r="X35" s="23">
        <v>1434.0963150256039</v>
      </c>
      <c r="Y35" s="23">
        <v>1673.8160442028654</v>
      </c>
      <c r="Z35" s="23">
        <v>2326.0430200329188</v>
      </c>
      <c r="AA35" s="23">
        <v>2623.8869926635425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1772.5037381941322</v>
      </c>
      <c r="E36" s="23">
        <v>1720.548523098937</v>
      </c>
      <c r="F36" s="23">
        <v>1868.9247294923912</v>
      </c>
      <c r="G36" s="23">
        <v>1920.9347684403324</v>
      </c>
      <c r="H36" s="23">
        <v>1980.1548605633152</v>
      </c>
      <c r="I36" s="23">
        <v>2037.6630735187862</v>
      </c>
      <c r="J36" s="23">
        <v>2115.0480765638563</v>
      </c>
      <c r="K36" s="23">
        <v>2258.9693153956041</v>
      </c>
      <c r="L36" s="23">
        <v>2483.2778110035342</v>
      </c>
      <c r="M36" s="23">
        <v>2470.7402666448552</v>
      </c>
      <c r="N36" s="23">
        <v>2597.3786835200067</v>
      </c>
      <c r="O36" s="23">
        <v>2651.1029015984168</v>
      </c>
      <c r="P36" s="23">
        <v>2802.9026922673379</v>
      </c>
      <c r="Q36" s="23">
        <v>2737.8009489552273</v>
      </c>
      <c r="R36" s="23">
        <v>2756.2995955047022</v>
      </c>
      <c r="S36" s="23">
        <v>2777.7355119999997</v>
      </c>
      <c r="T36" s="23">
        <v>2742.950772553254</v>
      </c>
      <c r="U36" s="23">
        <v>2817.7042637498912</v>
      </c>
      <c r="V36" s="23">
        <v>2848.840398774757</v>
      </c>
      <c r="W36" s="23">
        <v>2915.1217799512824</v>
      </c>
      <c r="X36" s="23">
        <v>2502.0181829799276</v>
      </c>
      <c r="Y36" s="23">
        <v>2497.2043879430398</v>
      </c>
      <c r="Z36" s="23">
        <v>2729.4562917352482</v>
      </c>
      <c r="AA36" s="23">
        <v>2808.7221494711898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1220.5280668800763</v>
      </c>
      <c r="E37" s="23">
        <v>1244.5382103434179</v>
      </c>
      <c r="F37" s="23">
        <v>1307.2959261124279</v>
      </c>
      <c r="G37" s="23">
        <v>1325.1263195452061</v>
      </c>
      <c r="H37" s="23">
        <v>1301.6402579926687</v>
      </c>
      <c r="I37" s="23">
        <v>1329.5776643786128</v>
      </c>
      <c r="J37" s="23">
        <v>1343.1490160313815</v>
      </c>
      <c r="K37" s="23">
        <v>1458.5087435771702</v>
      </c>
      <c r="L37" s="23">
        <v>1534.4726333619121</v>
      </c>
      <c r="M37" s="23">
        <v>1570.4715851464091</v>
      </c>
      <c r="N37" s="23">
        <v>1597.3496421387949</v>
      </c>
      <c r="O37" s="23">
        <v>1579.3748541949383</v>
      </c>
      <c r="P37" s="23">
        <v>1533.022692267338</v>
      </c>
      <c r="Q37" s="23">
        <v>1439.3040448447955</v>
      </c>
      <c r="R37" s="23">
        <v>1439.6726094531671</v>
      </c>
      <c r="S37" s="23">
        <v>1378.073776</v>
      </c>
      <c r="T37" s="23">
        <v>1366.7384234809072</v>
      </c>
      <c r="U37" s="23">
        <v>1347.6458326470904</v>
      </c>
      <c r="V37" s="23">
        <v>1353.3290500561252</v>
      </c>
      <c r="W37" s="23">
        <v>1385.7998525417875</v>
      </c>
      <c r="X37" s="23">
        <v>1282.3640101138262</v>
      </c>
      <c r="Y37" s="23">
        <v>1178.8931350792866</v>
      </c>
      <c r="Z37" s="23">
        <v>1311.0660583163476</v>
      </c>
      <c r="AA37" s="23">
        <v>1281.7908578652671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188946.34522606415</v>
      </c>
      <c r="E39" s="30">
        <f t="shared" ref="E39:S39" si="3">SUM(E18:E38)</f>
        <v>193160.57200531481</v>
      </c>
      <c r="F39" s="30">
        <f t="shared" si="3"/>
        <v>194448.9615701109</v>
      </c>
      <c r="G39" s="30">
        <f t="shared" si="3"/>
        <v>192837.44450417455</v>
      </c>
      <c r="H39" s="30">
        <f t="shared" si="3"/>
        <v>196029.29144355253</v>
      </c>
      <c r="I39" s="30">
        <f t="shared" si="3"/>
        <v>196986.52217304913</v>
      </c>
      <c r="J39" s="30">
        <f t="shared" si="3"/>
        <v>200195.62131217794</v>
      </c>
      <c r="K39" s="30">
        <f t="shared" si="3"/>
        <v>205850.62638210779</v>
      </c>
      <c r="L39" s="30">
        <f t="shared" si="3"/>
        <v>207176.77545848055</v>
      </c>
      <c r="M39" s="30">
        <f t="shared" si="3"/>
        <v>201775.34737853752</v>
      </c>
      <c r="N39" s="30">
        <f t="shared" si="3"/>
        <v>204896.78397026839</v>
      </c>
      <c r="O39" s="30">
        <f t="shared" si="3"/>
        <v>202819.30390643614</v>
      </c>
      <c r="P39" s="30">
        <f t="shared" si="3"/>
        <v>196258.48173329138</v>
      </c>
      <c r="Q39" s="30">
        <f t="shared" si="3"/>
        <v>195010.73243766715</v>
      </c>
      <c r="R39" s="30">
        <f t="shared" si="3"/>
        <v>195551.84196358518</v>
      </c>
      <c r="S39" s="30">
        <f t="shared" si="3"/>
        <v>198203.75931600004</v>
      </c>
      <c r="T39" s="30">
        <f t="shared" ref="T39:Y39" si="4">SUM(T18:T38)</f>
        <v>201626.32826150977</v>
      </c>
      <c r="U39" s="30">
        <f t="shared" si="4"/>
        <v>208004.71757331499</v>
      </c>
      <c r="V39" s="30">
        <f t="shared" si="4"/>
        <v>214007.06999866822</v>
      </c>
      <c r="W39" s="30">
        <f t="shared" si="4"/>
        <v>219815.02032870115</v>
      </c>
      <c r="X39" s="30">
        <f t="shared" si="4"/>
        <v>202971.57401805517</v>
      </c>
      <c r="Y39" s="30">
        <f t="shared" si="4"/>
        <v>213760.94660617219</v>
      </c>
      <c r="Z39" s="30">
        <f t="shared" ref="Z39:AA39" si="5">SUM(Z18:Z38)</f>
        <v>228540.82029388438</v>
      </c>
      <c r="AA39" s="30">
        <f t="shared" si="5"/>
        <v>235589.30000000002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4143.0091166432976</v>
      </c>
      <c r="E41" s="19">
        <v>4394.9023047833198</v>
      </c>
      <c r="F41" s="19">
        <v>4547.9299934906221</v>
      </c>
      <c r="G41" s="19">
        <v>4546.5697200352042</v>
      </c>
      <c r="H41" s="19">
        <v>4556.9193912115452</v>
      </c>
      <c r="I41" s="19">
        <v>4562.4843208092489</v>
      </c>
      <c r="J41" s="19">
        <v>4519.6280675537582</v>
      </c>
      <c r="K41" s="19">
        <v>4360.905946314735</v>
      </c>
      <c r="L41" s="19">
        <v>4459.7561029673161</v>
      </c>
      <c r="M41" s="19">
        <v>4600.406719286766</v>
      </c>
      <c r="N41" s="19">
        <v>4625.8312120314877</v>
      </c>
      <c r="O41" s="19">
        <v>4496.4694228916533</v>
      </c>
      <c r="P41" s="19">
        <v>4469.4286643584092</v>
      </c>
      <c r="Q41" s="19">
        <v>4565.8211946997881</v>
      </c>
      <c r="R41" s="19">
        <v>4843.8054713847587</v>
      </c>
      <c r="S41" s="19">
        <v>4894.3714959999998</v>
      </c>
      <c r="T41" s="19">
        <v>5089.6172101698239</v>
      </c>
      <c r="U41" s="19">
        <v>5039.0930855753304</v>
      </c>
      <c r="V41" s="19">
        <v>5115.9051387911186</v>
      </c>
      <c r="W41" s="19">
        <v>5076.6045226740325</v>
      </c>
      <c r="X41" s="19">
        <v>4826.5710039889364</v>
      </c>
      <c r="Y41" s="19">
        <v>4928.9210511657157</v>
      </c>
      <c r="Z41" s="19">
        <v>5033.6229410610877</v>
      </c>
      <c r="AA41" s="19">
        <v>4881.5283108318208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6403.656890393926</v>
      </c>
      <c r="E42" s="23">
        <v>6283.8552943581353</v>
      </c>
      <c r="F42" s="23">
        <v>6218.6236179855305</v>
      </c>
      <c r="G42" s="23">
        <v>5834.845022715921</v>
      </c>
      <c r="H42" s="23">
        <v>5428.5587536541234</v>
      </c>
      <c r="I42" s="23">
        <v>4895.3805184248558</v>
      </c>
      <c r="J42" s="23">
        <v>4806.9274467360374</v>
      </c>
      <c r="K42" s="23">
        <v>4853.3929343538794</v>
      </c>
      <c r="L42" s="23">
        <v>4632.4954727002787</v>
      </c>
      <c r="M42" s="23">
        <v>4307.7609725175853</v>
      </c>
      <c r="N42" s="23">
        <v>4360.8163850402789</v>
      </c>
      <c r="O42" s="23">
        <v>4452.0059295784858</v>
      </c>
      <c r="P42" s="23">
        <v>4496.0760256006715</v>
      </c>
      <c r="Q42" s="23">
        <v>4637.3959889732632</v>
      </c>
      <c r="R42" s="23">
        <v>4871.493971287965</v>
      </c>
      <c r="S42" s="23">
        <v>5003.3271999999997</v>
      </c>
      <c r="T42" s="23">
        <v>5124.2718327279863</v>
      </c>
      <c r="U42" s="23">
        <v>5116.8466154487069</v>
      </c>
      <c r="V42" s="23">
        <v>5068.5513061014826</v>
      </c>
      <c r="W42" s="23">
        <v>4796.671293245854</v>
      </c>
      <c r="X42" s="23">
        <v>4427.2449608865118</v>
      </c>
      <c r="Y42" s="23">
        <v>4639.8167054489913</v>
      </c>
      <c r="Z42" s="23">
        <v>4722.2637045123101</v>
      </c>
      <c r="AA42" s="23">
        <v>4538.4794360370106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4290.6617688298638</v>
      </c>
      <c r="E43" s="23">
        <v>3995.468974856909</v>
      </c>
      <c r="F43" s="23">
        <v>3767.9506417263356</v>
      </c>
      <c r="G43" s="23">
        <v>3478.3433172379346</v>
      </c>
      <c r="H43" s="23">
        <v>3284.4467170896946</v>
      </c>
      <c r="I43" s="23">
        <v>3373.4054822976882</v>
      </c>
      <c r="J43" s="23">
        <v>3547.3589688931866</v>
      </c>
      <c r="K43" s="23">
        <v>3586.3016182333754</v>
      </c>
      <c r="L43" s="23">
        <v>3173.9697413270324</v>
      </c>
      <c r="M43" s="23">
        <v>2722.8778177654176</v>
      </c>
      <c r="N43" s="23">
        <v>3186.4013640586872</v>
      </c>
      <c r="O43" s="23">
        <v>2990.1041509121233</v>
      </c>
      <c r="P43" s="23">
        <v>2795.0417207008713</v>
      </c>
      <c r="Q43" s="23">
        <v>2801.6977198430022</v>
      </c>
      <c r="R43" s="23">
        <v>2813.8761490417432</v>
      </c>
      <c r="S43" s="23">
        <v>3093.8086440000002</v>
      </c>
      <c r="T43" s="23">
        <v>3021.1850083439676</v>
      </c>
      <c r="U43" s="23">
        <v>3008.1512008448058</v>
      </c>
      <c r="V43" s="23">
        <v>3279.2529137573483</v>
      </c>
      <c r="W43" s="23">
        <v>3191.8550952412056</v>
      </c>
      <c r="X43" s="23">
        <v>2863.6719578651432</v>
      </c>
      <c r="Y43" s="23">
        <v>3043.4678478055794</v>
      </c>
      <c r="Z43" s="23">
        <v>3652.5958160280406</v>
      </c>
      <c r="AA43" s="23">
        <v>3812.0053153985305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346.53859096801506</v>
      </c>
      <c r="E44" s="23">
        <v>327.88576757972197</v>
      </c>
      <c r="F44" s="23">
        <v>246.58015499686809</v>
      </c>
      <c r="G44" s="23">
        <v>276.08056896838804</v>
      </c>
      <c r="H44" s="23">
        <v>464.02974339937828</v>
      </c>
      <c r="I44" s="23">
        <v>782.63580653901738</v>
      </c>
      <c r="J44" s="23">
        <v>871.66547923831718</v>
      </c>
      <c r="K44" s="23">
        <v>737.78287103170373</v>
      </c>
      <c r="L44" s="23">
        <v>866.3523347483324</v>
      </c>
      <c r="M44" s="23">
        <v>205.39732537215767</v>
      </c>
      <c r="N44" s="23">
        <v>558.55375473489687</v>
      </c>
      <c r="O44" s="23">
        <v>407.53817243844071</v>
      </c>
      <c r="P44" s="23">
        <v>340.42003986989823</v>
      </c>
      <c r="Q44" s="23">
        <v>261.83361105133167</v>
      </c>
      <c r="R44" s="23">
        <v>243.24476550480398</v>
      </c>
      <c r="S44" s="23">
        <v>748.34028399999988</v>
      </c>
      <c r="T44" s="23">
        <v>517.45085697457546</v>
      </c>
      <c r="U44" s="23">
        <v>1013.3794708338582</v>
      </c>
      <c r="V44" s="23">
        <v>669.96009208348403</v>
      </c>
      <c r="W44" s="23">
        <v>498.47551353722383</v>
      </c>
      <c r="X44" s="23">
        <v>-73.14215767710607</v>
      </c>
      <c r="Y44" s="23">
        <v>185.85279367503708</v>
      </c>
      <c r="Z44" s="23">
        <v>910.36025823618206</v>
      </c>
      <c r="AA44" s="23">
        <v>1382.4109305161305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1161.0638588322443</v>
      </c>
      <c r="E45" s="23">
        <v>1128.8615392477514</v>
      </c>
      <c r="F45" s="23">
        <v>1102.5143046634159</v>
      </c>
      <c r="G45" s="23">
        <v>1084.6885373801767</v>
      </c>
      <c r="H45" s="23">
        <v>1135.915349635748</v>
      </c>
      <c r="I45" s="23">
        <v>1105.4963737355492</v>
      </c>
      <c r="J45" s="23">
        <v>1060.4542407893725</v>
      </c>
      <c r="K45" s="23">
        <v>1152.8365008634844</v>
      </c>
      <c r="L45" s="23">
        <v>982.13152798979536</v>
      </c>
      <c r="M45" s="23">
        <v>885.20794209062637</v>
      </c>
      <c r="N45" s="23">
        <v>1044.500707554394</v>
      </c>
      <c r="O45" s="23">
        <v>1070.8072058259868</v>
      </c>
      <c r="P45" s="23">
        <v>894.55191690273841</v>
      </c>
      <c r="Q45" s="23">
        <v>922.27375821112719</v>
      </c>
      <c r="R45" s="23">
        <v>911.39155756161665</v>
      </c>
      <c r="S45" s="23">
        <v>1115.843556</v>
      </c>
      <c r="T45" s="23">
        <v>1191.096829292235</v>
      </c>
      <c r="U45" s="23">
        <v>1163.5963378835293</v>
      </c>
      <c r="V45" s="23">
        <v>1006.5105458419741</v>
      </c>
      <c r="W45" s="23">
        <v>1041.0387329793091</v>
      </c>
      <c r="X45" s="23">
        <v>1119.5038967440416</v>
      </c>
      <c r="Y45" s="23">
        <v>1370.1081640537263</v>
      </c>
      <c r="Z45" s="23">
        <v>1443.7321678023484</v>
      </c>
      <c r="AA45" s="23">
        <v>1411.8480332970428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569.61336014180279</v>
      </c>
      <c r="E46" s="23">
        <v>577.7343979967294</v>
      </c>
      <c r="F46" s="23">
        <v>603.11540757298474</v>
      </c>
      <c r="G46" s="23">
        <v>550.04673532979712</v>
      </c>
      <c r="H46" s="23">
        <v>548.7335854484711</v>
      </c>
      <c r="I46" s="23">
        <v>555.97392521676306</v>
      </c>
      <c r="J46" s="23">
        <v>511.52963772813683</v>
      </c>
      <c r="K46" s="23">
        <v>591.98614587553038</v>
      </c>
      <c r="L46" s="23">
        <v>584.33971267853042</v>
      </c>
      <c r="M46" s="23">
        <v>607.62293472926547</v>
      </c>
      <c r="N46" s="23">
        <v>554.79375963570646</v>
      </c>
      <c r="O46" s="23">
        <v>563.68659422166513</v>
      </c>
      <c r="P46" s="23">
        <v>598.36649669499536</v>
      </c>
      <c r="Q46" s="23">
        <v>633.89240528381549</v>
      </c>
      <c r="R46" s="23">
        <v>587.5396171049548</v>
      </c>
      <c r="S46" s="23">
        <v>641.54337599999997</v>
      </c>
      <c r="T46" s="23">
        <v>642.85571414547951</v>
      </c>
      <c r="U46" s="23">
        <v>725.86364913436489</v>
      </c>
      <c r="V46" s="23">
        <v>726.97797226080172</v>
      </c>
      <c r="W46" s="23">
        <v>732.66182232218682</v>
      </c>
      <c r="X46" s="23">
        <v>854.29112849488376</v>
      </c>
      <c r="Y46" s="23">
        <v>881.57430124432869</v>
      </c>
      <c r="Z46" s="23">
        <v>902.99593542389778</v>
      </c>
      <c r="AA46" s="23">
        <v>883.9849247774232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4217.5913436863411</v>
      </c>
      <c r="E47" s="23">
        <v>4164.8468775551919</v>
      </c>
      <c r="F47" s="23">
        <v>4063.8156347870936</v>
      </c>
      <c r="G47" s="23">
        <v>3729.3531124378592</v>
      </c>
      <c r="H47" s="23">
        <v>3679.6822096422447</v>
      </c>
      <c r="I47" s="23">
        <v>3528.240923049133</v>
      </c>
      <c r="J47" s="23">
        <v>3463.3598303464491</v>
      </c>
      <c r="K47" s="23">
        <v>3552.3229942647595</v>
      </c>
      <c r="L47" s="23">
        <v>3408.1836138934782</v>
      </c>
      <c r="M47" s="23">
        <v>3215.7275314902668</v>
      </c>
      <c r="N47" s="23">
        <v>3216.7406348590507</v>
      </c>
      <c r="O47" s="23">
        <v>3128.3619363326529</v>
      </c>
      <c r="P47" s="23">
        <v>3010.7521099569822</v>
      </c>
      <c r="Q47" s="23">
        <v>2937.9501009417818</v>
      </c>
      <c r="R47" s="23">
        <v>2965.127814400847</v>
      </c>
      <c r="S47" s="23">
        <v>3110.4440719999998</v>
      </c>
      <c r="T47" s="23">
        <v>3155.8144772749579</v>
      </c>
      <c r="U47" s="23">
        <v>3329.9917612067547</v>
      </c>
      <c r="V47" s="23">
        <v>3442.212914518369</v>
      </c>
      <c r="W47" s="23">
        <v>3618.8658596907107</v>
      </c>
      <c r="X47" s="23">
        <v>3644.2413553257329</v>
      </c>
      <c r="Y47" s="23">
        <v>3858.185342976506</v>
      </c>
      <c r="Z47" s="23">
        <v>4023.4111293995238</v>
      </c>
      <c r="AA47" s="23">
        <v>3914.1323503997351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3160.8418159210564</v>
      </c>
      <c r="E48" s="23">
        <v>3105.2615494685201</v>
      </c>
      <c r="F48" s="23">
        <v>3090.5960477026806</v>
      </c>
      <c r="G48" s="23">
        <v>2904.5850669584456</v>
      </c>
      <c r="H48" s="23">
        <v>3057.2931093684751</v>
      </c>
      <c r="I48" s="23">
        <v>2984.8832189306358</v>
      </c>
      <c r="J48" s="23">
        <v>3171.7349141293716</v>
      </c>
      <c r="K48" s="23">
        <v>3319.3460546233719</v>
      </c>
      <c r="L48" s="23">
        <v>3468.4631479893774</v>
      </c>
      <c r="M48" s="23">
        <v>2860.8913176836249</v>
      </c>
      <c r="N48" s="23">
        <v>3026.666399844808</v>
      </c>
      <c r="O48" s="23">
        <v>2941.8257424922049</v>
      </c>
      <c r="P48" s="23">
        <v>2874.5840940090234</v>
      </c>
      <c r="Q48" s="23">
        <v>2861.0397310951926</v>
      </c>
      <c r="R48" s="23">
        <v>3032.5376669689344</v>
      </c>
      <c r="S48" s="23">
        <v>2917.8032759999996</v>
      </c>
      <c r="T48" s="23">
        <v>3181.2444880730341</v>
      </c>
      <c r="U48" s="23">
        <v>3487.5902924849111</v>
      </c>
      <c r="V48" s="23">
        <v>3643.7083046365178</v>
      </c>
      <c r="W48" s="23">
        <v>3652.6427311500806</v>
      </c>
      <c r="X48" s="23">
        <v>3454.4890381824321</v>
      </c>
      <c r="Y48" s="23">
        <v>4065.2588976236466</v>
      </c>
      <c r="Z48" s="23">
        <v>4288.8516472364117</v>
      </c>
      <c r="AA48" s="23">
        <v>4196.6510789537788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1187.2684250906109</v>
      </c>
      <c r="E49" s="23">
        <v>1198.2999897792315</v>
      </c>
      <c r="F49" s="23">
        <v>986.94447869714179</v>
      </c>
      <c r="G49" s="23">
        <v>956.31409338502908</v>
      </c>
      <c r="H49" s="23">
        <v>975.64094937589914</v>
      </c>
      <c r="I49" s="23">
        <v>1008.2941248193641</v>
      </c>
      <c r="J49" s="23">
        <v>999.47812194398352</v>
      </c>
      <c r="K49" s="23">
        <v>1064.7086753512569</v>
      </c>
      <c r="L49" s="23">
        <v>924.50747997741576</v>
      </c>
      <c r="M49" s="23">
        <v>582.30531244887936</v>
      </c>
      <c r="N49" s="23">
        <v>746.6831646978344</v>
      </c>
      <c r="O49" s="23">
        <v>594.6005614660271</v>
      </c>
      <c r="P49" s="23">
        <v>531.88133039555134</v>
      </c>
      <c r="Q49" s="23">
        <v>554.76972361422816</v>
      </c>
      <c r="R49" s="23">
        <v>526.59904021518742</v>
      </c>
      <c r="S49" s="23">
        <v>531.44477999999992</v>
      </c>
      <c r="T49" s="23">
        <v>618.42295867281825</v>
      </c>
      <c r="U49" s="23">
        <v>639.49817766108947</v>
      </c>
      <c r="V49" s="23">
        <v>688.68418409086587</v>
      </c>
      <c r="W49" s="23">
        <v>625.52395635983521</v>
      </c>
      <c r="X49" s="23">
        <v>533.09157394138003</v>
      </c>
      <c r="Y49" s="23">
        <v>567.25604060913702</v>
      </c>
      <c r="Z49" s="23">
        <v>626.72553109835656</v>
      </c>
      <c r="AA49" s="23">
        <v>627.56967037119921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1169.630736262864</v>
      </c>
      <c r="E50" s="23">
        <v>1164.5542007358952</v>
      </c>
      <c r="F50" s="23">
        <v>1077.8718856314708</v>
      </c>
      <c r="G50" s="23">
        <v>957.82438096144256</v>
      </c>
      <c r="H50" s="23">
        <v>901.54350146164927</v>
      </c>
      <c r="I50" s="23">
        <v>872.23964956647399</v>
      </c>
      <c r="J50" s="23">
        <v>852.27032930809037</v>
      </c>
      <c r="K50" s="23">
        <v>857.85872545466191</v>
      </c>
      <c r="L50" s="23">
        <v>880.02808807845918</v>
      </c>
      <c r="M50" s="23">
        <v>817.43461475543916</v>
      </c>
      <c r="N50" s="23">
        <v>866.48438785824408</v>
      </c>
      <c r="O50" s="23">
        <v>796.79106212383329</v>
      </c>
      <c r="P50" s="23">
        <v>741.46282656594269</v>
      </c>
      <c r="Q50" s="23">
        <v>754.00792367366591</v>
      </c>
      <c r="R50" s="23">
        <v>751.47106279356467</v>
      </c>
      <c r="S50" s="23">
        <v>751.26100799999995</v>
      </c>
      <c r="T50" s="23">
        <v>747.94149406105817</v>
      </c>
      <c r="U50" s="23">
        <v>795.37432061926586</v>
      </c>
      <c r="V50" s="23">
        <v>782.54624531496734</v>
      </c>
      <c r="W50" s="23">
        <v>817.28177397829188</v>
      </c>
      <c r="X50" s="23">
        <v>760.63207397332803</v>
      </c>
      <c r="Y50" s="23">
        <v>849.0586191096537</v>
      </c>
      <c r="Z50" s="23">
        <v>873.64694303964791</v>
      </c>
      <c r="AA50" s="23">
        <v>844.24896238680503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1031.0488954734251</v>
      </c>
      <c r="E51" s="23">
        <v>996.79869174161888</v>
      </c>
      <c r="F51" s="23">
        <v>1027.6512595030765</v>
      </c>
      <c r="G51" s="23">
        <v>971.71902666444669</v>
      </c>
      <c r="H51" s="23">
        <v>929.09066400631082</v>
      </c>
      <c r="I51" s="23">
        <v>900.76951318641613</v>
      </c>
      <c r="J51" s="23">
        <v>937.10666857124022</v>
      </c>
      <c r="K51" s="23">
        <v>1020.8478221009318</v>
      </c>
      <c r="L51" s="23">
        <v>1044.4026766483346</v>
      </c>
      <c r="M51" s="23">
        <v>941.81554883036142</v>
      </c>
      <c r="N51" s="23">
        <v>923.14362435294004</v>
      </c>
      <c r="O51" s="23">
        <v>859.80293578361795</v>
      </c>
      <c r="P51" s="23">
        <v>934.12324834749768</v>
      </c>
      <c r="Q51" s="23">
        <v>960.01319519168692</v>
      </c>
      <c r="R51" s="23">
        <v>1068.8537275719073</v>
      </c>
      <c r="S51" s="23">
        <v>1058.44498</v>
      </c>
      <c r="T51" s="23">
        <v>1068.808395013252</v>
      </c>
      <c r="U51" s="23">
        <v>1102.574580261386</v>
      </c>
      <c r="V51" s="23">
        <v>1115.7142824527691</v>
      </c>
      <c r="W51" s="23">
        <v>1121.2736171126189</v>
      </c>
      <c r="X51" s="23">
        <v>1066.8786359113853</v>
      </c>
      <c r="Y51" s="23">
        <v>1150.9410574547414</v>
      </c>
      <c r="Z51" s="23">
        <v>1173.5264999104529</v>
      </c>
      <c r="AA51" s="23">
        <v>1128.8812005790473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2510.0950871716182</v>
      </c>
      <c r="E52" s="23">
        <v>2591.124984668847</v>
      </c>
      <c r="F52" s="23">
        <v>2428.9938860981811</v>
      </c>
      <c r="G52" s="23">
        <v>2145.6655598106613</v>
      </c>
      <c r="H52" s="23">
        <v>2071.3403879170341</v>
      </c>
      <c r="I52" s="23">
        <v>1927.9879696531791</v>
      </c>
      <c r="J52" s="23">
        <v>1892.7712863562945</v>
      </c>
      <c r="K52" s="23">
        <v>1929.2006779950111</v>
      </c>
      <c r="L52" s="23">
        <v>1728.588666067209</v>
      </c>
      <c r="M52" s="23">
        <v>1429.4719041387207</v>
      </c>
      <c r="N52" s="23">
        <v>1717.5398303094657</v>
      </c>
      <c r="O52" s="23">
        <v>1791.826161001937</v>
      </c>
      <c r="P52" s="23">
        <v>1730.746112684923</v>
      </c>
      <c r="Q52" s="23">
        <v>1737.1853250120414</v>
      </c>
      <c r="R52" s="23">
        <v>1793.6713745707966</v>
      </c>
      <c r="S52" s="23">
        <v>1852.3739559999999</v>
      </c>
      <c r="T52" s="23">
        <v>1893.0399214685381</v>
      </c>
      <c r="U52" s="23">
        <v>2080.8911460099403</v>
      </c>
      <c r="V52" s="23">
        <v>2398.1333840680354</v>
      </c>
      <c r="W52" s="23">
        <v>2460.3784263035582</v>
      </c>
      <c r="X52" s="23">
        <v>2160.3017315819743</v>
      </c>
      <c r="Y52" s="23">
        <v>2402.167324019586</v>
      </c>
      <c r="Z52" s="23">
        <v>2453.4024851394797</v>
      </c>
      <c r="AA52" s="23">
        <v>2396.8725098819941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2271.5663430249465</v>
      </c>
      <c r="E53" s="23">
        <v>2402.9273150040917</v>
      </c>
      <c r="F53" s="23">
        <v>2397.0211272276101</v>
      </c>
      <c r="G53" s="23">
        <v>2293.3716847838909</v>
      </c>
      <c r="H53" s="23">
        <v>2241.1900051041739</v>
      </c>
      <c r="I53" s="23">
        <v>2067.9133309248577</v>
      </c>
      <c r="J53" s="23">
        <v>2000.6306453207915</v>
      </c>
      <c r="K53" s="23">
        <v>2058.0757776688101</v>
      </c>
      <c r="L53" s="23">
        <v>2149.2176616967449</v>
      </c>
      <c r="M53" s="23">
        <v>2178.873523638149</v>
      </c>
      <c r="N53" s="23">
        <v>2188.1874927253571</v>
      </c>
      <c r="O53" s="23">
        <v>2182.6576362487494</v>
      </c>
      <c r="P53" s="23">
        <v>2126.45942713251</v>
      </c>
      <c r="Q53" s="23">
        <v>2059.6623072114412</v>
      </c>
      <c r="R53" s="23">
        <v>2124.6395182736173</v>
      </c>
      <c r="S53" s="23">
        <v>2190.4160120000015</v>
      </c>
      <c r="T53" s="23">
        <v>2194.4603435751419</v>
      </c>
      <c r="U53" s="23">
        <v>2397.3184859376647</v>
      </c>
      <c r="V53" s="23">
        <v>2576.19345902856</v>
      </c>
      <c r="W53" s="23">
        <v>2712.9346125488828</v>
      </c>
      <c r="X53" s="23">
        <v>2535.1697790110707</v>
      </c>
      <c r="Y53" s="23">
        <v>2791.2146085081531</v>
      </c>
      <c r="Z53" s="23">
        <v>2820.5356371048183</v>
      </c>
      <c r="AA53" s="23">
        <v>2642.5872765694839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32462.586232440015</v>
      </c>
      <c r="E54" s="30">
        <f t="shared" ref="E54:S54" si="6">SUM(E41:E53)</f>
        <v>32332.521887775969</v>
      </c>
      <c r="F54" s="30">
        <f t="shared" si="6"/>
        <v>31559.608440083015</v>
      </c>
      <c r="G54" s="30">
        <f t="shared" si="6"/>
        <v>29729.406826669201</v>
      </c>
      <c r="H54" s="30">
        <f t="shared" si="6"/>
        <v>29274.384367314746</v>
      </c>
      <c r="I54" s="30">
        <f t="shared" si="6"/>
        <v>28565.705157153181</v>
      </c>
      <c r="J54" s="30">
        <f t="shared" si="6"/>
        <v>28634.915636915026</v>
      </c>
      <c r="K54" s="30">
        <f t="shared" si="6"/>
        <v>29085.566744131513</v>
      </c>
      <c r="L54" s="30">
        <f t="shared" si="6"/>
        <v>28302.4362267623</v>
      </c>
      <c r="M54" s="30">
        <f t="shared" si="6"/>
        <v>25355.793464747258</v>
      </c>
      <c r="N54" s="30">
        <f t="shared" si="6"/>
        <v>27016.342717703152</v>
      </c>
      <c r="O54" s="30">
        <f t="shared" si="6"/>
        <v>26276.477511317378</v>
      </c>
      <c r="P54" s="30">
        <f t="shared" si="6"/>
        <v>25543.894013220011</v>
      </c>
      <c r="Q54" s="30">
        <f t="shared" si="6"/>
        <v>25687.54298480237</v>
      </c>
      <c r="R54" s="30">
        <f t="shared" si="6"/>
        <v>26534.251736680697</v>
      </c>
      <c r="S54" s="30">
        <f t="shared" si="6"/>
        <v>27909.422640000001</v>
      </c>
      <c r="T54" s="30">
        <f t="shared" ref="T54:Y54" si="7">SUM(T41:T53)</f>
        <v>28446.209529792868</v>
      </c>
      <c r="U54" s="30">
        <f t="shared" si="7"/>
        <v>29900.169123901607</v>
      </c>
      <c r="V54" s="30">
        <f t="shared" si="7"/>
        <v>30514.350742946295</v>
      </c>
      <c r="W54" s="30">
        <f t="shared" si="7"/>
        <v>30346.207957143786</v>
      </c>
      <c r="X54" s="30">
        <f t="shared" si="7"/>
        <v>28172.944978229712</v>
      </c>
      <c r="Y54" s="30">
        <f t="shared" si="7"/>
        <v>30733.822753694803</v>
      </c>
      <c r="Z54" s="30">
        <f t="shared" ref="Z54:AA54" si="8">SUM(Z41:Z53)</f>
        <v>32925.67069599255</v>
      </c>
      <c r="AA54" s="30">
        <f t="shared" si="8"/>
        <v>32661.200000000001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4143.0091166432976</v>
      </c>
      <c r="E56" s="19">
        <v>4394.9023047833198</v>
      </c>
      <c r="F56" s="19">
        <v>4547.9299934906221</v>
      </c>
      <c r="G56" s="19">
        <v>4546.5697200352042</v>
      </c>
      <c r="H56" s="19">
        <v>4556.9193912115452</v>
      </c>
      <c r="I56" s="19">
        <v>4562.4843208092489</v>
      </c>
      <c r="J56" s="19">
        <v>4519.6280675537582</v>
      </c>
      <c r="K56" s="19">
        <v>4360.905946314735</v>
      </c>
      <c r="L56" s="19">
        <v>4459.7561029673161</v>
      </c>
      <c r="M56" s="19">
        <v>4600.406719286766</v>
      </c>
      <c r="N56" s="19">
        <v>4625.8312120314877</v>
      </c>
      <c r="O56" s="19">
        <v>4496.4694228916533</v>
      </c>
      <c r="P56" s="19">
        <v>4469.4286643584092</v>
      </c>
      <c r="Q56" s="19">
        <v>4565.8211946997881</v>
      </c>
      <c r="R56" s="19">
        <v>4843.8054713847587</v>
      </c>
      <c r="S56" s="19">
        <v>4894.3714959999998</v>
      </c>
      <c r="T56" s="19">
        <v>5089.6172101698239</v>
      </c>
      <c r="U56" s="19">
        <v>5039.0930855753304</v>
      </c>
      <c r="V56" s="19">
        <v>5115.9051387911186</v>
      </c>
      <c r="W56" s="19">
        <v>5076.6045226740325</v>
      </c>
      <c r="X56" s="19">
        <v>4826.5710039889364</v>
      </c>
      <c r="Y56" s="19">
        <v>4928.9210511657157</v>
      </c>
      <c r="Z56" s="19">
        <v>5033.6229410610877</v>
      </c>
      <c r="AA56" s="19">
        <v>4881.5283108318208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6403.656890393926</v>
      </c>
      <c r="E57" s="23">
        <v>6283.8552943581353</v>
      </c>
      <c r="F57" s="23">
        <v>6218.6236179855305</v>
      </c>
      <c r="G57" s="23">
        <v>5834.845022715921</v>
      </c>
      <c r="H57" s="23">
        <v>5428.5587536541234</v>
      </c>
      <c r="I57" s="23">
        <v>4895.3805184248558</v>
      </c>
      <c r="J57" s="23">
        <v>4806.9274467360374</v>
      </c>
      <c r="K57" s="23">
        <v>4853.3929343538794</v>
      </c>
      <c r="L57" s="23">
        <v>4632.4954727002787</v>
      </c>
      <c r="M57" s="23">
        <v>4307.7609725175853</v>
      </c>
      <c r="N57" s="23">
        <v>4360.8163850402789</v>
      </c>
      <c r="O57" s="23">
        <v>4452.0059295784858</v>
      </c>
      <c r="P57" s="23">
        <v>4496.0760256006715</v>
      </c>
      <c r="Q57" s="23">
        <v>4637.3959889732632</v>
      </c>
      <c r="R57" s="23">
        <v>4871.493971287965</v>
      </c>
      <c r="S57" s="23">
        <v>5003.3271999999997</v>
      </c>
      <c r="T57" s="23">
        <v>5124.2718327279863</v>
      </c>
      <c r="U57" s="23">
        <v>5116.8466154487069</v>
      </c>
      <c r="V57" s="23">
        <v>5068.5513061014826</v>
      </c>
      <c r="W57" s="23">
        <v>4796.671293245854</v>
      </c>
      <c r="X57" s="23">
        <v>4427.2449608865118</v>
      </c>
      <c r="Y57" s="23">
        <v>4639.8167054489913</v>
      </c>
      <c r="Z57" s="23">
        <v>4722.2637045123101</v>
      </c>
      <c r="AA57" s="23">
        <v>4538.4794360370106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1648.8719384110691</v>
      </c>
      <c r="E58" s="23">
        <v>1536.731316434996</v>
      </c>
      <c r="F58" s="23">
        <v>1448.7558885299859</v>
      </c>
      <c r="G58" s="23">
        <v>1339.4740515211342</v>
      </c>
      <c r="H58" s="23">
        <v>1266.2856108765257</v>
      </c>
      <c r="I58" s="23">
        <v>1298.8973085260116</v>
      </c>
      <c r="J58" s="23">
        <v>1364.2185673944336</v>
      </c>
      <c r="K58" s="23">
        <v>1379.5862823273567</v>
      </c>
      <c r="L58" s="23">
        <v>1223.6479872859204</v>
      </c>
      <c r="M58" s="23">
        <v>1048.4092303288073</v>
      </c>
      <c r="N58" s="23">
        <v>1220.442547195818</v>
      </c>
      <c r="O58" s="23">
        <v>1199.1988314876778</v>
      </c>
      <c r="P58" s="23">
        <v>1155.5628202706955</v>
      </c>
      <c r="Q58" s="23">
        <v>1206.8811674403828</v>
      </c>
      <c r="R58" s="23">
        <v>1302.3945795592324</v>
      </c>
      <c r="S58" s="23">
        <v>1415.6622239999999</v>
      </c>
      <c r="T58" s="23">
        <v>1398.5259369785019</v>
      </c>
      <c r="U58" s="23">
        <v>1374.5889070810606</v>
      </c>
      <c r="V58" s="23">
        <v>1409.5013260782709</v>
      </c>
      <c r="W58" s="23">
        <v>1417.3249325705326</v>
      </c>
      <c r="X58" s="23">
        <v>1419.9547251102208</v>
      </c>
      <c r="Y58" s="23">
        <v>1322.0762265846099</v>
      </c>
      <c r="Z58" s="23">
        <v>1496.0405195425433</v>
      </c>
      <c r="AA58" s="23">
        <v>1512.256529809112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1717.9108918225352</v>
      </c>
      <c r="E59" s="23">
        <v>1590.4325480376124</v>
      </c>
      <c r="F59" s="23">
        <v>1503.4994903034842</v>
      </c>
      <c r="G59" s="23">
        <v>1372.7003782022314</v>
      </c>
      <c r="H59" s="23">
        <v>1285.4360447311033</v>
      </c>
      <c r="I59" s="23">
        <v>1333.0184519508671</v>
      </c>
      <c r="J59" s="23">
        <v>1413.4738762100453</v>
      </c>
      <c r="K59" s="23">
        <v>1425.7484766432854</v>
      </c>
      <c r="L59" s="23">
        <v>1242.2363898705589</v>
      </c>
      <c r="M59" s="23">
        <v>1075.2848601341402</v>
      </c>
      <c r="N59" s="23">
        <v>1275.1569586392086</v>
      </c>
      <c r="O59" s="23">
        <v>1171.5735841629287</v>
      </c>
      <c r="P59" s="23">
        <v>1080.9502087923618</v>
      </c>
      <c r="Q59" s="23">
        <v>1068.4164745186051</v>
      </c>
      <c r="R59" s="23">
        <v>972.72029099208316</v>
      </c>
      <c r="S59" s="23">
        <v>1138.5744079999999</v>
      </c>
      <c r="T59" s="23">
        <v>1111.0670894277018</v>
      </c>
      <c r="U59" s="23">
        <v>1084.1204196901735</v>
      </c>
      <c r="V59" s="23">
        <v>1350.3090352162249</v>
      </c>
      <c r="W59" s="23">
        <v>1251.8775200888481</v>
      </c>
      <c r="X59" s="23">
        <v>1017.3830712075435</v>
      </c>
      <c r="Y59" s="23">
        <v>1265.8298009972598</v>
      </c>
      <c r="Z59" s="23">
        <v>1664.8784499006454</v>
      </c>
      <c r="AA59" s="23">
        <v>1814.365677399561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923.87893859625922</v>
      </c>
      <c r="E60" s="23">
        <v>868.30511038430063</v>
      </c>
      <c r="F60" s="23">
        <v>815.69526289286534</v>
      </c>
      <c r="G60" s="23">
        <v>766.16888751456918</v>
      </c>
      <c r="H60" s="23">
        <v>732.72506148206571</v>
      </c>
      <c r="I60" s="23">
        <v>741.48972182080934</v>
      </c>
      <c r="J60" s="23">
        <v>769.66652528870793</v>
      </c>
      <c r="K60" s="23">
        <v>780.96685926273335</v>
      </c>
      <c r="L60" s="23">
        <v>708.08536417055268</v>
      </c>
      <c r="M60" s="23">
        <v>599.18372730246983</v>
      </c>
      <c r="N60" s="23">
        <v>690.8018582236607</v>
      </c>
      <c r="O60" s="23">
        <v>619.33173526151666</v>
      </c>
      <c r="P60" s="23">
        <v>558.52869163781384</v>
      </c>
      <c r="Q60" s="23">
        <v>526.40007788401431</v>
      </c>
      <c r="R60" s="23">
        <v>538.76127849042769</v>
      </c>
      <c r="S60" s="23">
        <v>539.57201200000009</v>
      </c>
      <c r="T60" s="23">
        <v>511.59198193776359</v>
      </c>
      <c r="U60" s="23">
        <v>549.44187407357163</v>
      </c>
      <c r="V60" s="23">
        <v>519.44255246285263</v>
      </c>
      <c r="W60" s="23">
        <v>522.65264258182526</v>
      </c>
      <c r="X60" s="23">
        <v>426.33416154737915</v>
      </c>
      <c r="Y60" s="23">
        <v>455.56182022370933</v>
      </c>
      <c r="Z60" s="23">
        <v>491.67684658485206</v>
      </c>
      <c r="AA60" s="23">
        <v>485.38310818985747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346.53859096801506</v>
      </c>
      <c r="E61" s="23">
        <v>327.88576757972197</v>
      </c>
      <c r="F61" s="23">
        <v>246.58015499686809</v>
      </c>
      <c r="G61" s="23">
        <v>276.08056896838804</v>
      </c>
      <c r="H61" s="23">
        <v>464.02974339937828</v>
      </c>
      <c r="I61" s="23">
        <v>782.63580653901738</v>
      </c>
      <c r="J61" s="23">
        <v>871.66547923831718</v>
      </c>
      <c r="K61" s="23">
        <v>737.78287103170373</v>
      </c>
      <c r="L61" s="23">
        <v>866.3523347483324</v>
      </c>
      <c r="M61" s="23">
        <v>205.39732537215767</v>
      </c>
      <c r="N61" s="23">
        <v>558.55375473489687</v>
      </c>
      <c r="O61" s="23">
        <v>407.53817243844071</v>
      </c>
      <c r="P61" s="23">
        <v>340.42003986989823</v>
      </c>
      <c r="Q61" s="23">
        <v>261.83361105133167</v>
      </c>
      <c r="R61" s="23">
        <v>243.24476550480398</v>
      </c>
      <c r="S61" s="23">
        <v>748.34028399999988</v>
      </c>
      <c r="T61" s="23">
        <v>517.45085697457546</v>
      </c>
      <c r="U61" s="23">
        <v>1013.3794708338582</v>
      </c>
      <c r="V61" s="23">
        <v>669.96009208348403</v>
      </c>
      <c r="W61" s="23">
        <v>498.47551353722383</v>
      </c>
      <c r="X61" s="23">
        <v>-73.14215767710607</v>
      </c>
      <c r="Y61" s="23">
        <v>185.85279367503708</v>
      </c>
      <c r="Z61" s="23">
        <v>910.36025823618206</v>
      </c>
      <c r="AA61" s="23">
        <v>1382.4109305161305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1161.0638588322443</v>
      </c>
      <c r="E62" s="23">
        <v>1128.8615392477514</v>
      </c>
      <c r="F62" s="23">
        <v>1102.5143046634159</v>
      </c>
      <c r="G62" s="23">
        <v>1084.6885373801767</v>
      </c>
      <c r="H62" s="23">
        <v>1135.915349635748</v>
      </c>
      <c r="I62" s="23">
        <v>1105.4963737355492</v>
      </c>
      <c r="J62" s="23">
        <v>1060.4542407893725</v>
      </c>
      <c r="K62" s="23">
        <v>1152.8365008634844</v>
      </c>
      <c r="L62" s="23">
        <v>982.13152798979536</v>
      </c>
      <c r="M62" s="23">
        <v>885.20794209062637</v>
      </c>
      <c r="N62" s="23">
        <v>1044.500707554394</v>
      </c>
      <c r="O62" s="23">
        <v>1070.8072058259868</v>
      </c>
      <c r="P62" s="23">
        <v>894.55191690273841</v>
      </c>
      <c r="Q62" s="23">
        <v>922.27375821112719</v>
      </c>
      <c r="R62" s="23">
        <v>911.39155756161665</v>
      </c>
      <c r="S62" s="23">
        <v>1115.843556</v>
      </c>
      <c r="T62" s="23">
        <v>1191.096829292235</v>
      </c>
      <c r="U62" s="23">
        <v>1163.5963378835293</v>
      </c>
      <c r="V62" s="23">
        <v>1006.5105458419741</v>
      </c>
      <c r="W62" s="23">
        <v>1041.0387329793091</v>
      </c>
      <c r="X62" s="23">
        <v>1119.5038967440416</v>
      </c>
      <c r="Y62" s="23">
        <v>1370.1081640537263</v>
      </c>
      <c r="Z62" s="23">
        <v>1443.7321678023484</v>
      </c>
      <c r="AA62" s="23">
        <v>1411.8480332970428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569.61336014180279</v>
      </c>
      <c r="E63" s="23">
        <v>577.7343979967294</v>
      </c>
      <c r="F63" s="23">
        <v>603.11540757298474</v>
      </c>
      <c r="G63" s="23">
        <v>550.04673532979712</v>
      </c>
      <c r="H63" s="23">
        <v>548.7335854484711</v>
      </c>
      <c r="I63" s="23">
        <v>555.97392521676306</v>
      </c>
      <c r="J63" s="23">
        <v>511.52963772813683</v>
      </c>
      <c r="K63" s="23">
        <v>591.98614587553038</v>
      </c>
      <c r="L63" s="23">
        <v>584.33971267853042</v>
      </c>
      <c r="M63" s="23">
        <v>607.62293472926547</v>
      </c>
      <c r="N63" s="23">
        <v>554.79375963570646</v>
      </c>
      <c r="O63" s="23">
        <v>563.68659422166513</v>
      </c>
      <c r="P63" s="23">
        <v>598.36649669499536</v>
      </c>
      <c r="Q63" s="23">
        <v>633.89240528381549</v>
      </c>
      <c r="R63" s="23">
        <v>587.5396171049548</v>
      </c>
      <c r="S63" s="23">
        <v>641.54337599999997</v>
      </c>
      <c r="T63" s="23">
        <v>642.85571414547951</v>
      </c>
      <c r="U63" s="23">
        <v>725.86364913436489</v>
      </c>
      <c r="V63" s="23">
        <v>726.97797226080172</v>
      </c>
      <c r="W63" s="23">
        <v>732.66182232218682</v>
      </c>
      <c r="X63" s="23">
        <v>854.29112849488376</v>
      </c>
      <c r="Y63" s="23">
        <v>881.57430124432869</v>
      </c>
      <c r="Z63" s="23">
        <v>902.99593542389778</v>
      </c>
      <c r="AA63" s="23">
        <v>883.9849247774232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1582.5206328209742</v>
      </c>
      <c r="E64" s="23">
        <v>1560.9049826246933</v>
      </c>
      <c r="F64" s="23">
        <v>1523.4629690129079</v>
      </c>
      <c r="G64" s="23">
        <v>1393.5423467567377</v>
      </c>
      <c r="H64" s="23">
        <v>1371.1710639877501</v>
      </c>
      <c r="I64" s="23">
        <v>1308.6462066473989</v>
      </c>
      <c r="J64" s="23">
        <v>1281.7542968277864</v>
      </c>
      <c r="K64" s="23">
        <v>1313.1181374325738</v>
      </c>
      <c r="L64" s="23">
        <v>1255.2482716798061</v>
      </c>
      <c r="M64" s="23">
        <v>1197.718284802879</v>
      </c>
      <c r="N64" s="23">
        <v>1162.8757256771796</v>
      </c>
      <c r="O64" s="23">
        <v>1254.7124237307448</v>
      </c>
      <c r="P64" s="23">
        <v>1306.2536480956878</v>
      </c>
      <c r="Q64" s="23">
        <v>1334.9349811951097</v>
      </c>
      <c r="R64" s="23">
        <v>1386.4951633773826</v>
      </c>
      <c r="S64" s="23">
        <v>1507.2205719999999</v>
      </c>
      <c r="T64" s="23">
        <v>1496.13230195347</v>
      </c>
      <c r="U64" s="23">
        <v>1537.6006587934392</v>
      </c>
      <c r="V64" s="23">
        <v>1561.2268716348624</v>
      </c>
      <c r="W64" s="23">
        <v>1623.4231061419143</v>
      </c>
      <c r="X64" s="23">
        <v>1642.2790649274782</v>
      </c>
      <c r="Y64" s="23">
        <v>1741.6996612910471</v>
      </c>
      <c r="Z64" s="23">
        <v>1855.1595555062809</v>
      </c>
      <c r="AA64" s="23">
        <v>1812.349997499628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2635.0707108653673</v>
      </c>
      <c r="E65" s="23">
        <v>2603.9418949304986</v>
      </c>
      <c r="F65" s="23">
        <v>2540.3526657741854</v>
      </c>
      <c r="G65" s="23">
        <v>2335.8107656811212</v>
      </c>
      <c r="H65" s="23">
        <v>2308.5111456544946</v>
      </c>
      <c r="I65" s="23">
        <v>2219.5947164017343</v>
      </c>
      <c r="J65" s="23">
        <v>2181.6055335186629</v>
      </c>
      <c r="K65" s="23">
        <v>2239.2048568321857</v>
      </c>
      <c r="L65" s="23">
        <v>2152.9353422136719</v>
      </c>
      <c r="M65" s="23">
        <v>2018.0092466873875</v>
      </c>
      <c r="N65" s="23">
        <v>2053.8649091818711</v>
      </c>
      <c r="O65" s="23">
        <v>1873.6495126019079</v>
      </c>
      <c r="P65" s="23">
        <v>1704.4984618612943</v>
      </c>
      <c r="Q65" s="23">
        <v>1603.0151197466719</v>
      </c>
      <c r="R65" s="23">
        <v>1578.6326510234644</v>
      </c>
      <c r="S65" s="23">
        <v>1603.2234999999998</v>
      </c>
      <c r="T65" s="23">
        <v>1659.6821753214879</v>
      </c>
      <c r="U65" s="23">
        <v>1792.3911024133154</v>
      </c>
      <c r="V65" s="23">
        <v>1880.9860428835066</v>
      </c>
      <c r="W65" s="23">
        <v>1995.4427535487964</v>
      </c>
      <c r="X65" s="23">
        <v>2001.9622903982549</v>
      </c>
      <c r="Y65" s="23">
        <v>2116.485681685459</v>
      </c>
      <c r="Z65" s="23">
        <v>2168.2515738932429</v>
      </c>
      <c r="AA65" s="23">
        <v>2101.7823529001071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508.80532818328527</v>
      </c>
      <c r="E66" s="23">
        <v>495.47903720359767</v>
      </c>
      <c r="F66" s="23">
        <v>504.38976676778708</v>
      </c>
      <c r="G66" s="23">
        <v>447.04512261839636</v>
      </c>
      <c r="H66" s="23">
        <v>449.59326249361982</v>
      </c>
      <c r="I66" s="23">
        <v>427.23112355491332</v>
      </c>
      <c r="J66" s="23">
        <v>454.46045555934029</v>
      </c>
      <c r="K66" s="23">
        <v>447.40777775408827</v>
      </c>
      <c r="L66" s="23">
        <v>481.30685263796244</v>
      </c>
      <c r="M66" s="23">
        <v>437.92994847047271</v>
      </c>
      <c r="N66" s="23">
        <v>452.62561694046542</v>
      </c>
      <c r="O66" s="23">
        <v>481.73169382490954</v>
      </c>
      <c r="P66" s="23">
        <v>428.88927919420837</v>
      </c>
      <c r="Q66" s="23">
        <v>439.59937282872693</v>
      </c>
      <c r="R66" s="23">
        <v>469.02248667814598</v>
      </c>
      <c r="S66" s="23">
        <v>384.13869999999997</v>
      </c>
      <c r="T66" s="23">
        <v>491.14824776676153</v>
      </c>
      <c r="U66" s="23">
        <v>575.40072661041086</v>
      </c>
      <c r="V66" s="23">
        <v>591.07730446528797</v>
      </c>
      <c r="W66" s="23">
        <v>536.63745251938883</v>
      </c>
      <c r="X66" s="23">
        <v>492.28960959535567</v>
      </c>
      <c r="Y66" s="23">
        <v>861.03808094874455</v>
      </c>
      <c r="Z66" s="23">
        <v>808.45102637795605</v>
      </c>
      <c r="AA66" s="23">
        <v>722.5337011918474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2652.036487737771</v>
      </c>
      <c r="E67" s="23">
        <v>2609.7825122649219</v>
      </c>
      <c r="F67" s="23">
        <v>2586.2062809348931</v>
      </c>
      <c r="G67" s="23">
        <v>2457.5399443400493</v>
      </c>
      <c r="H67" s="23">
        <v>2607.6998468748552</v>
      </c>
      <c r="I67" s="23">
        <v>2557.6520953757226</v>
      </c>
      <c r="J67" s="23">
        <v>2717.2744585700316</v>
      </c>
      <c r="K67" s="23">
        <v>2871.9382768692835</v>
      </c>
      <c r="L67" s="23">
        <v>2987.1562953514149</v>
      </c>
      <c r="M67" s="23">
        <v>2422.961369213152</v>
      </c>
      <c r="N67" s="23">
        <v>2574.0407829043424</v>
      </c>
      <c r="O67" s="23">
        <v>2460.0940486672953</v>
      </c>
      <c r="P67" s="23">
        <v>2445.6948148148149</v>
      </c>
      <c r="Q67" s="23">
        <v>2421.4403582664659</v>
      </c>
      <c r="R67" s="23">
        <v>2563.5151802907881</v>
      </c>
      <c r="S67" s="23">
        <v>2533.6645759999997</v>
      </c>
      <c r="T67" s="23">
        <v>2690.0962403062726</v>
      </c>
      <c r="U67" s="23">
        <v>2912.1895658745007</v>
      </c>
      <c r="V67" s="23">
        <v>3052.6310001712295</v>
      </c>
      <c r="W67" s="23">
        <v>3116.0052786306915</v>
      </c>
      <c r="X67" s="23">
        <v>2962.1994285870769</v>
      </c>
      <c r="Y67" s="23">
        <v>3204.2208166749024</v>
      </c>
      <c r="Z67" s="23">
        <v>3480.4006208584556</v>
      </c>
      <c r="AA67" s="23">
        <v>3474.1173777619315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1187.2684250906109</v>
      </c>
      <c r="E68" s="23">
        <v>1198.2999897792315</v>
      </c>
      <c r="F68" s="23">
        <v>986.94447869714179</v>
      </c>
      <c r="G68" s="23">
        <v>956.31409338502908</v>
      </c>
      <c r="H68" s="23">
        <v>975.64094937589914</v>
      </c>
      <c r="I68" s="23">
        <v>1008.2941248193641</v>
      </c>
      <c r="J68" s="23">
        <v>999.47812194398352</v>
      </c>
      <c r="K68" s="23">
        <v>1064.7086753512569</v>
      </c>
      <c r="L68" s="23">
        <v>924.50747997741576</v>
      </c>
      <c r="M68" s="23">
        <v>582.30531244887936</v>
      </c>
      <c r="N68" s="23">
        <v>746.6831646978344</v>
      </c>
      <c r="O68" s="23">
        <v>594.6005614660271</v>
      </c>
      <c r="P68" s="23">
        <v>531.88133039555134</v>
      </c>
      <c r="Q68" s="23">
        <v>554.76972361422816</v>
      </c>
      <c r="R68" s="23">
        <v>526.59904021518742</v>
      </c>
      <c r="S68" s="23">
        <v>531.44477999999992</v>
      </c>
      <c r="T68" s="23">
        <v>618.42295867281825</v>
      </c>
      <c r="U68" s="23">
        <v>639.49817766108947</v>
      </c>
      <c r="V68" s="23">
        <v>688.68418409086587</v>
      </c>
      <c r="W68" s="23">
        <v>625.52395635983521</v>
      </c>
      <c r="X68" s="23">
        <v>533.09157394138003</v>
      </c>
      <c r="Y68" s="23">
        <v>567.25604060913702</v>
      </c>
      <c r="Z68" s="23">
        <v>626.72553109835656</v>
      </c>
      <c r="AA68" s="23">
        <v>627.56967037119921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1169.630736262864</v>
      </c>
      <c r="E69" s="23">
        <v>1164.5542007358952</v>
      </c>
      <c r="F69" s="23">
        <v>1077.8718856314708</v>
      </c>
      <c r="G69" s="23">
        <v>957.82438096144256</v>
      </c>
      <c r="H69" s="23">
        <v>901.54350146164927</v>
      </c>
      <c r="I69" s="23">
        <v>872.23964956647399</v>
      </c>
      <c r="J69" s="23">
        <v>852.27032930809037</v>
      </c>
      <c r="K69" s="23">
        <v>857.85872545466191</v>
      </c>
      <c r="L69" s="23">
        <v>880.02808807845918</v>
      </c>
      <c r="M69" s="23">
        <v>817.43461475543916</v>
      </c>
      <c r="N69" s="23">
        <v>866.48438785824408</v>
      </c>
      <c r="O69" s="23">
        <v>796.79106212383329</v>
      </c>
      <c r="P69" s="23">
        <v>741.46282656594269</v>
      </c>
      <c r="Q69" s="23">
        <v>754.00792367366591</v>
      </c>
      <c r="R69" s="23">
        <v>751.47106279356467</v>
      </c>
      <c r="S69" s="23">
        <v>751.26100799999995</v>
      </c>
      <c r="T69" s="23">
        <v>747.94149406105817</v>
      </c>
      <c r="U69" s="23">
        <v>795.37432061926586</v>
      </c>
      <c r="V69" s="23">
        <v>782.54624531496734</v>
      </c>
      <c r="W69" s="23">
        <v>817.28177397829188</v>
      </c>
      <c r="X69" s="23">
        <v>760.63207397332803</v>
      </c>
      <c r="Y69" s="23">
        <v>849.0586191096537</v>
      </c>
      <c r="Z69" s="23">
        <v>873.64694303964791</v>
      </c>
      <c r="AA69" s="23">
        <v>844.24896238680503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1031.0488954734251</v>
      </c>
      <c r="E70" s="23">
        <v>996.79869174161888</v>
      </c>
      <c r="F70" s="23">
        <v>1027.6512595030765</v>
      </c>
      <c r="G70" s="23">
        <v>971.71902666444669</v>
      </c>
      <c r="H70" s="23">
        <v>929.09066400631082</v>
      </c>
      <c r="I70" s="23">
        <v>900.76951318641613</v>
      </c>
      <c r="J70" s="23">
        <v>937.10666857124022</v>
      </c>
      <c r="K70" s="23">
        <v>1020.8478221009318</v>
      </c>
      <c r="L70" s="23">
        <v>1044.4026766483346</v>
      </c>
      <c r="M70" s="23">
        <v>941.81554883036142</v>
      </c>
      <c r="N70" s="23">
        <v>923.14362435294004</v>
      </c>
      <c r="O70" s="23">
        <v>859.80293578361795</v>
      </c>
      <c r="P70" s="23">
        <v>934.12324834749768</v>
      </c>
      <c r="Q70" s="23">
        <v>960.01319519168692</v>
      </c>
      <c r="R70" s="23">
        <v>1068.8537275719073</v>
      </c>
      <c r="S70" s="23">
        <v>1058.44498</v>
      </c>
      <c r="T70" s="23">
        <v>1068.808395013252</v>
      </c>
      <c r="U70" s="23">
        <v>1102.574580261386</v>
      </c>
      <c r="V70" s="23">
        <v>1115.7142824527691</v>
      </c>
      <c r="W70" s="23">
        <v>1121.2736171126189</v>
      </c>
      <c r="X70" s="23">
        <v>1066.8786359113853</v>
      </c>
      <c r="Y70" s="23">
        <v>1150.9410574547414</v>
      </c>
      <c r="Z70" s="23">
        <v>1173.5264999104529</v>
      </c>
      <c r="AA70" s="23">
        <v>1128.8812005790473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2314.0647742003757</v>
      </c>
      <c r="E71" s="23">
        <v>2393.35519215045</v>
      </c>
      <c r="F71" s="23">
        <v>2241.5243438424973</v>
      </c>
      <c r="G71" s="23">
        <v>1976.5133512523491</v>
      </c>
      <c r="H71" s="23">
        <v>1909.8874994199807</v>
      </c>
      <c r="I71" s="23">
        <v>1777.8836118135837</v>
      </c>
      <c r="J71" s="23">
        <v>1741.3774901383381</v>
      </c>
      <c r="K71" s="23">
        <v>1777.4475406690406</v>
      </c>
      <c r="L71" s="23">
        <v>1590.3706154200038</v>
      </c>
      <c r="M71" s="23">
        <v>1318.7235359070833</v>
      </c>
      <c r="N71" s="23">
        <v>1585.1620718172815</v>
      </c>
      <c r="O71" s="23">
        <v>1658.1725834688655</v>
      </c>
      <c r="P71" s="23">
        <v>1606.7026461021931</v>
      </c>
      <c r="Q71" s="23">
        <v>1564.4948668285836</v>
      </c>
      <c r="R71" s="23">
        <v>1669.5906670606335</v>
      </c>
      <c r="S71" s="23">
        <v>1703.4170320000001</v>
      </c>
      <c r="T71" s="23">
        <v>1697.2039069402178</v>
      </c>
      <c r="U71" s="23">
        <v>1852.5516658754686</v>
      </c>
      <c r="V71" s="23">
        <v>2154.4785867848786</v>
      </c>
      <c r="W71" s="23">
        <v>2208.888878104322</v>
      </c>
      <c r="X71" s="23">
        <v>1909.9260412768251</v>
      </c>
      <c r="Y71" s="23">
        <v>2076.6682323345763</v>
      </c>
      <c r="Z71" s="23">
        <v>2065.5842499808114</v>
      </c>
      <c r="AA71" s="23">
        <v>2010.8925640012053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196.03031297124272</v>
      </c>
      <c r="E72" s="23">
        <v>197.76979251839717</v>
      </c>
      <c r="F72" s="23">
        <v>187.46954225568348</v>
      </c>
      <c r="G72" s="23">
        <v>169.15220855831214</v>
      </c>
      <c r="H72" s="23">
        <v>161.45288849705338</v>
      </c>
      <c r="I72" s="23">
        <v>150.10435783959545</v>
      </c>
      <c r="J72" s="23">
        <v>151.39379621795646</v>
      </c>
      <c r="K72" s="23">
        <v>151.7531373259705</v>
      </c>
      <c r="L72" s="23">
        <v>138.21805064720539</v>
      </c>
      <c r="M72" s="23">
        <v>110.74836823163743</v>
      </c>
      <c r="N72" s="23">
        <v>132.3777584921844</v>
      </c>
      <c r="O72" s="23">
        <v>133.65357753307146</v>
      </c>
      <c r="P72" s="23">
        <v>124.04346658272992</v>
      </c>
      <c r="Q72" s="23">
        <v>172.69045818345791</v>
      </c>
      <c r="R72" s="23">
        <v>124.08070751016314</v>
      </c>
      <c r="S72" s="23">
        <v>148.95692399999993</v>
      </c>
      <c r="T72" s="23">
        <v>195.83601452832028</v>
      </c>
      <c r="U72" s="23">
        <v>228.33948013447156</v>
      </c>
      <c r="V72" s="23">
        <v>243.65479728315677</v>
      </c>
      <c r="W72" s="23">
        <v>251.48954819923662</v>
      </c>
      <c r="X72" s="23">
        <v>250.37569030514913</v>
      </c>
      <c r="Y72" s="23">
        <v>325.4990916850096</v>
      </c>
      <c r="Z72" s="23">
        <v>387.8182351586687</v>
      </c>
      <c r="AA72" s="23">
        <v>385.97994588078882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1329.377803645599</v>
      </c>
      <c r="E73" s="23">
        <v>1402.2348783728535</v>
      </c>
      <c r="F73" s="23">
        <v>1396.8196509500006</v>
      </c>
      <c r="G73" s="23">
        <v>1337.9637639447208</v>
      </c>
      <c r="H73" s="23">
        <v>1308.5638763862466</v>
      </c>
      <c r="I73" s="23">
        <v>1210.7271269869943</v>
      </c>
      <c r="J73" s="23">
        <v>1173.6158709578174</v>
      </c>
      <c r="K73" s="23">
        <v>1207.9333134341086</v>
      </c>
      <c r="L73" s="23">
        <v>1261.7542125844295</v>
      </c>
      <c r="M73" s="23">
        <v>1274.3203214460984</v>
      </c>
      <c r="N73" s="23">
        <v>1281.5100538068059</v>
      </c>
      <c r="O73" s="23">
        <v>1253.6600333564686</v>
      </c>
      <c r="P73" s="23">
        <v>1201.2630448011753</v>
      </c>
      <c r="Q73" s="23">
        <v>1200.3743679609761</v>
      </c>
      <c r="R73" s="23">
        <v>1250.3816031055455</v>
      </c>
      <c r="S73" s="23">
        <v>1298.7062759999999</v>
      </c>
      <c r="T73" s="23">
        <v>1294.4374123883381</v>
      </c>
      <c r="U73" s="23">
        <v>1410.3899785892133</v>
      </c>
      <c r="V73" s="23">
        <v>1494.9073457506515</v>
      </c>
      <c r="W73" s="23">
        <v>1557.2915472846223</v>
      </c>
      <c r="X73" s="23">
        <v>1460.1771160990572</v>
      </c>
      <c r="Y73" s="23">
        <v>1633.1999640627105</v>
      </c>
      <c r="Z73" s="23">
        <v>1668.9938067663336</v>
      </c>
      <c r="AA73" s="23">
        <v>1570.1421951766765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942.1885393793475</v>
      </c>
      <c r="E74" s="23">
        <v>1000.6924366312383</v>
      </c>
      <c r="F74" s="23">
        <v>1000.2014762776096</v>
      </c>
      <c r="G74" s="23">
        <v>955.40792083916995</v>
      </c>
      <c r="H74" s="23">
        <v>932.62612871792726</v>
      </c>
      <c r="I74" s="23">
        <v>857.18620393786341</v>
      </c>
      <c r="J74" s="23">
        <v>827.01477436297409</v>
      </c>
      <c r="K74" s="23">
        <v>850.14246423470127</v>
      </c>
      <c r="L74" s="23">
        <v>887.46344911231574</v>
      </c>
      <c r="M74" s="23">
        <v>904.55320219205055</v>
      </c>
      <c r="N74" s="23">
        <v>906.67743891855093</v>
      </c>
      <c r="O74" s="23">
        <v>928.99760289228084</v>
      </c>
      <c r="P74" s="23">
        <v>925.19638233133503</v>
      </c>
      <c r="Q74" s="23">
        <v>859.28793925046512</v>
      </c>
      <c r="R74" s="23">
        <v>874.25791516807169</v>
      </c>
      <c r="S74" s="23">
        <v>891.70973600000173</v>
      </c>
      <c r="T74" s="23">
        <v>900.02293118680382</v>
      </c>
      <c r="U74" s="23">
        <v>986.92850734845149</v>
      </c>
      <c r="V74" s="23">
        <v>1081.2861132779083</v>
      </c>
      <c r="W74" s="23">
        <v>1155.6430652642607</v>
      </c>
      <c r="X74" s="23">
        <v>1074.9926629120134</v>
      </c>
      <c r="Y74" s="23">
        <v>1158.0146444454426</v>
      </c>
      <c r="Z74" s="23">
        <v>1151.5418303384849</v>
      </c>
      <c r="AA74" s="23">
        <v>1072.4450813928074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32462.586232440011</v>
      </c>
      <c r="E75" s="30">
        <f t="shared" ref="E75:S75" si="9">SUM(E56:E74)</f>
        <v>32332.521887775965</v>
      </c>
      <c r="F75" s="30">
        <f t="shared" si="9"/>
        <v>31559.608440083015</v>
      </c>
      <c r="G75" s="30">
        <f t="shared" si="9"/>
        <v>29729.406826669201</v>
      </c>
      <c r="H75" s="30">
        <f t="shared" si="9"/>
        <v>29274.384367314749</v>
      </c>
      <c r="I75" s="30">
        <f t="shared" si="9"/>
        <v>28565.705157153181</v>
      </c>
      <c r="J75" s="30">
        <f t="shared" si="9"/>
        <v>28634.915636915022</v>
      </c>
      <c r="K75" s="30">
        <f t="shared" si="9"/>
        <v>29085.566744131513</v>
      </c>
      <c r="L75" s="30">
        <f t="shared" si="9"/>
        <v>28302.4362267623</v>
      </c>
      <c r="M75" s="30">
        <f t="shared" si="9"/>
        <v>25355.793464747261</v>
      </c>
      <c r="N75" s="30">
        <f t="shared" si="9"/>
        <v>27016.342717703152</v>
      </c>
      <c r="O75" s="30">
        <f t="shared" si="9"/>
        <v>26276.477511317375</v>
      </c>
      <c r="P75" s="30">
        <f t="shared" si="9"/>
        <v>25543.894013220011</v>
      </c>
      <c r="Q75" s="30">
        <f t="shared" si="9"/>
        <v>25687.54298480237</v>
      </c>
      <c r="R75" s="30">
        <f t="shared" si="9"/>
        <v>26534.251736680697</v>
      </c>
      <c r="S75" s="30">
        <f t="shared" si="9"/>
        <v>27909.422640000001</v>
      </c>
      <c r="T75" s="30">
        <f t="shared" ref="T75:Y75" si="10">SUM(T56:T74)</f>
        <v>28446.209529792864</v>
      </c>
      <c r="U75" s="30">
        <f t="shared" si="10"/>
        <v>29900.169123901611</v>
      </c>
      <c r="V75" s="30">
        <f t="shared" si="10"/>
        <v>30514.350742946295</v>
      </c>
      <c r="W75" s="30">
        <f t="shared" si="10"/>
        <v>30346.207957143783</v>
      </c>
      <c r="X75" s="30">
        <f t="shared" si="10"/>
        <v>28172.944978229709</v>
      </c>
      <c r="Y75" s="30">
        <f t="shared" si="10"/>
        <v>30733.822753694811</v>
      </c>
      <c r="Z75" s="30">
        <f t="shared" ref="Z75:AA75" si="11">SUM(Z56:Z74)</f>
        <v>32925.670695992558</v>
      </c>
      <c r="AA75" s="30">
        <f t="shared" si="11"/>
        <v>32661.200000000004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10249022</v>
      </c>
      <c r="E3" s="42">
        <v>10330774</v>
      </c>
      <c r="F3" s="42">
        <v>10394669</v>
      </c>
      <c r="G3" s="42">
        <v>10444592</v>
      </c>
      <c r="H3" s="42">
        <v>10473050</v>
      </c>
      <c r="I3" s="42">
        <v>10494672</v>
      </c>
      <c r="J3" s="42">
        <v>10511988</v>
      </c>
      <c r="K3" s="42">
        <v>10532588</v>
      </c>
      <c r="L3" s="42">
        <v>10553339</v>
      </c>
      <c r="M3" s="42">
        <v>10563014</v>
      </c>
      <c r="N3" s="42">
        <v>10573479</v>
      </c>
      <c r="O3" s="42">
        <v>10572721</v>
      </c>
      <c r="P3" s="42">
        <v>10558950</v>
      </c>
      <c r="Q3" s="42">
        <v>10503889</v>
      </c>
      <c r="R3" s="42">
        <v>10444092</v>
      </c>
      <c r="S3" s="42">
        <v>10395121</v>
      </c>
      <c r="T3" s="42">
        <v>10368554</v>
      </c>
      <c r="U3" s="42">
        <v>10344478</v>
      </c>
      <c r="V3" s="42">
        <v>10335770</v>
      </c>
      <c r="W3" s="42">
        <v>10333496</v>
      </c>
      <c r="X3" s="42">
        <v>10375395</v>
      </c>
      <c r="Y3" s="42">
        <v>10394297</v>
      </c>
      <c r="Z3" s="42">
        <v>10421117</v>
      </c>
      <c r="AA3" s="42">
        <v>10516621</v>
      </c>
    </row>
    <row r="4" spans="1:27" x14ac:dyDescent="0.25">
      <c r="A4" s="43" t="s">
        <v>239</v>
      </c>
      <c r="B4" s="44"/>
      <c r="C4" s="44"/>
      <c r="D4" s="45">
        <v>3593762</v>
      </c>
      <c r="E4" s="45">
        <v>3643473</v>
      </c>
      <c r="F4" s="45">
        <v>3687431</v>
      </c>
      <c r="G4" s="45">
        <v>3726920</v>
      </c>
      <c r="H4" s="45">
        <v>3759171</v>
      </c>
      <c r="I4" s="45">
        <v>3783227</v>
      </c>
      <c r="J4" s="45">
        <v>3828109</v>
      </c>
      <c r="K4" s="45">
        <v>3842608</v>
      </c>
      <c r="L4" s="45">
        <v>3869945</v>
      </c>
      <c r="M4" s="45">
        <v>3915128</v>
      </c>
      <c r="N4" s="45">
        <v>3926283</v>
      </c>
      <c r="O4" s="45">
        <v>4003302</v>
      </c>
      <c r="P4" s="45">
        <v>4053340</v>
      </c>
      <c r="Q4" s="45">
        <v>4049302</v>
      </c>
      <c r="R4" s="45">
        <v>4111847</v>
      </c>
      <c r="S4" s="45">
        <v>4131606</v>
      </c>
      <c r="T4" s="45">
        <v>4117774</v>
      </c>
      <c r="U4" s="45">
        <v>4146083</v>
      </c>
      <c r="V4" s="45">
        <v>4174382</v>
      </c>
      <c r="W4" s="45">
        <v>4205737</v>
      </c>
      <c r="X4" s="45">
        <v>4195753</v>
      </c>
      <c r="Y4" s="45">
        <v>4191249</v>
      </c>
      <c r="Z4" s="45">
        <v>4181829</v>
      </c>
      <c r="AA4" s="45">
        <v>4188220</v>
      </c>
    </row>
    <row r="5" spans="1:27" x14ac:dyDescent="0.25">
      <c r="A5" s="46" t="s">
        <v>240</v>
      </c>
      <c r="B5" s="47"/>
      <c r="C5" s="47"/>
      <c r="D5" s="48">
        <f>D3/D4</f>
        <v>2.8518922510728313</v>
      </c>
      <c r="E5" s="48">
        <f t="shared" ref="E5:S5" si="0">E3/E4</f>
        <v>2.8354193924313424</v>
      </c>
      <c r="F5" s="48">
        <f t="shared" si="0"/>
        <v>2.8189460358715865</v>
      </c>
      <c r="G5" s="48">
        <f t="shared" si="0"/>
        <v>2.8024728193790045</v>
      </c>
      <c r="H5" s="48">
        <f t="shared" si="0"/>
        <v>2.7859998919974642</v>
      </c>
      <c r="I5" s="48">
        <f t="shared" si="0"/>
        <v>2.774000079826032</v>
      </c>
      <c r="J5" s="48">
        <f t="shared" si="0"/>
        <v>2.7460001792007489</v>
      </c>
      <c r="K5" s="48">
        <f t="shared" si="0"/>
        <v>2.7409998625933221</v>
      </c>
      <c r="L5" s="48">
        <f t="shared" si="0"/>
        <v>2.7269997377223709</v>
      </c>
      <c r="M5" s="48">
        <f t="shared" si="0"/>
        <v>2.6979996567162043</v>
      </c>
      <c r="N5" s="48">
        <f t="shared" si="0"/>
        <v>2.6929997149976197</v>
      </c>
      <c r="O5" s="48">
        <f t="shared" si="0"/>
        <v>2.6410001044138065</v>
      </c>
      <c r="P5" s="48">
        <f t="shared" si="0"/>
        <v>2.6049998273029158</v>
      </c>
      <c r="Q5" s="48">
        <f t="shared" si="0"/>
        <v>2.5939999041810169</v>
      </c>
      <c r="R5" s="48">
        <f t="shared" si="0"/>
        <v>2.5400001507838206</v>
      </c>
      <c r="S5" s="48">
        <f t="shared" si="0"/>
        <v>2.5160000735791361</v>
      </c>
      <c r="T5" s="48">
        <f t="shared" ref="T5:Y5" si="1">T3/T4</f>
        <v>2.5179997736641204</v>
      </c>
      <c r="U5" s="48">
        <f t="shared" si="1"/>
        <v>2.4950002206902275</v>
      </c>
      <c r="V5" s="48">
        <f t="shared" si="1"/>
        <v>2.476000040245478</v>
      </c>
      <c r="W5" s="48">
        <f t="shared" si="1"/>
        <v>2.4570000454141567</v>
      </c>
      <c r="X5" s="48">
        <f t="shared" si="1"/>
        <v>2.4728326476796894</v>
      </c>
      <c r="Y5" s="48">
        <f t="shared" si="1"/>
        <v>2.4799998759319717</v>
      </c>
      <c r="Z5" s="48">
        <f t="shared" ref="Z5:AA5" si="2">Z3/Z4</f>
        <v>2.4919997924353194</v>
      </c>
      <c r="AA5" s="48">
        <f t="shared" si="2"/>
        <v>2.5110001384836518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1446.15</v>
      </c>
      <c r="E8" s="42">
        <v>1275.49</v>
      </c>
      <c r="F8" s="42">
        <v>1310.0999999999999</v>
      </c>
      <c r="G8" s="42">
        <v>1337.2</v>
      </c>
      <c r="H8" s="42">
        <v>1499.95</v>
      </c>
      <c r="I8" s="42">
        <v>1406.18</v>
      </c>
      <c r="J8" s="42">
        <v>1504.27</v>
      </c>
      <c r="K8" s="42">
        <v>1231.3900000000001</v>
      </c>
      <c r="L8" s="42">
        <v>1296.07</v>
      </c>
      <c r="M8" s="42">
        <v>1155.67</v>
      </c>
      <c r="N8" s="42">
        <v>1247.82</v>
      </c>
      <c r="O8" s="42">
        <v>1463.84</v>
      </c>
      <c r="P8" s="42">
        <v>1264.43</v>
      </c>
      <c r="Q8" s="42">
        <v>1389.51</v>
      </c>
      <c r="R8" s="42">
        <v>1106.9000000000001</v>
      </c>
      <c r="S8" s="42">
        <v>928.67</v>
      </c>
      <c r="T8" s="42">
        <v>1239.3499999999999</v>
      </c>
      <c r="U8" s="42">
        <v>894.85</v>
      </c>
      <c r="V8" s="42">
        <v>1137.47</v>
      </c>
      <c r="W8" s="42">
        <v>1272.0899999999999</v>
      </c>
      <c r="X8" s="42">
        <v>1263.95</v>
      </c>
      <c r="Y8" s="42">
        <v>1246.56</v>
      </c>
      <c r="Z8" s="42">
        <v>1137.33</v>
      </c>
      <c r="AA8" s="42">
        <v>1220.4000000000001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1270.0642857142855</v>
      </c>
      <c r="E9" s="45">
        <f t="shared" si="3"/>
        <v>1270.0642857142855</v>
      </c>
      <c r="F9" s="45">
        <f t="shared" si="3"/>
        <v>1270.0642857142855</v>
      </c>
      <c r="G9" s="45">
        <f t="shared" si="3"/>
        <v>1270.0642857142855</v>
      </c>
      <c r="H9" s="45">
        <f t="shared" si="3"/>
        <v>1270.0642857142855</v>
      </c>
      <c r="I9" s="45">
        <f t="shared" si="3"/>
        <v>1270.0642857142855</v>
      </c>
      <c r="J9" s="45">
        <f t="shared" si="3"/>
        <v>1270.0642857142855</v>
      </c>
      <c r="K9" s="45">
        <f t="shared" si="3"/>
        <v>1270.0642857142855</v>
      </c>
      <c r="L9" s="45">
        <f t="shared" si="3"/>
        <v>1270.0642857142855</v>
      </c>
      <c r="M9" s="45">
        <f t="shared" si="3"/>
        <v>1270.0642857142855</v>
      </c>
      <c r="N9" s="45">
        <f t="shared" si="3"/>
        <v>1270.0642857142855</v>
      </c>
      <c r="O9" s="45">
        <f t="shared" si="3"/>
        <v>1270.0642857142855</v>
      </c>
      <c r="P9" s="45">
        <f t="shared" si="3"/>
        <v>1270.0642857142855</v>
      </c>
      <c r="Q9" s="45">
        <f t="shared" si="3"/>
        <v>1270.0642857142855</v>
      </c>
      <c r="R9" s="45">
        <f t="shared" si="3"/>
        <v>1270.0642857142855</v>
      </c>
      <c r="S9" s="45">
        <f t="shared" si="3"/>
        <v>1270.0642857142855</v>
      </c>
      <c r="T9" s="45">
        <f t="shared" si="3"/>
        <v>1270.0642857142855</v>
      </c>
      <c r="U9" s="45">
        <f t="shared" si="3"/>
        <v>1270.0642857142855</v>
      </c>
      <c r="V9" s="45">
        <f t="shared" si="3"/>
        <v>1270.0642857142855</v>
      </c>
      <c r="W9" s="45">
        <f t="shared" si="3"/>
        <v>1270.0642857142855</v>
      </c>
      <c r="X9" s="45">
        <f>AVERAGE($D8:$X8)</f>
        <v>1270.0642857142855</v>
      </c>
      <c r="Y9" s="45">
        <f t="shared" ref="Y9:AA9" si="4">AVERAGE($D8:$X8)</f>
        <v>1270.0642857142855</v>
      </c>
      <c r="Z9" s="45">
        <f t="shared" si="4"/>
        <v>1270.0642857142855</v>
      </c>
      <c r="AA9" s="45">
        <f t="shared" si="4"/>
        <v>1270.0642857142855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1.1386431507966417</v>
      </c>
      <c r="E10" s="53">
        <f t="shared" si="5"/>
        <v>1.0042719997300475</v>
      </c>
      <c r="F10" s="53">
        <f t="shared" si="5"/>
        <v>1.0315225888453341</v>
      </c>
      <c r="G10" s="53">
        <f t="shared" si="5"/>
        <v>1.0528600914464399</v>
      </c>
      <c r="H10" s="53">
        <f t="shared" si="5"/>
        <v>1.1810032113110138</v>
      </c>
      <c r="I10" s="53">
        <f t="shared" si="5"/>
        <v>1.1071723028643097</v>
      </c>
      <c r="J10" s="53">
        <f t="shared" si="5"/>
        <v>1.1844046139396771</v>
      </c>
      <c r="K10" s="53">
        <f t="shared" si="5"/>
        <v>0.96954934789577607</v>
      </c>
      <c r="L10" s="53">
        <f t="shared" si="5"/>
        <v>1.0204759039193743</v>
      </c>
      <c r="M10" s="53">
        <f t="shared" si="5"/>
        <v>0.9099303184878158</v>
      </c>
      <c r="N10" s="53">
        <f t="shared" si="5"/>
        <v>0.98248570094877097</v>
      </c>
      <c r="O10" s="53">
        <f t="shared" si="5"/>
        <v>1.1525715796163301</v>
      </c>
      <c r="P10" s="53">
        <f t="shared" si="5"/>
        <v>0.99556377911129379</v>
      </c>
      <c r="Q10" s="53">
        <f t="shared" si="5"/>
        <v>1.094046982998611</v>
      </c>
      <c r="R10" s="53">
        <f t="shared" si="5"/>
        <v>0.87153068742302153</v>
      </c>
      <c r="S10" s="53">
        <f t="shared" si="5"/>
        <v>0.73119920813907069</v>
      </c>
      <c r="T10" s="53">
        <f t="shared" ref="T10:Y10" si="6">IF(T8=0,0,T8/T9)</f>
        <v>0.97581674718377598</v>
      </c>
      <c r="U10" s="53">
        <f t="shared" si="6"/>
        <v>0.70457063478226656</v>
      </c>
      <c r="V10" s="53">
        <f t="shared" si="6"/>
        <v>0.89560033519113225</v>
      </c>
      <c r="W10" s="53">
        <f t="shared" si="6"/>
        <v>1.0015949698834143</v>
      </c>
      <c r="X10" s="53">
        <f t="shared" si="6"/>
        <v>0.99518584548588673</v>
      </c>
      <c r="Y10" s="53">
        <f t="shared" si="6"/>
        <v>0.9814936251820775</v>
      </c>
      <c r="Z10" s="53">
        <f t="shared" ref="Z10:AA10" si="7">IF(Z8=0,0,Z8/Z9)</f>
        <v>0.89549010455038847</v>
      </c>
      <c r="AA10" s="53">
        <f t="shared" si="7"/>
        <v>0.96089624259739415</v>
      </c>
    </row>
    <row r="11" spans="1:27" x14ac:dyDescent="0.25">
      <c r="A11" s="43" t="s">
        <v>251</v>
      </c>
      <c r="B11" s="44"/>
      <c r="C11" s="44"/>
      <c r="D11" s="45">
        <v>142.94999999999999</v>
      </c>
      <c r="E11" s="45">
        <v>216.82</v>
      </c>
      <c r="F11" s="45">
        <v>115.88</v>
      </c>
      <c r="G11" s="45">
        <v>107.92</v>
      </c>
      <c r="H11" s="45">
        <v>103.37</v>
      </c>
      <c r="I11" s="45">
        <v>162.03</v>
      </c>
      <c r="J11" s="45">
        <v>114.74</v>
      </c>
      <c r="K11" s="45">
        <v>241.81</v>
      </c>
      <c r="L11" s="45">
        <v>146.69999999999999</v>
      </c>
      <c r="M11" s="45">
        <v>226.45</v>
      </c>
      <c r="N11" s="45">
        <v>215.43</v>
      </c>
      <c r="O11" s="45">
        <v>270.11</v>
      </c>
      <c r="P11" s="45">
        <v>156.53</v>
      </c>
      <c r="Q11" s="45">
        <v>161.1</v>
      </c>
      <c r="R11" s="45">
        <v>98.5</v>
      </c>
      <c r="S11" s="45">
        <v>184.53</v>
      </c>
      <c r="T11" s="45">
        <v>118.8</v>
      </c>
      <c r="U11" s="45">
        <v>124.53</v>
      </c>
      <c r="V11" s="45">
        <v>204.65</v>
      </c>
      <c r="W11" s="45">
        <v>150.88</v>
      </c>
      <c r="X11" s="45">
        <v>157.36000000000001</v>
      </c>
      <c r="Y11" s="45">
        <v>153.44999999999999</v>
      </c>
      <c r="Z11" s="45">
        <v>94.36</v>
      </c>
      <c r="AA11" s="45">
        <v>235.79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162.90904761904767</v>
      </c>
      <c r="E12" s="45">
        <f t="shared" ref="E12" si="9">AVERAGE($D11:$X11)</f>
        <v>162.90904761904767</v>
      </c>
      <c r="F12" s="45">
        <f t="shared" ref="F12" si="10">AVERAGE($D11:$X11)</f>
        <v>162.90904761904767</v>
      </c>
      <c r="G12" s="45">
        <f t="shared" ref="G12" si="11">AVERAGE($D11:$X11)</f>
        <v>162.90904761904767</v>
      </c>
      <c r="H12" s="45">
        <f t="shared" ref="H12" si="12">AVERAGE($D11:$X11)</f>
        <v>162.90904761904767</v>
      </c>
      <c r="I12" s="45">
        <f t="shared" ref="I12" si="13">AVERAGE($D11:$X11)</f>
        <v>162.90904761904767</v>
      </c>
      <c r="J12" s="45">
        <f t="shared" ref="J12" si="14">AVERAGE($D11:$X11)</f>
        <v>162.90904761904767</v>
      </c>
      <c r="K12" s="45">
        <f t="shared" ref="K12" si="15">AVERAGE($D11:$X11)</f>
        <v>162.90904761904767</v>
      </c>
      <c r="L12" s="45">
        <f t="shared" ref="L12" si="16">AVERAGE($D11:$X11)</f>
        <v>162.90904761904767</v>
      </c>
      <c r="M12" s="45">
        <f t="shared" ref="M12" si="17">AVERAGE($D11:$X11)</f>
        <v>162.90904761904767</v>
      </c>
      <c r="N12" s="45">
        <f t="shared" ref="N12" si="18">AVERAGE($D11:$X11)</f>
        <v>162.90904761904767</v>
      </c>
      <c r="O12" s="45">
        <f t="shared" ref="O12" si="19">AVERAGE($D11:$X11)</f>
        <v>162.90904761904767</v>
      </c>
      <c r="P12" s="45">
        <f t="shared" ref="P12" si="20">AVERAGE($D11:$X11)</f>
        <v>162.90904761904767</v>
      </c>
      <c r="Q12" s="45">
        <f t="shared" ref="Q12" si="21">AVERAGE($D11:$X11)</f>
        <v>162.90904761904767</v>
      </c>
      <c r="R12" s="45">
        <f t="shared" ref="R12" si="22">AVERAGE($D11:$X11)</f>
        <v>162.90904761904767</v>
      </c>
      <c r="S12" s="45">
        <f t="shared" ref="S12" si="23">AVERAGE($D11:$X11)</f>
        <v>162.90904761904767</v>
      </c>
      <c r="T12" s="45">
        <f t="shared" ref="T12" si="24">AVERAGE($D11:$X11)</f>
        <v>162.90904761904767</v>
      </c>
      <c r="U12" s="45">
        <f t="shared" ref="U12" si="25">AVERAGE($D11:$X11)</f>
        <v>162.90904761904767</v>
      </c>
      <c r="V12" s="45">
        <f t="shared" ref="V12" si="26">AVERAGE($D11:$X11)</f>
        <v>162.90904761904767</v>
      </c>
      <c r="W12" s="45">
        <f t="shared" ref="W12" si="27">AVERAGE($D11:$X11)</f>
        <v>162.90904761904767</v>
      </c>
      <c r="X12" s="45">
        <f>AVERAGE($D11:$X11)</f>
        <v>162.90904761904767</v>
      </c>
      <c r="Y12" s="45">
        <f t="shared" ref="Y12:AA12" si="28">AVERAGE($D11:$X11)</f>
        <v>162.90904761904767</v>
      </c>
      <c r="Z12" s="45">
        <f t="shared" si="28"/>
        <v>162.90904761904767</v>
      </c>
      <c r="AA12" s="45">
        <f t="shared" si="28"/>
        <v>162.90904761904767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0.8774834921033936</v>
      </c>
      <c r="E13" s="55">
        <f t="shared" si="29"/>
        <v>1.3309266929545842</v>
      </c>
      <c r="F13" s="55">
        <f t="shared" ref="F13" si="30">IF(F11=0,0,F11/F12)</f>
        <v>0.71131715330494061</v>
      </c>
      <c r="G13" s="55">
        <f t="shared" ref="G13" si="31">IF(G11=0,0,G11/G12)</f>
        <v>0.66245553317802197</v>
      </c>
      <c r="H13" s="55">
        <f t="shared" ref="H13" si="32">IF(H11=0,0,H11/H12)</f>
        <v>0.6345258382562281</v>
      </c>
      <c r="I13" s="55">
        <f t="shared" ref="I13" si="33">IF(I11=0,0,I11/I12)</f>
        <v>0.99460405894027892</v>
      </c>
      <c r="J13" s="55">
        <f t="shared" ref="J13" si="34">IF(J11=0,0,J11/J12)</f>
        <v>0.70431938358827129</v>
      </c>
      <c r="K13" s="55">
        <f t="shared" ref="K13" si="35">IF(K11=0,0,K11/K12)</f>
        <v>1.4843251712173602</v>
      </c>
      <c r="L13" s="55">
        <f t="shared" ref="L13" si="36">IF(L11=0,0,L11/L12)</f>
        <v>0.90050247143454243</v>
      </c>
      <c r="M13" s="55">
        <f t="shared" ref="M13" si="37">IF(M11=0,0,M11/M12)</f>
        <v>1.3900394318769744</v>
      </c>
      <c r="N13" s="55">
        <f t="shared" ref="N13" si="38">IF(N11=0,0,N11/N12)</f>
        <v>1.3223943246158385</v>
      </c>
      <c r="O13" s="55">
        <f t="shared" ref="O13" si="39">IF(O11=0,0,O11/O12)</f>
        <v>1.6580417352364301</v>
      </c>
      <c r="P13" s="55">
        <f t="shared" ref="P13" si="40">IF(P11=0,0,P11/P12)</f>
        <v>0.96084288925459405</v>
      </c>
      <c r="Q13" s="55">
        <f t="shared" ref="Q13" si="41">IF(Q11=0,0,Q11/Q12)</f>
        <v>0.98889535206615398</v>
      </c>
      <c r="R13" s="55">
        <f t="shared" ref="R13" si="42">IF(R11=0,0,R11/R12)</f>
        <v>0.60463185709817613</v>
      </c>
      <c r="S13" s="55">
        <f t="shared" ref="S13:Y13" si="43">IF(S11=0,0,S11/S12)</f>
        <v>1.1327179349271721</v>
      </c>
      <c r="T13" s="55">
        <f t="shared" si="43"/>
        <v>0.72924126521079513</v>
      </c>
      <c r="U13" s="55">
        <f t="shared" si="43"/>
        <v>0.76441426562879056</v>
      </c>
      <c r="V13" s="55">
        <f t="shared" si="43"/>
        <v>1.256222432031896</v>
      </c>
      <c r="W13" s="55">
        <f t="shared" si="43"/>
        <v>0.92616096039566309</v>
      </c>
      <c r="X13" s="55">
        <f t="shared" si="43"/>
        <v>0.96593775667988835</v>
      </c>
      <c r="Y13" s="55">
        <f t="shared" si="43"/>
        <v>0.94193663423061036</v>
      </c>
      <c r="Z13" s="55">
        <f t="shared" ref="Z13:AA13" si="44">IF(Z11=0,0,Z11/Z12)</f>
        <v>0.57921890391658781</v>
      </c>
      <c r="AA13" s="55">
        <f t="shared" si="44"/>
        <v>1.4473720363977558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220809.78622152141</v>
      </c>
      <c r="E16" s="42">
        <v>225100.5642349734</v>
      </c>
      <c r="F16" s="42">
        <v>226835.19245487134</v>
      </c>
      <c r="G16" s="42">
        <v>224725.58584512098</v>
      </c>
      <c r="H16" s="42">
        <v>228745.11960281263</v>
      </c>
      <c r="I16" s="42">
        <v>230533.63564449758</v>
      </c>
      <c r="J16" s="42">
        <v>234278.60048569101</v>
      </c>
      <c r="K16" s="42">
        <v>240153.16505934155</v>
      </c>
      <c r="L16" s="42">
        <v>240917.81602330972</v>
      </c>
      <c r="M16" s="42">
        <v>233397.72905858842</v>
      </c>
      <c r="N16" s="42">
        <v>237452.370609723</v>
      </c>
      <c r="O16" s="42">
        <v>233384.63325101507</v>
      </c>
      <c r="P16" s="42">
        <v>223928.85843390576</v>
      </c>
      <c r="Q16" s="42">
        <v>221725.78151792131</v>
      </c>
      <c r="R16" s="42">
        <v>223370.66968952332</v>
      </c>
      <c r="S16" s="42">
        <v>226921.001938</v>
      </c>
      <c r="T16" s="42">
        <v>231468.96799143872</v>
      </c>
      <c r="U16" s="42">
        <v>239140.62849103127</v>
      </c>
      <c r="V16" s="42">
        <v>246187.85165100163</v>
      </c>
      <c r="W16" s="42">
        <v>252947.78589435213</v>
      </c>
      <c r="X16" s="42">
        <v>232194.07178545991</v>
      </c>
      <c r="Y16" s="42">
        <v>245101.17325516869</v>
      </c>
      <c r="Z16" s="42">
        <v>262222.32104382111</v>
      </c>
      <c r="AA16" s="42">
        <v>270352.59999999998</v>
      </c>
    </row>
    <row r="17" spans="1:27" x14ac:dyDescent="0.25">
      <c r="A17" s="46" t="s">
        <v>141</v>
      </c>
      <c r="B17" s="47"/>
      <c r="C17" s="47"/>
      <c r="D17" s="57">
        <v>135908.11175928981</v>
      </c>
      <c r="E17" s="57">
        <v>137087.44963540355</v>
      </c>
      <c r="F17" s="57">
        <v>138864.4278712846</v>
      </c>
      <c r="G17" s="57">
        <v>138419.25179967156</v>
      </c>
      <c r="H17" s="57">
        <v>141935.70209419032</v>
      </c>
      <c r="I17" s="57">
        <v>144193.09730536834</v>
      </c>
      <c r="J17" s="57">
        <v>146362.83130302079</v>
      </c>
      <c r="K17" s="57">
        <v>149991.24581963391</v>
      </c>
      <c r="L17" s="57">
        <v>152109.33999324331</v>
      </c>
      <c r="M17" s="57">
        <v>148509.57358137134</v>
      </c>
      <c r="N17" s="57">
        <v>151890.07343949785</v>
      </c>
      <c r="O17" s="57">
        <v>146283.5585753897</v>
      </c>
      <c r="P17" s="57">
        <v>138454.17479287891</v>
      </c>
      <c r="Q17" s="57">
        <v>136849.52341996544</v>
      </c>
      <c r="R17" s="57">
        <v>140047.78995485781</v>
      </c>
      <c r="S17" s="57">
        <v>142524.52184900001</v>
      </c>
      <c r="T17" s="57">
        <v>145887.86412288513</v>
      </c>
      <c r="U17" s="57">
        <v>148483.3151300927</v>
      </c>
      <c r="V17" s="57">
        <v>152283.36855598987</v>
      </c>
      <c r="W17" s="57">
        <v>157554.36298568119</v>
      </c>
      <c r="X17" s="57">
        <v>146905.93393179605</v>
      </c>
      <c r="Y17" s="57">
        <v>154095.98308842603</v>
      </c>
      <c r="Z17" s="57">
        <v>162688.15754437484</v>
      </c>
      <c r="AA17" s="57">
        <v>166611.9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21544.473826041296</v>
      </c>
      <c r="E20" s="42">
        <f t="shared" ref="E20:S20" si="45">1000000*E16/E$3</f>
        <v>21789.322294241785</v>
      </c>
      <c r="F20" s="42">
        <f t="shared" si="45"/>
        <v>21822.262205258419</v>
      </c>
      <c r="G20" s="42">
        <f t="shared" si="45"/>
        <v>21515.975525431819</v>
      </c>
      <c r="H20" s="42">
        <f t="shared" si="45"/>
        <v>21841.30884535189</v>
      </c>
      <c r="I20" s="42">
        <f t="shared" si="45"/>
        <v>21966.730893971493</v>
      </c>
      <c r="J20" s="42">
        <f t="shared" si="45"/>
        <v>22286.802504501622</v>
      </c>
      <c r="K20" s="42">
        <f t="shared" si="45"/>
        <v>22800.964497931709</v>
      </c>
      <c r="L20" s="42">
        <f t="shared" si="45"/>
        <v>22828.586859884792</v>
      </c>
      <c r="M20" s="42">
        <f t="shared" si="45"/>
        <v>22095.751180353298</v>
      </c>
      <c r="N20" s="42">
        <f t="shared" si="45"/>
        <v>22457.354916931599</v>
      </c>
      <c r="O20" s="42">
        <f t="shared" si="45"/>
        <v>22074.226043703893</v>
      </c>
      <c r="P20" s="42">
        <f t="shared" si="45"/>
        <v>21207.493020982747</v>
      </c>
      <c r="Q20" s="42">
        <f t="shared" si="45"/>
        <v>21108.922754031511</v>
      </c>
      <c r="R20" s="42">
        <f t="shared" si="45"/>
        <v>21387.27518768729</v>
      </c>
      <c r="S20" s="42">
        <f t="shared" si="45"/>
        <v>21829.568115464939</v>
      </c>
      <c r="T20" s="42">
        <f t="shared" ref="T20:Y20" si="46">1000000*T16/T$3</f>
        <v>22324.131985177366</v>
      </c>
      <c r="U20" s="42">
        <f t="shared" si="46"/>
        <v>23117.708645233841</v>
      </c>
      <c r="V20" s="42">
        <f t="shared" si="46"/>
        <v>23819.014127733266</v>
      </c>
      <c r="W20" s="42">
        <f t="shared" si="46"/>
        <v>24478.432651868461</v>
      </c>
      <c r="X20" s="42">
        <f t="shared" si="46"/>
        <v>22379.299466233326</v>
      </c>
      <c r="Y20" s="42">
        <f t="shared" si="46"/>
        <v>23580.351153634412</v>
      </c>
      <c r="Z20" s="42">
        <f t="shared" ref="Z20:AA20" si="47">1000000*Z16/Z$3</f>
        <v>25162.592555464169</v>
      </c>
      <c r="AA20" s="42">
        <f t="shared" si="47"/>
        <v>25707.173435269749</v>
      </c>
    </row>
    <row r="21" spans="1:27" x14ac:dyDescent="0.25">
      <c r="A21" s="46" t="s">
        <v>141</v>
      </c>
      <c r="B21" s="47"/>
      <c r="C21" s="47"/>
      <c r="D21" s="57">
        <f>1000000*D17/D$3</f>
        <v>13260.593231167795</v>
      </c>
      <c r="E21" s="57">
        <f t="shared" ref="E21:S21" si="48">1000000*E17/E$3</f>
        <v>13269.814017362451</v>
      </c>
      <c r="F21" s="57">
        <f t="shared" si="48"/>
        <v>13359.196706627657</v>
      </c>
      <c r="G21" s="57">
        <f t="shared" si="48"/>
        <v>13252.719857288017</v>
      </c>
      <c r="H21" s="57">
        <f t="shared" si="48"/>
        <v>13552.470588242231</v>
      </c>
      <c r="I21" s="57">
        <f t="shared" si="48"/>
        <v>13739.647823711723</v>
      </c>
      <c r="J21" s="57">
        <f t="shared" si="48"/>
        <v>13923.420698636717</v>
      </c>
      <c r="K21" s="57">
        <f t="shared" si="48"/>
        <v>14240.682899552694</v>
      </c>
      <c r="L21" s="57">
        <f t="shared" si="48"/>
        <v>14413.385184844656</v>
      </c>
      <c r="M21" s="57">
        <f t="shared" si="48"/>
        <v>14059.393803830169</v>
      </c>
      <c r="N21" s="57">
        <f t="shared" si="48"/>
        <v>14365.193654756195</v>
      </c>
      <c r="O21" s="57">
        <f t="shared" si="48"/>
        <v>13835.942381851342</v>
      </c>
      <c r="P21" s="57">
        <f t="shared" si="48"/>
        <v>13112.494593958576</v>
      </c>
      <c r="Q21" s="57">
        <f t="shared" si="48"/>
        <v>13028.462450428164</v>
      </c>
      <c r="R21" s="57">
        <f t="shared" si="48"/>
        <v>13409.283445114981</v>
      </c>
      <c r="S21" s="57">
        <f t="shared" si="48"/>
        <v>13710.713117144091</v>
      </c>
      <c r="T21" s="57">
        <f t="shared" ref="T21:Y21" si="49">1000000*T17/T$3</f>
        <v>14070.222725645748</v>
      </c>
      <c r="U21" s="57">
        <f t="shared" si="49"/>
        <v>14353.872194429987</v>
      </c>
      <c r="V21" s="57">
        <f t="shared" si="49"/>
        <v>14733.625898795142</v>
      </c>
      <c r="W21" s="57">
        <f t="shared" si="49"/>
        <v>15246.956401365151</v>
      </c>
      <c r="X21" s="57">
        <f t="shared" si="49"/>
        <v>14159.069021641688</v>
      </c>
      <c r="Y21" s="57">
        <f t="shared" si="49"/>
        <v>14825.050995601341</v>
      </c>
      <c r="Z21" s="57">
        <f t="shared" ref="Z21:AA21" si="50">1000000*Z17/Z$3</f>
        <v>15611.39343741893</v>
      </c>
      <c r="AA21" s="57">
        <f t="shared" si="50"/>
        <v>15842.721725923184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188946.34522606418</v>
      </c>
      <c r="E23" s="60">
        <v>193160.57200531478</v>
      </c>
      <c r="F23" s="60">
        <v>194448.96157011087</v>
      </c>
      <c r="G23" s="60">
        <v>192837.44450417452</v>
      </c>
      <c r="H23" s="60">
        <v>196029.29144355256</v>
      </c>
      <c r="I23" s="60">
        <v>196986.52217304913</v>
      </c>
      <c r="J23" s="60">
        <v>200195.62131217791</v>
      </c>
      <c r="K23" s="60">
        <v>205850.62638210776</v>
      </c>
      <c r="L23" s="60">
        <v>207176.77545848058</v>
      </c>
      <c r="M23" s="60">
        <v>201775.3473785375</v>
      </c>
      <c r="N23" s="60">
        <v>204896.78397026841</v>
      </c>
      <c r="O23" s="60">
        <v>202819.30390643614</v>
      </c>
      <c r="P23" s="60">
        <v>196258.48173329138</v>
      </c>
      <c r="Q23" s="60">
        <v>195010.73243766717</v>
      </c>
      <c r="R23" s="60">
        <v>195551.8419635852</v>
      </c>
      <c r="S23" s="60">
        <v>198203.75931600001</v>
      </c>
      <c r="T23" s="60">
        <v>201626.32826150974</v>
      </c>
      <c r="U23" s="60">
        <v>208004.71757331499</v>
      </c>
      <c r="V23" s="60">
        <v>214007.06999866819</v>
      </c>
      <c r="W23" s="60">
        <v>219815.02032870112</v>
      </c>
      <c r="X23" s="60">
        <v>202971.57401805519</v>
      </c>
      <c r="Y23" s="60">
        <v>213760.94660617222</v>
      </c>
      <c r="Z23" s="60">
        <v>228540.82029388435</v>
      </c>
      <c r="AA23" s="60">
        <v>235589.3</v>
      </c>
    </row>
    <row r="24" spans="1:27" x14ac:dyDescent="0.25">
      <c r="A24" s="61" t="s">
        <v>33</v>
      </c>
      <c r="B24" s="62"/>
      <c r="C24" s="62"/>
      <c r="D24" s="63">
        <v>6708.0330061641844</v>
      </c>
      <c r="E24" s="63">
        <v>6522.0226901062961</v>
      </c>
      <c r="F24" s="63">
        <v>6053.9249186327843</v>
      </c>
      <c r="G24" s="63">
        <v>5848.5886396612841</v>
      </c>
      <c r="H24" s="63">
        <v>5836.0210616676723</v>
      </c>
      <c r="I24" s="63">
        <v>5236.1618542268789</v>
      </c>
      <c r="J24" s="63">
        <v>5227.0626729224587</v>
      </c>
      <c r="K24" s="63">
        <v>4746.7190073129659</v>
      </c>
      <c r="L24" s="63">
        <v>4669.937826477907</v>
      </c>
      <c r="M24" s="63">
        <v>4442.5286234254863</v>
      </c>
      <c r="N24" s="63">
        <v>4524.8299643670298</v>
      </c>
      <c r="O24" s="63">
        <v>4264.1542477701923</v>
      </c>
      <c r="P24" s="63">
        <v>4311.5430489980063</v>
      </c>
      <c r="Q24" s="63">
        <v>4535.2392371465758</v>
      </c>
      <c r="R24" s="63">
        <v>4429.1249004044948</v>
      </c>
      <c r="S24" s="63">
        <v>4500.0737559999998</v>
      </c>
      <c r="T24" s="63">
        <v>4466.332631785609</v>
      </c>
      <c r="U24" s="63">
        <v>4723.2808843333105</v>
      </c>
      <c r="V24" s="63">
        <v>4750.1209413823935</v>
      </c>
      <c r="W24" s="63">
        <v>5083.833958319723</v>
      </c>
      <c r="X24" s="63">
        <v>4988.8515440015335</v>
      </c>
      <c r="Y24" s="63">
        <v>5340.2159076411663</v>
      </c>
      <c r="Z24" s="63">
        <v>5034.1644353855199</v>
      </c>
      <c r="AA24" s="63">
        <v>5778</v>
      </c>
    </row>
    <row r="25" spans="1:27" x14ac:dyDescent="0.25">
      <c r="A25" s="64" t="s">
        <v>56</v>
      </c>
      <c r="B25" s="65"/>
      <c r="C25" s="65"/>
      <c r="D25" s="66">
        <v>1056.2455937987784</v>
      </c>
      <c r="E25" s="66">
        <v>1054.0691894930494</v>
      </c>
      <c r="F25" s="66">
        <v>903.81530563368199</v>
      </c>
      <c r="G25" s="66">
        <v>809.36311219999584</v>
      </c>
      <c r="H25" s="66">
        <v>896.82954851283046</v>
      </c>
      <c r="I25" s="66">
        <v>943.32801565889713</v>
      </c>
      <c r="J25" s="66">
        <v>1120.7326923710834</v>
      </c>
      <c r="K25" s="66">
        <v>1088.5343240304462</v>
      </c>
      <c r="L25" s="66">
        <v>807.28506563772692</v>
      </c>
      <c r="M25" s="66">
        <v>838.85721822345783</v>
      </c>
      <c r="N25" s="66">
        <v>925.73672442134716</v>
      </c>
      <c r="O25" s="66">
        <v>855.18352922679389</v>
      </c>
      <c r="P25" s="66">
        <v>847.00092311774381</v>
      </c>
      <c r="Q25" s="66">
        <v>741.63203181029132</v>
      </c>
      <c r="R25" s="66">
        <v>685.36636142959776</v>
      </c>
      <c r="S25" s="66">
        <v>635.57493999999997</v>
      </c>
      <c r="T25" s="66">
        <v>664.91998822028108</v>
      </c>
      <c r="U25" s="66">
        <v>742.96450459702214</v>
      </c>
      <c r="V25" s="66">
        <v>716.45798435618201</v>
      </c>
      <c r="W25" s="66">
        <v>665.57228290986313</v>
      </c>
      <c r="X25" s="66">
        <v>608.32019570436205</v>
      </c>
      <c r="Y25" s="66">
        <v>858.74237688741016</v>
      </c>
      <c r="Z25" s="66">
        <v>735.13269484977525</v>
      </c>
      <c r="AA25" s="66">
        <v>1686.1949305951628</v>
      </c>
    </row>
    <row r="26" spans="1:27" x14ac:dyDescent="0.25">
      <c r="A26" s="67" t="s">
        <v>146</v>
      </c>
      <c r="B26" s="44"/>
      <c r="C26" s="44"/>
      <c r="D26" s="45">
        <v>131649.89312415672</v>
      </c>
      <c r="E26" s="45">
        <v>135677.54067865908</v>
      </c>
      <c r="F26" s="45">
        <v>138441.88994485448</v>
      </c>
      <c r="G26" s="45">
        <v>139525.19922932383</v>
      </c>
      <c r="H26" s="45">
        <v>142871.9590831052</v>
      </c>
      <c r="I26" s="45">
        <v>145697.67431291472</v>
      </c>
      <c r="J26" s="45">
        <v>148584.29014712831</v>
      </c>
      <c r="K26" s="45">
        <v>153572.95661684757</v>
      </c>
      <c r="L26" s="45">
        <v>156792.02104361969</v>
      </c>
      <c r="M26" s="45">
        <v>154951.24889170614</v>
      </c>
      <c r="N26" s="45">
        <v>157017.91396220247</v>
      </c>
      <c r="O26" s="45">
        <v>156993.05487357581</v>
      </c>
      <c r="P26" s="45">
        <v>152404.16100282737</v>
      </c>
      <c r="Q26" s="45">
        <v>151687.7706919825</v>
      </c>
      <c r="R26" s="45">
        <v>151716.45538785204</v>
      </c>
      <c r="S26" s="45">
        <v>152143.560872</v>
      </c>
      <c r="T26" s="45">
        <v>155019.10200058896</v>
      </c>
      <c r="U26" s="45">
        <v>160041.37002683617</v>
      </c>
      <c r="V26" s="45">
        <v>164368.38563140784</v>
      </c>
      <c r="W26" s="45">
        <v>169967.6750524361</v>
      </c>
      <c r="X26" s="45">
        <v>156005.8470183381</v>
      </c>
      <c r="Y26" s="45">
        <v>164134.10690207468</v>
      </c>
      <c r="Z26" s="45">
        <v>178201.55851505668</v>
      </c>
      <c r="AA26" s="45">
        <v>182307.30542577934</v>
      </c>
    </row>
    <row r="27" spans="1:27" x14ac:dyDescent="0.25">
      <c r="A27" s="68" t="s">
        <v>148</v>
      </c>
      <c r="B27" s="69"/>
      <c r="C27" s="69"/>
      <c r="D27" s="70">
        <v>55726.361840260317</v>
      </c>
      <c r="E27" s="70">
        <v>57613.30954108751</v>
      </c>
      <c r="F27" s="70">
        <v>59217.916439247834</v>
      </c>
      <c r="G27" s="70">
        <v>59792.738236483463</v>
      </c>
      <c r="H27" s="70">
        <v>61371.689995823872</v>
      </c>
      <c r="I27" s="70">
        <v>62971.573753612713</v>
      </c>
      <c r="J27" s="70">
        <v>62960.424076739684</v>
      </c>
      <c r="K27" s="70">
        <v>63552.075018655523</v>
      </c>
      <c r="L27" s="70">
        <v>63895.642270132383</v>
      </c>
      <c r="M27" s="70">
        <v>64751.312072632056</v>
      </c>
      <c r="N27" s="70">
        <v>65316.949348090187</v>
      </c>
      <c r="O27" s="70">
        <v>63328.90626003543</v>
      </c>
      <c r="P27" s="70">
        <v>59780.690210890782</v>
      </c>
      <c r="Q27" s="70">
        <v>60339.63374837314</v>
      </c>
      <c r="R27" s="70">
        <v>59669.364218977629</v>
      </c>
      <c r="S27" s="70">
        <v>60482.225604000014</v>
      </c>
      <c r="T27" s="70">
        <v>61327.213491705115</v>
      </c>
      <c r="U27" s="70">
        <v>64536.414016799237</v>
      </c>
      <c r="V27" s="70">
        <v>66249.70314111223</v>
      </c>
      <c r="W27" s="70">
        <v>68306.433833260235</v>
      </c>
      <c r="X27" s="70">
        <v>57961.740476299121</v>
      </c>
      <c r="Y27" s="70">
        <v>62368.044677238206</v>
      </c>
      <c r="Z27" s="70">
        <v>69930.309839071415</v>
      </c>
      <c r="AA27" s="70">
        <v>76179.891171831594</v>
      </c>
    </row>
    <row r="28" spans="1:27" x14ac:dyDescent="0.25">
      <c r="A28" s="68" t="s">
        <v>150</v>
      </c>
      <c r="B28" s="71"/>
      <c r="C28" s="71"/>
      <c r="D28" s="70">
        <v>47121.857340141272</v>
      </c>
      <c r="E28" s="70">
        <v>48575.603173548647</v>
      </c>
      <c r="F28" s="70">
        <v>49631.859471143798</v>
      </c>
      <c r="G28" s="70">
        <v>50772.847743869082</v>
      </c>
      <c r="H28" s="70">
        <v>52221.907322166036</v>
      </c>
      <c r="I28" s="70">
        <v>53732.485657514451</v>
      </c>
      <c r="J28" s="70">
        <v>56411.700539507081</v>
      </c>
      <c r="K28" s="70">
        <v>60255.200882672754</v>
      </c>
      <c r="L28" s="70">
        <v>62931.302498902151</v>
      </c>
      <c r="M28" s="70">
        <v>60215.173163749372</v>
      </c>
      <c r="N28" s="70">
        <v>61362.082778759082</v>
      </c>
      <c r="O28" s="70">
        <v>61887.920740057794</v>
      </c>
      <c r="P28" s="70">
        <v>60479.650496275317</v>
      </c>
      <c r="Q28" s="70">
        <v>59218.251926092169</v>
      </c>
      <c r="R28" s="70">
        <v>59889.448977554079</v>
      </c>
      <c r="S28" s="70">
        <v>59372.604459999995</v>
      </c>
      <c r="T28" s="70">
        <v>61284.705483459307</v>
      </c>
      <c r="U28" s="70">
        <v>63482.066309497277</v>
      </c>
      <c r="V28" s="70">
        <v>66182.296409885661</v>
      </c>
      <c r="W28" s="70">
        <v>69171.951349989278</v>
      </c>
      <c r="X28" s="70">
        <v>67986.852664920181</v>
      </c>
      <c r="Y28" s="70">
        <v>71034.4437320875</v>
      </c>
      <c r="Z28" s="70">
        <v>76745.774004110615</v>
      </c>
      <c r="AA28" s="70">
        <v>79189.41300733645</v>
      </c>
    </row>
    <row r="29" spans="1:27" x14ac:dyDescent="0.25">
      <c r="A29" s="68" t="s">
        <v>152</v>
      </c>
      <c r="B29" s="71"/>
      <c r="C29" s="71"/>
      <c r="D29" s="70">
        <v>28801.673943755126</v>
      </c>
      <c r="E29" s="70">
        <v>29488.627964022893</v>
      </c>
      <c r="F29" s="70">
        <v>29592.114034462844</v>
      </c>
      <c r="G29" s="70">
        <v>28959.613248971233</v>
      </c>
      <c r="H29" s="70">
        <v>29278.361765115311</v>
      </c>
      <c r="I29" s="70">
        <v>28993.614901787594</v>
      </c>
      <c r="J29" s="70">
        <v>29212.165530881568</v>
      </c>
      <c r="K29" s="70">
        <v>29765.680715519273</v>
      </c>
      <c r="L29" s="70">
        <v>29965.07627458519</v>
      </c>
      <c r="M29" s="70">
        <v>29984.763655324714</v>
      </c>
      <c r="N29" s="70">
        <v>30338.881835353219</v>
      </c>
      <c r="O29" s="70">
        <v>31776.227873482549</v>
      </c>
      <c r="P29" s="70">
        <v>32143.820295661251</v>
      </c>
      <c r="Q29" s="70">
        <v>32129.885017517219</v>
      </c>
      <c r="R29" s="70">
        <v>32157.642191320334</v>
      </c>
      <c r="S29" s="70">
        <v>32288.730808</v>
      </c>
      <c r="T29" s="70">
        <v>32407.183025424558</v>
      </c>
      <c r="U29" s="70">
        <v>32022.889700539621</v>
      </c>
      <c r="V29" s="70">
        <v>31936.386080409957</v>
      </c>
      <c r="W29" s="70">
        <v>32489.289869186618</v>
      </c>
      <c r="X29" s="70">
        <v>30057.253877118837</v>
      </c>
      <c r="Y29" s="70">
        <v>30731.618492748952</v>
      </c>
      <c r="Z29" s="70">
        <v>31525.474671874596</v>
      </c>
      <c r="AA29" s="70">
        <v>26938.001246611297</v>
      </c>
    </row>
    <row r="30" spans="1:27" x14ac:dyDescent="0.25">
      <c r="A30" s="64" t="s">
        <v>154</v>
      </c>
      <c r="B30" s="65"/>
      <c r="C30" s="65"/>
      <c r="D30" s="66">
        <v>3907.5039762956708</v>
      </c>
      <c r="E30" s="66">
        <v>3933.8180141046582</v>
      </c>
      <c r="F30" s="66">
        <v>3951.9889610788387</v>
      </c>
      <c r="G30" s="66">
        <v>4325.46361884827</v>
      </c>
      <c r="H30" s="66">
        <v>4603.7642986404371</v>
      </c>
      <c r="I30" s="66">
        <v>4508.7814683916613</v>
      </c>
      <c r="J30" s="66">
        <v>4817.5319891439285</v>
      </c>
      <c r="K30" s="66">
        <v>5013.2684519113936</v>
      </c>
      <c r="L30" s="66">
        <v>4379.3701417619814</v>
      </c>
      <c r="M30" s="66">
        <v>4614.8182888925221</v>
      </c>
      <c r="N30" s="66">
        <v>4890.7163840192761</v>
      </c>
      <c r="O30" s="66">
        <v>4605.9749542877489</v>
      </c>
      <c r="P30" s="66">
        <v>4859.223926536295</v>
      </c>
      <c r="Q30" s="66">
        <v>4665.5584674226711</v>
      </c>
      <c r="R30" s="66">
        <v>5147.1659406120689</v>
      </c>
      <c r="S30" s="66">
        <v>6530.3578999999991</v>
      </c>
      <c r="T30" s="66">
        <v>6314.8700343575165</v>
      </c>
      <c r="U30" s="66">
        <v>6083.3525184316859</v>
      </c>
      <c r="V30" s="66">
        <v>6299.307340268012</v>
      </c>
      <c r="W30" s="66">
        <v>5744.8348119442435</v>
      </c>
      <c r="X30" s="66">
        <v>4516.0355992076875</v>
      </c>
      <c r="Y30" s="66">
        <v>4116.9921693106808</v>
      </c>
      <c r="Z30" s="66">
        <v>2824.1094996460783</v>
      </c>
      <c r="AA30" s="66">
        <v>4063.8556555344198</v>
      </c>
    </row>
    <row r="31" spans="1:27" x14ac:dyDescent="0.25">
      <c r="A31" s="64" t="s">
        <v>37</v>
      </c>
      <c r="B31" s="65"/>
      <c r="C31" s="65"/>
      <c r="D31" s="66">
        <v>14450.810423556179</v>
      </c>
      <c r="E31" s="66">
        <v>14969.177749386754</v>
      </c>
      <c r="F31" s="66">
        <v>14784.515631102538</v>
      </c>
      <c r="G31" s="66">
        <v>13830.911567279561</v>
      </c>
      <c r="H31" s="66">
        <v>13942.988956428939</v>
      </c>
      <c r="I31" s="66">
        <v>13674.693375180635</v>
      </c>
      <c r="J31" s="66">
        <v>13509.768427298401</v>
      </c>
      <c r="K31" s="66">
        <v>13931.506573140314</v>
      </c>
      <c r="L31" s="66">
        <v>13979.540938081596</v>
      </c>
      <c r="M31" s="66">
        <v>12682.05141910682</v>
      </c>
      <c r="N31" s="66">
        <v>11986.475411208559</v>
      </c>
      <c r="O31" s="66">
        <v>11160.994565588968</v>
      </c>
      <c r="P31" s="66">
        <v>9558.2752407932003</v>
      </c>
      <c r="Q31" s="66">
        <v>8814.1105748045211</v>
      </c>
      <c r="R31" s="66">
        <v>8156.9803172791817</v>
      </c>
      <c r="S31" s="66">
        <v>8124.8192279999994</v>
      </c>
      <c r="T31" s="66">
        <v>8132.3678649258854</v>
      </c>
      <c r="U31" s="66">
        <v>8513.8884933975351</v>
      </c>
      <c r="V31" s="66">
        <v>9109.6935636688795</v>
      </c>
      <c r="W31" s="66">
        <v>9661.0148447489009</v>
      </c>
      <c r="X31" s="66">
        <v>9681.4251878086416</v>
      </c>
      <c r="Y31" s="66">
        <v>9920.933934683977</v>
      </c>
      <c r="Z31" s="66">
        <v>10882.086541528437</v>
      </c>
      <c r="AA31" s="66">
        <v>11547.6</v>
      </c>
    </row>
    <row r="32" spans="1:27" x14ac:dyDescent="0.25">
      <c r="A32" s="64" t="s">
        <v>58</v>
      </c>
      <c r="B32" s="65"/>
      <c r="C32" s="65"/>
      <c r="D32" s="66">
        <v>31173.859102092647</v>
      </c>
      <c r="E32" s="66">
        <v>31003.943683565001</v>
      </c>
      <c r="F32" s="66">
        <v>30312.826808808542</v>
      </c>
      <c r="G32" s="66">
        <v>28497.918336861647</v>
      </c>
      <c r="H32" s="66">
        <v>27877.728495197443</v>
      </c>
      <c r="I32" s="66">
        <v>26925.8831466763</v>
      </c>
      <c r="J32" s="66">
        <v>26936.235383313742</v>
      </c>
      <c r="K32" s="66">
        <v>27497.641408865104</v>
      </c>
      <c r="L32" s="66">
        <v>26548.620442901658</v>
      </c>
      <c r="M32" s="66">
        <v>24245.84293718305</v>
      </c>
      <c r="N32" s="66">
        <v>25551.111524049702</v>
      </c>
      <c r="O32" s="66">
        <v>24939.941735986649</v>
      </c>
      <c r="P32" s="66">
        <v>24278.277591018785</v>
      </c>
      <c r="Q32" s="66">
        <v>24566.421434500575</v>
      </c>
      <c r="R32" s="66">
        <v>25416.749056007815</v>
      </c>
      <c r="S32" s="66">
        <v>26269.372619999995</v>
      </c>
      <c r="T32" s="66">
        <v>27028.735741631492</v>
      </c>
      <c r="U32" s="66">
        <v>27899.8611457193</v>
      </c>
      <c r="V32" s="66">
        <v>28763.104537584895</v>
      </c>
      <c r="W32" s="66">
        <v>28692.089378342302</v>
      </c>
      <c r="X32" s="66">
        <v>27171.094472994813</v>
      </c>
      <c r="Y32" s="66">
        <v>29389.955315574323</v>
      </c>
      <c r="Z32" s="66">
        <v>30863.768607417889</v>
      </c>
      <c r="AA32" s="66">
        <v>30206.343988091063</v>
      </c>
    </row>
    <row r="33" spans="1:27" x14ac:dyDescent="0.25">
      <c r="A33" s="72" t="s">
        <v>158</v>
      </c>
      <c r="B33" s="65"/>
      <c r="C33" s="65"/>
      <c r="D33" s="66">
        <v>508.80532818328527</v>
      </c>
      <c r="E33" s="66">
        <v>495.47903720359767</v>
      </c>
      <c r="F33" s="66">
        <v>504.38976676778708</v>
      </c>
      <c r="G33" s="66">
        <v>447.04512261839636</v>
      </c>
      <c r="H33" s="66">
        <v>449.59326249361982</v>
      </c>
      <c r="I33" s="66">
        <v>427.23112355491332</v>
      </c>
      <c r="J33" s="66">
        <v>454.46045555934029</v>
      </c>
      <c r="K33" s="66">
        <v>447.40777775408827</v>
      </c>
      <c r="L33" s="66">
        <v>481.30685263796244</v>
      </c>
      <c r="M33" s="66">
        <v>437.92994847047271</v>
      </c>
      <c r="N33" s="66">
        <v>452.62561694046542</v>
      </c>
      <c r="O33" s="66">
        <v>481.73169382490954</v>
      </c>
      <c r="P33" s="66">
        <v>428.88927919420837</v>
      </c>
      <c r="Q33" s="66">
        <v>439.59937282872693</v>
      </c>
      <c r="R33" s="66">
        <v>469.02248667814598</v>
      </c>
      <c r="S33" s="66">
        <v>384.13869999999997</v>
      </c>
      <c r="T33" s="66">
        <v>491.14824776676153</v>
      </c>
      <c r="U33" s="66">
        <v>575.40072661041086</v>
      </c>
      <c r="V33" s="66">
        <v>591.07730446528797</v>
      </c>
      <c r="W33" s="66">
        <v>536.63745251938883</v>
      </c>
      <c r="X33" s="66">
        <v>492.28960959535567</v>
      </c>
      <c r="Y33" s="66">
        <v>861.03808094874455</v>
      </c>
      <c r="Z33" s="66">
        <v>808.45102637795605</v>
      </c>
      <c r="AA33" s="66">
        <v>722.5337011918474</v>
      </c>
    </row>
    <row r="34" spans="1:27" x14ac:dyDescent="0.25">
      <c r="A34" s="73" t="s">
        <v>5</v>
      </c>
      <c r="B34" s="65"/>
      <c r="C34" s="65"/>
      <c r="D34" s="66">
        <v>369.50910313118521</v>
      </c>
      <c r="E34" s="66">
        <v>359.83116629520197</v>
      </c>
      <c r="F34" s="66">
        <v>366.30239508768443</v>
      </c>
      <c r="G34" s="66">
        <v>324.65706070277133</v>
      </c>
      <c r="H34" s="66">
        <v>326.50759336780555</v>
      </c>
      <c r="I34" s="66">
        <v>310.26756315263492</v>
      </c>
      <c r="J34" s="66">
        <v>330.04228934062928</v>
      </c>
      <c r="K34" s="66">
        <v>324.92043132118431</v>
      </c>
      <c r="L34" s="66">
        <v>349.53891714176717</v>
      </c>
      <c r="M34" s="66">
        <v>245.67776956401428</v>
      </c>
      <c r="N34" s="66">
        <v>319.61926180536273</v>
      </c>
      <c r="O34" s="66">
        <v>356.04793760166075</v>
      </c>
      <c r="P34" s="66">
        <v>298.52010053571559</v>
      </c>
      <c r="Q34" s="66">
        <v>313.8231759086421</v>
      </c>
      <c r="R34" s="66">
        <v>332.27516709290632</v>
      </c>
      <c r="S34" s="66">
        <v>270.43517263524609</v>
      </c>
      <c r="T34" s="66">
        <v>345.6395190114315</v>
      </c>
      <c r="U34" s="66">
        <v>422.18456353816549</v>
      </c>
      <c r="V34" s="66">
        <v>419.00828836810348</v>
      </c>
      <c r="W34" s="66">
        <v>352.28720285518767</v>
      </c>
      <c r="X34" s="66">
        <v>321.67146842630643</v>
      </c>
      <c r="Y34" s="66">
        <v>663.5911116513189</v>
      </c>
      <c r="Z34" s="66">
        <v>590.32574909584707</v>
      </c>
      <c r="AA34" s="66">
        <v>429.72462439986413</v>
      </c>
    </row>
    <row r="35" spans="1:27" x14ac:dyDescent="0.25">
      <c r="A35" s="74" t="s">
        <v>264</v>
      </c>
      <c r="B35" s="44"/>
      <c r="C35" s="44"/>
      <c r="D35" s="45">
        <v>152.77629380291236</v>
      </c>
      <c r="E35" s="45">
        <v>34.797181821304619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</row>
    <row r="36" spans="1:27" x14ac:dyDescent="0.25">
      <c r="A36" s="74" t="s">
        <v>15</v>
      </c>
      <c r="B36" s="44"/>
      <c r="C36" s="44"/>
      <c r="D36" s="45">
        <v>216.73280932827285</v>
      </c>
      <c r="E36" s="45">
        <v>325.03398447389736</v>
      </c>
      <c r="F36" s="45">
        <v>366.30239508768443</v>
      </c>
      <c r="G36" s="45">
        <v>324.65706070277133</v>
      </c>
      <c r="H36" s="45">
        <v>326.50759336780555</v>
      </c>
      <c r="I36" s="45">
        <v>310.26756315263492</v>
      </c>
      <c r="J36" s="45">
        <v>330.04228934062928</v>
      </c>
      <c r="K36" s="45">
        <v>324.92043132118431</v>
      </c>
      <c r="L36" s="45">
        <v>349.53891714176717</v>
      </c>
      <c r="M36" s="45">
        <v>245.67776956401428</v>
      </c>
      <c r="N36" s="45">
        <v>319.61926180536273</v>
      </c>
      <c r="O36" s="45">
        <v>356.04793760166075</v>
      </c>
      <c r="P36" s="45">
        <v>298.52010053571559</v>
      </c>
      <c r="Q36" s="45">
        <v>313.8231759086421</v>
      </c>
      <c r="R36" s="45">
        <v>332.27516709290632</v>
      </c>
      <c r="S36" s="45">
        <v>270.43517263524609</v>
      </c>
      <c r="T36" s="45">
        <v>345.6395190114315</v>
      </c>
      <c r="U36" s="45">
        <v>422.18456353816549</v>
      </c>
      <c r="V36" s="45">
        <v>419.00828836810348</v>
      </c>
      <c r="W36" s="45">
        <v>352.28720285518767</v>
      </c>
      <c r="X36" s="45">
        <v>321.67146842630643</v>
      </c>
      <c r="Y36" s="45">
        <v>663.5911116513189</v>
      </c>
      <c r="Z36" s="45">
        <v>590.32574909584707</v>
      </c>
      <c r="AA36" s="45">
        <v>429.72462439986413</v>
      </c>
    </row>
    <row r="37" spans="1:27" x14ac:dyDescent="0.25">
      <c r="A37" s="73" t="s">
        <v>263</v>
      </c>
      <c r="B37" s="65"/>
      <c r="C37" s="65"/>
      <c r="D37" s="66">
        <v>139.29622505210006</v>
      </c>
      <c r="E37" s="66">
        <v>135.6478709083957</v>
      </c>
      <c r="F37" s="66">
        <v>138.08737168010265</v>
      </c>
      <c r="G37" s="66">
        <v>122.388061915625</v>
      </c>
      <c r="H37" s="66">
        <v>123.08566912581421</v>
      </c>
      <c r="I37" s="66">
        <v>116.9635604022784</v>
      </c>
      <c r="J37" s="66">
        <v>124.41816621871101</v>
      </c>
      <c r="K37" s="66">
        <v>122.48734643290396</v>
      </c>
      <c r="L37" s="66">
        <v>131.76793549619526</v>
      </c>
      <c r="M37" s="66">
        <v>192.2521789064584</v>
      </c>
      <c r="N37" s="66">
        <v>133.00635513510269</v>
      </c>
      <c r="O37" s="66">
        <v>125.68375622324879</v>
      </c>
      <c r="P37" s="66">
        <v>130.36917865849279</v>
      </c>
      <c r="Q37" s="66">
        <v>125.77619692008483</v>
      </c>
      <c r="R37" s="66">
        <v>136.74731958523967</v>
      </c>
      <c r="S37" s="66">
        <v>113.70352736475388</v>
      </c>
      <c r="T37" s="66">
        <v>145.50872875533003</v>
      </c>
      <c r="U37" s="66">
        <v>153.21616307224537</v>
      </c>
      <c r="V37" s="66">
        <v>172.06901609718449</v>
      </c>
      <c r="W37" s="66">
        <v>184.35024966420116</v>
      </c>
      <c r="X37" s="66">
        <v>170.61814116904918</v>
      </c>
      <c r="Y37" s="66">
        <v>197.44696929742565</v>
      </c>
      <c r="Z37" s="66">
        <v>218.12527728210898</v>
      </c>
      <c r="AA37" s="66">
        <v>292.80907679198322</v>
      </c>
    </row>
    <row r="38" spans="1:27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83.66265650856262</v>
      </c>
      <c r="E39" s="45">
        <v>81.471419815449337</v>
      </c>
      <c r="F39" s="45">
        <v>82.93660751195263</v>
      </c>
      <c r="G39" s="45">
        <v>73.507450621622269</v>
      </c>
      <c r="H39" s="45">
        <v>73.926440241636215</v>
      </c>
      <c r="I39" s="45">
        <v>70.249442684425475</v>
      </c>
      <c r="J39" s="45">
        <v>74.726750849766404</v>
      </c>
      <c r="K39" s="45">
        <v>73.567081860463276</v>
      </c>
      <c r="L39" s="45">
        <v>79.141093178493307</v>
      </c>
      <c r="M39" s="45">
        <v>92.005789175522494</v>
      </c>
      <c r="N39" s="45">
        <v>75.934625333123364</v>
      </c>
      <c r="O39" s="45">
        <v>70.311842330164836</v>
      </c>
      <c r="P39" s="45">
        <v>72.423758515206899</v>
      </c>
      <c r="Q39" s="45">
        <v>70.206330498052495</v>
      </c>
      <c r="R39" s="45">
        <v>83.352615963599504</v>
      </c>
      <c r="S39" s="45">
        <v>70.527024121189996</v>
      </c>
      <c r="T39" s="45">
        <v>95.856708176079437</v>
      </c>
      <c r="U39" s="45">
        <v>98.049037782448195</v>
      </c>
      <c r="V39" s="45">
        <v>102.58934283994489</v>
      </c>
      <c r="W39" s="45">
        <v>126.70735046315816</v>
      </c>
      <c r="X39" s="45">
        <v>123.45150519593798</v>
      </c>
      <c r="Y39" s="45">
        <v>136.0002698690551</v>
      </c>
      <c r="Z39" s="45">
        <v>133.6116441748789</v>
      </c>
      <c r="AA39" s="45">
        <v>204.25620529550477</v>
      </c>
    </row>
    <row r="40" spans="1:27" x14ac:dyDescent="0.25">
      <c r="A40" s="75" t="s">
        <v>267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</row>
    <row r="41" spans="1:27" x14ac:dyDescent="0.25">
      <c r="A41" s="75" t="s">
        <v>268</v>
      </c>
      <c r="B41" s="76"/>
      <c r="C41" s="76"/>
      <c r="D41" s="45">
        <v>83.66265650856262</v>
      </c>
      <c r="E41" s="45">
        <v>81.471419815449337</v>
      </c>
      <c r="F41" s="45">
        <v>82.93660751195263</v>
      </c>
      <c r="G41" s="45">
        <v>73.507450621622269</v>
      </c>
      <c r="H41" s="45">
        <v>73.926440241636215</v>
      </c>
      <c r="I41" s="45">
        <v>70.249442684425475</v>
      </c>
      <c r="J41" s="45">
        <v>74.726750849766404</v>
      </c>
      <c r="K41" s="45">
        <v>73.567081860463276</v>
      </c>
      <c r="L41" s="45">
        <v>79.141093178493307</v>
      </c>
      <c r="M41" s="45">
        <v>92.005789175522494</v>
      </c>
      <c r="N41" s="45">
        <v>75.934625333123364</v>
      </c>
      <c r="O41" s="45">
        <v>70.311842330164836</v>
      </c>
      <c r="P41" s="45">
        <v>72.423758515206899</v>
      </c>
      <c r="Q41" s="45">
        <v>70.206330498052495</v>
      </c>
      <c r="R41" s="45">
        <v>83.352615963599504</v>
      </c>
      <c r="S41" s="45">
        <v>70.527024121189996</v>
      </c>
      <c r="T41" s="45">
        <v>95.856708176079437</v>
      </c>
      <c r="U41" s="45">
        <v>98.049037782448195</v>
      </c>
      <c r="V41" s="45">
        <v>102.58934283994489</v>
      </c>
      <c r="W41" s="45">
        <v>126.70735046315816</v>
      </c>
      <c r="X41" s="45">
        <v>123.45150519593798</v>
      </c>
      <c r="Y41" s="45">
        <v>136.0002698690551</v>
      </c>
      <c r="Z41" s="45">
        <v>133.6116441748789</v>
      </c>
      <c r="AA41" s="45">
        <v>204.25620529550477</v>
      </c>
    </row>
    <row r="42" spans="1:27" x14ac:dyDescent="0.25">
      <c r="A42" s="74" t="s">
        <v>13</v>
      </c>
      <c r="B42" s="44"/>
      <c r="C42" s="44"/>
      <c r="D42" s="45">
        <v>55.633568543537436</v>
      </c>
      <c r="E42" s="45">
        <v>54.176451092946365</v>
      </c>
      <c r="F42" s="45">
        <v>55.150764168150019</v>
      </c>
      <c r="G42" s="45">
        <v>48.880611294002726</v>
      </c>
      <c r="H42" s="45">
        <v>49.159228884177985</v>
      </c>
      <c r="I42" s="45">
        <v>46.714117717852929</v>
      </c>
      <c r="J42" s="45">
        <v>49.691415368944604</v>
      </c>
      <c r="K42" s="45">
        <v>48.920264572440686</v>
      </c>
      <c r="L42" s="45">
        <v>52.62684231770195</v>
      </c>
      <c r="M42" s="45">
        <v>100.2463897309359</v>
      </c>
      <c r="N42" s="45">
        <v>57.07172980197933</v>
      </c>
      <c r="O42" s="45">
        <v>55.371913893083956</v>
      </c>
      <c r="P42" s="45">
        <v>57.945420143285887</v>
      </c>
      <c r="Q42" s="45">
        <v>55.569866422032334</v>
      </c>
      <c r="R42" s="45">
        <v>53.394703621640161</v>
      </c>
      <c r="S42" s="45">
        <v>43.176503243563879</v>
      </c>
      <c r="T42" s="45">
        <v>49.652020579250596</v>
      </c>
      <c r="U42" s="45">
        <v>55.16712528979717</v>
      </c>
      <c r="V42" s="45">
        <v>69.479673257239597</v>
      </c>
      <c r="W42" s="45">
        <v>57.642899201042979</v>
      </c>
      <c r="X42" s="45">
        <v>47.166635973111198</v>
      </c>
      <c r="Y42" s="45">
        <v>61.44669942837055</v>
      </c>
      <c r="Z42" s="45">
        <v>84.513633107230078</v>
      </c>
      <c r="AA42" s="45">
        <v>88.552871496478417</v>
      </c>
    </row>
    <row r="43" spans="1:27" x14ac:dyDescent="0.25">
      <c r="A43" s="72" t="s">
        <v>265</v>
      </c>
      <c r="B43" s="65"/>
      <c r="C43" s="65"/>
      <c r="D43" s="66">
        <v>1730.677218974047</v>
      </c>
      <c r="E43" s="66">
        <v>1706.5959372444809</v>
      </c>
      <c r="F43" s="66">
        <v>1705.6297122364008</v>
      </c>
      <c r="G43" s="66">
        <v>1634.7352727099737</v>
      </c>
      <c r="H43" s="66">
        <v>1684.6489350842191</v>
      </c>
      <c r="I43" s="66">
        <v>1661.4702989523123</v>
      </c>
      <c r="J43" s="66">
        <v>1571.9838785175093</v>
      </c>
      <c r="K43" s="66">
        <v>1744.8226467390148</v>
      </c>
      <c r="L43" s="66">
        <v>1566.4712406683257</v>
      </c>
      <c r="M43" s="66">
        <v>1492.8308768198917</v>
      </c>
      <c r="N43" s="66">
        <v>1599.2944671901005</v>
      </c>
      <c r="O43" s="66">
        <v>1634.4938000476518</v>
      </c>
      <c r="P43" s="66">
        <v>1492.9184135977339</v>
      </c>
      <c r="Q43" s="66">
        <v>1556.1661634949428</v>
      </c>
      <c r="R43" s="66">
        <v>1498.9311746665715</v>
      </c>
      <c r="S43" s="66">
        <v>1757.3869319999999</v>
      </c>
      <c r="T43" s="66">
        <v>1833.9525434377147</v>
      </c>
      <c r="U43" s="66">
        <v>1889.459987017894</v>
      </c>
      <c r="V43" s="66">
        <v>1733.4885181027757</v>
      </c>
      <c r="W43" s="66">
        <v>1773.700555301496</v>
      </c>
      <c r="X43" s="66">
        <v>1973.7950252389255</v>
      </c>
      <c r="Y43" s="66">
        <v>2251.6824652980549</v>
      </c>
      <c r="Z43" s="66">
        <v>2346.7281032262463</v>
      </c>
      <c r="AA43" s="66">
        <v>2295.8329580744658</v>
      </c>
    </row>
    <row r="44" spans="1:27" x14ac:dyDescent="0.25">
      <c r="A44" s="73" t="s">
        <v>266</v>
      </c>
      <c r="B44" s="65"/>
      <c r="C44" s="65"/>
      <c r="D44" s="66">
        <v>1161.0638588322443</v>
      </c>
      <c r="E44" s="66">
        <v>1128.8615392477514</v>
      </c>
      <c r="F44" s="66">
        <v>1102.5143046634159</v>
      </c>
      <c r="G44" s="66">
        <v>1084.6885373801767</v>
      </c>
      <c r="H44" s="66">
        <v>1135.915349635748</v>
      </c>
      <c r="I44" s="66">
        <v>1105.4963737355492</v>
      </c>
      <c r="J44" s="66">
        <v>1060.4542407893725</v>
      </c>
      <c r="K44" s="66">
        <v>1152.8365008634844</v>
      </c>
      <c r="L44" s="66">
        <v>982.13152798979536</v>
      </c>
      <c r="M44" s="66">
        <v>885.20794209062637</v>
      </c>
      <c r="N44" s="66">
        <v>1044.500707554394</v>
      </c>
      <c r="O44" s="66">
        <v>1070.8072058259868</v>
      </c>
      <c r="P44" s="66">
        <v>894.55191690273841</v>
      </c>
      <c r="Q44" s="66">
        <v>922.27375821112719</v>
      </c>
      <c r="R44" s="66">
        <v>911.39155756161665</v>
      </c>
      <c r="S44" s="66">
        <v>1115.843556</v>
      </c>
      <c r="T44" s="66">
        <v>1191.096829292235</v>
      </c>
      <c r="U44" s="66">
        <v>1163.5963378835293</v>
      </c>
      <c r="V44" s="66">
        <v>1006.5105458419741</v>
      </c>
      <c r="W44" s="66">
        <v>1041.0387329793091</v>
      </c>
      <c r="X44" s="66">
        <v>1119.5038967440416</v>
      </c>
      <c r="Y44" s="66">
        <v>1370.1081640537263</v>
      </c>
      <c r="Z44" s="66">
        <v>1443.7321678023484</v>
      </c>
      <c r="AA44" s="66">
        <v>1411.8480332970428</v>
      </c>
    </row>
    <row r="45" spans="1:27" x14ac:dyDescent="0.25">
      <c r="A45" s="74" t="s">
        <v>20</v>
      </c>
      <c r="B45" s="44"/>
      <c r="C45" s="44"/>
      <c r="D45" s="45">
        <v>412.82420470562113</v>
      </c>
      <c r="E45" s="45">
        <v>452.28785750862136</v>
      </c>
      <c r="F45" s="45">
        <v>446.97857498724267</v>
      </c>
      <c r="G45" s="45">
        <v>492.6115678546069</v>
      </c>
      <c r="H45" s="45">
        <v>504.10971235240936</v>
      </c>
      <c r="I45" s="45">
        <v>397.85125178052022</v>
      </c>
      <c r="J45" s="45">
        <v>389.66198115317195</v>
      </c>
      <c r="K45" s="45">
        <v>451.42272445338722</v>
      </c>
      <c r="L45" s="45">
        <v>378.78406414961444</v>
      </c>
      <c r="M45" s="45">
        <v>220.4177339257611</v>
      </c>
      <c r="N45" s="45">
        <v>388.92776596841782</v>
      </c>
      <c r="O45" s="45">
        <v>425.02103804921472</v>
      </c>
      <c r="P45" s="45">
        <v>263.52158187662076</v>
      </c>
      <c r="Q45" s="45">
        <v>323.05855252035786</v>
      </c>
      <c r="R45" s="45">
        <v>351.6048245040933</v>
      </c>
      <c r="S45" s="45">
        <v>567.86191633781516</v>
      </c>
      <c r="T45" s="45">
        <v>568.27762796512252</v>
      </c>
      <c r="U45" s="45">
        <v>565.95479073527133</v>
      </c>
      <c r="V45" s="45">
        <v>418.80032380745928</v>
      </c>
      <c r="W45" s="45">
        <v>437.00875407424201</v>
      </c>
      <c r="X45" s="45">
        <v>435.73923633651731</v>
      </c>
      <c r="Y45" s="45">
        <v>705.75249200068458</v>
      </c>
      <c r="Z45" s="45">
        <v>680.90086774636529</v>
      </c>
      <c r="AA45" s="45">
        <v>494.32609179619675</v>
      </c>
    </row>
    <row r="46" spans="1:27" x14ac:dyDescent="0.25">
      <c r="A46" s="74" t="s">
        <v>12</v>
      </c>
      <c r="B46" s="44"/>
      <c r="C46" s="44"/>
      <c r="D46" s="45">
        <v>748.23965412662312</v>
      </c>
      <c r="E46" s="45">
        <v>676.57368173913005</v>
      </c>
      <c r="F46" s="45">
        <v>655.53572967617333</v>
      </c>
      <c r="G46" s="45">
        <v>592.07696952556989</v>
      </c>
      <c r="H46" s="45">
        <v>631.80563728333868</v>
      </c>
      <c r="I46" s="45">
        <v>707.64512195502903</v>
      </c>
      <c r="J46" s="45">
        <v>670.79225963620058</v>
      </c>
      <c r="K46" s="45">
        <v>701.41377641009717</v>
      </c>
      <c r="L46" s="45">
        <v>603.34746384018092</v>
      </c>
      <c r="M46" s="45">
        <v>664.79020816486525</v>
      </c>
      <c r="N46" s="45">
        <v>655.5729415859762</v>
      </c>
      <c r="O46" s="45">
        <v>645.78616777677212</v>
      </c>
      <c r="P46" s="45">
        <v>631.03033502611765</v>
      </c>
      <c r="Q46" s="45">
        <v>599.21520569076938</v>
      </c>
      <c r="R46" s="45">
        <v>559.78673305752341</v>
      </c>
      <c r="S46" s="45">
        <v>547.98163966218488</v>
      </c>
      <c r="T46" s="45">
        <v>622.81920132711252</v>
      </c>
      <c r="U46" s="45">
        <v>597.64154714825793</v>
      </c>
      <c r="V46" s="45">
        <v>587.7102220345148</v>
      </c>
      <c r="W46" s="45">
        <v>604.02997890506708</v>
      </c>
      <c r="X46" s="45">
        <v>683.76466040752439</v>
      </c>
      <c r="Y46" s="45">
        <v>664.35567205304176</v>
      </c>
      <c r="Z46" s="45">
        <v>762.83130005598309</v>
      </c>
      <c r="AA46" s="45">
        <v>917.52194150084597</v>
      </c>
    </row>
    <row r="47" spans="1:27" x14ac:dyDescent="0.25">
      <c r="A47" s="73" t="s">
        <v>11</v>
      </c>
      <c r="B47" s="65"/>
      <c r="C47" s="65"/>
      <c r="D47" s="66">
        <v>569.61336014180279</v>
      </c>
      <c r="E47" s="66">
        <v>577.7343979967294</v>
      </c>
      <c r="F47" s="66">
        <v>603.11540757298474</v>
      </c>
      <c r="G47" s="66">
        <v>550.04673532979712</v>
      </c>
      <c r="H47" s="66">
        <v>548.7335854484711</v>
      </c>
      <c r="I47" s="66">
        <v>555.97392521676306</v>
      </c>
      <c r="J47" s="66">
        <v>511.52963772813683</v>
      </c>
      <c r="K47" s="66">
        <v>591.98614587553038</v>
      </c>
      <c r="L47" s="66">
        <v>584.33971267853042</v>
      </c>
      <c r="M47" s="66">
        <v>607.62293472926547</v>
      </c>
      <c r="N47" s="66">
        <v>554.79375963570646</v>
      </c>
      <c r="O47" s="66">
        <v>563.68659422166513</v>
      </c>
      <c r="P47" s="66">
        <v>598.36649669499536</v>
      </c>
      <c r="Q47" s="66">
        <v>633.89240528381549</v>
      </c>
      <c r="R47" s="66">
        <v>587.5396171049548</v>
      </c>
      <c r="S47" s="66">
        <v>641.54337599999997</v>
      </c>
      <c r="T47" s="66">
        <v>642.85571414547951</v>
      </c>
      <c r="U47" s="66">
        <v>725.86364913436489</v>
      </c>
      <c r="V47" s="66">
        <v>726.97797226080172</v>
      </c>
      <c r="W47" s="66">
        <v>732.66182232218682</v>
      </c>
      <c r="X47" s="66">
        <v>854.29112849488376</v>
      </c>
      <c r="Y47" s="66">
        <v>881.57430124432869</v>
      </c>
      <c r="Z47" s="66">
        <v>902.99593542389778</v>
      </c>
      <c r="AA47" s="66">
        <v>883.9849247774232</v>
      </c>
    </row>
    <row r="48" spans="1:27" x14ac:dyDescent="0.25">
      <c r="A48" s="72" t="s">
        <v>4</v>
      </c>
      <c r="B48" s="65"/>
      <c r="C48" s="65"/>
      <c r="D48" s="66">
        <v>2635.0707108653673</v>
      </c>
      <c r="E48" s="66">
        <v>2603.9418949304986</v>
      </c>
      <c r="F48" s="66">
        <v>2540.3526657741854</v>
      </c>
      <c r="G48" s="66">
        <v>2335.8107656811212</v>
      </c>
      <c r="H48" s="66">
        <v>2308.5111456544946</v>
      </c>
      <c r="I48" s="66">
        <v>2219.5947164017343</v>
      </c>
      <c r="J48" s="66">
        <v>2181.6055335186629</v>
      </c>
      <c r="K48" s="66">
        <v>2239.2048568321857</v>
      </c>
      <c r="L48" s="66">
        <v>2152.9353422136719</v>
      </c>
      <c r="M48" s="66">
        <v>2018.0092466873875</v>
      </c>
      <c r="N48" s="66">
        <v>2053.8649091818711</v>
      </c>
      <c r="O48" s="66">
        <v>1873.6495126019079</v>
      </c>
      <c r="P48" s="66">
        <v>1704.4984618612943</v>
      </c>
      <c r="Q48" s="66">
        <v>1603.0151197466719</v>
      </c>
      <c r="R48" s="66">
        <v>1578.6326510234644</v>
      </c>
      <c r="S48" s="66">
        <v>1603.2234999999998</v>
      </c>
      <c r="T48" s="66">
        <v>1659.6821753214879</v>
      </c>
      <c r="U48" s="66">
        <v>1792.3911024133154</v>
      </c>
      <c r="V48" s="66">
        <v>1880.9860428835066</v>
      </c>
      <c r="W48" s="66">
        <v>1995.4427535487964</v>
      </c>
      <c r="X48" s="66">
        <v>2001.9622903982549</v>
      </c>
      <c r="Y48" s="66">
        <v>2116.485681685459</v>
      </c>
      <c r="Z48" s="66">
        <v>2168.2515738932429</v>
      </c>
      <c r="AA48" s="66">
        <v>2101.7823529001071</v>
      </c>
    </row>
    <row r="49" spans="1:27" x14ac:dyDescent="0.25">
      <c r="A49" s="77" t="s">
        <v>10</v>
      </c>
      <c r="B49" s="44"/>
      <c r="C49" s="44"/>
      <c r="D49" s="45">
        <v>716.61271217886451</v>
      </c>
      <c r="E49" s="45">
        <v>683.34151451668504</v>
      </c>
      <c r="F49" s="45">
        <v>601.16732546284402</v>
      </c>
      <c r="G49" s="45">
        <v>560.77349393388101</v>
      </c>
      <c r="H49" s="45">
        <v>606.06095033920633</v>
      </c>
      <c r="I49" s="45">
        <v>532.23324990833567</v>
      </c>
      <c r="J49" s="45">
        <v>520.07220245001508</v>
      </c>
      <c r="K49" s="45">
        <v>645.21477533439543</v>
      </c>
      <c r="L49" s="45">
        <v>617.1644714671811</v>
      </c>
      <c r="M49" s="45">
        <v>680.0461707487525</v>
      </c>
      <c r="N49" s="45">
        <v>669.27575140790714</v>
      </c>
      <c r="O49" s="45">
        <v>574.51565019909526</v>
      </c>
      <c r="P49" s="45">
        <v>572.65800631304978</v>
      </c>
      <c r="Q49" s="45">
        <v>470.17015774472617</v>
      </c>
      <c r="R49" s="45">
        <v>449.22693755810519</v>
      </c>
      <c r="S49" s="45">
        <v>432.66807308381851</v>
      </c>
      <c r="T49" s="45">
        <v>344.35362642763619</v>
      </c>
      <c r="U49" s="45">
        <v>370.51757031802993</v>
      </c>
      <c r="V49" s="45">
        <v>404.45173569891404</v>
      </c>
      <c r="W49" s="45">
        <v>479.34152526061575</v>
      </c>
      <c r="X49" s="45">
        <v>576.33222766446784</v>
      </c>
      <c r="Y49" s="45">
        <v>430.94749649517598</v>
      </c>
      <c r="Z49" s="45">
        <v>762.98534458100244</v>
      </c>
      <c r="AA49" s="45">
        <v>666.27096278050681</v>
      </c>
    </row>
    <row r="50" spans="1:27" x14ac:dyDescent="0.25">
      <c r="A50" s="77" t="s">
        <v>18</v>
      </c>
      <c r="B50" s="44"/>
      <c r="C50" s="44"/>
      <c r="D50" s="45">
        <v>330.97034239652311</v>
      </c>
      <c r="E50" s="45">
        <v>337.90740839900303</v>
      </c>
      <c r="F50" s="45">
        <v>311.94203023062573</v>
      </c>
      <c r="G50" s="45">
        <v>346.16309689735152</v>
      </c>
      <c r="H50" s="45">
        <v>368.99511741109524</v>
      </c>
      <c r="I50" s="45">
        <v>338.36651396768735</v>
      </c>
      <c r="J50" s="45">
        <v>361.18879972254769</v>
      </c>
      <c r="K50" s="45">
        <v>440.24470193727137</v>
      </c>
      <c r="L50" s="45">
        <v>467.80270929741198</v>
      </c>
      <c r="M50" s="45">
        <v>456.25241748470347</v>
      </c>
      <c r="N50" s="45">
        <v>484.07107975427095</v>
      </c>
      <c r="O50" s="45">
        <v>455.34351583170354</v>
      </c>
      <c r="P50" s="45">
        <v>533.77988150280146</v>
      </c>
      <c r="Q50" s="45">
        <v>507.54489119767646</v>
      </c>
      <c r="R50" s="45">
        <v>440.61564566551317</v>
      </c>
      <c r="S50" s="45">
        <v>437.48234706876042</v>
      </c>
      <c r="T50" s="45">
        <v>439.97732297544428</v>
      </c>
      <c r="U50" s="45">
        <v>477.94965440115072</v>
      </c>
      <c r="V50" s="45">
        <v>497.1057833863361</v>
      </c>
      <c r="W50" s="45">
        <v>511.6446818513071</v>
      </c>
      <c r="X50" s="45">
        <v>467.84165919509297</v>
      </c>
      <c r="Y50" s="45">
        <v>504.12428281304909</v>
      </c>
      <c r="Z50" s="45">
        <v>423.18391148017605</v>
      </c>
      <c r="AA50" s="45">
        <v>501.53544986593846</v>
      </c>
    </row>
    <row r="51" spans="1:27" x14ac:dyDescent="0.25">
      <c r="A51" s="77" t="s">
        <v>9</v>
      </c>
      <c r="B51" s="44"/>
      <c r="C51" s="44"/>
      <c r="D51" s="45">
        <v>1587.4876562899797</v>
      </c>
      <c r="E51" s="45">
        <v>1582.6929720148105</v>
      </c>
      <c r="F51" s="45">
        <v>1627.2433100807157</v>
      </c>
      <c r="G51" s="45">
        <v>1428.8741748498885</v>
      </c>
      <c r="H51" s="45">
        <v>1333.4550779041931</v>
      </c>
      <c r="I51" s="45">
        <v>1348.9949525257114</v>
      </c>
      <c r="J51" s="45">
        <v>1300.3445313461002</v>
      </c>
      <c r="K51" s="45">
        <v>1153.7453795605188</v>
      </c>
      <c r="L51" s="45">
        <v>1067.9681614490787</v>
      </c>
      <c r="M51" s="45">
        <v>881.7106584539315</v>
      </c>
      <c r="N51" s="45">
        <v>900.51807801969301</v>
      </c>
      <c r="O51" s="45">
        <v>843.79034657110901</v>
      </c>
      <c r="P51" s="45">
        <v>598.0605740454431</v>
      </c>
      <c r="Q51" s="45">
        <v>625.30007080426935</v>
      </c>
      <c r="R51" s="45">
        <v>688.79006779984604</v>
      </c>
      <c r="S51" s="45">
        <v>733.07307984742079</v>
      </c>
      <c r="T51" s="45">
        <v>875.35122591840752</v>
      </c>
      <c r="U51" s="45">
        <v>943.92387769413483</v>
      </c>
      <c r="V51" s="45">
        <v>979.42852379825649</v>
      </c>
      <c r="W51" s="45">
        <v>1004.4565464368736</v>
      </c>
      <c r="X51" s="45">
        <v>957.78840353869418</v>
      </c>
      <c r="Y51" s="45">
        <v>1181.4139023772339</v>
      </c>
      <c r="Z51" s="45">
        <v>982.08231783206452</v>
      </c>
      <c r="AA51" s="45">
        <v>933.97594025366175</v>
      </c>
    </row>
    <row r="52" spans="1:27" x14ac:dyDescent="0.25">
      <c r="A52" s="72" t="s">
        <v>3</v>
      </c>
      <c r="B52" s="65"/>
      <c r="C52" s="65"/>
      <c r="D52" s="66">
        <v>2641.7898304187943</v>
      </c>
      <c r="E52" s="66">
        <v>2458.7376584219128</v>
      </c>
      <c r="F52" s="66">
        <v>2319.1947531963497</v>
      </c>
      <c r="G52" s="66">
        <v>2138.8692657168003</v>
      </c>
      <c r="H52" s="66">
        <v>2018.161106213169</v>
      </c>
      <c r="I52" s="66">
        <v>2074.5081737716764</v>
      </c>
      <c r="J52" s="66">
        <v>2183.1404014987534</v>
      </c>
      <c r="K52" s="66">
        <v>2206.7153359060185</v>
      </c>
      <c r="L52" s="66">
        <v>1950.3217540411115</v>
      </c>
      <c r="M52" s="66">
        <v>1674.4685874366101</v>
      </c>
      <c r="N52" s="66">
        <v>1965.9588168628693</v>
      </c>
      <c r="O52" s="66">
        <v>1790.9053194244452</v>
      </c>
      <c r="P52" s="66">
        <v>1639.4789004301756</v>
      </c>
      <c r="Q52" s="66">
        <v>1594.8165524026194</v>
      </c>
      <c r="R52" s="66">
        <v>1511.4815694825108</v>
      </c>
      <c r="S52" s="66">
        <v>1678.14642</v>
      </c>
      <c r="T52" s="66">
        <v>1622.6590713654655</v>
      </c>
      <c r="U52" s="66">
        <v>1633.5622937637452</v>
      </c>
      <c r="V52" s="66">
        <v>1869.7515876790776</v>
      </c>
      <c r="W52" s="66">
        <v>1774.5301626706732</v>
      </c>
      <c r="X52" s="66">
        <v>1443.7172327549226</v>
      </c>
      <c r="Y52" s="66">
        <v>1721.3916212209692</v>
      </c>
      <c r="Z52" s="66">
        <v>2156.5552964854974</v>
      </c>
      <c r="AA52" s="66">
        <v>2299.7487855894187</v>
      </c>
    </row>
    <row r="53" spans="1:27" x14ac:dyDescent="0.25">
      <c r="A53" s="73" t="s">
        <v>21</v>
      </c>
      <c r="B53" s="65"/>
      <c r="C53" s="65"/>
      <c r="D53" s="66">
        <v>1717.9108918225352</v>
      </c>
      <c r="E53" s="66">
        <v>1590.4325480376124</v>
      </c>
      <c r="F53" s="66">
        <v>1503.4994903034842</v>
      </c>
      <c r="G53" s="66">
        <v>1372.7003782022314</v>
      </c>
      <c r="H53" s="66">
        <v>1285.4360447311033</v>
      </c>
      <c r="I53" s="66">
        <v>1333.0184519508671</v>
      </c>
      <c r="J53" s="66">
        <v>1413.4738762100453</v>
      </c>
      <c r="K53" s="66">
        <v>1425.7484766432854</v>
      </c>
      <c r="L53" s="66">
        <v>1242.2363898705589</v>
      </c>
      <c r="M53" s="66">
        <v>1075.2848601341402</v>
      </c>
      <c r="N53" s="66">
        <v>1275.1569586392086</v>
      </c>
      <c r="O53" s="66">
        <v>1171.5735841629287</v>
      </c>
      <c r="P53" s="66">
        <v>1080.9502087923618</v>
      </c>
      <c r="Q53" s="66">
        <v>1068.4164745186051</v>
      </c>
      <c r="R53" s="66">
        <v>972.72029099208316</v>
      </c>
      <c r="S53" s="66">
        <v>1138.5744079999999</v>
      </c>
      <c r="T53" s="66">
        <v>1111.0670894277018</v>
      </c>
      <c r="U53" s="66">
        <v>1084.1204196901735</v>
      </c>
      <c r="V53" s="66">
        <v>1350.3090352162249</v>
      </c>
      <c r="W53" s="66">
        <v>1251.8775200888481</v>
      </c>
      <c r="X53" s="66">
        <v>1017.3830712075435</v>
      </c>
      <c r="Y53" s="66">
        <v>1265.8298009972598</v>
      </c>
      <c r="Z53" s="66">
        <v>1664.8784499006454</v>
      </c>
      <c r="AA53" s="66">
        <v>1814.365677399561</v>
      </c>
    </row>
    <row r="54" spans="1:27" x14ac:dyDescent="0.25">
      <c r="A54" s="74" t="s">
        <v>8</v>
      </c>
      <c r="B54" s="44"/>
      <c r="C54" s="44"/>
      <c r="D54" s="45">
        <v>674.93974373218396</v>
      </c>
      <c r="E54" s="45">
        <v>578.29717309258103</v>
      </c>
      <c r="F54" s="45">
        <v>539.09103449238228</v>
      </c>
      <c r="G54" s="45">
        <v>495.98181754269353</v>
      </c>
      <c r="H54" s="45">
        <v>430.13962760388233</v>
      </c>
      <c r="I54" s="45">
        <v>482.71417142918369</v>
      </c>
      <c r="J54" s="45">
        <v>507.23182323632892</v>
      </c>
      <c r="K54" s="45">
        <v>518.44658528359821</v>
      </c>
      <c r="L54" s="45">
        <v>431.81984789471386</v>
      </c>
      <c r="M54" s="45">
        <v>213.70292634509329</v>
      </c>
      <c r="N54" s="45">
        <v>611.41869106528077</v>
      </c>
      <c r="O54" s="45">
        <v>480.73560414830672</v>
      </c>
      <c r="P54" s="45">
        <v>551.9951722277865</v>
      </c>
      <c r="Q54" s="45">
        <v>507.90078462401925</v>
      </c>
      <c r="R54" s="45">
        <v>433.14082720021577</v>
      </c>
      <c r="S54" s="45">
        <v>734.06125310709444</v>
      </c>
      <c r="T54" s="45">
        <v>891.73672030309547</v>
      </c>
      <c r="U54" s="45">
        <v>689.2674150171905</v>
      </c>
      <c r="V54" s="45">
        <v>1195.1690135517467</v>
      </c>
      <c r="W54" s="45">
        <v>792.43970693242125</v>
      </c>
      <c r="X54" s="45">
        <v>207.44099804347866</v>
      </c>
      <c r="Y54" s="45">
        <v>257.76252091984264</v>
      </c>
      <c r="Z54" s="45">
        <v>310.16044041831117</v>
      </c>
      <c r="AA54" s="45">
        <v>172.37745113066438</v>
      </c>
    </row>
    <row r="55" spans="1:27" x14ac:dyDescent="0.25">
      <c r="A55" s="74" t="s">
        <v>17</v>
      </c>
      <c r="B55" s="44"/>
      <c r="C55" s="44"/>
      <c r="D55" s="45">
        <v>1042.9711480903511</v>
      </c>
      <c r="E55" s="45">
        <v>1012.1353749450313</v>
      </c>
      <c r="F55" s="45">
        <v>964.40845581110193</v>
      </c>
      <c r="G55" s="45">
        <v>876.71856065953784</v>
      </c>
      <c r="H55" s="45">
        <v>855.29641712722093</v>
      </c>
      <c r="I55" s="45">
        <v>850.30428052168338</v>
      </c>
      <c r="J55" s="45">
        <v>906.24205297371645</v>
      </c>
      <c r="K55" s="45">
        <v>907.30189135968715</v>
      </c>
      <c r="L55" s="45">
        <v>810.41654197584512</v>
      </c>
      <c r="M55" s="45">
        <v>861.58193378904696</v>
      </c>
      <c r="N55" s="45">
        <v>663.73826757392783</v>
      </c>
      <c r="O55" s="45">
        <v>690.83798001462196</v>
      </c>
      <c r="P55" s="45">
        <v>528.95503656457527</v>
      </c>
      <c r="Q55" s="45">
        <v>560.51568989458588</v>
      </c>
      <c r="R55" s="45">
        <v>539.5794637918674</v>
      </c>
      <c r="S55" s="45">
        <v>404.5131548929055</v>
      </c>
      <c r="T55" s="45">
        <v>219.33036912460636</v>
      </c>
      <c r="U55" s="45">
        <v>394.85300467298305</v>
      </c>
      <c r="V55" s="45">
        <v>155.14002166447813</v>
      </c>
      <c r="W55" s="45">
        <v>459.43781315642684</v>
      </c>
      <c r="X55" s="45">
        <v>809.94207316406482</v>
      </c>
      <c r="Y55" s="45">
        <v>1008.0672800774171</v>
      </c>
      <c r="Z55" s="45">
        <v>1354.7180094823343</v>
      </c>
      <c r="AA55" s="45">
        <v>1641.9882262688966</v>
      </c>
    </row>
    <row r="56" spans="1:27" x14ac:dyDescent="0.25">
      <c r="A56" s="73" t="s">
        <v>16</v>
      </c>
      <c r="B56" s="65"/>
      <c r="C56" s="65"/>
      <c r="D56" s="66">
        <v>923.87893859625922</v>
      </c>
      <c r="E56" s="66">
        <v>868.30511038430063</v>
      </c>
      <c r="F56" s="66">
        <v>815.69526289286534</v>
      </c>
      <c r="G56" s="66">
        <v>766.16888751456918</v>
      </c>
      <c r="H56" s="66">
        <v>732.72506148206571</v>
      </c>
      <c r="I56" s="66">
        <v>741.48972182080934</v>
      </c>
      <c r="J56" s="66">
        <v>769.66652528870793</v>
      </c>
      <c r="K56" s="66">
        <v>780.96685926273335</v>
      </c>
      <c r="L56" s="66">
        <v>708.08536417055268</v>
      </c>
      <c r="M56" s="66">
        <v>599.18372730246983</v>
      </c>
      <c r="N56" s="66">
        <v>690.8018582236607</v>
      </c>
      <c r="O56" s="66">
        <v>619.33173526151666</v>
      </c>
      <c r="P56" s="66">
        <v>558.52869163781384</v>
      </c>
      <c r="Q56" s="66">
        <v>526.40007788401431</v>
      </c>
      <c r="R56" s="66">
        <v>538.76127849042769</v>
      </c>
      <c r="S56" s="66">
        <v>539.57201200000009</v>
      </c>
      <c r="T56" s="66">
        <v>511.59198193776359</v>
      </c>
      <c r="U56" s="66">
        <v>549.44187407357163</v>
      </c>
      <c r="V56" s="66">
        <v>519.44255246285263</v>
      </c>
      <c r="W56" s="66">
        <v>522.65264258182526</v>
      </c>
      <c r="X56" s="66">
        <v>426.33416154737915</v>
      </c>
      <c r="Y56" s="66">
        <v>455.56182022370933</v>
      </c>
      <c r="Z56" s="66">
        <v>491.67684658485206</v>
      </c>
      <c r="AA56" s="66">
        <v>485.38310818985747</v>
      </c>
    </row>
    <row r="57" spans="1:27" x14ac:dyDescent="0.25">
      <c r="A57" s="72" t="s">
        <v>2</v>
      </c>
      <c r="B57" s="65"/>
      <c r="C57" s="65"/>
      <c r="D57" s="66">
        <v>4143.0091166432976</v>
      </c>
      <c r="E57" s="66">
        <v>4394.9023047833198</v>
      </c>
      <c r="F57" s="66">
        <v>4547.9299934906221</v>
      </c>
      <c r="G57" s="66">
        <v>4546.5697200352042</v>
      </c>
      <c r="H57" s="66">
        <v>4556.9193912115452</v>
      </c>
      <c r="I57" s="66">
        <v>4562.4843208092489</v>
      </c>
      <c r="J57" s="66">
        <v>4519.6280675537582</v>
      </c>
      <c r="K57" s="66">
        <v>4360.905946314735</v>
      </c>
      <c r="L57" s="66">
        <v>4459.7561029673161</v>
      </c>
      <c r="M57" s="66">
        <v>4600.406719286766</v>
      </c>
      <c r="N57" s="66">
        <v>4625.8312120314877</v>
      </c>
      <c r="O57" s="66">
        <v>4496.4694228916533</v>
      </c>
      <c r="P57" s="66">
        <v>4469.4286643584092</v>
      </c>
      <c r="Q57" s="66">
        <v>4565.8211946997881</v>
      </c>
      <c r="R57" s="66">
        <v>4843.8054713847587</v>
      </c>
      <c r="S57" s="66">
        <v>4894.3714959999998</v>
      </c>
      <c r="T57" s="66">
        <v>5089.6172101698239</v>
      </c>
      <c r="U57" s="66">
        <v>5039.0930855753304</v>
      </c>
      <c r="V57" s="66">
        <v>5115.9051387911186</v>
      </c>
      <c r="W57" s="66">
        <v>5076.6045226740325</v>
      </c>
      <c r="X57" s="66">
        <v>4826.5710039889364</v>
      </c>
      <c r="Y57" s="66">
        <v>4928.9210511657157</v>
      </c>
      <c r="Z57" s="66">
        <v>5033.6229410610877</v>
      </c>
      <c r="AA57" s="66">
        <v>4881.5283108318208</v>
      </c>
    </row>
    <row r="58" spans="1:27" x14ac:dyDescent="0.25">
      <c r="A58" s="72" t="s">
        <v>269</v>
      </c>
      <c r="B58" s="65"/>
      <c r="C58" s="65"/>
      <c r="D58" s="66">
        <v>2510.0950871716182</v>
      </c>
      <c r="E58" s="66">
        <v>2591.124984668847</v>
      </c>
      <c r="F58" s="66">
        <v>2428.9938860981811</v>
      </c>
      <c r="G58" s="66">
        <v>2145.6655598106613</v>
      </c>
      <c r="H58" s="66">
        <v>2071.3403879170341</v>
      </c>
      <c r="I58" s="66">
        <v>1927.9879696531791</v>
      </c>
      <c r="J58" s="66">
        <v>1892.7712863562945</v>
      </c>
      <c r="K58" s="66">
        <v>1929.2006779950111</v>
      </c>
      <c r="L58" s="66">
        <v>1728.588666067209</v>
      </c>
      <c r="M58" s="66">
        <v>1429.4719041387207</v>
      </c>
      <c r="N58" s="66">
        <v>1717.5398303094657</v>
      </c>
      <c r="O58" s="66">
        <v>1791.826161001937</v>
      </c>
      <c r="P58" s="66">
        <v>1730.746112684923</v>
      </c>
      <c r="Q58" s="66">
        <v>1737.1853250120414</v>
      </c>
      <c r="R58" s="66">
        <v>1793.6713745707966</v>
      </c>
      <c r="S58" s="66">
        <v>1852.3739559999999</v>
      </c>
      <c r="T58" s="66">
        <v>1893.0399214685381</v>
      </c>
      <c r="U58" s="66">
        <v>2080.8911460099403</v>
      </c>
      <c r="V58" s="66">
        <v>2398.1333840680354</v>
      </c>
      <c r="W58" s="66">
        <v>2460.3784263035582</v>
      </c>
      <c r="X58" s="66">
        <v>2160.3017315819743</v>
      </c>
      <c r="Y58" s="66">
        <v>2402.167324019586</v>
      </c>
      <c r="Z58" s="66">
        <v>2453.4024851394797</v>
      </c>
      <c r="AA58" s="66">
        <v>2396.8725098819941</v>
      </c>
    </row>
    <row r="59" spans="1:27" x14ac:dyDescent="0.25">
      <c r="A59" s="72" t="s">
        <v>270</v>
      </c>
      <c r="B59" s="65"/>
      <c r="C59" s="65"/>
      <c r="D59" s="66">
        <v>6039.9845445646715</v>
      </c>
      <c r="E59" s="66">
        <v>5969.4353945216681</v>
      </c>
      <c r="F59" s="66">
        <v>5678.6739047665815</v>
      </c>
      <c r="G59" s="66">
        <v>5343.3974453509672</v>
      </c>
      <c r="H59" s="66">
        <v>5413.9749617187144</v>
      </c>
      <c r="I59" s="66">
        <v>5338.9553829479773</v>
      </c>
      <c r="J59" s="66">
        <v>5506.1295783933456</v>
      </c>
      <c r="K59" s="66">
        <v>5815.3534997761344</v>
      </c>
      <c r="L59" s="66">
        <v>5836.0945400556247</v>
      </c>
      <c r="M59" s="66">
        <v>4764.516845247832</v>
      </c>
      <c r="N59" s="66">
        <v>5110.3519598133607</v>
      </c>
      <c r="O59" s="66">
        <v>4711.2886080407734</v>
      </c>
      <c r="P59" s="66">
        <v>4653.162220123806</v>
      </c>
      <c r="Q59" s="66">
        <v>4690.2312007460469</v>
      </c>
      <c r="R59" s="66">
        <v>4910.439010871447</v>
      </c>
      <c r="S59" s="66">
        <v>4874.8153439999987</v>
      </c>
      <c r="T59" s="66">
        <v>5125.269088053401</v>
      </c>
      <c r="U59" s="66">
        <v>5449.6366444162422</v>
      </c>
      <c r="V59" s="66">
        <v>5639.5757120298313</v>
      </c>
      <c r="W59" s="66">
        <v>5680.0846260814378</v>
      </c>
      <c r="X59" s="66">
        <v>5322.8017124131702</v>
      </c>
      <c r="Y59" s="66">
        <v>5771.476533848434</v>
      </c>
      <c r="Z59" s="66">
        <v>6154.2995949069136</v>
      </c>
      <c r="AA59" s="66">
        <v>6074.8172110989835</v>
      </c>
    </row>
    <row r="60" spans="1:27" x14ac:dyDescent="0.25">
      <c r="A60" s="72" t="s">
        <v>1</v>
      </c>
      <c r="B60" s="65"/>
      <c r="C60" s="65"/>
      <c r="D60" s="66">
        <v>6403.656890393926</v>
      </c>
      <c r="E60" s="66">
        <v>6283.8552943581353</v>
      </c>
      <c r="F60" s="66">
        <v>6218.6236179855305</v>
      </c>
      <c r="G60" s="66">
        <v>5834.845022715921</v>
      </c>
      <c r="H60" s="66">
        <v>5428.5587536541234</v>
      </c>
      <c r="I60" s="66">
        <v>4895.3805184248558</v>
      </c>
      <c r="J60" s="66">
        <v>4806.9274467360374</v>
      </c>
      <c r="K60" s="66">
        <v>4853.3929343538794</v>
      </c>
      <c r="L60" s="66">
        <v>4632.4954727002787</v>
      </c>
      <c r="M60" s="66">
        <v>4307.7609725175853</v>
      </c>
      <c r="N60" s="66">
        <v>4360.8163850402789</v>
      </c>
      <c r="O60" s="66">
        <v>4452.0059295784858</v>
      </c>
      <c r="P60" s="66">
        <v>4496.0760256006715</v>
      </c>
      <c r="Q60" s="66">
        <v>4637.3959889732632</v>
      </c>
      <c r="R60" s="66">
        <v>4871.493971287965</v>
      </c>
      <c r="S60" s="66">
        <v>5003.3271999999997</v>
      </c>
      <c r="T60" s="66">
        <v>5124.2718327279863</v>
      </c>
      <c r="U60" s="66">
        <v>5116.8466154487069</v>
      </c>
      <c r="V60" s="66">
        <v>5068.5513061014826</v>
      </c>
      <c r="W60" s="66">
        <v>4796.671293245854</v>
      </c>
      <c r="X60" s="66">
        <v>4427.2449608865118</v>
      </c>
      <c r="Y60" s="66">
        <v>4639.8167054489913</v>
      </c>
      <c r="Z60" s="66">
        <v>4722.2637045123101</v>
      </c>
      <c r="AA60" s="66">
        <v>4538.4794360370106</v>
      </c>
    </row>
    <row r="61" spans="1:27" x14ac:dyDescent="0.25">
      <c r="A61" s="72" t="s">
        <v>0</v>
      </c>
      <c r="B61" s="65"/>
      <c r="C61" s="65"/>
      <c r="D61" s="66">
        <v>1648.8719384110691</v>
      </c>
      <c r="E61" s="66">
        <v>1536.731316434996</v>
      </c>
      <c r="F61" s="66">
        <v>1448.7558885299859</v>
      </c>
      <c r="G61" s="66">
        <v>1339.4740515211342</v>
      </c>
      <c r="H61" s="66">
        <v>1266.2856108765257</v>
      </c>
      <c r="I61" s="66">
        <v>1298.8973085260116</v>
      </c>
      <c r="J61" s="66">
        <v>1364.2185673944336</v>
      </c>
      <c r="K61" s="66">
        <v>1379.5862823273567</v>
      </c>
      <c r="L61" s="66">
        <v>1223.6479872859204</v>
      </c>
      <c r="M61" s="66">
        <v>1048.4092303288073</v>
      </c>
      <c r="N61" s="66">
        <v>1220.442547195818</v>
      </c>
      <c r="O61" s="66">
        <v>1199.1988314876778</v>
      </c>
      <c r="P61" s="66">
        <v>1155.5628202706955</v>
      </c>
      <c r="Q61" s="66">
        <v>1206.8811674403828</v>
      </c>
      <c r="R61" s="66">
        <v>1302.3945795592324</v>
      </c>
      <c r="S61" s="66">
        <v>1415.6622239999999</v>
      </c>
      <c r="T61" s="66">
        <v>1398.5259369785019</v>
      </c>
      <c r="U61" s="66">
        <v>1374.5889070810606</v>
      </c>
      <c r="V61" s="66">
        <v>1409.5013260782709</v>
      </c>
      <c r="W61" s="66">
        <v>1417.3249325705326</v>
      </c>
      <c r="X61" s="66">
        <v>1419.9547251102208</v>
      </c>
      <c r="Y61" s="66">
        <v>1322.0762265846099</v>
      </c>
      <c r="Z61" s="66">
        <v>1496.0405195425433</v>
      </c>
      <c r="AA61" s="66">
        <v>1512.256529809112</v>
      </c>
    </row>
    <row r="62" spans="1:27" x14ac:dyDescent="0.25">
      <c r="A62" s="78" t="s">
        <v>271</v>
      </c>
      <c r="B62" s="79"/>
      <c r="C62" s="79"/>
      <c r="D62" s="80">
        <v>2911.898436466573</v>
      </c>
      <c r="E62" s="80">
        <v>2963.1398609975467</v>
      </c>
      <c r="F62" s="80">
        <v>2920.2826199629085</v>
      </c>
      <c r="G62" s="80">
        <v>2731.5061107014585</v>
      </c>
      <c r="H62" s="80">
        <v>2679.7349403739968</v>
      </c>
      <c r="I62" s="80">
        <v>2519.373333634393</v>
      </c>
      <c r="J62" s="80">
        <v>2455.3701677856038</v>
      </c>
      <c r="K62" s="80">
        <v>2521.0514508666824</v>
      </c>
      <c r="L62" s="80">
        <v>2517.0024842642356</v>
      </c>
      <c r="M62" s="80">
        <v>2472.0386062489774</v>
      </c>
      <c r="N62" s="80">
        <v>2444.3857794839855</v>
      </c>
      <c r="O62" s="80">
        <v>2508.3724570872137</v>
      </c>
      <c r="P62" s="80">
        <v>2507.5166928968629</v>
      </c>
      <c r="Q62" s="80">
        <v>2535.3093491560858</v>
      </c>
      <c r="R62" s="80">
        <v>2636.8767664829284</v>
      </c>
      <c r="S62" s="80">
        <v>2805.9268480000001</v>
      </c>
      <c r="T62" s="80">
        <v>2790.5697143418083</v>
      </c>
      <c r="U62" s="80">
        <v>2947.9906373826525</v>
      </c>
      <c r="V62" s="80">
        <v>3056.1342173855137</v>
      </c>
      <c r="W62" s="80">
        <v>3180.7146534265366</v>
      </c>
      <c r="X62" s="80">
        <v>3102.4561810265354</v>
      </c>
      <c r="Y62" s="80">
        <v>3374.8996253537575</v>
      </c>
      <c r="Z62" s="80">
        <v>3524.1533622726147</v>
      </c>
      <c r="AA62" s="80">
        <v>3382.4921926763045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3.5502316798657216E-2</v>
      </c>
      <c r="E66" s="83">
        <f t="shared" ref="E66:S66" si="55">E24/E$23</f>
        <v>3.3764772087788414E-2</v>
      </c>
      <c r="F66" s="83">
        <f t="shared" si="55"/>
        <v>3.113374774413475E-2</v>
      </c>
      <c r="G66" s="83">
        <f t="shared" si="55"/>
        <v>3.032911297232356E-2</v>
      </c>
      <c r="H66" s="83">
        <f t="shared" si="55"/>
        <v>2.9771168475340729E-2</v>
      </c>
      <c r="I66" s="83">
        <f t="shared" si="55"/>
        <v>2.6581320368847389E-2</v>
      </c>
      <c r="J66" s="83">
        <f t="shared" si="55"/>
        <v>2.6109775222164143E-2</v>
      </c>
      <c r="K66" s="83">
        <f t="shared" si="55"/>
        <v>2.3059045730091321E-2</v>
      </c>
      <c r="L66" s="83">
        <f t="shared" si="55"/>
        <v>2.2540836520615649E-2</v>
      </c>
      <c r="M66" s="83">
        <f t="shared" si="55"/>
        <v>2.2017202206031393E-2</v>
      </c>
      <c r="N66" s="83">
        <f t="shared" si="55"/>
        <v>2.2083460153399022E-2</v>
      </c>
      <c r="O66" s="83">
        <f t="shared" si="55"/>
        <v>2.102440036840535E-2</v>
      </c>
      <c r="P66" s="83">
        <f t="shared" si="55"/>
        <v>2.1968696643935352E-2</v>
      </c>
      <c r="Q66" s="83">
        <f t="shared" si="55"/>
        <v>2.3256357126888953E-2</v>
      </c>
      <c r="R66" s="83">
        <f t="shared" si="55"/>
        <v>2.2649364260293018E-2</v>
      </c>
      <c r="S66" s="83">
        <f t="shared" si="55"/>
        <v>2.2704280542052924E-2</v>
      </c>
      <c r="T66" s="83">
        <f t="shared" ref="T66:Y66" si="56">T24/T$23</f>
        <v>2.2151534823333027E-2</v>
      </c>
      <c r="U66" s="83">
        <f t="shared" si="56"/>
        <v>2.2707566152524908E-2</v>
      </c>
      <c r="V66" s="83">
        <f t="shared" si="56"/>
        <v>2.2196093528180888E-2</v>
      </c>
      <c r="W66" s="83">
        <f t="shared" si="56"/>
        <v>2.3127782399572125E-2</v>
      </c>
      <c r="X66" s="83">
        <f t="shared" si="56"/>
        <v>2.4579065162877209E-2</v>
      </c>
      <c r="Y66" s="83">
        <f t="shared" si="56"/>
        <v>2.4982186842013969E-2</v>
      </c>
      <c r="Z66" s="83">
        <f t="shared" ref="Z66:AA66" si="57">Z24/Z$23</f>
        <v>2.2027419123253369E-2</v>
      </c>
      <c r="AA66" s="83">
        <f t="shared" si="57"/>
        <v>2.4525731856243047E-2</v>
      </c>
    </row>
    <row r="67" spans="1:27" x14ac:dyDescent="0.25">
      <c r="A67" s="64" t="s">
        <v>56</v>
      </c>
      <c r="B67" s="65"/>
      <c r="C67" s="65"/>
      <c r="D67" s="83">
        <f t="shared" si="51"/>
        <v>5.5901880109670132E-3</v>
      </c>
      <c r="E67" s="83">
        <f t="shared" ref="E67:S67" si="58">E25/E$23</f>
        <v>5.4569583147851047E-3</v>
      </c>
      <c r="F67" s="83">
        <f t="shared" si="58"/>
        <v>4.6480850210547445E-3</v>
      </c>
      <c r="G67" s="83">
        <f t="shared" si="58"/>
        <v>4.1971263116509245E-3</v>
      </c>
      <c r="H67" s="83">
        <f t="shared" si="58"/>
        <v>4.5749772491070614E-3</v>
      </c>
      <c r="I67" s="83">
        <f t="shared" si="58"/>
        <v>4.7887947117021554E-3</v>
      </c>
      <c r="J67" s="83">
        <f t="shared" si="58"/>
        <v>5.5981878376023661E-3</v>
      </c>
      <c r="K67" s="83">
        <f t="shared" si="58"/>
        <v>5.2879815969559766E-3</v>
      </c>
      <c r="L67" s="83">
        <f t="shared" si="58"/>
        <v>3.8966002045895897E-3</v>
      </c>
      <c r="M67" s="83">
        <f t="shared" si="58"/>
        <v>4.1573821040175579E-3</v>
      </c>
      <c r="N67" s="83">
        <f t="shared" si="58"/>
        <v>4.5180637122917283E-3</v>
      </c>
      <c r="O67" s="83">
        <f t="shared" si="58"/>
        <v>4.2164799541038953E-3</v>
      </c>
      <c r="P67" s="83">
        <f t="shared" si="58"/>
        <v>4.315741748521164E-3</v>
      </c>
      <c r="Q67" s="83">
        <f t="shared" si="58"/>
        <v>3.8030318769626953E-3</v>
      </c>
      <c r="R67" s="83">
        <f t="shared" si="58"/>
        <v>3.5047809038649897E-3</v>
      </c>
      <c r="S67" s="83">
        <f t="shared" si="58"/>
        <v>3.2066744959498511E-3</v>
      </c>
      <c r="T67" s="83">
        <f t="shared" ref="T67:Y67" si="59">T25/T$23</f>
        <v>3.2977835481776893E-3</v>
      </c>
      <c r="U67" s="83">
        <f t="shared" si="59"/>
        <v>3.571863721480985E-3</v>
      </c>
      <c r="V67" s="83">
        <f t="shared" si="59"/>
        <v>3.347823903017039E-3</v>
      </c>
      <c r="W67" s="83">
        <f t="shared" si="59"/>
        <v>3.0278744460437573E-3</v>
      </c>
      <c r="X67" s="83">
        <f t="shared" si="59"/>
        <v>2.9970708886075314E-3</v>
      </c>
      <c r="Y67" s="83">
        <f t="shared" si="59"/>
        <v>4.0173024610970472E-3</v>
      </c>
      <c r="Z67" s="83">
        <f t="shared" ref="Z67:AA67" si="60">Z25/Z$23</f>
        <v>3.2166362836383287E-3</v>
      </c>
      <c r="AA67" s="83">
        <f t="shared" si="60"/>
        <v>7.1573493812968703E-3</v>
      </c>
    </row>
    <row r="68" spans="1:27" x14ac:dyDescent="0.25">
      <c r="A68" s="64" t="s">
        <v>146</v>
      </c>
      <c r="B68" s="65"/>
      <c r="C68" s="65"/>
      <c r="D68" s="83">
        <f t="shared" si="51"/>
        <v>0.69675808212455592</v>
      </c>
      <c r="E68" s="83">
        <f t="shared" ref="E68:S68" si="61">E26/E$23</f>
        <v>0.70240804979044036</v>
      </c>
      <c r="F68" s="83">
        <f t="shared" si="61"/>
        <v>0.71197032283938233</v>
      </c>
      <c r="G68" s="83">
        <f t="shared" si="61"/>
        <v>0.72353789788115241</v>
      </c>
      <c r="H68" s="83">
        <f t="shared" si="61"/>
        <v>0.72882964597280997</v>
      </c>
      <c r="I68" s="83">
        <f t="shared" si="61"/>
        <v>0.73963270535291714</v>
      </c>
      <c r="J68" s="83">
        <f t="shared" si="61"/>
        <v>0.74219550444328286</v>
      </c>
      <c r="K68" s="83">
        <f t="shared" si="61"/>
        <v>0.74604075448271701</v>
      </c>
      <c r="L68" s="83">
        <f t="shared" si="61"/>
        <v>0.75680307648692857</v>
      </c>
      <c r="M68" s="83">
        <f t="shared" si="61"/>
        <v>0.76793944802886283</v>
      </c>
      <c r="N68" s="83">
        <f t="shared" si="61"/>
        <v>0.76632688380793024</v>
      </c>
      <c r="O68" s="83">
        <f t="shared" si="61"/>
        <v>0.77405380972019933</v>
      </c>
      <c r="P68" s="83">
        <f t="shared" si="61"/>
        <v>0.77654815046383296</v>
      </c>
      <c r="Q68" s="83">
        <f t="shared" si="61"/>
        <v>0.7778431925046364</v>
      </c>
      <c r="R68" s="83">
        <f t="shared" si="61"/>
        <v>0.77583751635591347</v>
      </c>
      <c r="S68" s="83">
        <f t="shared" si="61"/>
        <v>0.76761188282728099</v>
      </c>
      <c r="T68" s="83">
        <f t="shared" ref="T68:Y68" si="62">T26/T$23</f>
        <v>0.76884355003245841</v>
      </c>
      <c r="U68" s="83">
        <f t="shared" si="62"/>
        <v>0.76941221282842642</v>
      </c>
      <c r="V68" s="83">
        <f t="shared" si="62"/>
        <v>0.76805119397424926</v>
      </c>
      <c r="W68" s="83">
        <f t="shared" si="62"/>
        <v>0.77323048624372603</v>
      </c>
      <c r="X68" s="83">
        <f t="shared" si="62"/>
        <v>0.76860933740633408</v>
      </c>
      <c r="Y68" s="83">
        <f t="shared" si="62"/>
        <v>0.76783953995334431</v>
      </c>
      <c r="Z68" s="83">
        <f t="shared" ref="Z68:AA68" si="63">Z26/Z$23</f>
        <v>0.77973623392925784</v>
      </c>
      <c r="AA68" s="83">
        <f t="shared" si="63"/>
        <v>0.77383525238955819</v>
      </c>
    </row>
    <row r="69" spans="1:27" x14ac:dyDescent="0.25">
      <c r="A69" s="68" t="s">
        <v>148</v>
      </c>
      <c r="B69" s="69"/>
      <c r="C69" s="69"/>
      <c r="D69" s="84">
        <f t="shared" si="51"/>
        <v>0.29493220296792039</v>
      </c>
      <c r="E69" s="84">
        <f t="shared" ref="E69:S69" si="64">E27/E$23</f>
        <v>0.29826640573161217</v>
      </c>
      <c r="F69" s="84">
        <f t="shared" si="64"/>
        <v>0.3045422097453378</v>
      </c>
      <c r="G69" s="84">
        <f t="shared" si="64"/>
        <v>0.31006809071870417</v>
      </c>
      <c r="H69" s="84">
        <f t="shared" si="64"/>
        <v>0.31307407961272005</v>
      </c>
      <c r="I69" s="84">
        <f t="shared" si="64"/>
        <v>0.31967452929745777</v>
      </c>
      <c r="J69" s="84">
        <f t="shared" si="64"/>
        <v>0.31449451123889188</v>
      </c>
      <c r="K69" s="84">
        <f t="shared" si="64"/>
        <v>0.30872908251776582</v>
      </c>
      <c r="L69" s="84">
        <f t="shared" si="64"/>
        <v>0.30841122094275203</v>
      </c>
      <c r="M69" s="84">
        <f t="shared" si="64"/>
        <v>0.32090794496889835</v>
      </c>
      <c r="N69" s="84">
        <f t="shared" si="64"/>
        <v>0.31877976843974287</v>
      </c>
      <c r="O69" s="84">
        <f t="shared" si="64"/>
        <v>0.31224299186654386</v>
      </c>
      <c r="P69" s="84">
        <f t="shared" si="64"/>
        <v>0.30460181737332864</v>
      </c>
      <c r="Q69" s="84">
        <f t="shared" si="64"/>
        <v>0.30941698948625801</v>
      </c>
      <c r="R69" s="84">
        <f t="shared" si="64"/>
        <v>0.30513322513264279</v>
      </c>
      <c r="S69" s="84">
        <f t="shared" si="64"/>
        <v>0.30515175803286382</v>
      </c>
      <c r="T69" s="84">
        <f t="shared" ref="T69:Y69" si="65">T27/T$23</f>
        <v>0.30416272527744292</v>
      </c>
      <c r="U69" s="84">
        <f t="shared" si="65"/>
        <v>0.31026418424405311</v>
      </c>
      <c r="V69" s="84">
        <f t="shared" si="65"/>
        <v>0.30956782475235289</v>
      </c>
      <c r="W69" s="84">
        <f t="shared" si="65"/>
        <v>0.31074506979149097</v>
      </c>
      <c r="X69" s="84">
        <f t="shared" si="65"/>
        <v>0.28556580278154209</v>
      </c>
      <c r="Y69" s="84">
        <f t="shared" si="65"/>
        <v>0.29176538403033703</v>
      </c>
      <c r="Z69" s="84">
        <f t="shared" ref="Z69:AA69" si="66">Z27/Z$23</f>
        <v>0.30598608051352444</v>
      </c>
      <c r="AA69" s="84">
        <f t="shared" si="66"/>
        <v>0.32335887568676336</v>
      </c>
    </row>
    <row r="70" spans="1:27" x14ac:dyDescent="0.25">
      <c r="A70" s="68" t="s">
        <v>150</v>
      </c>
      <c r="B70" s="71"/>
      <c r="C70" s="71"/>
      <c r="D70" s="84">
        <f t="shared" si="51"/>
        <v>0.24939279605415227</v>
      </c>
      <c r="E70" s="84">
        <f t="shared" ref="E70:S70" si="67">E28/E$23</f>
        <v>0.25147783871861851</v>
      </c>
      <c r="F70" s="84">
        <f t="shared" si="67"/>
        <v>0.2552436334469621</v>
      </c>
      <c r="G70" s="84">
        <f t="shared" si="67"/>
        <v>0.26329351062713319</v>
      </c>
      <c r="H70" s="84">
        <f t="shared" si="67"/>
        <v>0.26639849043786168</v>
      </c>
      <c r="I70" s="84">
        <f t="shared" si="67"/>
        <v>0.27277239612521015</v>
      </c>
      <c r="J70" s="84">
        <f t="shared" si="67"/>
        <v>0.28178288900505316</v>
      </c>
      <c r="K70" s="84">
        <f t="shared" si="67"/>
        <v>0.29271322580687592</v>
      </c>
      <c r="L70" s="84">
        <f t="shared" si="67"/>
        <v>0.30375654973698513</v>
      </c>
      <c r="M70" s="84">
        <f t="shared" si="67"/>
        <v>0.29842680954865924</v>
      </c>
      <c r="N70" s="84">
        <f t="shared" si="67"/>
        <v>0.29947801810136288</v>
      </c>
      <c r="O70" s="84">
        <f t="shared" si="67"/>
        <v>0.3051382168662195</v>
      </c>
      <c r="P70" s="84">
        <f t="shared" si="67"/>
        <v>0.30816324452394933</v>
      </c>
      <c r="Q70" s="84">
        <f t="shared" si="67"/>
        <v>0.303666629963664</v>
      </c>
      <c r="R70" s="84">
        <f t="shared" si="67"/>
        <v>0.30625867992952183</v>
      </c>
      <c r="S70" s="84">
        <f t="shared" si="67"/>
        <v>0.29955337206970495</v>
      </c>
      <c r="T70" s="84">
        <f t="shared" ref="T70:Y70" si="68">T28/T$23</f>
        <v>0.3039518995950416</v>
      </c>
      <c r="U70" s="84">
        <f t="shared" si="68"/>
        <v>0.30519531984711784</v>
      </c>
      <c r="V70" s="84">
        <f t="shared" si="68"/>
        <v>0.30925285043292039</v>
      </c>
      <c r="W70" s="84">
        <f t="shared" si="68"/>
        <v>0.31468255102200371</v>
      </c>
      <c r="X70" s="84">
        <f t="shared" si="68"/>
        <v>0.33495750818226622</v>
      </c>
      <c r="Y70" s="84">
        <f t="shared" si="68"/>
        <v>0.33230786474275664</v>
      </c>
      <c r="Z70" s="84">
        <f t="shared" ref="Z70:AA70" si="69">Z28/Z$23</f>
        <v>0.33580772968882311</v>
      </c>
      <c r="AA70" s="84">
        <f t="shared" si="69"/>
        <v>0.33613331763087906</v>
      </c>
    </row>
    <row r="71" spans="1:27" x14ac:dyDescent="0.25">
      <c r="A71" s="68" t="s">
        <v>152</v>
      </c>
      <c r="B71" s="71"/>
      <c r="C71" s="71"/>
      <c r="D71" s="84">
        <f t="shared" si="51"/>
        <v>0.15243308310248321</v>
      </c>
      <c r="E71" s="84">
        <f t="shared" ref="E71:S71" si="70">E29/E$23</f>
        <v>0.15266380534020949</v>
      </c>
      <c r="F71" s="84">
        <f t="shared" si="70"/>
        <v>0.1521844796470824</v>
      </c>
      <c r="G71" s="84">
        <f t="shared" si="70"/>
        <v>0.15017629653531483</v>
      </c>
      <c r="H71" s="84">
        <f t="shared" si="70"/>
        <v>0.14935707592222836</v>
      </c>
      <c r="I71" s="84">
        <f t="shared" si="70"/>
        <v>0.14718577993024937</v>
      </c>
      <c r="J71" s="84">
        <f t="shared" si="70"/>
        <v>0.1459181041993379</v>
      </c>
      <c r="K71" s="84">
        <f t="shared" si="70"/>
        <v>0.14459844615807524</v>
      </c>
      <c r="L71" s="84">
        <f t="shared" si="70"/>
        <v>0.14463530580719153</v>
      </c>
      <c r="M71" s="84">
        <f t="shared" si="70"/>
        <v>0.14860469351130526</v>
      </c>
      <c r="N71" s="84">
        <f t="shared" si="70"/>
        <v>0.1480690972668246</v>
      </c>
      <c r="O71" s="84">
        <f t="shared" si="70"/>
        <v>0.15667260098743579</v>
      </c>
      <c r="P71" s="84">
        <f t="shared" si="70"/>
        <v>0.16378308856655485</v>
      </c>
      <c r="Q71" s="84">
        <f t="shared" si="70"/>
        <v>0.16475957305471456</v>
      </c>
      <c r="R71" s="84">
        <f t="shared" si="70"/>
        <v>0.16444561129374882</v>
      </c>
      <c r="S71" s="84">
        <f t="shared" si="70"/>
        <v>0.16290675272471228</v>
      </c>
      <c r="T71" s="84">
        <f t="shared" ref="T71:Y71" si="71">T29/T$23</f>
        <v>0.16072892515997403</v>
      </c>
      <c r="U71" s="84">
        <f t="shared" si="71"/>
        <v>0.15395270873725533</v>
      </c>
      <c r="V71" s="84">
        <f t="shared" si="71"/>
        <v>0.149230518788976</v>
      </c>
      <c r="W71" s="84">
        <f t="shared" si="71"/>
        <v>0.14780286543023152</v>
      </c>
      <c r="X71" s="84">
        <f t="shared" si="71"/>
        <v>0.14808602644252597</v>
      </c>
      <c r="Y71" s="84">
        <f t="shared" si="71"/>
        <v>0.14376629118025058</v>
      </c>
      <c r="Z71" s="84">
        <f t="shared" ref="Z71:AA71" si="72">Z29/Z$23</f>
        <v>0.13794242372691004</v>
      </c>
      <c r="AA71" s="84">
        <f t="shared" si="72"/>
        <v>0.11434305907191582</v>
      </c>
    </row>
    <row r="72" spans="1:27" x14ac:dyDescent="0.25">
      <c r="A72" s="64" t="s">
        <v>154</v>
      </c>
      <c r="B72" s="65"/>
      <c r="C72" s="65"/>
      <c r="D72" s="83">
        <f t="shared" si="51"/>
        <v>2.068049515125869E-2</v>
      </c>
      <c r="E72" s="83">
        <f t="shared" ref="E72:S72" si="73">E30/E$23</f>
        <v>2.0365533055039929E-2</v>
      </c>
      <c r="F72" s="83">
        <f t="shared" si="73"/>
        <v>2.0324042510527381E-2</v>
      </c>
      <c r="G72" s="83">
        <f t="shared" si="73"/>
        <v>2.2430620930338211E-2</v>
      </c>
      <c r="H72" s="83">
        <f t="shared" si="73"/>
        <v>2.3485083605304515E-2</v>
      </c>
      <c r="I72" s="83">
        <f t="shared" si="73"/>
        <v>2.2888781519939609E-2</v>
      </c>
      <c r="J72" s="83">
        <f t="shared" si="73"/>
        <v>2.4064122669454596E-2</v>
      </c>
      <c r="K72" s="83">
        <f t="shared" si="73"/>
        <v>2.4353914000754966E-2</v>
      </c>
      <c r="L72" s="83">
        <f t="shared" si="73"/>
        <v>2.1138325625883834E-2</v>
      </c>
      <c r="M72" s="83">
        <f t="shared" si="73"/>
        <v>2.2871070965051862E-2</v>
      </c>
      <c r="N72" s="83">
        <f t="shared" si="73"/>
        <v>2.3869171049209558E-2</v>
      </c>
      <c r="O72" s="83">
        <f t="shared" si="73"/>
        <v>2.2709746387910693E-2</v>
      </c>
      <c r="P72" s="83">
        <f t="shared" si="73"/>
        <v>2.4759306622680468E-2</v>
      </c>
      <c r="Q72" s="83">
        <f t="shared" si="73"/>
        <v>2.3924624091722545E-2</v>
      </c>
      <c r="R72" s="83">
        <f t="shared" si="73"/>
        <v>2.6321234762751819E-2</v>
      </c>
      <c r="S72" s="83">
        <f t="shared" si="73"/>
        <v>3.2947699491352865E-2</v>
      </c>
      <c r="T72" s="83">
        <f t="shared" ref="T72:Y72" si="74">T30/T$23</f>
        <v>3.1319669850690915E-2</v>
      </c>
      <c r="U72" s="83">
        <f t="shared" si="74"/>
        <v>2.9246223784744205E-2</v>
      </c>
      <c r="V72" s="83">
        <f t="shared" si="74"/>
        <v>2.943504315211275E-2</v>
      </c>
      <c r="W72" s="83">
        <f t="shared" si="74"/>
        <v>2.6134860135370575E-2</v>
      </c>
      <c r="X72" s="83">
        <f t="shared" si="74"/>
        <v>2.2249596383412618E-2</v>
      </c>
      <c r="Y72" s="83">
        <f t="shared" si="74"/>
        <v>1.9259795742277111E-2</v>
      </c>
      <c r="Z72" s="83">
        <f t="shared" ref="Z72:AA72" si="75">Z30/Z$23</f>
        <v>1.2357133819746119E-2</v>
      </c>
      <c r="AA72" s="83">
        <f t="shared" si="75"/>
        <v>1.7249746298046729E-2</v>
      </c>
    </row>
    <row r="73" spans="1:27" x14ac:dyDescent="0.25">
      <c r="A73" s="64" t="s">
        <v>37</v>
      </c>
      <c r="B73" s="65"/>
      <c r="C73" s="65"/>
      <c r="D73" s="83">
        <f t="shared" si="51"/>
        <v>7.648102643248568E-2</v>
      </c>
      <c r="E73" s="83">
        <f t="shared" ref="E73:S73" si="76">E31/E$23</f>
        <v>7.7496031379400143E-2</v>
      </c>
      <c r="F73" s="83">
        <f t="shared" si="76"/>
        <v>7.6032885502305997E-2</v>
      </c>
      <c r="G73" s="83">
        <f t="shared" si="76"/>
        <v>7.1723163532070935E-2</v>
      </c>
      <c r="H73" s="83">
        <f t="shared" si="76"/>
        <v>7.1127069091324449E-2</v>
      </c>
      <c r="I73" s="83">
        <f t="shared" si="76"/>
        <v>6.941943653976318E-2</v>
      </c>
      <c r="J73" s="83">
        <f t="shared" si="76"/>
        <v>6.7482836731137835E-2</v>
      </c>
      <c r="K73" s="83">
        <f t="shared" si="76"/>
        <v>6.7677746810836131E-2</v>
      </c>
      <c r="L73" s="83">
        <f t="shared" si="76"/>
        <v>6.747639018487947E-2</v>
      </c>
      <c r="M73" s="83">
        <f t="shared" si="76"/>
        <v>6.2852333468245036E-2</v>
      </c>
      <c r="N73" s="83">
        <f t="shared" si="76"/>
        <v>5.8500066125722401E-2</v>
      </c>
      <c r="O73" s="83">
        <f t="shared" si="76"/>
        <v>5.5029251903643835E-2</v>
      </c>
      <c r="P73" s="83">
        <f t="shared" si="76"/>
        <v>4.8702482340521581E-2</v>
      </c>
      <c r="Q73" s="83">
        <f t="shared" si="76"/>
        <v>4.5198079431970982E-2</v>
      </c>
      <c r="R73" s="83">
        <f t="shared" si="76"/>
        <v>4.1712623288908415E-2</v>
      </c>
      <c r="S73" s="83">
        <f t="shared" si="76"/>
        <v>4.0992255929144343E-2</v>
      </c>
      <c r="T73" s="83">
        <f t="shared" ref="T73:Y73" si="77">T31/T$23</f>
        <v>4.0333858851896505E-2</v>
      </c>
      <c r="U73" s="83">
        <f t="shared" si="77"/>
        <v>4.0931227871774889E-2</v>
      </c>
      <c r="V73" s="83">
        <f t="shared" si="77"/>
        <v>4.2567255202015389E-2</v>
      </c>
      <c r="W73" s="83">
        <f t="shared" si="77"/>
        <v>4.3950658286691556E-2</v>
      </c>
      <c r="X73" s="83">
        <f t="shared" si="77"/>
        <v>4.7698428879245115E-2</v>
      </c>
      <c r="Y73" s="83">
        <f t="shared" si="77"/>
        <v>4.6411349183263374E-2</v>
      </c>
      <c r="Z73" s="83">
        <f t="shared" ref="Z73:AA73" si="78">Z31/Z$23</f>
        <v>4.7615504869261367E-2</v>
      </c>
      <c r="AA73" s="83">
        <f t="shared" si="78"/>
        <v>4.9015808442913159E-2</v>
      </c>
    </row>
    <row r="74" spans="1:27" x14ac:dyDescent="0.25">
      <c r="A74" s="64" t="s">
        <v>58</v>
      </c>
      <c r="B74" s="65"/>
      <c r="C74" s="65"/>
      <c r="D74" s="83">
        <f t="shared" si="51"/>
        <v>0.16498789148207549</v>
      </c>
      <c r="E74" s="83">
        <f t="shared" ref="E74:S74" si="79">E32/E$23</f>
        <v>0.16050865537254638</v>
      </c>
      <c r="F74" s="83">
        <f t="shared" si="79"/>
        <v>0.15589091638259481</v>
      </c>
      <c r="G74" s="83">
        <f t="shared" si="79"/>
        <v>0.14778207837246427</v>
      </c>
      <c r="H74" s="83">
        <f t="shared" si="79"/>
        <v>0.14221205560611308</v>
      </c>
      <c r="I74" s="83">
        <f t="shared" si="79"/>
        <v>0.13668896150683038</v>
      </c>
      <c r="J74" s="83">
        <f t="shared" si="79"/>
        <v>0.13454957309635826</v>
      </c>
      <c r="K74" s="83">
        <f t="shared" si="79"/>
        <v>0.13358055737864472</v>
      </c>
      <c r="L74" s="83">
        <f t="shared" si="79"/>
        <v>0.12814477097710286</v>
      </c>
      <c r="M74" s="83">
        <f t="shared" si="79"/>
        <v>0.12016256322779122</v>
      </c>
      <c r="N74" s="83">
        <f t="shared" si="79"/>
        <v>0.12470235515144688</v>
      </c>
      <c r="O74" s="83">
        <f t="shared" si="79"/>
        <v>0.12296631166573697</v>
      </c>
      <c r="P74" s="83">
        <f t="shared" si="79"/>
        <v>0.12370562218050857</v>
      </c>
      <c r="Q74" s="83">
        <f t="shared" si="79"/>
        <v>0.12597471496781817</v>
      </c>
      <c r="R74" s="83">
        <f t="shared" si="79"/>
        <v>0.12997448042826826</v>
      </c>
      <c r="S74" s="83">
        <f t="shared" si="79"/>
        <v>0.13253720671421895</v>
      </c>
      <c r="T74" s="83">
        <f t="shared" ref="T74:Y74" si="80">T32/T$23</f>
        <v>0.1340536028934434</v>
      </c>
      <c r="U74" s="83">
        <f t="shared" si="80"/>
        <v>0.13413090564104871</v>
      </c>
      <c r="V74" s="83">
        <f t="shared" si="80"/>
        <v>0.13440259024042475</v>
      </c>
      <c r="W74" s="83">
        <f t="shared" si="80"/>
        <v>0.13052833848859596</v>
      </c>
      <c r="X74" s="83">
        <f t="shared" si="80"/>
        <v>0.13386650127952315</v>
      </c>
      <c r="Y74" s="83">
        <f t="shared" si="80"/>
        <v>0.13748982581800423</v>
      </c>
      <c r="Z74" s="83">
        <f t="shared" ref="Z74:AA74" si="81">Z32/Z$23</f>
        <v>0.13504707197484314</v>
      </c>
      <c r="AA74" s="83">
        <f t="shared" si="81"/>
        <v>0.12821611163194196</v>
      </c>
    </row>
    <row r="75" spans="1:27" x14ac:dyDescent="0.25">
      <c r="A75" s="85" t="s">
        <v>158</v>
      </c>
      <c r="B75" s="86"/>
      <c r="C75" s="86"/>
      <c r="D75" s="87">
        <f t="shared" si="51"/>
        <v>2.6928561522294964E-3</v>
      </c>
      <c r="E75" s="87">
        <f t="shared" ref="E75:S75" si="82">E33/E$23</f>
        <v>2.5651147750275073E-3</v>
      </c>
      <c r="F75" s="87">
        <f t="shared" si="82"/>
        <v>2.5939442550631641E-3</v>
      </c>
      <c r="G75" s="87">
        <f t="shared" si="82"/>
        <v>2.3182485319064618E-3</v>
      </c>
      <c r="H75" s="87">
        <f t="shared" si="82"/>
        <v>2.293500421201502E-3</v>
      </c>
      <c r="I75" s="87">
        <f t="shared" si="82"/>
        <v>2.1688342879600587E-3</v>
      </c>
      <c r="J75" s="87">
        <f t="shared" si="82"/>
        <v>2.2700818958006621E-3</v>
      </c>
      <c r="K75" s="87">
        <f t="shared" si="82"/>
        <v>2.1734584228254566E-3</v>
      </c>
      <c r="L75" s="87">
        <f t="shared" si="82"/>
        <v>2.3231699188909286E-3</v>
      </c>
      <c r="M75" s="87">
        <f t="shared" si="82"/>
        <v>2.1703838162592829E-3</v>
      </c>
      <c r="N75" s="87">
        <f t="shared" si="82"/>
        <v>2.2090420755756894E-3</v>
      </c>
      <c r="O75" s="87">
        <f t="shared" si="82"/>
        <v>2.3751767437637013E-3</v>
      </c>
      <c r="P75" s="87">
        <f t="shared" si="82"/>
        <v>2.185328630927933E-3</v>
      </c>
      <c r="Q75" s="87">
        <f t="shared" si="82"/>
        <v>2.254231689372479E-3</v>
      </c>
      <c r="R75" s="87">
        <f t="shared" si="82"/>
        <v>2.3984559898212838E-3</v>
      </c>
      <c r="S75" s="87">
        <f t="shared" si="82"/>
        <v>1.9380999700795805E-3</v>
      </c>
      <c r="T75" s="87">
        <f t="shared" ref="T75:Y75" si="83">T33/T$23</f>
        <v>2.4359331045781941E-3</v>
      </c>
      <c r="U75" s="87">
        <f t="shared" si="83"/>
        <v>2.7662869060053915E-3</v>
      </c>
      <c r="V75" s="87">
        <f t="shared" si="83"/>
        <v>2.7619522311527669E-3</v>
      </c>
      <c r="W75" s="87">
        <f t="shared" si="83"/>
        <v>2.4413138452364456E-3</v>
      </c>
      <c r="X75" s="87">
        <f t="shared" si="83"/>
        <v>2.4254115975450058E-3</v>
      </c>
      <c r="Y75" s="87">
        <f t="shared" si="83"/>
        <v>4.0280420470587613E-3</v>
      </c>
      <c r="Z75" s="87">
        <f t="shared" ref="Z75:AA75" si="84">Z33/Z$23</f>
        <v>3.5374469442192242E-3</v>
      </c>
      <c r="AA75" s="87">
        <f t="shared" si="84"/>
        <v>3.0669207013724622E-3</v>
      </c>
    </row>
    <row r="76" spans="1:27" x14ac:dyDescent="0.25">
      <c r="A76" s="88" t="s">
        <v>5</v>
      </c>
      <c r="B76" s="44"/>
      <c r="C76" s="44"/>
      <c r="D76" s="89">
        <f t="shared" si="51"/>
        <v>1.9556297989732872E-3</v>
      </c>
      <c r="E76" s="89">
        <f t="shared" ref="E76:S76" si="85">E34/E$23</f>
        <v>1.8628603268233295E-3</v>
      </c>
      <c r="F76" s="89">
        <f t="shared" si="85"/>
        <v>1.8837971266594282E-3</v>
      </c>
      <c r="G76" s="89">
        <f t="shared" si="85"/>
        <v>1.6835789415148737E-3</v>
      </c>
      <c r="H76" s="89">
        <f t="shared" si="85"/>
        <v>1.6656061497922862E-3</v>
      </c>
      <c r="I76" s="89">
        <f t="shared" si="85"/>
        <v>1.5750700084956595E-3</v>
      </c>
      <c r="J76" s="89">
        <f t="shared" si="85"/>
        <v>1.648598941262422E-3</v>
      </c>
      <c r="K76" s="89">
        <f t="shared" si="85"/>
        <v>1.5784281885936778E-3</v>
      </c>
      <c r="L76" s="89">
        <f t="shared" si="85"/>
        <v>1.6871529946744287E-3</v>
      </c>
      <c r="M76" s="89">
        <f t="shared" si="85"/>
        <v>1.2175807042627182E-3</v>
      </c>
      <c r="N76" s="89">
        <f t="shared" si="85"/>
        <v>1.559903750620806E-3</v>
      </c>
      <c r="O76" s="89">
        <f t="shared" si="85"/>
        <v>1.7554933418266316E-3</v>
      </c>
      <c r="P76" s="89">
        <f t="shared" si="85"/>
        <v>1.5210557928466719E-3</v>
      </c>
      <c r="Q76" s="89">
        <f t="shared" si="85"/>
        <v>1.6092610493063601E-3</v>
      </c>
      <c r="R76" s="89">
        <f t="shared" si="85"/>
        <v>1.6991666442844405E-3</v>
      </c>
      <c r="S76" s="89">
        <f t="shared" si="85"/>
        <v>1.3644300873430265E-3</v>
      </c>
      <c r="T76" s="89">
        <f t="shared" ref="T76:Y76" si="86">T34/T$23</f>
        <v>1.7142578649904112E-3</v>
      </c>
      <c r="U76" s="89">
        <f t="shared" si="86"/>
        <v>2.0296874439367412E-3</v>
      </c>
      <c r="V76" s="89">
        <f t="shared" si="86"/>
        <v>1.9579179714516491E-3</v>
      </c>
      <c r="W76" s="89">
        <f t="shared" si="86"/>
        <v>1.6026530049147408E-3</v>
      </c>
      <c r="X76" s="89">
        <f t="shared" si="86"/>
        <v>1.5848104345768752E-3</v>
      </c>
      <c r="Y76" s="89">
        <f t="shared" si="86"/>
        <v>3.1043608394656975E-3</v>
      </c>
      <c r="Z76" s="89">
        <f t="shared" ref="Z76:AA76" si="87">Z34/Z$23</f>
        <v>2.5830210477792879E-3</v>
      </c>
      <c r="AA76" s="89">
        <f t="shared" si="87"/>
        <v>1.8240413482270381E-3</v>
      </c>
    </row>
    <row r="77" spans="1:27" x14ac:dyDescent="0.25">
      <c r="A77" s="88" t="s">
        <v>263</v>
      </c>
      <c r="B77" s="44"/>
      <c r="C77" s="44"/>
      <c r="D77" s="89">
        <f>D37/D$23</f>
        <v>7.3722635325620923E-4</v>
      </c>
      <c r="E77" s="89">
        <f t="shared" ref="E77:S77" si="88">E37/E$23</f>
        <v>7.022544482041779E-4</v>
      </c>
      <c r="F77" s="89">
        <f t="shared" si="88"/>
        <v>7.1014712840373594E-4</v>
      </c>
      <c r="G77" s="89">
        <f t="shared" si="88"/>
        <v>6.3466959039158786E-4</v>
      </c>
      <c r="H77" s="89">
        <f t="shared" si="88"/>
        <v>6.2789427140921557E-4</v>
      </c>
      <c r="I77" s="89">
        <f t="shared" si="88"/>
        <v>5.9376427946439909E-4</v>
      </c>
      <c r="J77" s="89">
        <f t="shared" si="88"/>
        <v>6.2148295453824014E-4</v>
      </c>
      <c r="K77" s="89">
        <f t="shared" si="88"/>
        <v>5.950302342317788E-4</v>
      </c>
      <c r="L77" s="89">
        <f t="shared" si="88"/>
        <v>6.3601692421649987E-4</v>
      </c>
      <c r="M77" s="89">
        <f t="shared" si="88"/>
        <v>9.5280311199656459E-4</v>
      </c>
      <c r="N77" s="89">
        <f t="shared" si="88"/>
        <v>6.491383249548837E-4</v>
      </c>
      <c r="O77" s="89">
        <f t="shared" si="88"/>
        <v>6.1968340193706989E-4</v>
      </c>
      <c r="P77" s="89">
        <f t="shared" si="88"/>
        <v>6.64272838081261E-4</v>
      </c>
      <c r="Q77" s="89">
        <f t="shared" si="88"/>
        <v>6.4497064006611873E-4</v>
      </c>
      <c r="R77" s="89">
        <f t="shared" si="88"/>
        <v>6.9928934553684314E-4</v>
      </c>
      <c r="S77" s="89">
        <f t="shared" si="88"/>
        <v>5.7366988273655395E-4</v>
      </c>
      <c r="T77" s="89">
        <f t="shared" ref="T77:Y77" si="89">T37/T$23</f>
        <v>7.2167523958778295E-4</v>
      </c>
      <c r="U77" s="89">
        <f t="shared" si="89"/>
        <v>7.3659946206865038E-4</v>
      </c>
      <c r="V77" s="89">
        <f t="shared" si="89"/>
        <v>8.0403425970111784E-4</v>
      </c>
      <c r="W77" s="89">
        <f t="shared" si="89"/>
        <v>8.3866084032170499E-4</v>
      </c>
      <c r="X77" s="89">
        <f t="shared" si="89"/>
        <v>8.4060116296813048E-4</v>
      </c>
      <c r="Y77" s="89">
        <f t="shared" si="89"/>
        <v>9.2368120759306414E-4</v>
      </c>
      <c r="Z77" s="89">
        <f t="shared" ref="Z77:AA77" si="90">Z37/Z$23</f>
        <v>9.5442589643993645E-4</v>
      </c>
      <c r="AA77" s="89">
        <f t="shared" si="90"/>
        <v>1.242879353145424E-3</v>
      </c>
    </row>
    <row r="78" spans="1:27" x14ac:dyDescent="0.25">
      <c r="A78" s="68" t="s">
        <v>265</v>
      </c>
      <c r="B78" s="44"/>
      <c r="C78" s="44"/>
      <c r="D78" s="89">
        <f>D43/D$23</f>
        <v>9.1596226267482688E-3</v>
      </c>
      <c r="E78" s="89">
        <f t="shared" ref="E78:S78" si="91">E43/E$23</f>
        <v>8.8351153629713016E-3</v>
      </c>
      <c r="F78" s="89">
        <f t="shared" si="91"/>
        <v>8.7716061760577512E-3</v>
      </c>
      <c r="G78" s="89">
        <f t="shared" si="91"/>
        <v>8.4772709828903857E-3</v>
      </c>
      <c r="H78" s="89">
        <f t="shared" si="91"/>
        <v>8.5938633082766648E-3</v>
      </c>
      <c r="I78" s="89">
        <f t="shared" si="91"/>
        <v>8.4344364305936649E-3</v>
      </c>
      <c r="J78" s="89">
        <f t="shared" si="91"/>
        <v>7.8522390660393793E-3</v>
      </c>
      <c r="K78" s="89">
        <f t="shared" si="91"/>
        <v>8.4761590353395807E-3</v>
      </c>
      <c r="L78" s="89">
        <f t="shared" si="91"/>
        <v>7.5610368836069447E-3</v>
      </c>
      <c r="M78" s="89">
        <f t="shared" si="91"/>
        <v>7.3984800235248243E-3</v>
      </c>
      <c r="N78" s="89">
        <f t="shared" si="91"/>
        <v>7.8053663713051075E-3</v>
      </c>
      <c r="O78" s="89">
        <f t="shared" si="91"/>
        <v>8.0588670238295988E-3</v>
      </c>
      <c r="P78" s="89">
        <f t="shared" si="91"/>
        <v>7.6068988224751444E-3</v>
      </c>
      <c r="Q78" s="89">
        <f t="shared" si="91"/>
        <v>7.9799001011000899E-3</v>
      </c>
      <c r="R78" s="89">
        <f t="shared" si="91"/>
        <v>7.6651345219529857E-3</v>
      </c>
      <c r="S78" s="89">
        <f t="shared" si="91"/>
        <v>8.8665671027872116E-3</v>
      </c>
      <c r="T78" s="89">
        <f t="shared" ref="T78:Y78" si="92">T43/T$23</f>
        <v>9.0957989427803039E-3</v>
      </c>
      <c r="U78" s="89">
        <f t="shared" si="92"/>
        <v>9.0837362203187531E-3</v>
      </c>
      <c r="V78" s="89">
        <f t="shared" si="92"/>
        <v>8.1001460284165546E-3</v>
      </c>
      <c r="W78" s="89">
        <f t="shared" si="92"/>
        <v>8.0690598515478461E-3</v>
      </c>
      <c r="X78" s="89">
        <f t="shared" si="92"/>
        <v>9.7244899182944104E-3</v>
      </c>
      <c r="Y78" s="89">
        <f t="shared" si="92"/>
        <v>1.0533647520968822E-2</v>
      </c>
      <c r="Z78" s="89">
        <f t="shared" ref="Z78:AA78" si="93">Z43/Z$23</f>
        <v>1.0268310493541375E-2</v>
      </c>
      <c r="AA78" s="89">
        <f t="shared" si="93"/>
        <v>9.745064644593222E-3</v>
      </c>
    </row>
    <row r="79" spans="1:27" x14ac:dyDescent="0.25">
      <c r="A79" s="88" t="s">
        <v>266</v>
      </c>
      <c r="B79" s="44"/>
      <c r="C79" s="44"/>
      <c r="D79" s="89">
        <f>D44/D$23</f>
        <v>6.1449394929713698E-3</v>
      </c>
      <c r="E79" s="89">
        <f t="shared" ref="E79:S79" si="94">E44/E$23</f>
        <v>5.8441612981798945E-3</v>
      </c>
      <c r="F79" s="89">
        <f t="shared" si="94"/>
        <v>5.6699418488068984E-3</v>
      </c>
      <c r="G79" s="89">
        <f t="shared" si="94"/>
        <v>5.6248854581595308E-3</v>
      </c>
      <c r="H79" s="89">
        <f t="shared" si="94"/>
        <v>5.794620494064478E-3</v>
      </c>
      <c r="I79" s="89">
        <f t="shared" si="94"/>
        <v>5.6120406692818838E-3</v>
      </c>
      <c r="J79" s="89">
        <f t="shared" si="94"/>
        <v>5.2970900853807285E-3</v>
      </c>
      <c r="K79" s="89">
        <f t="shared" si="94"/>
        <v>5.6003545926721909E-3</v>
      </c>
      <c r="L79" s="89">
        <f t="shared" si="94"/>
        <v>4.7405483834582615E-3</v>
      </c>
      <c r="M79" s="89">
        <f t="shared" si="94"/>
        <v>4.3870966081398727E-3</v>
      </c>
      <c r="N79" s="89">
        <f t="shared" si="94"/>
        <v>5.0976920540927399E-3</v>
      </c>
      <c r="O79" s="89">
        <f t="shared" si="94"/>
        <v>5.2796118771809199E-3</v>
      </c>
      <c r="P79" s="89">
        <f t="shared" si="94"/>
        <v>4.5580293345915315E-3</v>
      </c>
      <c r="Q79" s="89">
        <f t="shared" si="94"/>
        <v>4.729348721901349E-3</v>
      </c>
      <c r="R79" s="89">
        <f t="shared" si="94"/>
        <v>4.6606135151175511E-3</v>
      </c>
      <c r="S79" s="89">
        <f t="shared" si="94"/>
        <v>5.6297799792030664E-3</v>
      </c>
      <c r="T79" s="89">
        <f t="shared" ref="T79:Y79" si="95">T44/T$23</f>
        <v>5.9074469071686911E-3</v>
      </c>
      <c r="U79" s="89">
        <f t="shared" si="95"/>
        <v>5.5940862854391695E-3</v>
      </c>
      <c r="V79" s="89">
        <f t="shared" si="95"/>
        <v>4.7031649274401907E-3</v>
      </c>
      <c r="W79" s="89">
        <f t="shared" si="95"/>
        <v>4.7359763287449074E-3</v>
      </c>
      <c r="X79" s="89">
        <f t="shared" si="95"/>
        <v>5.5155698632186638E-3</v>
      </c>
      <c r="Y79" s="89">
        <f t="shared" si="95"/>
        <v>6.4095345094910116E-3</v>
      </c>
      <c r="Z79" s="89">
        <f t="shared" ref="Z79:AA79" si="96">Z44/Z$23</f>
        <v>6.3171741745996612E-3</v>
      </c>
      <c r="AA79" s="89">
        <f t="shared" si="96"/>
        <v>5.9928359789559321E-3</v>
      </c>
    </row>
    <row r="80" spans="1:27" x14ac:dyDescent="0.25">
      <c r="A80" s="88" t="s">
        <v>11</v>
      </c>
      <c r="B80" s="44"/>
      <c r="C80" s="44"/>
      <c r="D80" s="89">
        <f>D47/D$23</f>
        <v>3.0146831337768982E-3</v>
      </c>
      <c r="E80" s="89">
        <f t="shared" ref="E80:S80" si="97">E47/E$23</f>
        <v>2.9909540647914063E-3</v>
      </c>
      <c r="F80" s="89">
        <f t="shared" si="97"/>
        <v>3.1016643272508524E-3</v>
      </c>
      <c r="G80" s="89">
        <f t="shared" si="97"/>
        <v>2.8523855247308558E-3</v>
      </c>
      <c r="H80" s="89">
        <f t="shared" si="97"/>
        <v>2.7992428142121872E-3</v>
      </c>
      <c r="I80" s="89">
        <f t="shared" si="97"/>
        <v>2.8223957613117811E-3</v>
      </c>
      <c r="J80" s="89">
        <f t="shared" si="97"/>
        <v>2.5551489806586516E-3</v>
      </c>
      <c r="K80" s="89">
        <f t="shared" si="97"/>
        <v>2.8758044426673893E-3</v>
      </c>
      <c r="L80" s="89">
        <f t="shared" si="97"/>
        <v>2.8204885001486832E-3</v>
      </c>
      <c r="M80" s="89">
        <f t="shared" si="97"/>
        <v>3.0113834153849524E-3</v>
      </c>
      <c r="N80" s="89">
        <f t="shared" si="97"/>
        <v>2.7076743172123672E-3</v>
      </c>
      <c r="O80" s="89">
        <f t="shared" si="97"/>
        <v>2.7792551466486789E-3</v>
      </c>
      <c r="P80" s="89">
        <f t="shared" si="97"/>
        <v>3.048869487883612E-3</v>
      </c>
      <c r="Q80" s="89">
        <f t="shared" si="97"/>
        <v>3.2505513791987401E-3</v>
      </c>
      <c r="R80" s="89">
        <f t="shared" si="97"/>
        <v>3.0045210068354346E-3</v>
      </c>
      <c r="S80" s="89">
        <f t="shared" si="97"/>
        <v>3.2367871235841456E-3</v>
      </c>
      <c r="T80" s="89">
        <f t="shared" ref="T80:Y80" si="98">T47/T$23</f>
        <v>3.1883520356116111E-3</v>
      </c>
      <c r="U80" s="89">
        <f t="shared" si="98"/>
        <v>3.489649934879584E-3</v>
      </c>
      <c r="V80" s="89">
        <f t="shared" si="98"/>
        <v>3.3969811009763643E-3</v>
      </c>
      <c r="W80" s="89">
        <f t="shared" si="98"/>
        <v>3.3330835228029391E-3</v>
      </c>
      <c r="X80" s="89">
        <f t="shared" si="98"/>
        <v>4.2089200550757466E-3</v>
      </c>
      <c r="Y80" s="89">
        <f t="shared" si="98"/>
        <v>4.1241130114778122E-3</v>
      </c>
      <c r="Z80" s="89">
        <f t="shared" ref="Z80:AA80" si="99">Z47/Z$23</f>
        <v>3.9511363189417134E-3</v>
      </c>
      <c r="AA80" s="89">
        <f t="shared" si="99"/>
        <v>3.7522286656372903E-3</v>
      </c>
    </row>
    <row r="81" spans="1:27" x14ac:dyDescent="0.25">
      <c r="A81" s="68" t="s">
        <v>4</v>
      </c>
      <c r="B81" s="44"/>
      <c r="C81" s="44"/>
      <c r="D81" s="89">
        <f>D48/D$23</f>
        <v>1.3946132208657683E-2</v>
      </c>
      <c r="E81" s="89">
        <f t="shared" ref="E81:S81" si="100">E48/E$23</f>
        <v>1.3480711244005074E-2</v>
      </c>
      <c r="F81" s="89">
        <f t="shared" si="100"/>
        <v>1.306436735512332E-2</v>
      </c>
      <c r="G81" s="89">
        <f t="shared" si="100"/>
        <v>1.2112848579211263E-2</v>
      </c>
      <c r="H81" s="89">
        <f t="shared" si="100"/>
        <v>1.1776358158797099E-2</v>
      </c>
      <c r="I81" s="89">
        <f t="shared" si="100"/>
        <v>1.1267749143019338E-2</v>
      </c>
      <c r="J81" s="89">
        <f t="shared" si="100"/>
        <v>1.0897368879595748E-2</v>
      </c>
      <c r="K81" s="89">
        <f t="shared" si="100"/>
        <v>1.0877814151877723E-2</v>
      </c>
      <c r="L81" s="89">
        <f t="shared" si="100"/>
        <v>1.0391779375121767E-2</v>
      </c>
      <c r="M81" s="89">
        <f t="shared" si="100"/>
        <v>1.0001267612249641E-2</v>
      </c>
      <c r="N81" s="89">
        <f t="shared" si="100"/>
        <v>1.0023900177368804E-2</v>
      </c>
      <c r="O81" s="89">
        <f t="shared" si="100"/>
        <v>9.2380235831311854E-3</v>
      </c>
      <c r="P81" s="89">
        <f t="shared" si="100"/>
        <v>8.6849671250267286E-3</v>
      </c>
      <c r="Q81" s="89">
        <f t="shared" si="100"/>
        <v>8.2201379365571901E-3</v>
      </c>
      <c r="R81" s="89">
        <f t="shared" si="100"/>
        <v>8.0727066294646842E-3</v>
      </c>
      <c r="S81" s="89">
        <f t="shared" si="100"/>
        <v>8.0887643379354383E-3</v>
      </c>
      <c r="T81" s="89">
        <f t="shared" ref="T81:Y81" si="101">T48/T$23</f>
        <v>8.2314754706482429E-3</v>
      </c>
      <c r="U81" s="89">
        <f t="shared" si="101"/>
        <v>8.6170694747899415E-3</v>
      </c>
      <c r="V81" s="89">
        <f t="shared" si="101"/>
        <v>8.7893640284650992E-3</v>
      </c>
      <c r="W81" s="89">
        <f t="shared" si="101"/>
        <v>9.0778271228458569E-3</v>
      </c>
      <c r="X81" s="89">
        <f t="shared" si="101"/>
        <v>9.8632643515893098E-3</v>
      </c>
      <c r="Y81" s="89">
        <f t="shared" si="101"/>
        <v>9.9011803385434059E-3</v>
      </c>
      <c r="Z81" s="89">
        <f t="shared" ref="Z81:AA81" si="102">Z48/Z$23</f>
        <v>9.4873711011671923E-3</v>
      </c>
      <c r="AA81" s="89">
        <f t="shared" si="102"/>
        <v>8.9213829019403994E-3</v>
      </c>
    </row>
    <row r="82" spans="1:27" x14ac:dyDescent="0.25">
      <c r="A82" s="68" t="s">
        <v>3</v>
      </c>
      <c r="B82" s="44"/>
      <c r="C82" s="44"/>
      <c r="D82" s="89">
        <f>D52/D$23</f>
        <v>1.3981693201093857E-2</v>
      </c>
      <c r="E82" s="89">
        <f t="shared" ref="E82:S82" si="103">E52/E$23</f>
        <v>1.2728983109214758E-2</v>
      </c>
      <c r="F82" s="89">
        <f t="shared" si="103"/>
        <v>1.1927010226589133E-2</v>
      </c>
      <c r="G82" s="89">
        <f t="shared" si="103"/>
        <v>1.1091566117857875E-2</v>
      </c>
      <c r="H82" s="89">
        <f t="shared" si="103"/>
        <v>1.0295201759652877E-2</v>
      </c>
      <c r="I82" s="89">
        <f t="shared" si="103"/>
        <v>1.053121884120203E-2</v>
      </c>
      <c r="J82" s="89">
        <f t="shared" si="103"/>
        <v>1.0905035720508802E-2</v>
      </c>
      <c r="K82" s="89">
        <f t="shared" si="103"/>
        <v>1.0719983585621108E-2</v>
      </c>
      <c r="L82" s="89">
        <f t="shared" si="103"/>
        <v>9.4138049485762328E-3</v>
      </c>
      <c r="M82" s="89">
        <f t="shared" si="103"/>
        <v>8.2986777581666085E-3</v>
      </c>
      <c r="N82" s="89">
        <f t="shared" si="103"/>
        <v>9.5948739593108498E-3</v>
      </c>
      <c r="O82" s="89">
        <f t="shared" si="103"/>
        <v>8.8300535744399323E-3</v>
      </c>
      <c r="P82" s="89">
        <f t="shared" si="103"/>
        <v>8.3536715761317864E-3</v>
      </c>
      <c r="Q82" s="89">
        <f t="shared" si="103"/>
        <v>8.1780963153521985E-3</v>
      </c>
      <c r="R82" s="89">
        <f t="shared" si="103"/>
        <v>7.7293138960254446E-3</v>
      </c>
      <c r="S82" s="89">
        <f t="shared" si="103"/>
        <v>8.4667739188765811E-3</v>
      </c>
      <c r="T82" s="89">
        <f t="shared" ref="T82:Y82" si="104">T52/T$23</f>
        <v>8.0478531021051652E-3</v>
      </c>
      <c r="U82" s="89">
        <f t="shared" si="104"/>
        <v>7.8534867517510362E-3</v>
      </c>
      <c r="V82" s="89">
        <f t="shared" si="104"/>
        <v>8.7368683085596813E-3</v>
      </c>
      <c r="W82" s="89">
        <f t="shared" si="104"/>
        <v>8.0728339674746678E-3</v>
      </c>
      <c r="X82" s="89">
        <f t="shared" si="104"/>
        <v>7.1129035666171545E-3</v>
      </c>
      <c r="Y82" s="89">
        <f t="shared" si="104"/>
        <v>8.0528817286368865E-3</v>
      </c>
      <c r="Z82" s="89">
        <f t="shared" ref="Z82:AA82" si="105">Z52/Z$23</f>
        <v>9.4361930341912131E-3</v>
      </c>
      <c r="AA82" s="89">
        <f t="shared" si="105"/>
        <v>9.7616860595511716E-3</v>
      </c>
    </row>
    <row r="83" spans="1:27" x14ac:dyDescent="0.25">
      <c r="A83" s="88" t="s">
        <v>21</v>
      </c>
      <c r="B83" s="44"/>
      <c r="C83" s="44"/>
      <c r="D83" s="89">
        <f>D53/D$23</f>
        <v>9.0920567411195315E-3</v>
      </c>
      <c r="E83" s="89">
        <f t="shared" ref="E83:S83" si="106">E53/E$23</f>
        <v>8.2337328551390487E-3</v>
      </c>
      <c r="F83" s="89">
        <f t="shared" si="106"/>
        <v>7.7321034690194515E-3</v>
      </c>
      <c r="G83" s="89">
        <f t="shared" si="106"/>
        <v>7.1184327386817001E-3</v>
      </c>
      <c r="H83" s="89">
        <f t="shared" si="106"/>
        <v>6.5573671937759863E-3</v>
      </c>
      <c r="I83" s="89">
        <f t="shared" si="106"/>
        <v>6.7670540971317529E-3</v>
      </c>
      <c r="J83" s="89">
        <f t="shared" si="106"/>
        <v>7.0604634953824715E-3</v>
      </c>
      <c r="K83" s="89">
        <f t="shared" si="106"/>
        <v>6.9261313492277495E-3</v>
      </c>
      <c r="L83" s="89">
        <f t="shared" si="106"/>
        <v>5.9960214513499381E-3</v>
      </c>
      <c r="M83" s="89">
        <f t="shared" si="106"/>
        <v>5.3291191124397808E-3</v>
      </c>
      <c r="N83" s="89">
        <f t="shared" si="106"/>
        <v>6.2234112899704685E-3</v>
      </c>
      <c r="O83" s="89">
        <f t="shared" si="106"/>
        <v>5.7764402184488058E-3</v>
      </c>
      <c r="P83" s="89">
        <f t="shared" si="106"/>
        <v>5.5077885003784778E-3</v>
      </c>
      <c r="Q83" s="89">
        <f t="shared" si="106"/>
        <v>5.478757303063366E-3</v>
      </c>
      <c r="R83" s="89">
        <f t="shared" si="106"/>
        <v>4.9742323121314234E-3</v>
      </c>
      <c r="S83" s="89">
        <f t="shared" si="106"/>
        <v>5.7444642418953782E-3</v>
      </c>
      <c r="T83" s="89">
        <f t="shared" ref="T83:Y83" si="107">T53/T$23</f>
        <v>5.5105258276917368E-3</v>
      </c>
      <c r="U83" s="89">
        <f t="shared" si="107"/>
        <v>5.2119991908743894E-3</v>
      </c>
      <c r="V83" s="89">
        <f t="shared" si="107"/>
        <v>6.3096468505672645E-3</v>
      </c>
      <c r="W83" s="89">
        <f t="shared" si="107"/>
        <v>5.6951409335760988E-3</v>
      </c>
      <c r="X83" s="89">
        <f t="shared" si="107"/>
        <v>5.0124411564992982E-3</v>
      </c>
      <c r="Y83" s="89">
        <f t="shared" si="107"/>
        <v>5.9217075012742747E-3</v>
      </c>
      <c r="Z83" s="89">
        <f t="shared" ref="Z83:AA83" si="108">Z53/Z$23</f>
        <v>7.2848187372380616E-3</v>
      </c>
      <c r="AA83" s="89">
        <f t="shared" si="108"/>
        <v>7.701392539472553E-3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4.8896364599743253E-3</v>
      </c>
      <c r="E84" s="89">
        <f t="shared" ref="E84:S84" si="110">E56/E$23</f>
        <v>4.4952502540757094E-3</v>
      </c>
      <c r="F84" s="89">
        <f t="shared" si="110"/>
        <v>4.1949067575696814E-3</v>
      </c>
      <c r="G84" s="89">
        <f t="shared" si="110"/>
        <v>3.9731333791761759E-3</v>
      </c>
      <c r="H84" s="89">
        <f t="shared" si="110"/>
        <v>3.7378345658768903E-3</v>
      </c>
      <c r="I84" s="89">
        <f t="shared" si="110"/>
        <v>3.7641647440702767E-3</v>
      </c>
      <c r="J84" s="89">
        <f t="shared" si="110"/>
        <v>3.8445722251263296E-3</v>
      </c>
      <c r="K84" s="89">
        <f t="shared" si="110"/>
        <v>3.7938522363933592E-3</v>
      </c>
      <c r="L84" s="89">
        <f t="shared" si="110"/>
        <v>3.4177834972262955E-3</v>
      </c>
      <c r="M84" s="89">
        <f t="shared" si="110"/>
        <v>2.9695586457268268E-3</v>
      </c>
      <c r="N84" s="89">
        <f t="shared" si="110"/>
        <v>3.3714626693403817E-3</v>
      </c>
      <c r="O84" s="89">
        <f t="shared" si="110"/>
        <v>3.0536133559911265E-3</v>
      </c>
      <c r="P84" s="89">
        <f t="shared" si="110"/>
        <v>2.8458830757533086E-3</v>
      </c>
      <c r="Q84" s="89">
        <f t="shared" si="110"/>
        <v>2.6993390122888325E-3</v>
      </c>
      <c r="R84" s="89">
        <f t="shared" si="110"/>
        <v>2.7550815838940216E-3</v>
      </c>
      <c r="S84" s="89">
        <f t="shared" si="110"/>
        <v>2.7223096769812029E-3</v>
      </c>
      <c r="T84" s="89">
        <f t="shared" ref="T84:Y84" si="111">T56/T$23</f>
        <v>2.5373272744134276E-3</v>
      </c>
      <c r="U84" s="89">
        <f t="shared" si="111"/>
        <v>2.6414875608766469E-3</v>
      </c>
      <c r="V84" s="89">
        <f t="shared" si="111"/>
        <v>2.4272214579924168E-3</v>
      </c>
      <c r="W84" s="89">
        <f t="shared" si="111"/>
        <v>2.3776930338985703E-3</v>
      </c>
      <c r="X84" s="89">
        <f t="shared" si="111"/>
        <v>2.1004624101178568E-3</v>
      </c>
      <c r="Y84" s="89">
        <f t="shared" si="111"/>
        <v>2.1311742273626105E-3</v>
      </c>
      <c r="Z84" s="89">
        <f t="shared" ref="Z84:AA84" si="112">Z56/Z$23</f>
        <v>2.1513742969531519E-3</v>
      </c>
      <c r="AA84" s="89">
        <f t="shared" si="112"/>
        <v>2.0602935200786177E-3</v>
      </c>
    </row>
    <row r="85" spans="1:27" x14ac:dyDescent="0.25">
      <c r="A85" s="68" t="s">
        <v>2</v>
      </c>
      <c r="B85" s="44"/>
      <c r="C85" s="44"/>
      <c r="D85" s="89">
        <f t="shared" si="109"/>
        <v>2.1926907936146683E-2</v>
      </c>
      <c r="E85" s="89">
        <f t="shared" ref="E85:S85" si="113">E57/E$23</f>
        <v>2.2752584852888065E-2</v>
      </c>
      <c r="F85" s="89">
        <f t="shared" si="113"/>
        <v>2.3388810908361739E-2</v>
      </c>
      <c r="G85" s="89">
        <f t="shared" si="113"/>
        <v>2.3577214123145989E-2</v>
      </c>
      <c r="H85" s="89">
        <f t="shared" si="113"/>
        <v>2.3246114688547599E-2</v>
      </c>
      <c r="I85" s="89">
        <f t="shared" si="113"/>
        <v>2.3161403483235202E-2</v>
      </c>
      <c r="J85" s="89">
        <f t="shared" si="113"/>
        <v>2.2576058546785155E-2</v>
      </c>
      <c r="K85" s="89">
        <f t="shared" si="113"/>
        <v>2.1184807755794028E-2</v>
      </c>
      <c r="L85" s="89">
        <f t="shared" si="113"/>
        <v>2.1526332249828247E-2</v>
      </c>
      <c r="M85" s="89">
        <f t="shared" si="113"/>
        <v>2.2799647127635689E-2</v>
      </c>
      <c r="N85" s="89">
        <f t="shared" si="113"/>
        <v>2.2576397356742894E-2</v>
      </c>
      <c r="O85" s="89">
        <f t="shared" si="113"/>
        <v>2.2169829677385879E-2</v>
      </c>
      <c r="P85" s="89">
        <f t="shared" si="113"/>
        <v>2.2773174564920007E-2</v>
      </c>
      <c r="Q85" s="89">
        <f t="shared" si="113"/>
        <v>2.3413179047256785E-2</v>
      </c>
      <c r="R85" s="89">
        <f t="shared" si="113"/>
        <v>2.4769930176810867E-2</v>
      </c>
      <c r="S85" s="89">
        <f t="shared" si="113"/>
        <v>2.4693636048531302E-2</v>
      </c>
      <c r="T85" s="89">
        <f t="shared" ref="T85:Y85" si="114">T57/T$23</f>
        <v>2.5242820489041393E-2</v>
      </c>
      <c r="U85" s="89">
        <f t="shared" si="114"/>
        <v>2.4225859607242859E-2</v>
      </c>
      <c r="V85" s="89">
        <f t="shared" si="114"/>
        <v>2.3905309010692759E-2</v>
      </c>
      <c r="W85" s="89">
        <f t="shared" si="114"/>
        <v>2.3094893675066949E-2</v>
      </c>
      <c r="X85" s="89">
        <f t="shared" si="114"/>
        <v>2.3779541678873674E-2</v>
      </c>
      <c r="Y85" s="89">
        <f t="shared" si="114"/>
        <v>2.305809891573242E-2</v>
      </c>
      <c r="Z85" s="89">
        <f t="shared" ref="Z85:AA85" si="115">Z57/Z$23</f>
        <v>2.2025049768300779E-2</v>
      </c>
      <c r="AA85" s="89">
        <f t="shared" si="115"/>
        <v>2.0720500934600261E-2</v>
      </c>
    </row>
    <row r="86" spans="1:27" x14ac:dyDescent="0.25">
      <c r="A86" s="68" t="s">
        <v>269</v>
      </c>
      <c r="B86" s="44"/>
      <c r="C86" s="44"/>
      <c r="D86" s="89">
        <f t="shared" si="109"/>
        <v>1.3284697749344787E-2</v>
      </c>
      <c r="E86" s="89">
        <f t="shared" ref="E86:S86" si="116">E58/E$23</f>
        <v>1.3414357587414645E-2</v>
      </c>
      <c r="F86" s="89">
        <f t="shared" si="116"/>
        <v>1.2491678363745741E-2</v>
      </c>
      <c r="G86" s="89">
        <f t="shared" si="116"/>
        <v>1.1126809761079427E-2</v>
      </c>
      <c r="H86" s="89">
        <f t="shared" si="116"/>
        <v>1.0566484083392634E-2</v>
      </c>
      <c r="I86" s="89">
        <f t="shared" si="116"/>
        <v>9.7874105719754582E-3</v>
      </c>
      <c r="J86" s="89">
        <f t="shared" si="116"/>
        <v>9.4546088168670495E-3</v>
      </c>
      <c r="K86" s="89">
        <f t="shared" si="116"/>
        <v>9.3718474988458648E-3</v>
      </c>
      <c r="L86" s="89">
        <f t="shared" si="116"/>
        <v>8.3435445997354467E-3</v>
      </c>
      <c r="M86" s="89">
        <f t="shared" si="116"/>
        <v>7.0844725220915224E-3</v>
      </c>
      <c r="N86" s="89">
        <f t="shared" si="116"/>
        <v>8.382463584975984E-3</v>
      </c>
      <c r="O86" s="89">
        <f t="shared" si="116"/>
        <v>8.8345937812139199E-3</v>
      </c>
      <c r="P86" s="89">
        <f t="shared" si="116"/>
        <v>8.81870733636342E-3</v>
      </c>
      <c r="Q86" s="89">
        <f t="shared" si="116"/>
        <v>8.9081524042135055E-3</v>
      </c>
      <c r="R86" s="89">
        <f t="shared" si="116"/>
        <v>9.1723573481082635E-3</v>
      </c>
      <c r="S86" s="89">
        <f t="shared" si="116"/>
        <v>9.3458063681159803E-3</v>
      </c>
      <c r="T86" s="89">
        <f t="shared" ref="T86:Y86" si="117">T58/T$23</f>
        <v>9.3888528238894563E-3</v>
      </c>
      <c r="U86" s="89">
        <f t="shared" si="117"/>
        <v>1.0004057457381912E-2</v>
      </c>
      <c r="V86" s="89">
        <f t="shared" si="117"/>
        <v>1.120586055443383E-2</v>
      </c>
      <c r="W86" s="89">
        <f t="shared" si="117"/>
        <v>1.119294952012116E-2</v>
      </c>
      <c r="X86" s="89">
        <f t="shared" si="117"/>
        <v>1.0643370836695617E-2</v>
      </c>
      <c r="Y86" s="89">
        <f t="shared" si="117"/>
        <v>1.1237634199128424E-2</v>
      </c>
      <c r="Z86" s="89">
        <f t="shared" ref="Z86:AA86" si="118">Z58/Z$23</f>
        <v>1.0735073419201916E-2</v>
      </c>
      <c r="AA86" s="89">
        <f t="shared" si="118"/>
        <v>1.0173944699024931E-2</v>
      </c>
    </row>
    <row r="87" spans="1:27" x14ac:dyDescent="0.25">
      <c r="A87" s="68" t="s">
        <v>270</v>
      </c>
      <c r="B87" s="44"/>
      <c r="C87" s="44"/>
      <c r="D87" s="89">
        <f t="shared" si="109"/>
        <v>3.1966665125690331E-2</v>
      </c>
      <c r="E87" s="89">
        <f t="shared" ref="E87:S87" si="119">E59/E$23</f>
        <v>3.0904005577066837E-2</v>
      </c>
      <c r="F87" s="89">
        <f t="shared" si="119"/>
        <v>2.9203930218568271E-2</v>
      </c>
      <c r="G87" s="89">
        <f t="shared" si="119"/>
        <v>2.7709335492854936E-2</v>
      </c>
      <c r="H87" s="89">
        <f t="shared" si="119"/>
        <v>2.7618193800785586E-2</v>
      </c>
      <c r="I87" s="89">
        <f t="shared" si="119"/>
        <v>2.7103150632091472E-2</v>
      </c>
      <c r="J87" s="89">
        <f t="shared" si="119"/>
        <v>2.750374629726433E-2</v>
      </c>
      <c r="K87" s="89">
        <f t="shared" si="119"/>
        <v>2.8250356105215119E-2</v>
      </c>
      <c r="L87" s="89">
        <f t="shared" si="119"/>
        <v>2.8169636906165727E-2</v>
      </c>
      <c r="M87" s="89">
        <f t="shared" si="119"/>
        <v>2.3612978032987522E-2</v>
      </c>
      <c r="N87" s="89">
        <f t="shared" si="119"/>
        <v>2.494110381232191E-2</v>
      </c>
      <c r="O87" s="89">
        <f t="shared" si="119"/>
        <v>2.3228995057660625E-2</v>
      </c>
      <c r="P87" s="89">
        <f t="shared" si="119"/>
        <v>2.370935604427683E-2</v>
      </c>
      <c r="Q87" s="89">
        <f t="shared" si="119"/>
        <v>2.4051143965859532E-2</v>
      </c>
      <c r="R87" s="89">
        <f t="shared" si="119"/>
        <v>2.5110676338123406E-2</v>
      </c>
      <c r="S87" s="89">
        <f t="shared" si="119"/>
        <v>2.459496914096361E-2</v>
      </c>
      <c r="T87" s="89">
        <f t="shared" ref="T87:Y87" si="120">T59/T$23</f>
        <v>2.5419642029119911E-2</v>
      </c>
      <c r="U87" s="89">
        <f t="shared" si="120"/>
        <v>2.6199581951767126E-2</v>
      </c>
      <c r="V87" s="89">
        <f t="shared" si="120"/>
        <v>2.635228692241302E-2</v>
      </c>
      <c r="W87" s="89">
        <f t="shared" si="120"/>
        <v>2.5840293432121721E-2</v>
      </c>
      <c r="X87" s="89">
        <f t="shared" si="120"/>
        <v>2.6224370275315913E-2</v>
      </c>
      <c r="Y87" s="89">
        <f t="shared" si="120"/>
        <v>2.6999677094814035E-2</v>
      </c>
      <c r="Z87" s="89">
        <f t="shared" ref="Z87:AA87" si="121">Z59/Z$23</f>
        <v>2.6928666778184309E-2</v>
      </c>
      <c r="AA87" s="89">
        <f t="shared" si="121"/>
        <v>2.5785624436674263E-2</v>
      </c>
    </row>
    <row r="88" spans="1:27" x14ac:dyDescent="0.25">
      <c r="A88" s="68" t="s">
        <v>1</v>
      </c>
      <c r="B88" s="44"/>
      <c r="C88" s="44"/>
      <c r="D88" s="89">
        <f t="shared" si="109"/>
        <v>3.3891403841298406E-2</v>
      </c>
      <c r="E88" s="89">
        <f t="shared" ref="E88:S88" si="122">E60/E$23</f>
        <v>3.2531769962791557E-2</v>
      </c>
      <c r="F88" s="89">
        <f t="shared" si="122"/>
        <v>3.1980749949869658E-2</v>
      </c>
      <c r="G88" s="89">
        <f t="shared" si="122"/>
        <v>3.0257842493808869E-2</v>
      </c>
      <c r="H88" s="89">
        <f t="shared" si="122"/>
        <v>2.7692589784304247E-2</v>
      </c>
      <c r="I88" s="89">
        <f t="shared" si="122"/>
        <v>2.4851347515665825E-2</v>
      </c>
      <c r="J88" s="89">
        <f t="shared" si="122"/>
        <v>2.4011151768600802E-2</v>
      </c>
      <c r="K88" s="89">
        <f t="shared" si="122"/>
        <v>2.3577256089300534E-2</v>
      </c>
      <c r="L88" s="89">
        <f t="shared" si="122"/>
        <v>2.2360109922787447E-2</v>
      </c>
      <c r="M88" s="89">
        <f t="shared" si="122"/>
        <v>2.1349292807490886E-2</v>
      </c>
      <c r="N88" s="89">
        <f t="shared" si="122"/>
        <v>2.1282990882243696E-2</v>
      </c>
      <c r="O88" s="89">
        <f t="shared" si="122"/>
        <v>2.1950602550299004E-2</v>
      </c>
      <c r="P88" s="89">
        <f t="shared" si="122"/>
        <v>2.2908951429221218E-2</v>
      </c>
      <c r="Q88" s="89">
        <f t="shared" si="122"/>
        <v>2.378020907364958E-2</v>
      </c>
      <c r="R88" s="89">
        <f t="shared" si="122"/>
        <v>2.491152178558928E-2</v>
      </c>
      <c r="S88" s="89">
        <f t="shared" si="122"/>
        <v>2.524335167640842E-2</v>
      </c>
      <c r="T88" s="89">
        <f t="shared" ref="T88:Y88" si="123">T60/T$23</f>
        <v>2.5414695972054778E-2</v>
      </c>
      <c r="U88" s="89">
        <f t="shared" si="123"/>
        <v>2.4599666176538436E-2</v>
      </c>
      <c r="V88" s="89">
        <f t="shared" si="123"/>
        <v>2.3684036728940896E-2</v>
      </c>
      <c r="W88" s="89">
        <f t="shared" si="123"/>
        <v>2.1821399129473208E-2</v>
      </c>
      <c r="X88" s="89">
        <f t="shared" si="123"/>
        <v>2.1812142820022123E-2</v>
      </c>
      <c r="Y88" s="89">
        <f t="shared" si="123"/>
        <v>2.1705633227744228E-2</v>
      </c>
      <c r="Z88" s="89">
        <f t="shared" ref="Z88:AA88" si="124">Z60/Z$23</f>
        <v>2.0662670670560622E-2</v>
      </c>
      <c r="AA88" s="89">
        <f t="shared" si="124"/>
        <v>1.9264369969421408E-2</v>
      </c>
    </row>
    <row r="89" spans="1:27" x14ac:dyDescent="0.25">
      <c r="A89" s="68" t="s">
        <v>0</v>
      </c>
      <c r="B89" s="44"/>
      <c r="C89" s="44"/>
      <c r="D89" s="89">
        <f t="shared" si="109"/>
        <v>8.7266675438378138E-3</v>
      </c>
      <c r="E89" s="89">
        <f t="shared" ref="E89:S89" si="125">E61/E$23</f>
        <v>7.9557194332221855E-3</v>
      </c>
      <c r="F89" s="89">
        <f t="shared" si="125"/>
        <v>7.4505714858632442E-3</v>
      </c>
      <c r="G89" s="89">
        <f t="shared" si="125"/>
        <v>6.946130482931895E-3</v>
      </c>
      <c r="H89" s="89">
        <f t="shared" si="125"/>
        <v>6.4596754982464335E-3</v>
      </c>
      <c r="I89" s="89">
        <f t="shared" si="125"/>
        <v>6.5938384727913186E-3</v>
      </c>
      <c r="J89" s="89">
        <f t="shared" si="125"/>
        <v>6.814427600627288E-3</v>
      </c>
      <c r="K89" s="89">
        <f t="shared" si="125"/>
        <v>6.7018804196714767E-3</v>
      </c>
      <c r="L89" s="89">
        <f t="shared" si="125"/>
        <v>5.906299026896219E-3</v>
      </c>
      <c r="M89" s="89">
        <f t="shared" si="125"/>
        <v>5.1959233075285233E-3</v>
      </c>
      <c r="N89" s="89">
        <f t="shared" si="125"/>
        <v>5.9563772722411815E-3</v>
      </c>
      <c r="O89" s="89">
        <f t="shared" si="125"/>
        <v>5.9126464216684611E-3</v>
      </c>
      <c r="P89" s="89">
        <f t="shared" si="125"/>
        <v>5.887963720421858E-3</v>
      </c>
      <c r="Q89" s="89">
        <f t="shared" si="125"/>
        <v>6.1887935723032462E-3</v>
      </c>
      <c r="R89" s="89">
        <f t="shared" si="125"/>
        <v>6.6600987568389081E-3</v>
      </c>
      <c r="S89" s="89">
        <f t="shared" si="125"/>
        <v>7.1424589971726153E-3</v>
      </c>
      <c r="T89" s="89">
        <f t="shared" ref="T89:Y89" si="126">T61/T$23</f>
        <v>6.936226776716437E-3</v>
      </c>
      <c r="U89" s="89">
        <f t="shared" si="126"/>
        <v>6.6084506309168787E-3</v>
      </c>
      <c r="V89" s="89">
        <f t="shared" si="126"/>
        <v>6.5862372027570984E-3</v>
      </c>
      <c r="W89" s="89">
        <f t="shared" si="126"/>
        <v>6.4478074812682551E-3</v>
      </c>
      <c r="X89" s="89">
        <f t="shared" si="126"/>
        <v>6.9958304850309223E-3</v>
      </c>
      <c r="Y89" s="89">
        <f t="shared" si="126"/>
        <v>6.1848351982664532E-3</v>
      </c>
      <c r="Z89" s="89">
        <f t="shared" ref="Z89:AA89" si="127">Z61/Z$23</f>
        <v>6.5460538630200092E-3</v>
      </c>
      <c r="AA89" s="89">
        <f t="shared" si="127"/>
        <v>6.4190374087834722E-3</v>
      </c>
    </row>
    <row r="90" spans="1:27" x14ac:dyDescent="0.25">
      <c r="A90" s="90" t="s">
        <v>272</v>
      </c>
      <c r="B90" s="47"/>
      <c r="C90" s="47"/>
      <c r="D90" s="91">
        <f t="shared" si="109"/>
        <v>1.5411245097028167E-2</v>
      </c>
      <c r="E90" s="91">
        <f t="shared" ref="E90:S90" si="128">E62/E$23</f>
        <v>1.5340293467944464E-2</v>
      </c>
      <c r="F90" s="91">
        <f t="shared" si="128"/>
        <v>1.5018247443352718E-2</v>
      </c>
      <c r="G90" s="91">
        <f t="shared" si="128"/>
        <v>1.4164811806777118E-2</v>
      </c>
      <c r="H90" s="91">
        <f t="shared" si="128"/>
        <v>1.3670074102908429E-2</v>
      </c>
      <c r="I90" s="91">
        <f t="shared" si="128"/>
        <v>1.278957212829601E-2</v>
      </c>
      <c r="J90" s="91">
        <f t="shared" si="128"/>
        <v>1.2264854504269038E-2</v>
      </c>
      <c r="K90" s="91">
        <f t="shared" si="128"/>
        <v>1.2246994314153851E-2</v>
      </c>
      <c r="L90" s="91">
        <f t="shared" si="128"/>
        <v>1.2149057145493884E-2</v>
      </c>
      <c r="M90" s="91">
        <f t="shared" si="128"/>
        <v>1.2251440219856729E-2</v>
      </c>
      <c r="N90" s="91">
        <f t="shared" si="128"/>
        <v>1.1929839659360777E-2</v>
      </c>
      <c r="O90" s="91">
        <f t="shared" si="128"/>
        <v>1.2367523252344692E-2</v>
      </c>
      <c r="P90" s="91">
        <f t="shared" si="128"/>
        <v>1.2776602930743616E-2</v>
      </c>
      <c r="Q90" s="91">
        <f t="shared" si="128"/>
        <v>1.3000870862153532E-2</v>
      </c>
      <c r="R90" s="91">
        <f t="shared" si="128"/>
        <v>1.3484284985533175E-2</v>
      </c>
      <c r="S90" s="91">
        <f t="shared" si="128"/>
        <v>1.4156779153348235E-2</v>
      </c>
      <c r="T90" s="91">
        <f t="shared" ref="T90:Y90" si="129">T62/T$23</f>
        <v>1.3840304182509509E-2</v>
      </c>
      <c r="U90" s="91">
        <f t="shared" si="129"/>
        <v>1.417271046433637E-2</v>
      </c>
      <c r="V90" s="91">
        <f t="shared" si="129"/>
        <v>1.428052922459306E-2</v>
      </c>
      <c r="W90" s="91">
        <f t="shared" si="129"/>
        <v>1.446996046343987E-2</v>
      </c>
      <c r="X90" s="91">
        <f t="shared" si="129"/>
        <v>1.528517574953899E-2</v>
      </c>
      <c r="Y90" s="91">
        <f t="shared" si="129"/>
        <v>1.5788195547110799E-2</v>
      </c>
      <c r="Z90" s="91">
        <f t="shared" ref="Z90:AA90" si="130">Z62/Z$23</f>
        <v>1.5420235902456501E-2</v>
      </c>
      <c r="AA90" s="91">
        <f t="shared" si="130"/>
        <v>1.4357579875980381E-2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1.9432010178875858E-2</v>
      </c>
      <c r="F93" s="92">
        <f t="shared" ref="F93:F94" si="132">IF(E16=0,"",F16/E16-1)</f>
        <v>7.7060145352956244E-3</v>
      </c>
      <c r="G93" s="92">
        <f t="shared" ref="G93:G94" si="133">IF(F16=0,"",G16/F16-1)</f>
        <v>-9.3001733413569099E-3</v>
      </c>
      <c r="H93" s="92">
        <f t="shared" ref="H93:H94" si="134">IF(G16=0,"",H16/G16-1)</f>
        <v>1.7886409073428311E-2</v>
      </c>
      <c r="I93" s="92">
        <f t="shared" ref="I93:I94" si="135">IF(H16=0,"",I16/H16-1)</f>
        <v>7.8188161775449849E-3</v>
      </c>
      <c r="J93" s="92">
        <f t="shared" ref="J93:J94" si="136">IF(I16=0,"",J16/I16-1)</f>
        <v>1.6244765457863464E-2</v>
      </c>
      <c r="K93" s="92">
        <f t="shared" ref="K93:K94" si="137">IF(J16=0,"",K16/J16-1)</f>
        <v>2.5075122360607383E-2</v>
      </c>
      <c r="L93" s="92">
        <f t="shared" ref="L93:L94" si="138">IF(K16=0,"",L16/K16-1)</f>
        <v>3.1840136846799094E-3</v>
      </c>
      <c r="M93" s="92">
        <f t="shared" ref="M93:M94" si="139">IF(L16=0,"",M16/L16-1)</f>
        <v>-3.121432482184594E-2</v>
      </c>
      <c r="N93" s="92">
        <f t="shared" ref="N93:N94" si="140">IF(M16=0,"",N16/M16-1)</f>
        <v>1.7372240798952943E-2</v>
      </c>
      <c r="O93" s="92">
        <f t="shared" ref="O93:O94" si="141">IF(N16=0,"",O16/N16-1)</f>
        <v>-1.7130750677548212E-2</v>
      </c>
      <c r="P93" s="92">
        <f t="shared" ref="P93:P94" si="142">IF(O16=0,"",P16/O16-1)</f>
        <v>-4.0515841533316443E-2</v>
      </c>
      <c r="Q93" s="92">
        <f t="shared" ref="Q93:Q94" si="143">IF(P16=0,"",Q16/P16-1)</f>
        <v>-9.8382894075919047E-3</v>
      </c>
      <c r="R93" s="92">
        <f t="shared" ref="R93:R94" si="144">IF(Q16=0,"",R16/Q16-1)</f>
        <v>7.418569732131397E-3</v>
      </c>
      <c r="S93" s="92">
        <f t="shared" ref="S93:S94" si="145">IF(R16=0,"",S16/R16-1)</f>
        <v>1.5894352886220542E-2</v>
      </c>
      <c r="T93" s="92">
        <f t="shared" ref="T93:T94" si="146">IF(S16=0,"",T16/S16-1)</f>
        <v>2.004206756799598E-2</v>
      </c>
      <c r="U93" s="92">
        <f t="shared" ref="U93:U94" si="147">IF(T16=0,"",U16/T16-1)</f>
        <v>3.314336503144677E-2</v>
      </c>
      <c r="V93" s="92">
        <f t="shared" ref="V93:V94" si="148">IF(U16=0,"",V16/U16-1)</f>
        <v>2.946894973237324E-2</v>
      </c>
      <c r="W93" s="92">
        <f t="shared" ref="W93:W94" si="149">IF(V16=0,"",W16/V16-1)</f>
        <v>2.7458439553440961E-2</v>
      </c>
      <c r="X93" s="92">
        <f t="shared" ref="X93:X94" si="150">IF(W16=0,"",X16/W16-1)</f>
        <v>-8.2047423485099635E-2</v>
      </c>
      <c r="Y93" s="92">
        <f t="shared" ref="Y93:Y94" si="151">IF(X16=0,"",Y16/X16-1)</f>
        <v>5.5587558159686967E-2</v>
      </c>
      <c r="Z93" s="92">
        <f t="shared" ref="Z93:Z94" si="152">IF(Y16=0,"",Z16/Y16-1)</f>
        <v>6.9853389770713203E-2</v>
      </c>
      <c r="AA93" s="92">
        <f t="shared" ref="AA93:AA94" si="153">IF(Z16=0,"",AA16/Z16-1)</f>
        <v>3.1005289419355542E-2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8.6774649492775691E-3</v>
      </c>
      <c r="F94" s="93">
        <f t="shared" si="132"/>
        <v>1.2962369936905915E-2</v>
      </c>
      <c r="G94" s="93">
        <f t="shared" si="133"/>
        <v>-3.205832324644553E-3</v>
      </c>
      <c r="H94" s="93">
        <f t="shared" si="134"/>
        <v>2.5404344040292681E-2</v>
      </c>
      <c r="I94" s="93">
        <f t="shared" si="135"/>
        <v>1.5904350898831465E-2</v>
      </c>
      <c r="J94" s="93">
        <f t="shared" si="136"/>
        <v>1.5047419316178923E-2</v>
      </c>
      <c r="K94" s="93">
        <f t="shared" si="137"/>
        <v>2.4790546099105359E-2</v>
      </c>
      <c r="L94" s="93">
        <f t="shared" si="138"/>
        <v>1.4121451968979848E-2</v>
      </c>
      <c r="M94" s="93">
        <f t="shared" si="139"/>
        <v>-2.366565006482757E-2</v>
      </c>
      <c r="N94" s="93">
        <f t="shared" si="140"/>
        <v>2.2762841321298799E-2</v>
      </c>
      <c r="O94" s="93">
        <f t="shared" si="141"/>
        <v>-3.691166076327812E-2</v>
      </c>
      <c r="P94" s="93">
        <f t="shared" si="142"/>
        <v>-5.3521966916574515E-2</v>
      </c>
      <c r="Q94" s="93">
        <f t="shared" si="143"/>
        <v>-1.1589765171862498E-2</v>
      </c>
      <c r="R94" s="93">
        <f t="shared" si="144"/>
        <v>2.3370680839548852E-2</v>
      </c>
      <c r="S94" s="93">
        <f t="shared" si="145"/>
        <v>1.7684905237994375E-2</v>
      </c>
      <c r="T94" s="93">
        <f t="shared" si="146"/>
        <v>2.3598341045118376E-2</v>
      </c>
      <c r="U94" s="93">
        <f t="shared" si="147"/>
        <v>1.77907259305774E-2</v>
      </c>
      <c r="V94" s="93">
        <f t="shared" si="148"/>
        <v>2.5592460826779018E-2</v>
      </c>
      <c r="W94" s="93">
        <f t="shared" si="149"/>
        <v>3.4613066940092807E-2</v>
      </c>
      <c r="X94" s="93">
        <f t="shared" si="150"/>
        <v>-6.7585745339549086E-2</v>
      </c>
      <c r="Y94" s="93">
        <f t="shared" si="151"/>
        <v>4.8943218045692349E-2</v>
      </c>
      <c r="Z94" s="93">
        <f t="shared" si="152"/>
        <v>5.5758588145794263E-2</v>
      </c>
      <c r="AA94" s="93">
        <f t="shared" si="153"/>
        <v>2.4118181156209229E-2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1.1364792205068142E-2</v>
      </c>
      <c r="F95" s="92">
        <f t="shared" ref="F95:F96" si="155">IF(E20=0,"",F20/E20-1)</f>
        <v>1.5117455500366361E-3</v>
      </c>
      <c r="G95" s="92">
        <f t="shared" ref="G95:G96" si="156">IF(F20=0,"",G20/F20-1)</f>
        <v>-1.4035514601817733E-2</v>
      </c>
      <c r="H95" s="92">
        <f t="shared" ref="H95:H96" si="157">IF(G20=0,"",H20/G20-1)</f>
        <v>1.5120547034250365E-2</v>
      </c>
      <c r="I95" s="92">
        <f t="shared" ref="I95:I96" si="158">IF(H20=0,"",I20/H20-1)</f>
        <v>5.7424236572842791E-3</v>
      </c>
      <c r="J95" s="92">
        <f t="shared" ref="J95:J96" si="159">IF(I20=0,"",J20/I20-1)</f>
        <v>1.4570743916108464E-2</v>
      </c>
      <c r="K95" s="92">
        <f t="shared" ref="K95:K96" si="160">IF(J20=0,"",K20/J20-1)</f>
        <v>2.3070244972388299E-2</v>
      </c>
      <c r="L95" s="92">
        <f t="shared" ref="L95:L96" si="161">IF(K20=0,"",L20/K20-1)</f>
        <v>1.2114558555444965E-3</v>
      </c>
      <c r="M95" s="92">
        <f t="shared" ref="M95:M96" si="162">IF(L20=0,"",M20/L20-1)</f>
        <v>-3.210166639001466E-2</v>
      </c>
      <c r="N95" s="92">
        <f t="shared" ref="N95:N96" si="163">IF(M20=0,"",N20/M20-1)</f>
        <v>1.6365306326395768E-2</v>
      </c>
      <c r="O95" s="92">
        <f t="shared" ref="O95:O96" si="164">IF(N20=0,"",O20/N20-1)</f>
        <v>-1.7060284910884516E-2</v>
      </c>
      <c r="P95" s="92">
        <f t="shared" ref="P95:P96" si="165">IF(O20=0,"",P20/O20-1)</f>
        <v>-3.926448071180999E-2</v>
      </c>
      <c r="Q95" s="92">
        <f t="shared" ref="Q95:Q96" si="166">IF(P20=0,"",Q20/P20-1)</f>
        <v>-4.6478981204289838E-3</v>
      </c>
      <c r="R95" s="92">
        <f t="shared" ref="R95:R96" si="167">IF(Q20=0,"",R20/Q20-1)</f>
        <v>1.3186482176245518E-2</v>
      </c>
      <c r="S95" s="92">
        <f t="shared" ref="S95:S96" si="168">IF(R20=0,"",S20/R20-1)</f>
        <v>2.0680190622519357E-2</v>
      </c>
      <c r="T95" s="92">
        <f t="shared" ref="T95:T96" si="169">IF(S20=0,"",T20/S20-1)</f>
        <v>2.2655687327229224E-2</v>
      </c>
      <c r="U95" s="92">
        <f t="shared" ref="U95:U96" si="170">IF(T20=0,"",U20/T20-1)</f>
        <v>3.5547929056475303E-2</v>
      </c>
      <c r="V95" s="92">
        <f t="shared" ref="V95:V96" si="171">IF(U20=0,"",V20/U20-1)</f>
        <v>3.0336288654801979E-2</v>
      </c>
      <c r="W95" s="92">
        <f t="shared" ref="W95:W96" si="172">IF(V20=0,"",W20/V20-1)</f>
        <v>2.7684543138475792E-2</v>
      </c>
      <c r="X95" s="92">
        <f t="shared" ref="X95:X96" si="173">IF(W20=0,"",X20/W20-1)</f>
        <v>-8.5754395123615379E-2</v>
      </c>
      <c r="Y95" s="92">
        <f t="shared" ref="Y95:Y96" si="174">IF(X20=0,"",Y20/X20-1)</f>
        <v>5.3667975139850777E-2</v>
      </c>
      <c r="Z95" s="92">
        <f t="shared" ref="Z95:Z96" si="175">IF(Y20=0,"",Z20/Y20-1)</f>
        <v>6.7099993190130602E-2</v>
      </c>
      <c r="AA95" s="92">
        <f t="shared" ref="AA95:AA96" si="176">IF(Z20=0,"",AA20/Z20-1)</f>
        <v>2.1642478953835864E-2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6.9535246530172401E-4</v>
      </c>
      <c r="F96" s="93">
        <f t="shared" si="155"/>
        <v>6.7357906560150393E-3</v>
      </c>
      <c r="G96" s="93">
        <f t="shared" si="156"/>
        <v>-7.9703032807965091E-3</v>
      </c>
      <c r="H96" s="93">
        <f t="shared" si="157"/>
        <v>2.2618053817033967E-2</v>
      </c>
      <c r="I96" s="93">
        <f t="shared" si="158"/>
        <v>1.3811299884456618E-2</v>
      </c>
      <c r="J96" s="93">
        <f t="shared" si="159"/>
        <v>1.3375370117408858E-2</v>
      </c>
      <c r="K96" s="93">
        <f t="shared" si="160"/>
        <v>2.2786225294983753E-2</v>
      </c>
      <c r="L96" s="93">
        <f t="shared" si="161"/>
        <v>1.2127387886530894E-2</v>
      </c>
      <c r="M96" s="93">
        <f t="shared" si="162"/>
        <v>-2.4559905703949392E-2</v>
      </c>
      <c r="N96" s="93">
        <f t="shared" si="163"/>
        <v>2.1750571553285303E-2</v>
      </c>
      <c r="O96" s="93">
        <f t="shared" si="164"/>
        <v>-3.6842613167948568E-2</v>
      </c>
      <c r="P96" s="93">
        <f t="shared" si="165"/>
        <v>-5.2287568705237986E-2</v>
      </c>
      <c r="Q96" s="93">
        <f t="shared" si="166"/>
        <v>-6.4085550562689164E-3</v>
      </c>
      <c r="R96" s="93">
        <f t="shared" si="167"/>
        <v>2.9229926104926029E-2</v>
      </c>
      <c r="S96" s="93">
        <f t="shared" si="168"/>
        <v>2.2479178194933391E-2</v>
      </c>
      <c r="T96" s="93">
        <f t="shared" si="169"/>
        <v>2.6221072925238342E-2</v>
      </c>
      <c r="U96" s="93">
        <f t="shared" si="170"/>
        <v>2.01595578346625E-2</v>
      </c>
      <c r="V96" s="93">
        <f t="shared" si="171"/>
        <v>2.6456533764632528E-2</v>
      </c>
      <c r="W96" s="93">
        <f t="shared" si="172"/>
        <v>3.4840744979956817E-2</v>
      </c>
      <c r="X96" s="93">
        <f t="shared" si="173"/>
        <v>-7.1351117631979211E-2</v>
      </c>
      <c r="Y96" s="93">
        <f t="shared" si="174"/>
        <v>4.7035717739755345E-2</v>
      </c>
      <c r="Z96" s="93">
        <f t="shared" si="175"/>
        <v>5.3041466235151491E-2</v>
      </c>
      <c r="AA96" s="93">
        <f t="shared" si="176"/>
        <v>1.4817914200393023E-2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2.2303827968773282E-2</v>
      </c>
      <c r="F97" s="89">
        <f t="shared" ref="F97:F106" si="178">IF(E23=0,"",F23/E23-1)</f>
        <v>6.6700442612099842E-3</v>
      </c>
      <c r="G97" s="89">
        <f t="shared" ref="G97:G106" si="179">IF(F23=0,"",G23/F23-1)</f>
        <v>-8.2876095244936998E-3</v>
      </c>
      <c r="H97" s="89">
        <f t="shared" ref="H97:H106" si="180">IF(G23=0,"",H23/G23-1)</f>
        <v>1.6552008079058211E-2</v>
      </c>
      <c r="I97" s="89">
        <f t="shared" ref="I97:I106" si="181">IF(H23=0,"",I23/H23-1)</f>
        <v>4.8831004920109056E-3</v>
      </c>
      <c r="J97" s="89">
        <f t="shared" ref="J97:J106" si="182">IF(I23=0,"",J23/I23-1)</f>
        <v>1.6290957897665992E-2</v>
      </c>
      <c r="K97" s="89">
        <f t="shared" ref="K97:K106" si="183">IF(J23=0,"",K23/J23-1)</f>
        <v>2.8247396385916002E-2</v>
      </c>
      <c r="L97" s="89">
        <f t="shared" ref="L97:L106" si="184">IF(K23=0,"",L23/K23-1)</f>
        <v>6.4422882732024789E-3</v>
      </c>
      <c r="M97" s="89">
        <f t="shared" ref="M97:M106" si="185">IF(L23=0,"",M23/L23-1)</f>
        <v>-2.6071590640359021E-2</v>
      </c>
      <c r="N97" s="89">
        <f t="shared" ref="N97:N106" si="186">IF(M23=0,"",N23/M23-1)</f>
        <v>1.5469861072150648E-2</v>
      </c>
      <c r="O97" s="89">
        <f t="shared" ref="O97:O106" si="187">IF(N23=0,"",O23/N23-1)</f>
        <v>-1.0139154083227297E-2</v>
      </c>
      <c r="P97" s="89">
        <f t="shared" ref="P97:P106" si="188">IF(O23=0,"",P23/O23-1)</f>
        <v>-3.234811503036894E-2</v>
      </c>
      <c r="Q97" s="89">
        <f t="shared" ref="Q97:Q106" si="189">IF(P23=0,"",Q23/P23-1)</f>
        <v>-6.3576834213965316E-3</v>
      </c>
      <c r="R97" s="89">
        <f t="shared" ref="R97:R106" si="190">IF(Q23=0,"",R23/Q23-1)</f>
        <v>2.7747679276626247E-3</v>
      </c>
      <c r="S97" s="89">
        <f t="shared" ref="S97:S106" si="191">IF(R23=0,"",S23/R23-1)</f>
        <v>1.356119853326998E-2</v>
      </c>
      <c r="T97" s="89">
        <f t="shared" ref="T97:T106" si="192">IF(S23=0,"",T23/S23-1)</f>
        <v>1.7267931533291758E-2</v>
      </c>
      <c r="U97" s="89">
        <f t="shared" ref="U97:U106" si="193">IF(T23=0,"",U23/T23-1)</f>
        <v>3.1634704489249321E-2</v>
      </c>
      <c r="V97" s="89">
        <f t="shared" ref="V97:V106" si="194">IF(U23=0,"",V23/U23-1)</f>
        <v>2.8856809092503211E-2</v>
      </c>
      <c r="W97" s="89">
        <f t="shared" ref="W97:W106" si="195">IF(V23=0,"",W23/V23-1)</f>
        <v>2.713905820994178E-2</v>
      </c>
      <c r="X97" s="89">
        <f t="shared" ref="X97:X106" si="196">IF(W23=0,"",X23/W23-1)</f>
        <v>-7.6625547633000779E-2</v>
      </c>
      <c r="Y97" s="89">
        <f t="shared" ref="Y97:Y106" si="197">IF(X23=0,"",Y23/X23-1)</f>
        <v>5.3157062215801965E-2</v>
      </c>
      <c r="Z97" s="89">
        <f t="shared" ref="Z97:Z108" si="198">IF(Y23=0,"",Z23/Y23-1)</f>
        <v>6.9142066978877148E-2</v>
      </c>
      <c r="AA97" s="89">
        <f t="shared" ref="AA97:AA108" si="199">IF(Z23=0,"",AA23/Z23-1)</f>
        <v>3.0841228700640322E-2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-2.7729487300816591E-2</v>
      </c>
      <c r="F98" s="83">
        <f t="shared" si="178"/>
        <v>-7.1771871046017899E-2</v>
      </c>
      <c r="G98" s="83">
        <f t="shared" si="179"/>
        <v>-3.3917876704997685E-2</v>
      </c>
      <c r="H98" s="83">
        <f t="shared" si="180"/>
        <v>-2.1488223514963822E-3</v>
      </c>
      <c r="I98" s="83">
        <f t="shared" si="181"/>
        <v>-0.10278564815003954</v>
      </c>
      <c r="J98" s="83">
        <f t="shared" si="182"/>
        <v>-1.7377578382293812E-3</v>
      </c>
      <c r="K98" s="83">
        <f t="shared" si="183"/>
        <v>-9.1895524440102405E-2</v>
      </c>
      <c r="L98" s="83">
        <f t="shared" si="184"/>
        <v>-1.6175632203373924E-2</v>
      </c>
      <c r="M98" s="83">
        <f t="shared" si="185"/>
        <v>-4.8696409139119989E-2</v>
      </c>
      <c r="N98" s="83">
        <f t="shared" si="186"/>
        <v>1.8525787432762453E-2</v>
      </c>
      <c r="O98" s="83">
        <f t="shared" si="187"/>
        <v>-5.7610057980002516E-2</v>
      </c>
      <c r="P98" s="83">
        <f t="shared" si="188"/>
        <v>1.1113294330896695E-2</v>
      </c>
      <c r="Q98" s="83">
        <f t="shared" si="189"/>
        <v>5.1883092806079167E-2</v>
      </c>
      <c r="R98" s="83">
        <f t="shared" si="190"/>
        <v>-2.3397737405545294E-2</v>
      </c>
      <c r="S98" s="83">
        <f t="shared" si="191"/>
        <v>1.6018707349848116E-2</v>
      </c>
      <c r="T98" s="83">
        <f t="shared" si="192"/>
        <v>-7.4979047108735264E-3</v>
      </c>
      <c r="U98" s="83">
        <f t="shared" si="193"/>
        <v>5.7530030504014507E-2</v>
      </c>
      <c r="V98" s="83">
        <f t="shared" si="194"/>
        <v>5.682502842062398E-3</v>
      </c>
      <c r="W98" s="83">
        <f t="shared" si="195"/>
        <v>7.0253583236179917E-2</v>
      </c>
      <c r="X98" s="83">
        <f t="shared" si="196"/>
        <v>-1.8683225120433078E-2</v>
      </c>
      <c r="Y98" s="83">
        <f t="shared" si="197"/>
        <v>7.0429909677730107E-2</v>
      </c>
      <c r="Z98" s="83">
        <f t="shared" si="198"/>
        <v>-5.7310692591609591E-2</v>
      </c>
      <c r="AA98" s="83">
        <f t="shared" si="199"/>
        <v>0.14775750259288389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-2.0605097133722383E-3</v>
      </c>
      <c r="F99" s="83">
        <f t="shared" si="178"/>
        <v>-0.14254650961919446</v>
      </c>
      <c r="G99" s="83">
        <f t="shared" si="179"/>
        <v>-0.10450386582849902</v>
      </c>
      <c r="H99" s="83">
        <f t="shared" si="180"/>
        <v>0.10806822672593142</v>
      </c>
      <c r="I99" s="83">
        <f t="shared" si="181"/>
        <v>5.1847608303241977E-2</v>
      </c>
      <c r="J99" s="83">
        <f t="shared" si="182"/>
        <v>0.18806255487734291</v>
      </c>
      <c r="K99" s="83">
        <f t="shared" si="183"/>
        <v>-2.8729748458141802E-2</v>
      </c>
      <c r="L99" s="83">
        <f t="shared" si="184"/>
        <v>-0.25837426729122859</v>
      </c>
      <c r="M99" s="83">
        <f t="shared" si="185"/>
        <v>3.9109050730165684E-2</v>
      </c>
      <c r="N99" s="83">
        <f t="shared" si="186"/>
        <v>0.10356888432322697</v>
      </c>
      <c r="O99" s="83">
        <f t="shared" si="187"/>
        <v>-7.6213023998431217E-2</v>
      </c>
      <c r="P99" s="83">
        <f t="shared" si="188"/>
        <v>-9.5682456799048854E-3</v>
      </c>
      <c r="Q99" s="83">
        <f t="shared" si="189"/>
        <v>-0.12440233349403906</v>
      </c>
      <c r="R99" s="83">
        <f t="shared" si="190"/>
        <v>-7.5867368138551883E-2</v>
      </c>
      <c r="S99" s="83">
        <f t="shared" si="191"/>
        <v>-7.2649351108709848E-2</v>
      </c>
      <c r="T99" s="83">
        <f t="shared" si="192"/>
        <v>4.6170870456725632E-2</v>
      </c>
      <c r="U99" s="83">
        <f t="shared" si="193"/>
        <v>0.11737429729798676</v>
      </c>
      <c r="V99" s="83">
        <f t="shared" si="194"/>
        <v>-3.5676697980635108E-2</v>
      </c>
      <c r="W99" s="83">
        <f t="shared" si="195"/>
        <v>-7.1023985435859749E-2</v>
      </c>
      <c r="X99" s="83">
        <f t="shared" si="196"/>
        <v>-8.6019338057763739E-2</v>
      </c>
      <c r="Y99" s="83">
        <f t="shared" si="197"/>
        <v>0.41166179086507082</v>
      </c>
      <c r="Z99" s="83">
        <f t="shared" si="198"/>
        <v>-0.1439426833524502</v>
      </c>
      <c r="AA99" s="83">
        <f t="shared" si="199"/>
        <v>1.2937286593405255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3.0593625706205163E-2</v>
      </c>
      <c r="F100" s="83">
        <f t="shared" si="178"/>
        <v>2.0374405759185477E-2</v>
      </c>
      <c r="G100" s="83">
        <f t="shared" si="179"/>
        <v>7.8250108034558785E-3</v>
      </c>
      <c r="H100" s="83">
        <f t="shared" si="180"/>
        <v>2.3986777100247325E-2</v>
      </c>
      <c r="I100" s="83">
        <f t="shared" si="181"/>
        <v>1.9777955366076183E-2</v>
      </c>
      <c r="J100" s="83">
        <f t="shared" si="182"/>
        <v>1.9812367272342479E-2</v>
      </c>
      <c r="K100" s="83">
        <f t="shared" si="183"/>
        <v>3.3574656276107451E-2</v>
      </c>
      <c r="L100" s="83">
        <f t="shared" si="184"/>
        <v>2.0961141191045973E-2</v>
      </c>
      <c r="M100" s="83">
        <f t="shared" si="185"/>
        <v>-1.1740215730757453E-2</v>
      </c>
      <c r="N100" s="83">
        <f t="shared" si="186"/>
        <v>1.3337517995358095E-2</v>
      </c>
      <c r="O100" s="83">
        <f t="shared" si="187"/>
        <v>-1.5832007953342497E-4</v>
      </c>
      <c r="P100" s="83">
        <f t="shared" si="188"/>
        <v>-2.9229916409001633E-2</v>
      </c>
      <c r="Q100" s="83">
        <f t="shared" si="189"/>
        <v>-4.7005954832924912E-3</v>
      </c>
      <c r="R100" s="83">
        <f t="shared" si="190"/>
        <v>1.8910354960510745E-4</v>
      </c>
      <c r="S100" s="83">
        <f t="shared" si="191"/>
        <v>2.815155963511673E-3</v>
      </c>
      <c r="T100" s="83">
        <f t="shared" si="192"/>
        <v>1.8900182906907093E-2</v>
      </c>
      <c r="U100" s="83">
        <f t="shared" si="193"/>
        <v>3.2397736546223355E-2</v>
      </c>
      <c r="V100" s="83">
        <f t="shared" si="194"/>
        <v>2.7036856806750054E-2</v>
      </c>
      <c r="W100" s="83">
        <f t="shared" si="195"/>
        <v>3.4065488929145626E-2</v>
      </c>
      <c r="X100" s="83">
        <f t="shared" si="196"/>
        <v>-8.2144019618969777E-2</v>
      </c>
      <c r="Y100" s="83">
        <f t="shared" si="197"/>
        <v>5.2102277184400192E-2</v>
      </c>
      <c r="Z100" s="83">
        <f t="shared" si="198"/>
        <v>8.5707059175548883E-2</v>
      </c>
      <c r="AA100" s="83">
        <f t="shared" si="199"/>
        <v>2.3039904616635409E-2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3.3860952671486588E-2</v>
      </c>
      <c r="F101" s="84">
        <f t="shared" si="178"/>
        <v>2.7851323087349833E-2</v>
      </c>
      <c r="G101" s="84">
        <f t="shared" si="179"/>
        <v>9.7068899380365892E-3</v>
      </c>
      <c r="H101" s="84">
        <f t="shared" si="180"/>
        <v>2.6407082296441509E-2</v>
      </c>
      <c r="I101" s="84">
        <f t="shared" si="181"/>
        <v>2.6068758378622325E-2</v>
      </c>
      <c r="J101" s="84">
        <f t="shared" si="182"/>
        <v>-1.7705888877184162E-4</v>
      </c>
      <c r="K101" s="84">
        <f t="shared" si="183"/>
        <v>9.3971880048759893E-3</v>
      </c>
      <c r="L101" s="84">
        <f t="shared" si="184"/>
        <v>5.4060744889290469E-3</v>
      </c>
      <c r="M101" s="84">
        <f t="shared" si="185"/>
        <v>1.339167699233923E-2</v>
      </c>
      <c r="N101" s="84">
        <f t="shared" si="186"/>
        <v>8.735533803911899E-3</v>
      </c>
      <c r="O101" s="84">
        <f t="shared" si="187"/>
        <v>-3.0436863752775434E-2</v>
      </c>
      <c r="P101" s="84">
        <f t="shared" si="188"/>
        <v>-5.6028380382495246E-2</v>
      </c>
      <c r="Q101" s="84">
        <f t="shared" si="189"/>
        <v>9.3499010384550107E-3</v>
      </c>
      <c r="R101" s="84">
        <f t="shared" si="190"/>
        <v>-1.1108279711982583E-2</v>
      </c>
      <c r="S101" s="84">
        <f t="shared" si="191"/>
        <v>1.3622759277932106E-2</v>
      </c>
      <c r="T101" s="84">
        <f t="shared" si="192"/>
        <v>1.3970846463844611E-2</v>
      </c>
      <c r="U101" s="84">
        <f t="shared" si="193"/>
        <v>5.2329143008073897E-2</v>
      </c>
      <c r="V101" s="84">
        <f t="shared" si="194"/>
        <v>2.6547634392375841E-2</v>
      </c>
      <c r="W101" s="84">
        <f t="shared" si="195"/>
        <v>3.1045130689373091E-2</v>
      </c>
      <c r="X101" s="84">
        <f t="shared" si="196"/>
        <v>-0.15144537309930539</v>
      </c>
      <c r="Y101" s="84">
        <f t="shared" si="197"/>
        <v>7.6020909046733198E-2</v>
      </c>
      <c r="Z101" s="84">
        <f t="shared" si="198"/>
        <v>0.12125224064613227</v>
      </c>
      <c r="AA101" s="84">
        <f t="shared" si="199"/>
        <v>8.9368706461363523E-2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3.0850775318845169E-2</v>
      </c>
      <c r="F102" s="84">
        <f t="shared" si="178"/>
        <v>2.1744584288977409E-2</v>
      </c>
      <c r="G102" s="84">
        <f t="shared" si="179"/>
        <v>2.2989029322761034E-2</v>
      </c>
      <c r="H102" s="84">
        <f t="shared" si="180"/>
        <v>2.8540049311532423E-2</v>
      </c>
      <c r="I102" s="84">
        <f t="shared" si="181"/>
        <v>2.8926142548363787E-2</v>
      </c>
      <c r="J102" s="84">
        <f t="shared" si="182"/>
        <v>4.9862105748646801E-2</v>
      </c>
      <c r="K102" s="84">
        <f t="shared" si="183"/>
        <v>6.8133034572746665E-2</v>
      </c>
      <c r="L102" s="84">
        <f t="shared" si="184"/>
        <v>4.4412790547993186E-2</v>
      </c>
      <c r="M102" s="84">
        <f t="shared" si="185"/>
        <v>-4.3160227538595164E-2</v>
      </c>
      <c r="N102" s="84">
        <f t="shared" si="186"/>
        <v>1.9046854052728435E-2</v>
      </c>
      <c r="O102" s="84">
        <f t="shared" si="187"/>
        <v>8.5694281792001448E-3</v>
      </c>
      <c r="P102" s="84">
        <f t="shared" si="188"/>
        <v>-2.2755171396006468E-2</v>
      </c>
      <c r="Q102" s="84">
        <f t="shared" si="189"/>
        <v>-2.0856578366980294E-2</v>
      </c>
      <c r="R102" s="84">
        <f t="shared" si="190"/>
        <v>1.1334293560363751E-2</v>
      </c>
      <c r="S102" s="84">
        <f t="shared" si="191"/>
        <v>-8.6299761707240297E-3</v>
      </c>
      <c r="T102" s="84">
        <f t="shared" si="192"/>
        <v>3.2205106056068633E-2</v>
      </c>
      <c r="U102" s="84">
        <f t="shared" si="193"/>
        <v>3.5854962648568689E-2</v>
      </c>
      <c r="V102" s="84">
        <f t="shared" si="194"/>
        <v>4.2535321506767199E-2</v>
      </c>
      <c r="W102" s="84">
        <f t="shared" si="195"/>
        <v>4.5173031192327295E-2</v>
      </c>
      <c r="X102" s="84">
        <f t="shared" si="196"/>
        <v>-1.7132647871575202E-2</v>
      </c>
      <c r="Y102" s="84">
        <f t="shared" si="197"/>
        <v>4.482618252954973E-2</v>
      </c>
      <c r="Z102" s="84">
        <f t="shared" si="198"/>
        <v>8.0402266449271842E-2</v>
      </c>
      <c r="AA102" s="84">
        <f t="shared" si="199"/>
        <v>3.1840697874712331E-2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2.3851183844705526E-2</v>
      </c>
      <c r="F103" s="84">
        <f t="shared" si="178"/>
        <v>3.5093552187712707E-3</v>
      </c>
      <c r="G103" s="84">
        <f t="shared" si="179"/>
        <v>-2.1373964183667438E-2</v>
      </c>
      <c r="H103" s="84">
        <f t="shared" si="180"/>
        <v>1.1006656525545999E-2</v>
      </c>
      <c r="I103" s="84">
        <f t="shared" si="181"/>
        <v>-9.7255053275210335E-3</v>
      </c>
      <c r="J103" s="84">
        <f t="shared" si="182"/>
        <v>7.5378882500263256E-3</v>
      </c>
      <c r="K103" s="84">
        <f t="shared" si="183"/>
        <v>1.8948105167094109E-2</v>
      </c>
      <c r="L103" s="84">
        <f t="shared" si="184"/>
        <v>6.6988408889958606E-3</v>
      </c>
      <c r="M103" s="84">
        <f t="shared" si="185"/>
        <v>6.5701086688774168E-4</v>
      </c>
      <c r="N103" s="84">
        <f t="shared" si="186"/>
        <v>1.1809937343482124E-2</v>
      </c>
      <c r="O103" s="84">
        <f t="shared" si="187"/>
        <v>4.7376368250145129E-2</v>
      </c>
      <c r="P103" s="84">
        <f t="shared" si="188"/>
        <v>1.1568157921143962E-2</v>
      </c>
      <c r="Q103" s="84">
        <f t="shared" si="189"/>
        <v>-4.3352899611348583E-4</v>
      </c>
      <c r="R103" s="84">
        <f t="shared" si="190"/>
        <v>8.6390517077727935E-4</v>
      </c>
      <c r="S103" s="84">
        <f t="shared" si="191"/>
        <v>4.0764374421409233E-3</v>
      </c>
      <c r="T103" s="84">
        <f t="shared" si="192"/>
        <v>3.6685312324264974E-3</v>
      </c>
      <c r="U103" s="84">
        <f t="shared" si="193"/>
        <v>-1.1858276129197765E-2</v>
      </c>
      <c r="V103" s="84">
        <f t="shared" si="194"/>
        <v>-2.7013058764714382E-3</v>
      </c>
      <c r="W103" s="84">
        <f t="shared" si="195"/>
        <v>1.7312659841490774E-2</v>
      </c>
      <c r="X103" s="84">
        <f t="shared" si="196"/>
        <v>-7.4856545091013582E-2</v>
      </c>
      <c r="Y103" s="84">
        <f t="shared" si="197"/>
        <v>2.2436002250474374E-2</v>
      </c>
      <c r="Z103" s="84">
        <f t="shared" si="198"/>
        <v>2.5831902713257637E-2</v>
      </c>
      <c r="AA103" s="84">
        <f t="shared" si="199"/>
        <v>-0.14551639501104818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6.7342318699143977E-3</v>
      </c>
      <c r="F104" s="83">
        <f t="shared" si="178"/>
        <v>4.6191630901655234E-3</v>
      </c>
      <c r="G104" s="83">
        <f t="shared" si="179"/>
        <v>9.4502960774333289E-2</v>
      </c>
      <c r="H104" s="83">
        <f t="shared" si="180"/>
        <v>6.4340081044600206E-2</v>
      </c>
      <c r="I104" s="83">
        <f t="shared" si="181"/>
        <v>-2.0631558022383034E-2</v>
      </c>
      <c r="J104" s="83">
        <f t="shared" si="182"/>
        <v>6.8477597088421938E-2</v>
      </c>
      <c r="K104" s="83">
        <f t="shared" si="183"/>
        <v>4.0630028655449957E-2</v>
      </c>
      <c r="L104" s="83">
        <f t="shared" si="184"/>
        <v>-0.12644411848875314</v>
      </c>
      <c r="M104" s="83">
        <f t="shared" si="185"/>
        <v>5.3763016029471977E-2</v>
      </c>
      <c r="N104" s="83">
        <f t="shared" si="186"/>
        <v>5.9785256505292317E-2</v>
      </c>
      <c r="O104" s="83">
        <f t="shared" si="187"/>
        <v>-5.8220801897639785E-2</v>
      </c>
      <c r="P104" s="83">
        <f t="shared" si="188"/>
        <v>5.4982707192707148E-2</v>
      </c>
      <c r="Q104" s="83">
        <f t="shared" si="189"/>
        <v>-3.9855224217187013E-2</v>
      </c>
      <c r="R104" s="83">
        <f t="shared" si="190"/>
        <v>0.10322611463391329</v>
      </c>
      <c r="S104" s="83">
        <f t="shared" si="191"/>
        <v>0.26872884522224072</v>
      </c>
      <c r="T104" s="83">
        <f t="shared" si="192"/>
        <v>-3.2997864579900393E-2</v>
      </c>
      <c r="U104" s="83">
        <f t="shared" si="193"/>
        <v>-3.666227723867721E-2</v>
      </c>
      <c r="V104" s="83">
        <f t="shared" si="194"/>
        <v>3.5499310812913354E-2</v>
      </c>
      <c r="W104" s="83">
        <f t="shared" si="195"/>
        <v>-8.8021190009150763E-2</v>
      </c>
      <c r="X104" s="83">
        <f t="shared" si="196"/>
        <v>-0.21389635262997042</v>
      </c>
      <c r="Y104" s="83">
        <f t="shared" si="197"/>
        <v>-8.836144470761409E-2</v>
      </c>
      <c r="Z104" s="83">
        <f t="shared" si="198"/>
        <v>-0.31403573689115694</v>
      </c>
      <c r="AA104" s="83">
        <f t="shared" si="199"/>
        <v>0.43898657472159219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3.5871159515426854E-2</v>
      </c>
      <c r="F105" s="83">
        <f t="shared" si="178"/>
        <v>-1.2336156425945322E-2</v>
      </c>
      <c r="G105" s="83">
        <f t="shared" si="179"/>
        <v>-6.450018976724925E-2</v>
      </c>
      <c r="H105" s="83">
        <f t="shared" si="180"/>
        <v>8.1033985796370445E-3</v>
      </c>
      <c r="I105" s="83">
        <f t="shared" si="181"/>
        <v>-1.9242329036242678E-2</v>
      </c>
      <c r="J105" s="83">
        <f t="shared" si="182"/>
        <v>-1.2060595682647723E-2</v>
      </c>
      <c r="K105" s="83">
        <f t="shared" si="183"/>
        <v>3.1217274234673908E-2</v>
      </c>
      <c r="L105" s="83">
        <f t="shared" si="184"/>
        <v>3.4478945036635622E-3</v>
      </c>
      <c r="M105" s="83">
        <f t="shared" si="185"/>
        <v>-9.2813456802454231E-2</v>
      </c>
      <c r="N105" s="83">
        <f t="shared" si="186"/>
        <v>-5.4847278639030161E-2</v>
      </c>
      <c r="O105" s="83">
        <f t="shared" si="187"/>
        <v>-6.8867687731431371E-2</v>
      </c>
      <c r="P105" s="83">
        <f t="shared" si="188"/>
        <v>-0.14360004526273973</v>
      </c>
      <c r="Q105" s="83">
        <f t="shared" si="189"/>
        <v>-7.7855538498483812E-2</v>
      </c>
      <c r="R105" s="83">
        <f t="shared" si="190"/>
        <v>-7.4554346913206615E-2</v>
      </c>
      <c r="S105" s="83">
        <f t="shared" si="191"/>
        <v>-3.9427690184631325E-3</v>
      </c>
      <c r="T105" s="83">
        <f t="shared" si="192"/>
        <v>9.2908367731703301E-4</v>
      </c>
      <c r="U105" s="83">
        <f t="shared" si="193"/>
        <v>4.6913842906333825E-2</v>
      </c>
      <c r="V105" s="83">
        <f t="shared" si="194"/>
        <v>6.9980370395194447E-2</v>
      </c>
      <c r="W105" s="83">
        <f t="shared" si="195"/>
        <v>6.0520288330969896E-2</v>
      </c>
      <c r="X105" s="83">
        <f t="shared" si="196"/>
        <v>2.1126500049666319E-3</v>
      </c>
      <c r="Y105" s="83">
        <f t="shared" si="197"/>
        <v>2.4738996813913117E-2</v>
      </c>
      <c r="Z105" s="83">
        <f t="shared" si="198"/>
        <v>9.6881262708970572E-2</v>
      </c>
      <c r="AA105" s="83">
        <f t="shared" si="199"/>
        <v>6.1156787894657727E-2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-5.4505737634593654E-3</v>
      </c>
      <c r="F106" s="83">
        <f t="shared" si="178"/>
        <v>-2.2291256938478332E-2</v>
      </c>
      <c r="G106" s="83">
        <f t="shared" si="179"/>
        <v>-5.9872623671623604E-2</v>
      </c>
      <c r="H106" s="83">
        <f t="shared" si="180"/>
        <v>-2.1762636636585397E-2</v>
      </c>
      <c r="I106" s="83">
        <f t="shared" si="181"/>
        <v>-3.4143576248872654E-2</v>
      </c>
      <c r="J106" s="83">
        <f t="shared" si="182"/>
        <v>3.8447157261467524E-4</v>
      </c>
      <c r="K106" s="83">
        <f t="shared" si="183"/>
        <v>2.084203741028845E-2</v>
      </c>
      <c r="L106" s="83">
        <f t="shared" si="184"/>
        <v>-3.4512813366512463E-2</v>
      </c>
      <c r="M106" s="83">
        <f t="shared" si="185"/>
        <v>-8.6738123009864498E-2</v>
      </c>
      <c r="N106" s="83">
        <f t="shared" si="186"/>
        <v>5.3834737371201591E-2</v>
      </c>
      <c r="O106" s="83">
        <f t="shared" si="187"/>
        <v>-2.3919499059279481E-2</v>
      </c>
      <c r="P106" s="83">
        <f t="shared" si="188"/>
        <v>-2.6530300350025571E-2</v>
      </c>
      <c r="Q106" s="83">
        <f t="shared" si="189"/>
        <v>1.1868380794376465E-2</v>
      </c>
      <c r="R106" s="83">
        <f t="shared" si="190"/>
        <v>3.4613410169421543E-2</v>
      </c>
      <c r="S106" s="83">
        <f t="shared" si="191"/>
        <v>3.354573640056624E-2</v>
      </c>
      <c r="T106" s="83">
        <f t="shared" si="192"/>
        <v>2.8906785579392302E-2</v>
      </c>
      <c r="U106" s="83">
        <f t="shared" si="193"/>
        <v>3.222960231713845E-2</v>
      </c>
      <c r="V106" s="83">
        <f t="shared" si="194"/>
        <v>3.0940777352149729E-2</v>
      </c>
      <c r="W106" s="83">
        <f t="shared" si="195"/>
        <v>-2.4689671154863868E-3</v>
      </c>
      <c r="X106" s="83">
        <f t="shared" si="196"/>
        <v>-5.3010949648567007E-2</v>
      </c>
      <c r="Y106" s="83">
        <f t="shared" si="197"/>
        <v>8.1662549323687328E-2</v>
      </c>
      <c r="Z106" s="83">
        <f t="shared" si="198"/>
        <v>5.0146836768498293E-2</v>
      </c>
      <c r="AA106" s="83">
        <f t="shared" si="199"/>
        <v>-2.1300853686701759E-2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-2.6191335352697243E-2</v>
      </c>
      <c r="F107" s="87">
        <f t="shared" ref="F107:F108" si="201">IF(E33=0,"",F33/E33-1)</f>
        <v>1.7984069748904208E-2</v>
      </c>
      <c r="G107" s="87">
        <f t="shared" ref="G107:G108" si="202">IF(F33=0,"",G33/F33-1)</f>
        <v>-0.11369113318230994</v>
      </c>
      <c r="H107" s="87">
        <f t="shared" ref="H107:H108" si="203">IF(G33=0,"",H33/G33-1)</f>
        <v>5.699961248427643E-3</v>
      </c>
      <c r="I107" s="87">
        <f t="shared" ref="I107:I108" si="204">IF(H33=0,"",I33/H33-1)</f>
        <v>-4.9738598871961193E-2</v>
      </c>
      <c r="J107" s="87">
        <f t="shared" ref="J107:J108" si="205">IF(I33=0,"",J33/I33-1)</f>
        <v>6.373442968727705E-2</v>
      </c>
      <c r="K107" s="87">
        <f t="shared" ref="K107:K108" si="206">IF(J33=0,"",K33/J33-1)</f>
        <v>-1.5518793151258259E-2</v>
      </c>
      <c r="L107" s="87">
        <f t="shared" ref="L107:L108" si="207">IF(K33=0,"",L33/K33-1)</f>
        <v>7.5767737105603805E-2</v>
      </c>
      <c r="M107" s="87">
        <f t="shared" ref="M107:M108" si="208">IF(L33=0,"",M33/L33-1)</f>
        <v>-9.0123180107966827E-2</v>
      </c>
      <c r="N107" s="87">
        <f t="shared" ref="N107:N108" si="209">IF(M33=0,"",N33/M33-1)</f>
        <v>3.3557121455884076E-2</v>
      </c>
      <c r="O107" s="87">
        <f t="shared" ref="O107:O108" si="210">IF(N33=0,"",O33/N33-1)</f>
        <v>6.4304970366430902E-2</v>
      </c>
      <c r="P107" s="87">
        <f t="shared" ref="P107:P108" si="211">IF(O33=0,"",P33/O33-1)</f>
        <v>-0.10969262622340004</v>
      </c>
      <c r="Q107" s="87">
        <f t="shared" ref="Q107:Q108" si="212">IF(P33=0,"",Q33/P33-1)</f>
        <v>2.497169818429712E-2</v>
      </c>
      <c r="R107" s="87">
        <f t="shared" ref="R107:R108" si="213">IF(Q33=0,"",R33/Q33-1)</f>
        <v>6.6931655657485711E-2</v>
      </c>
      <c r="S107" s="87">
        <f t="shared" ref="S107:S108" si="214">IF(R33=0,"",S33/R33-1)</f>
        <v>-0.1809802068965517</v>
      </c>
      <c r="T107" s="87">
        <f t="shared" ref="T107:T108" si="215">IF(S33=0,"",T33/S33-1)</f>
        <v>0.27857007837731929</v>
      </c>
      <c r="U107" s="87">
        <f t="shared" ref="U107:U108" si="216">IF(T33=0,"",U33/T33-1)</f>
        <v>0.1715418495876615</v>
      </c>
      <c r="V107" s="87">
        <f t="shared" ref="V107:V108" si="217">IF(U33=0,"",V33/U33-1)</f>
        <v>2.7244626448814646E-2</v>
      </c>
      <c r="W107" s="87">
        <f t="shared" ref="W107:W108" si="218">IF(V33=0,"",W33/V33-1)</f>
        <v>-9.2102761406390954E-2</v>
      </c>
      <c r="X107" s="87">
        <f t="shared" ref="X107:X108" si="219">IF(W33=0,"",X33/W33-1)</f>
        <v>-8.2640230784918778E-2</v>
      </c>
      <c r="Y107" s="87">
        <f t="shared" ref="Y107:Y108" si="220">IF(X33=0,"",Y33/X33-1)</f>
        <v>0.74904784534552094</v>
      </c>
      <c r="Z107" s="87">
        <f t="shared" si="198"/>
        <v>-6.107401720588812E-2</v>
      </c>
      <c r="AA107" s="87">
        <f t="shared" si="199"/>
        <v>-0.10627400100045359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-2.6191335352697243E-2</v>
      </c>
      <c r="F108" s="89">
        <f t="shared" si="201"/>
        <v>1.7984069748904208E-2</v>
      </c>
      <c r="G108" s="89">
        <f t="shared" si="202"/>
        <v>-0.11369113318231006</v>
      </c>
      <c r="H108" s="89">
        <f t="shared" si="203"/>
        <v>5.699961248427643E-3</v>
      </c>
      <c r="I108" s="89">
        <f t="shared" si="204"/>
        <v>-4.9738598871960971E-2</v>
      </c>
      <c r="J108" s="89">
        <f t="shared" si="205"/>
        <v>6.3734429687276828E-2</v>
      </c>
      <c r="K108" s="89">
        <f t="shared" si="206"/>
        <v>-1.5518793151258259E-2</v>
      </c>
      <c r="L108" s="89">
        <f t="shared" si="207"/>
        <v>7.5767737105603805E-2</v>
      </c>
      <c r="M108" s="89">
        <f t="shared" si="208"/>
        <v>-0.29713757891979886</v>
      </c>
      <c r="N108" s="89">
        <f t="shared" si="209"/>
        <v>0.30096940546377793</v>
      </c>
      <c r="O108" s="89">
        <f t="shared" si="210"/>
        <v>0.11397522036228791</v>
      </c>
      <c r="P108" s="89">
        <f t="shared" si="211"/>
        <v>-0.16157329109516183</v>
      </c>
      <c r="Q108" s="89">
        <f t="shared" si="212"/>
        <v>5.1263132182603588E-2</v>
      </c>
      <c r="R108" s="89">
        <f t="shared" si="213"/>
        <v>5.8797413960388401E-2</v>
      </c>
      <c r="S108" s="89">
        <f t="shared" si="214"/>
        <v>-0.18611079184370516</v>
      </c>
      <c r="T108" s="89">
        <f t="shared" si="215"/>
        <v>0.27808641029700132</v>
      </c>
      <c r="U108" s="89">
        <f t="shared" si="216"/>
        <v>0.2214591802050343</v>
      </c>
      <c r="V108" s="89">
        <f t="shared" si="217"/>
        <v>-7.5234280084588434E-3</v>
      </c>
      <c r="W108" s="89">
        <f t="shared" si="218"/>
        <v>-0.15923571768179579</v>
      </c>
      <c r="X108" s="89">
        <f t="shared" si="219"/>
        <v>-8.6905610481304518E-2</v>
      </c>
      <c r="Y108" s="89">
        <f t="shared" si="220"/>
        <v>1.0629467540213153</v>
      </c>
      <c r="Z108" s="89">
        <f t="shared" si="198"/>
        <v>-0.1104073898355179</v>
      </c>
      <c r="AA108" s="89">
        <f t="shared" si="199"/>
        <v>-0.272055089824495</v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-2.6191335352697354E-2</v>
      </c>
      <c r="F109" s="89">
        <f t="shared" ref="F109" si="222">IF(E37=0,"",F37/E37-1)</f>
        <v>1.7984069748904208E-2</v>
      </c>
      <c r="G109" s="89">
        <f t="shared" ref="G109" si="223">IF(F37=0,"",G37/F37-1)</f>
        <v>-0.11369113318230972</v>
      </c>
      <c r="H109" s="89">
        <f t="shared" ref="H109" si="224">IF(G37=0,"",H37/G37-1)</f>
        <v>5.6999612484274209E-3</v>
      </c>
      <c r="I109" s="89">
        <f t="shared" ref="I109" si="225">IF(H37=0,"",I37/H37-1)</f>
        <v>-4.9738598871961082E-2</v>
      </c>
      <c r="J109" s="89">
        <f t="shared" ref="J109" si="226">IF(I37=0,"",J37/I37-1)</f>
        <v>6.373442968727705E-2</v>
      </c>
      <c r="K109" s="89">
        <f t="shared" ref="K109" si="227">IF(J37=0,"",K37/J37-1)</f>
        <v>-1.5518793151258259E-2</v>
      </c>
      <c r="L109" s="89">
        <f t="shared" ref="L109" si="228">IF(K37=0,"",L37/K37-1)</f>
        <v>7.5767737105604027E-2</v>
      </c>
      <c r="M109" s="89">
        <f t="shared" ref="M109" si="229">IF(L37=0,"",M37/L37-1)</f>
        <v>0.45902095363715856</v>
      </c>
      <c r="N109" s="89">
        <f t="shared" ref="N109" si="230">IF(M37=0,"",N37/M37-1)</f>
        <v>-0.30816724215220548</v>
      </c>
      <c r="O109" s="89">
        <f t="shared" ref="O109" si="231">IF(N37=0,"",O37/N37-1)</f>
        <v>-5.5054504007841509E-2</v>
      </c>
      <c r="P109" s="89">
        <f t="shared" ref="P109" si="232">IF(O37=0,"",P37/O37-1)</f>
        <v>3.7279458985307601E-2</v>
      </c>
      <c r="Q109" s="89">
        <f t="shared" ref="Q109" si="233">IF(P37=0,"",Q37/P37-1)</f>
        <v>-3.5230579694296105E-2</v>
      </c>
      <c r="R109" s="89">
        <f t="shared" ref="R109" si="234">IF(Q37=0,"",R37/Q37-1)</f>
        <v>8.7227336601102934E-2</v>
      </c>
      <c r="S109" s="89">
        <f t="shared" ref="S109" si="235">IF(R37=0,"",S37/R37-1)</f>
        <v>-0.16851366659601497</v>
      </c>
      <c r="T109" s="89">
        <f t="shared" ref="T109" si="236">IF(S37=0,"",T37/S37-1)</f>
        <v>0.27972044603811663</v>
      </c>
      <c r="U109" s="89">
        <f t="shared" ref="U109" si="237">IF(T37=0,"",U37/T37-1)</f>
        <v>5.2968879481279929E-2</v>
      </c>
      <c r="V109" s="89">
        <f t="shared" ref="V109" si="238">IF(U37=0,"",V37/U37-1)</f>
        <v>0.12304741645337725</v>
      </c>
      <c r="W109" s="89">
        <f t="shared" ref="W109" si="239">IF(V37=0,"",W37/V37-1)</f>
        <v>7.1373881513219217E-2</v>
      </c>
      <c r="X109" s="89">
        <f t="shared" ref="X109" si="240">IF(W37=0,"",X37/W37-1)</f>
        <v>-7.4489231884227847E-2</v>
      </c>
      <c r="Y109" s="89">
        <f t="shared" ref="Y109" si="241">IF(X37=0,"",Y37/X37-1)</f>
        <v>0.15724487410629062</v>
      </c>
      <c r="Z109" s="89">
        <f t="shared" ref="Z109" si="242">IF(Y37=0,"",Z37/Y37-1)</f>
        <v>0.10472841420794055</v>
      </c>
      <c r="AA109" s="89">
        <f t="shared" ref="AA109" si="243">IF(Z37=0,"",AA37/Z37-1)</f>
        <v>0.34238947654509144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-1.3914369164598872E-2</v>
      </c>
      <c r="F110" s="89">
        <f t="shared" ref="F110:F111" si="245">IF(E43=0,"",F43/E43-1)</f>
        <v>-5.6617092950550507E-4</v>
      </c>
      <c r="G110" s="89">
        <f t="shared" ref="G110:G111" si="246">IF(F43=0,"",G43/F43-1)</f>
        <v>-4.1564965137404375E-2</v>
      </c>
      <c r="H110" s="89">
        <f t="shared" ref="H110:H111" si="247">IF(G43=0,"",H43/G43-1)</f>
        <v>3.0533177577737991E-2</v>
      </c>
      <c r="I110" s="89">
        <f t="shared" ref="I110:I111" si="248">IF(H43=0,"",I43/H43-1)</f>
        <v>-1.375873373329739E-2</v>
      </c>
      <c r="J110" s="89">
        <f t="shared" ref="J110:J111" si="249">IF(I43=0,"",J43/I43-1)</f>
        <v>-5.3859777385867891E-2</v>
      </c>
      <c r="K110" s="89">
        <f t="shared" ref="K110:K111" si="250">IF(J43=0,"",K43/J43-1)</f>
        <v>0.10994945341583562</v>
      </c>
      <c r="L110" s="89">
        <f t="shared" ref="L110:L111" si="251">IF(K43=0,"",L43/K43-1)</f>
        <v>-0.10221749838243954</v>
      </c>
      <c r="M110" s="89">
        <f t="shared" ref="M110:M111" si="252">IF(L43=0,"",M43/L43-1)</f>
        <v>-4.7010351634043213E-2</v>
      </c>
      <c r="N110" s="89">
        <f t="shared" ref="N110:N111" si="253">IF(M43=0,"",N43/M43-1)</f>
        <v>7.1316578470699277E-2</v>
      </c>
      <c r="O110" s="89">
        <f t="shared" ref="O110:O111" si="254">IF(N43=0,"",O43/N43-1)</f>
        <v>2.2009288207815336E-2</v>
      </c>
      <c r="P110" s="89">
        <f t="shared" ref="P110:P111" si="255">IF(O43=0,"",P43/O43-1)</f>
        <v>-8.661726734343711E-2</v>
      </c>
      <c r="Q110" s="89">
        <f t="shared" ref="Q110:Q111" si="256">IF(P43=0,"",Q43/P43-1)</f>
        <v>4.23651750297529E-2</v>
      </c>
      <c r="R110" s="89">
        <f t="shared" ref="R110:R111" si="257">IF(Q43=0,"",R43/Q43-1)</f>
        <v>-3.6779484203556478E-2</v>
      </c>
      <c r="S110" s="89">
        <f t="shared" ref="S110:S111" si="258">IF(R43=0,"",S43/R43-1)</f>
        <v>0.17242670090634449</v>
      </c>
      <c r="T110" s="89">
        <f t="shared" ref="T110:T111" si="259">IF(S43=0,"",T43/S43-1)</f>
        <v>4.3567873439561255E-2</v>
      </c>
      <c r="U110" s="89">
        <f t="shared" ref="U110:U111" si="260">IF(T43=0,"",U43/T43-1)</f>
        <v>3.0266564845855548E-2</v>
      </c>
      <c r="V110" s="89">
        <f t="shared" ref="V110:V111" si="261">IF(U43=0,"",V43/U43-1)</f>
        <v>-8.2548172486724969E-2</v>
      </c>
      <c r="W110" s="89">
        <f t="shared" ref="W110:W111" si="262">IF(V43=0,"",W43/V43-1)</f>
        <v>2.319717539446442E-2</v>
      </c>
      <c r="X110" s="89">
        <f t="shared" ref="X110:X111" si="263">IF(W43=0,"",X43/W43-1)</f>
        <v>0.11281186632059059</v>
      </c>
      <c r="Y110" s="89">
        <f t="shared" ref="Y110:Y111" si="264">IF(X43=0,"",Y43/X43-1)</f>
        <v>0.14078839824084133</v>
      </c>
      <c r="Z110" s="89">
        <f t="shared" ref="Z110:Z111" si="265">IF(Y43=0,"",Z43/Y43-1)</f>
        <v>4.2210941992484763E-2</v>
      </c>
      <c r="AA110" s="89">
        <f t="shared" ref="AA110:AA111" si="266">IF(Z43=0,"",AA43/Z43-1)</f>
        <v>-2.1687704289990228E-2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-2.7735183848441203E-2</v>
      </c>
      <c r="F111" s="89">
        <f t="shared" si="245"/>
        <v>-2.3339651204604461E-2</v>
      </c>
      <c r="G111" s="89">
        <f t="shared" si="246"/>
        <v>-1.6168286622531558E-2</v>
      </c>
      <c r="H111" s="89">
        <f t="shared" si="247"/>
        <v>4.7227209000749948E-2</v>
      </c>
      <c r="I111" s="89">
        <f t="shared" si="248"/>
        <v>-2.6779263005780485E-2</v>
      </c>
      <c r="J111" s="89">
        <f t="shared" si="249"/>
        <v>-4.0743808859341812E-2</v>
      </c>
      <c r="K111" s="89">
        <f t="shared" si="250"/>
        <v>8.7115743914933264E-2</v>
      </c>
      <c r="L111" s="89">
        <f t="shared" si="251"/>
        <v>-0.14807387929322979</v>
      </c>
      <c r="M111" s="89">
        <f t="shared" si="252"/>
        <v>-9.8686971283316827E-2</v>
      </c>
      <c r="N111" s="89">
        <f t="shared" si="253"/>
        <v>0.17994954393151996</v>
      </c>
      <c r="O111" s="89">
        <f t="shared" si="254"/>
        <v>2.5185716085522891E-2</v>
      </c>
      <c r="P111" s="89">
        <f t="shared" si="255"/>
        <v>-0.16460039488368083</v>
      </c>
      <c r="Q111" s="89">
        <f t="shared" si="256"/>
        <v>3.0989639376518108E-2</v>
      </c>
      <c r="R111" s="89">
        <f t="shared" si="257"/>
        <v>-1.1799317233765816E-2</v>
      </c>
      <c r="S111" s="89">
        <f t="shared" si="258"/>
        <v>0.22432948466780256</v>
      </c>
      <c r="T111" s="89">
        <f t="shared" si="259"/>
        <v>6.7440702495964455E-2</v>
      </c>
      <c r="U111" s="89">
        <f t="shared" si="260"/>
        <v>-2.3088375967759811E-2</v>
      </c>
      <c r="V111" s="89">
        <f t="shared" si="261"/>
        <v>-0.13500024615690975</v>
      </c>
      <c r="W111" s="89">
        <f t="shared" si="262"/>
        <v>3.4304843878661062E-2</v>
      </c>
      <c r="X111" s="89">
        <f t="shared" si="263"/>
        <v>7.5371992682900624E-2</v>
      </c>
      <c r="Y111" s="89">
        <f t="shared" si="264"/>
        <v>0.22385296562034362</v>
      </c>
      <c r="Z111" s="89">
        <f t="shared" si="265"/>
        <v>5.3735906171664238E-2</v>
      </c>
      <c r="AA111" s="89">
        <f t="shared" si="266"/>
        <v>-2.2084521780684319E-2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1.4257105649531976E-2</v>
      </c>
      <c r="F112" s="89">
        <f t="shared" ref="F112:F113" si="268">IF(E47=0,"",F47/E47-1)</f>
        <v>4.3931968849808767E-2</v>
      </c>
      <c r="G112" s="89">
        <f t="shared" ref="G112:G113" si="269">IF(F47=0,"",G47/F47-1)</f>
        <v>-8.7990907837594334E-2</v>
      </c>
      <c r="H112" s="89">
        <f t="shared" ref="H112:H113" si="270">IF(G47=0,"",H47/G47-1)</f>
        <v>-2.3873423783502545E-3</v>
      </c>
      <c r="I112" s="89">
        <f t="shared" ref="I112:I113" si="271">IF(H47=0,"",I47/H47-1)</f>
        <v>1.31946357217676E-2</v>
      </c>
      <c r="J112" s="89">
        <f t="shared" ref="J112:J113" si="272">IF(I47=0,"",J47/I47-1)</f>
        <v>-7.9939517795368342E-2</v>
      </c>
      <c r="K112" s="89">
        <f t="shared" ref="K112:K113" si="273">IF(J47=0,"",K47/J47-1)</f>
        <v>0.15728611250117597</v>
      </c>
      <c r="L112" s="89">
        <f t="shared" ref="L112:L113" si="274">IF(K47=0,"",L47/K47-1)</f>
        <v>-1.291657456897255E-2</v>
      </c>
      <c r="M112" s="89">
        <f t="shared" ref="M112:M113" si="275">IF(L47=0,"",M47/L47-1)</f>
        <v>3.98453528753131E-2</v>
      </c>
      <c r="N112" s="89">
        <f t="shared" ref="N112:N113" si="276">IF(M47=0,"",N47/M47-1)</f>
        <v>-8.6944010954915218E-2</v>
      </c>
      <c r="O112" s="89">
        <f t="shared" ref="O112:O113" si="277">IF(N47=0,"",O47/N47-1)</f>
        <v>1.6029081855206906E-2</v>
      </c>
      <c r="P112" s="89">
        <f t="shared" ref="P112:P113" si="278">IF(O47=0,"",P47/O47-1)</f>
        <v>6.152337633861249E-2</v>
      </c>
      <c r="Q112" s="89">
        <f t="shared" ref="Q112:Q113" si="279">IF(P47=0,"",Q47/P47-1)</f>
        <v>5.9371486848015742E-2</v>
      </c>
      <c r="R112" s="89">
        <f t="shared" ref="R112:R113" si="280">IF(Q47=0,"",R47/Q47-1)</f>
        <v>-7.3124062999472161E-2</v>
      </c>
      <c r="S112" s="89">
        <f t="shared" ref="S112:S113" si="281">IF(R47=0,"",S47/R47-1)</f>
        <v>9.1915093591719899E-2</v>
      </c>
      <c r="T112" s="89">
        <f t="shared" ref="T112:T113" si="282">IF(S47=0,"",T47/S47-1)</f>
        <v>2.0455953479903144E-3</v>
      </c>
      <c r="U112" s="89">
        <f t="shared" ref="U112:U113" si="283">IF(T47=0,"",U47/T47-1)</f>
        <v>0.12912374139696992</v>
      </c>
      <c r="V112" s="89">
        <f t="shared" ref="V112:V113" si="284">IF(U47=0,"",V47/U47-1)</f>
        <v>1.5351686611744242E-3</v>
      </c>
      <c r="W112" s="89">
        <f t="shared" ref="W112:W113" si="285">IF(V47=0,"",W47/V47-1)</f>
        <v>7.8184625645658645E-3</v>
      </c>
      <c r="X112" s="89">
        <f t="shared" ref="X112:X113" si="286">IF(W47=0,"",X47/W47-1)</f>
        <v>0.16601015975855038</v>
      </c>
      <c r="Y112" s="89">
        <f t="shared" ref="Y112:Y113" si="287">IF(X47=0,"",Y47/X47-1)</f>
        <v>3.193662188382218E-2</v>
      </c>
      <c r="Z112" s="89">
        <f t="shared" ref="Z112:Z113" si="288">IF(Y47=0,"",Z47/Y47-1)</f>
        <v>2.4299295191945625E-2</v>
      </c>
      <c r="AA112" s="89">
        <f t="shared" ref="AA112:AA113" si="289">IF(Z47=0,"",AA47/Z47-1)</f>
        <v>-2.1053262701066444E-2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-1.1813275373033894E-2</v>
      </c>
      <c r="F113" s="89">
        <f t="shared" si="268"/>
        <v>-2.4420371775619176E-2</v>
      </c>
      <c r="G113" s="89">
        <f t="shared" si="269"/>
        <v>-8.0517127739320848E-2</v>
      </c>
      <c r="H113" s="89">
        <f t="shared" si="270"/>
        <v>-1.1687427949098494E-2</v>
      </c>
      <c r="I113" s="89">
        <f t="shared" si="271"/>
        <v>-3.8516785773434647E-2</v>
      </c>
      <c r="J113" s="89">
        <f t="shared" si="272"/>
        <v>-1.7115369126782354E-2</v>
      </c>
      <c r="K113" s="89">
        <f t="shared" si="273"/>
        <v>2.6402263117027536E-2</v>
      </c>
      <c r="L113" s="89">
        <f t="shared" si="274"/>
        <v>-3.8526852224034402E-2</v>
      </c>
      <c r="M113" s="89">
        <f t="shared" si="275"/>
        <v>-6.267076064976107E-2</v>
      </c>
      <c r="N113" s="89">
        <f t="shared" si="276"/>
        <v>1.7767838553436555E-2</v>
      </c>
      <c r="O113" s="89">
        <f t="shared" si="277"/>
        <v>-8.7744522911075706E-2</v>
      </c>
      <c r="P113" s="89">
        <f t="shared" si="278"/>
        <v>-9.0278918016911347E-2</v>
      </c>
      <c r="Q113" s="89">
        <f t="shared" si="279"/>
        <v>-5.9538535460926023E-2</v>
      </c>
      <c r="R113" s="89">
        <f t="shared" si="280"/>
        <v>-1.5210379754284964E-2</v>
      </c>
      <c r="S113" s="89">
        <f t="shared" si="281"/>
        <v>1.5577309236948E-2</v>
      </c>
      <c r="T113" s="89">
        <f t="shared" si="282"/>
        <v>3.521572339819623E-2</v>
      </c>
      <c r="U113" s="89">
        <f t="shared" si="283"/>
        <v>7.9960446081263292E-2</v>
      </c>
      <c r="V113" s="89">
        <f t="shared" si="284"/>
        <v>4.9428353193064378E-2</v>
      </c>
      <c r="W113" s="89">
        <f t="shared" si="285"/>
        <v>6.0849314166005364E-2</v>
      </c>
      <c r="X113" s="89">
        <f t="shared" si="286"/>
        <v>3.2672131725473008E-3</v>
      </c>
      <c r="Y113" s="89">
        <f t="shared" si="287"/>
        <v>5.7205568674533636E-2</v>
      </c>
      <c r="Z113" s="89">
        <f t="shared" si="288"/>
        <v>2.4458418337401699E-2</v>
      </c>
      <c r="AA113" s="89">
        <f t="shared" si="289"/>
        <v>-3.065567750230469E-2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-6.929096701377746E-2</v>
      </c>
      <c r="F114" s="89">
        <f t="shared" ref="F114:F115" si="291">IF(E52=0,"",F52/E52-1)</f>
        <v>-5.6753881304736575E-2</v>
      </c>
      <c r="G114" s="89">
        <f t="shared" ref="G114:G115" si="292">IF(F52=0,"",G52/F52-1)</f>
        <v>-7.7753490616095045E-2</v>
      </c>
      <c r="H114" s="89">
        <f t="shared" ref="H114:H115" si="293">IF(G52=0,"",H52/G52-1)</f>
        <v>-5.6435501429854096E-2</v>
      </c>
      <c r="I114" s="89">
        <f t="shared" ref="I114:I115" si="294">IF(H52=0,"",I52/H52-1)</f>
        <v>2.7920004693894773E-2</v>
      </c>
      <c r="J114" s="89">
        <f t="shared" ref="J114:J115" si="295">IF(I52=0,"",J52/I52-1)</f>
        <v>5.2365292699508625E-2</v>
      </c>
      <c r="K114" s="89">
        <f t="shared" ref="K114:K115" si="296">IF(J52=0,"",K52/J52-1)</f>
        <v>1.0798634110330552E-2</v>
      </c>
      <c r="L114" s="89">
        <f t="shared" ref="L114:L115" si="297">IF(K52=0,"",L52/K52-1)</f>
        <v>-0.11618788236663913</v>
      </c>
      <c r="M114" s="89">
        <f t="shared" ref="M114:M115" si="298">IF(L52=0,"",M52/L52-1)</f>
        <v>-0.14143982449712589</v>
      </c>
      <c r="N114" s="89">
        <f t="shared" ref="N114:N115" si="299">IF(M52=0,"",N52/M52-1)</f>
        <v>0.17407924616399773</v>
      </c>
      <c r="O114" s="89">
        <f t="shared" ref="O114:O115" si="300">IF(N52=0,"",O52/N52-1)</f>
        <v>-8.9042301363037368E-2</v>
      </c>
      <c r="P114" s="89">
        <f t="shared" ref="P114:P115" si="301">IF(O52=0,"",P52/O52-1)</f>
        <v>-8.455300084927686E-2</v>
      </c>
      <c r="Q114" s="89">
        <f t="shared" ref="Q114:Q115" si="302">IF(P52=0,"",Q52/P52-1)</f>
        <v>-2.7241794948283493E-2</v>
      </c>
      <c r="R114" s="89">
        <f t="shared" ref="R114:R115" si="303">IF(Q52=0,"",R52/Q52-1)</f>
        <v>-5.2253648104268136E-2</v>
      </c>
      <c r="S114" s="89">
        <f t="shared" ref="S114:S115" si="304">IF(R52=0,"",S52/R52-1)</f>
        <v>0.11026588341037491</v>
      </c>
      <c r="T114" s="89">
        <f t="shared" ref="T114:T115" si="305">IF(S52=0,"",T52/S52-1)</f>
        <v>-3.3064664664084864E-2</v>
      </c>
      <c r="U114" s="89">
        <f t="shared" ref="U114:U115" si="306">IF(T52=0,"",U52/T52-1)</f>
        <v>6.7193550331583474E-3</v>
      </c>
      <c r="V114" s="89">
        <f t="shared" ref="V114:V115" si="307">IF(U52=0,"",V52/U52-1)</f>
        <v>0.14458542218867554</v>
      </c>
      <c r="W114" s="89">
        <f t="shared" ref="W114:W115" si="308">IF(V52=0,"",W52/V52-1)</f>
        <v>-5.0927313358563708E-2</v>
      </c>
      <c r="X114" s="89">
        <f t="shared" ref="X114:X115" si="309">IF(W52=0,"",X52/W52-1)</f>
        <v>-0.186422827221982</v>
      </c>
      <c r="Y114" s="89">
        <f t="shared" ref="Y114:Y115" si="310">IF(X52=0,"",Y52/X52-1)</f>
        <v>0.19233294593026651</v>
      </c>
      <c r="Z114" s="89">
        <f t="shared" ref="Z114:Z115" si="311">IF(Y52=0,"",Z52/Y52-1)</f>
        <v>0.25279760276506402</v>
      </c>
      <c r="AA114" s="89">
        <f t="shared" ref="AA114:AA115" si="312">IF(Z52=0,"",AA52/Z52-1)</f>
        <v>6.6399173412006407E-2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-7.4205445923729352E-2</v>
      </c>
      <c r="F115" s="89">
        <f t="shared" si="291"/>
        <v>-5.4660009216607297E-2</v>
      </c>
      <c r="G115" s="89">
        <f t="shared" si="292"/>
        <v>-8.6996445921541876E-2</v>
      </c>
      <c r="H115" s="89">
        <f t="shared" si="293"/>
        <v>-6.3571289741621961E-2</v>
      </c>
      <c r="I115" s="89">
        <f t="shared" si="294"/>
        <v>3.701654968739998E-2</v>
      </c>
      <c r="J115" s="89">
        <f t="shared" si="295"/>
        <v>6.0355821887860595E-2</v>
      </c>
      <c r="K115" s="89">
        <f t="shared" si="296"/>
        <v>8.6839952544095489E-3</v>
      </c>
      <c r="L115" s="89">
        <f t="shared" si="297"/>
        <v>-0.12871280578519617</v>
      </c>
      <c r="M115" s="89">
        <f t="shared" si="298"/>
        <v>-0.13439594194613402</v>
      </c>
      <c r="N115" s="89">
        <f t="shared" si="299"/>
        <v>0.18587827831978831</v>
      </c>
      <c r="O115" s="89">
        <f t="shared" si="300"/>
        <v>-8.1231862300951252E-2</v>
      </c>
      <c r="P115" s="89">
        <f t="shared" si="301"/>
        <v>-7.7351842509590152E-2</v>
      </c>
      <c r="Q115" s="89">
        <f t="shared" si="302"/>
        <v>-1.1595107870656984E-2</v>
      </c>
      <c r="R115" s="89">
        <f t="shared" si="303"/>
        <v>-8.9568240296593715E-2</v>
      </c>
      <c r="S115" s="89">
        <f t="shared" si="304"/>
        <v>0.17050545623836144</v>
      </c>
      <c r="T115" s="89">
        <f t="shared" si="305"/>
        <v>-2.415943866208714E-2</v>
      </c>
      <c r="U115" s="89">
        <f t="shared" si="306"/>
        <v>-2.4252963654434412E-2</v>
      </c>
      <c r="V115" s="89">
        <f t="shared" si="307"/>
        <v>0.24553417746907136</v>
      </c>
      <c r="W115" s="89">
        <f t="shared" si="308"/>
        <v>-7.2895546545472811E-2</v>
      </c>
      <c r="X115" s="89">
        <f t="shared" si="309"/>
        <v>-0.18731421015105543</v>
      </c>
      <c r="Y115" s="89">
        <f t="shared" si="310"/>
        <v>0.24420175332270078</v>
      </c>
      <c r="Z115" s="89">
        <f t="shared" si="311"/>
        <v>0.31524668528818234</v>
      </c>
      <c r="AA115" s="89">
        <f t="shared" si="312"/>
        <v>8.9788673466123958E-2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-6.0152716866126887E-2</v>
      </c>
      <c r="F116" s="89">
        <f t="shared" ref="F116:F122" si="314">IF(E56=0,"",F56/E56-1)</f>
        <v>-6.0589125714290537E-2</v>
      </c>
      <c r="G116" s="89">
        <f t="shared" ref="G116:G122" si="315">IF(F56=0,"",G56/F56-1)</f>
        <v>-6.0716762290185078E-2</v>
      </c>
      <c r="H116" s="89">
        <f t="shared" ref="H116:H122" si="316">IF(G56=0,"",H56/G56-1)</f>
        <v>-4.3650723198894625E-2</v>
      </c>
      <c r="I116" s="89">
        <f t="shared" ref="I116:I122" si="317">IF(H56=0,"",I56/H56-1)</f>
        <v>1.1961731349840132E-2</v>
      </c>
      <c r="J116" s="89">
        <f t="shared" ref="J116:J122" si="318">IF(I56=0,"",J56/I56-1)</f>
        <v>3.8000261687656689E-2</v>
      </c>
      <c r="K116" s="89">
        <f t="shared" ref="K116:K122" si="319">IF(J56=0,"",K56/J56-1)</f>
        <v>1.4682116998379957E-2</v>
      </c>
      <c r="L116" s="89">
        <f t="shared" ref="L116:L122" si="320">IF(K56=0,"",L56/K56-1)</f>
        <v>-9.3322135539764095E-2</v>
      </c>
      <c r="M116" s="89">
        <f t="shared" ref="M116:M122" si="321">IF(L56=0,"",M56/L56-1)</f>
        <v>-0.15379732780616029</v>
      </c>
      <c r="N116" s="89">
        <f t="shared" ref="N116:N122" si="322">IF(M56=0,"",N56/M56-1)</f>
        <v>0.15290490503414778</v>
      </c>
      <c r="O116" s="89">
        <f t="shared" ref="O116:O122" si="323">IF(N56=0,"",O56/N56-1)</f>
        <v>-0.10345965650110367</v>
      </c>
      <c r="P116" s="89">
        <f t="shared" ref="P116:P122" si="324">IF(O56=0,"",P56/O56-1)</f>
        <v>-9.8175243027112669E-2</v>
      </c>
      <c r="Q116" s="89">
        <f t="shared" ref="Q116:Q122" si="325">IF(P56=0,"",Q56/P56-1)</f>
        <v>-5.7523658560111768E-2</v>
      </c>
      <c r="R116" s="89">
        <f t="shared" ref="R116:R122" si="326">IF(Q56=0,"",R56/Q56-1)</f>
        <v>2.3482520473975033E-2</v>
      </c>
      <c r="S116" s="89">
        <f t="shared" ref="S116:S122" si="327">IF(R56=0,"",S56/R56-1)</f>
        <v>1.5048102785784057E-3</v>
      </c>
      <c r="T116" s="89">
        <f t="shared" ref="T116:T122" si="328">IF(S56=0,"",T56/S56-1)</f>
        <v>-5.1855969990964756E-2</v>
      </c>
      <c r="U116" s="89">
        <f t="shared" ref="U116:U122" si="329">IF(T56=0,"",U56/T56-1)</f>
        <v>7.3984529609794736E-2</v>
      </c>
      <c r="V116" s="89">
        <f t="shared" ref="V116:V122" si="330">IF(U56=0,"",V56/U56-1)</f>
        <v>-5.4599627415186758E-2</v>
      </c>
      <c r="W116" s="89">
        <f t="shared" ref="W116:W122" si="331">IF(V56=0,"",W56/V56-1)</f>
        <v>6.179875144522784E-3</v>
      </c>
      <c r="X116" s="89">
        <f t="shared" ref="X116:X122" si="332">IF(W56=0,"",X56/W56-1)</f>
        <v>-0.18428775287282073</v>
      </c>
      <c r="Y116" s="89">
        <f t="shared" ref="Y116:Y122" si="333">IF(X56=0,"",Y56/X56-1)</f>
        <v>6.855575112782053E-2</v>
      </c>
      <c r="Z116" s="89">
        <f t="shared" ref="Z116:Z122" si="334">IF(Y56=0,"",Z56/Y56-1)</f>
        <v>7.9275796956399969E-2</v>
      </c>
      <c r="AA116" s="89">
        <f t="shared" ref="AA116:AA122" si="335">IF(Z56=0,"",AA56/Z56-1)</f>
        <v>-1.2800558819701213E-2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6.0799573703112841E-2</v>
      </c>
      <c r="F117" s="89">
        <f t="shared" si="314"/>
        <v>3.4819360726346504E-2</v>
      </c>
      <c r="G117" s="89">
        <f t="shared" si="315"/>
        <v>-2.9909727224575189E-4</v>
      </c>
      <c r="H117" s="89">
        <f t="shared" si="316"/>
        <v>2.276369178005444E-3</v>
      </c>
      <c r="I117" s="89">
        <f t="shared" si="317"/>
        <v>1.2212043093051683E-3</v>
      </c>
      <c r="J117" s="89">
        <f t="shared" si="318"/>
        <v>-9.3931836784677536E-3</v>
      </c>
      <c r="K117" s="89">
        <f t="shared" si="319"/>
        <v>-3.5118403299263412E-2</v>
      </c>
      <c r="L117" s="89">
        <f t="shared" si="320"/>
        <v>2.2667344324661665E-2</v>
      </c>
      <c r="M117" s="89">
        <f t="shared" si="321"/>
        <v>3.1537737282509193E-2</v>
      </c>
      <c r="N117" s="89">
        <f t="shared" si="322"/>
        <v>5.5265749956698862E-3</v>
      </c>
      <c r="O117" s="89">
        <f t="shared" si="323"/>
        <v>-2.7965090642168899E-2</v>
      </c>
      <c r="P117" s="89">
        <f t="shared" si="324"/>
        <v>-6.0137756960113586E-3</v>
      </c>
      <c r="Q117" s="89">
        <f t="shared" si="325"/>
        <v>2.1567081070129612E-2</v>
      </c>
      <c r="R117" s="89">
        <f t="shared" si="326"/>
        <v>6.0883741353618293E-2</v>
      </c>
      <c r="S117" s="89">
        <f t="shared" si="327"/>
        <v>1.0439317787215963E-2</v>
      </c>
      <c r="T117" s="89">
        <f t="shared" si="328"/>
        <v>3.9891886900982332E-2</v>
      </c>
      <c r="U117" s="89">
        <f t="shared" si="329"/>
        <v>-9.9269006898079493E-3</v>
      </c>
      <c r="V117" s="89">
        <f t="shared" si="330"/>
        <v>1.5243229666795921E-2</v>
      </c>
      <c r="W117" s="89">
        <f t="shared" si="331"/>
        <v>-7.6820455131372256E-3</v>
      </c>
      <c r="X117" s="89">
        <f t="shared" si="332"/>
        <v>-4.9252116758032316E-2</v>
      </c>
      <c r="Y117" s="89">
        <f t="shared" si="333"/>
        <v>2.1205540557093672E-2</v>
      </c>
      <c r="Z117" s="89">
        <f t="shared" si="334"/>
        <v>2.1242354829483334E-2</v>
      </c>
      <c r="AA117" s="89">
        <f t="shared" si="335"/>
        <v>-3.0215737652611208E-2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3.2281604753281901E-2</v>
      </c>
      <c r="F118" s="89">
        <f t="shared" si="314"/>
        <v>-6.257170129961398E-2</v>
      </c>
      <c r="G118" s="89">
        <f t="shared" si="315"/>
        <v>-0.11664431430193711</v>
      </c>
      <c r="H118" s="89">
        <f t="shared" si="316"/>
        <v>-3.4639681638076847E-2</v>
      </c>
      <c r="I118" s="89">
        <f t="shared" si="317"/>
        <v>-6.9207561972956078E-2</v>
      </c>
      <c r="J118" s="89">
        <f t="shared" si="318"/>
        <v>-1.8266028549555613E-2</v>
      </c>
      <c r="K118" s="89">
        <f t="shared" si="319"/>
        <v>1.9246589327147623E-2</v>
      </c>
      <c r="L118" s="89">
        <f t="shared" si="320"/>
        <v>-0.1039871145682445</v>
      </c>
      <c r="M118" s="89">
        <f t="shared" si="321"/>
        <v>-0.17304102925135023</v>
      </c>
      <c r="N118" s="89">
        <f t="shared" si="322"/>
        <v>0.20152052330424119</v>
      </c>
      <c r="O118" s="89">
        <f t="shared" si="323"/>
        <v>4.3251591247864374E-2</v>
      </c>
      <c r="P118" s="89">
        <f t="shared" si="324"/>
        <v>-3.4088155227547157E-2</v>
      </c>
      <c r="Q118" s="89">
        <f t="shared" si="325"/>
        <v>3.7204834839288381E-3</v>
      </c>
      <c r="R118" s="89">
        <f t="shared" si="326"/>
        <v>3.2515845457285142E-2</v>
      </c>
      <c r="S118" s="89">
        <f t="shared" si="327"/>
        <v>3.2727612349419344E-2</v>
      </c>
      <c r="T118" s="89">
        <f t="shared" si="328"/>
        <v>2.1953431884969898E-2</v>
      </c>
      <c r="U118" s="89">
        <f t="shared" si="329"/>
        <v>9.9232574237354321E-2</v>
      </c>
      <c r="V118" s="89">
        <f t="shared" si="330"/>
        <v>0.15245498961653992</v>
      </c>
      <c r="W118" s="89">
        <f t="shared" si="331"/>
        <v>2.5955621421663633E-2</v>
      </c>
      <c r="X118" s="89">
        <f t="shared" si="332"/>
        <v>-0.12196363433913515</v>
      </c>
      <c r="Y118" s="89">
        <f t="shared" si="333"/>
        <v>0.11195917167575242</v>
      </c>
      <c r="Z118" s="89">
        <f t="shared" si="334"/>
        <v>2.1328722861054139E-2</v>
      </c>
      <c r="AA118" s="89">
        <f t="shared" si="335"/>
        <v>-2.3041460013142445E-2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-1.168035274303636E-2</v>
      </c>
      <c r="F119" s="89">
        <f t="shared" si="314"/>
        <v>-4.8708373663265969E-2</v>
      </c>
      <c r="G119" s="89">
        <f t="shared" si="315"/>
        <v>-5.9041329901720396E-2</v>
      </c>
      <c r="H119" s="89">
        <f t="shared" si="316"/>
        <v>1.3208359866465402E-2</v>
      </c>
      <c r="I119" s="89">
        <f t="shared" si="317"/>
        <v>-1.3856654177602845E-2</v>
      </c>
      <c r="J119" s="89">
        <f t="shared" si="318"/>
        <v>3.1312154429929073E-2</v>
      </c>
      <c r="K119" s="89">
        <f t="shared" si="319"/>
        <v>5.6159942656674344E-2</v>
      </c>
      <c r="L119" s="89">
        <f t="shared" si="320"/>
        <v>3.5666000837764056E-3</v>
      </c>
      <c r="M119" s="89">
        <f t="shared" si="321"/>
        <v>-0.1836121206490221</v>
      </c>
      <c r="N119" s="89">
        <f t="shared" si="322"/>
        <v>7.2585558158004604E-2</v>
      </c>
      <c r="O119" s="89">
        <f t="shared" si="323"/>
        <v>-7.808921086272147E-2</v>
      </c>
      <c r="P119" s="89">
        <f t="shared" si="324"/>
        <v>-1.2337683541136291E-2</v>
      </c>
      <c r="Q119" s="89">
        <f t="shared" si="325"/>
        <v>7.9664062563575833E-3</v>
      </c>
      <c r="R119" s="89">
        <f t="shared" si="326"/>
        <v>4.6950310272630746E-2</v>
      </c>
      <c r="S119" s="89">
        <f t="shared" si="327"/>
        <v>-7.2546806492411742E-3</v>
      </c>
      <c r="T119" s="89">
        <f t="shared" si="328"/>
        <v>5.1377073053990641E-2</v>
      </c>
      <c r="U119" s="89">
        <f t="shared" si="329"/>
        <v>6.3287907579119507E-2</v>
      </c>
      <c r="V119" s="89">
        <f t="shared" si="330"/>
        <v>3.485352877759329E-2</v>
      </c>
      <c r="W119" s="89">
        <f t="shared" si="331"/>
        <v>7.1829719326574892E-3</v>
      </c>
      <c r="X119" s="89">
        <f t="shared" si="332"/>
        <v>-6.2900984261347048E-2</v>
      </c>
      <c r="Y119" s="89">
        <f t="shared" si="333"/>
        <v>8.4292980591202715E-2</v>
      </c>
      <c r="Z119" s="89">
        <f t="shared" si="334"/>
        <v>6.6330177176205707E-2</v>
      </c>
      <c r="AA119" s="89">
        <f t="shared" si="335"/>
        <v>-1.2914935742437184E-2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-1.8708309655925515E-2</v>
      </c>
      <c r="F120" s="89">
        <f t="shared" si="314"/>
        <v>-1.0380836813854044E-2</v>
      </c>
      <c r="G120" s="89">
        <f t="shared" si="315"/>
        <v>-6.1714395153236734E-2</v>
      </c>
      <c r="H120" s="89">
        <f t="shared" si="316"/>
        <v>-6.9631030041083286E-2</v>
      </c>
      <c r="I120" s="89">
        <f t="shared" si="317"/>
        <v>-9.8217272654619325E-2</v>
      </c>
      <c r="J120" s="89">
        <f t="shared" si="318"/>
        <v>-1.8068681557216193E-2</v>
      </c>
      <c r="K120" s="89">
        <f t="shared" si="319"/>
        <v>9.6663592560342071E-3</v>
      </c>
      <c r="L120" s="89">
        <f t="shared" si="320"/>
        <v>-4.5514027947339164E-2</v>
      </c>
      <c r="M120" s="89">
        <f t="shared" si="321"/>
        <v>-7.0099259048688523E-2</v>
      </c>
      <c r="N120" s="89">
        <f t="shared" si="322"/>
        <v>1.2316238728465656E-2</v>
      </c>
      <c r="O120" s="89">
        <f t="shared" si="323"/>
        <v>2.0911117663892309E-2</v>
      </c>
      <c r="P120" s="89">
        <f t="shared" si="324"/>
        <v>9.8989302169141258E-3</v>
      </c>
      <c r="Q120" s="89">
        <f t="shared" si="325"/>
        <v>3.1431844694777222E-2</v>
      </c>
      <c r="R120" s="89">
        <f t="shared" si="326"/>
        <v>5.0480481475236649E-2</v>
      </c>
      <c r="S120" s="89">
        <f t="shared" si="327"/>
        <v>2.706217630341845E-2</v>
      </c>
      <c r="T120" s="89">
        <f t="shared" si="328"/>
        <v>2.4172840970302145E-2</v>
      </c>
      <c r="U120" s="89">
        <f t="shared" si="329"/>
        <v>-1.449028763824689E-3</v>
      </c>
      <c r="V120" s="89">
        <f t="shared" si="330"/>
        <v>-9.4384907300937293E-3</v>
      </c>
      <c r="W120" s="89">
        <f t="shared" si="331"/>
        <v>-5.3640576258612849E-2</v>
      </c>
      <c r="X120" s="89">
        <f t="shared" si="332"/>
        <v>-7.7017229193821923E-2</v>
      </c>
      <c r="Y120" s="89">
        <f t="shared" si="333"/>
        <v>4.8014452879949543E-2</v>
      </c>
      <c r="Z120" s="89">
        <f t="shared" si="334"/>
        <v>1.7769451747198017E-2</v>
      </c>
      <c r="AA120" s="89">
        <f t="shared" si="335"/>
        <v>-3.8918679678918933E-2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-6.8010510315396067E-2</v>
      </c>
      <c r="F121" s="89">
        <f t="shared" si="314"/>
        <v>-5.7248412239753743E-2</v>
      </c>
      <c r="G121" s="89">
        <f t="shared" si="315"/>
        <v>-7.5431504971991581E-2</v>
      </c>
      <c r="H121" s="89">
        <f t="shared" si="316"/>
        <v>-5.4639685301476559E-2</v>
      </c>
      <c r="I121" s="89">
        <f t="shared" si="317"/>
        <v>2.5753824705401218E-2</v>
      </c>
      <c r="J121" s="89">
        <f t="shared" si="318"/>
        <v>5.0289779214762298E-2</v>
      </c>
      <c r="K121" s="89">
        <f t="shared" si="319"/>
        <v>1.1264848097086277E-2</v>
      </c>
      <c r="L121" s="89">
        <f t="shared" si="320"/>
        <v>-0.11303265119334838</v>
      </c>
      <c r="M121" s="89">
        <f t="shared" si="321"/>
        <v>-0.14321010517558785</v>
      </c>
      <c r="N121" s="89">
        <f t="shared" si="322"/>
        <v>0.16408985336103599</v>
      </c>
      <c r="O121" s="89">
        <f t="shared" si="323"/>
        <v>-1.7406567606931822E-2</v>
      </c>
      <c r="P121" s="89">
        <f t="shared" si="324"/>
        <v>-3.6387636538012025E-2</v>
      </c>
      <c r="Q121" s="89">
        <f t="shared" si="325"/>
        <v>4.4409828933113182E-2</v>
      </c>
      <c r="R121" s="89">
        <f t="shared" si="326"/>
        <v>7.9140693131718676E-2</v>
      </c>
      <c r="S121" s="89">
        <f t="shared" si="327"/>
        <v>8.6968762169680192E-2</v>
      </c>
      <c r="T121" s="89">
        <f t="shared" si="328"/>
        <v>-1.2104785118217554E-2</v>
      </c>
      <c r="U121" s="89">
        <f t="shared" si="329"/>
        <v>-1.7115899866081086E-2</v>
      </c>
      <c r="V121" s="89">
        <f t="shared" si="330"/>
        <v>2.539844372187372E-2</v>
      </c>
      <c r="W121" s="89">
        <f t="shared" si="331"/>
        <v>5.5506201714827785E-3</v>
      </c>
      <c r="X121" s="89">
        <f t="shared" si="332"/>
        <v>1.8554619898760727E-3</v>
      </c>
      <c r="Y121" s="89">
        <f t="shared" si="333"/>
        <v>-6.893071785652416E-2</v>
      </c>
      <c r="Z121" s="89">
        <f t="shared" si="334"/>
        <v>0.13158416244072746</v>
      </c>
      <c r="AA121" s="89">
        <f t="shared" si="335"/>
        <v>1.0839285470374271E-2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1.7597256789337878E-2</v>
      </c>
      <c r="F122" s="91">
        <f t="shared" si="314"/>
        <v>-1.446345533626292E-2</v>
      </c>
      <c r="G122" s="91">
        <f t="shared" si="315"/>
        <v>-6.4643232805956186E-2</v>
      </c>
      <c r="H122" s="91">
        <f t="shared" si="316"/>
        <v>-1.8953342306148757E-2</v>
      </c>
      <c r="I122" s="91">
        <f t="shared" si="317"/>
        <v>-5.9842339002835421E-2</v>
      </c>
      <c r="J122" s="91">
        <f t="shared" si="318"/>
        <v>-2.5404399179084547E-2</v>
      </c>
      <c r="K122" s="91">
        <f t="shared" si="319"/>
        <v>2.6750053390244499E-2</v>
      </c>
      <c r="L122" s="91">
        <f t="shared" si="320"/>
        <v>-1.6060626612974804E-3</v>
      </c>
      <c r="M122" s="91">
        <f t="shared" si="321"/>
        <v>-1.7864057861032179E-2</v>
      </c>
      <c r="N122" s="91">
        <f t="shared" si="322"/>
        <v>-1.1186243894043324E-2</v>
      </c>
      <c r="O122" s="91">
        <f t="shared" si="323"/>
        <v>2.6176996340052217E-2</v>
      </c>
      <c r="P122" s="91">
        <f t="shared" si="324"/>
        <v>-3.4116312668519555E-4</v>
      </c>
      <c r="Q122" s="91">
        <f t="shared" si="325"/>
        <v>1.1083737283963835E-2</v>
      </c>
      <c r="R122" s="91">
        <f t="shared" si="326"/>
        <v>4.0061153626341772E-2</v>
      </c>
      <c r="S122" s="91">
        <f t="shared" si="327"/>
        <v>6.4109966633955073E-2</v>
      </c>
      <c r="T122" s="91">
        <f t="shared" si="328"/>
        <v>-5.47310549779223E-3</v>
      </c>
      <c r="U122" s="91">
        <f t="shared" si="329"/>
        <v>5.6411750701585328E-2</v>
      </c>
      <c r="V122" s="91">
        <f t="shared" si="330"/>
        <v>3.6683827496438504E-2</v>
      </c>
      <c r="W122" s="91">
        <f t="shared" si="331"/>
        <v>4.0764059160857125E-2</v>
      </c>
      <c r="X122" s="91">
        <f t="shared" si="332"/>
        <v>-2.4604053153807648E-2</v>
      </c>
      <c r="Y122" s="91">
        <f t="shared" si="333"/>
        <v>8.7815404450636514E-2</v>
      </c>
      <c r="Z122" s="91">
        <f t="shared" si="334"/>
        <v>4.4224644726496898E-2</v>
      </c>
      <c r="AA122" s="91">
        <f t="shared" si="335"/>
        <v>-4.0197220448135451E-2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2025-11-06T10:29:40Z</dcterms:created>
  <dcterms:modified xsi:type="dcterms:W3CDTF">2025-11-06T10:29:40Z</dcterms:modified>
</cp:coreProperties>
</file>