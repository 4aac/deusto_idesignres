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PT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X67" i="6"/>
  <c r="Y27" i="6"/>
  <c r="Y119" i="6"/>
  <c r="Y173" i="6" s="1"/>
  <c r="X119" i="6"/>
  <c r="X173" i="6" s="1"/>
  <c r="X26" i="12"/>
  <c r="Y16" i="7"/>
  <c r="Y14" i="13"/>
  <c r="X13" i="12"/>
  <c r="X21" i="12"/>
  <c r="X20" i="12"/>
  <c r="X16" i="8"/>
  <c r="Y14" i="12"/>
  <c r="X7" i="12"/>
  <c r="Y6" i="12"/>
  <c r="X33" i="10"/>
  <c r="X30" i="13"/>
  <c r="Y22" i="13"/>
  <c r="X22" i="13"/>
  <c r="Y21" i="13"/>
  <c r="X21" i="13"/>
  <c r="Y20" i="13"/>
  <c r="Y18" i="13"/>
  <c r="Y17" i="13"/>
  <c r="X17" i="10"/>
  <c r="X12" i="13"/>
  <c r="Y6" i="13"/>
  <c r="X5" i="10"/>
  <c r="Y33" i="10"/>
  <c r="X18" i="10"/>
  <c r="Y17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24" i="28" s="1"/>
  <c r="Y14" i="24"/>
  <c r="X13" i="23"/>
  <c r="Y10" i="24"/>
  <c r="X9" i="23"/>
  <c r="Y7" i="25"/>
  <c r="Y7" i="28" s="1"/>
  <c r="X24" i="23"/>
  <c r="Y23" i="23"/>
  <c r="X23" i="23"/>
  <c r="Y22" i="23"/>
  <c r="Y22" i="24"/>
  <c r="Y20" i="21"/>
  <c r="X18" i="24"/>
  <c r="Y17" i="24"/>
  <c r="X12" i="24"/>
  <c r="X20" i="21"/>
  <c r="Y18" i="21"/>
  <c r="X5" i="21"/>
  <c r="Y33" i="25"/>
  <c r="Y33" i="28" s="1"/>
  <c r="X33" i="25"/>
  <c r="X33" i="28" s="1"/>
  <c r="Y26" i="25"/>
  <c r="Y26" i="28" s="1"/>
  <c r="X26" i="25"/>
  <c r="X26" i="28" s="1"/>
  <c r="X25" i="25"/>
  <c r="X25" i="28" s="1"/>
  <c r="X24" i="25"/>
  <c r="Y23" i="25"/>
  <c r="X23" i="25"/>
  <c r="Y22" i="25"/>
  <c r="Y19" i="22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0" i="23"/>
  <c r="Y20" i="26" s="1"/>
  <c r="Y8" i="23"/>
  <c r="Y33" i="24"/>
  <c r="Y21" i="24"/>
  <c r="X21" i="24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Y25" i="25"/>
  <c r="Y25" i="28" s="1"/>
  <c r="Y20" i="25"/>
  <c r="Y20" i="28" s="1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4" i="30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X12" i="29"/>
  <c r="X5" i="30" s="1"/>
  <c r="Y10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Y20" i="24"/>
  <c r="Y20" i="27" s="1"/>
  <c r="Y18" i="10"/>
  <c r="X21" i="21"/>
  <c r="X8" i="12"/>
  <c r="Y24" i="23"/>
  <c r="Y24" i="26" s="1"/>
  <c r="Y5" i="10"/>
  <c r="X25" i="23"/>
  <c r="X25" i="26" s="1"/>
  <c r="Y24" i="12"/>
  <c r="X25" i="12"/>
  <c r="X7" i="21"/>
  <c r="X23" i="21"/>
  <c r="Y7" i="24"/>
  <c r="Y7" i="27" s="1"/>
  <c r="Y23" i="10"/>
  <c r="Y10" i="12"/>
  <c r="X8" i="24"/>
  <c r="X8" i="13"/>
  <c r="X11" i="12"/>
  <c r="Y8" i="13"/>
  <c r="X8" i="30"/>
  <c r="Y8" i="24"/>
  <c r="X9" i="21"/>
  <c r="X25" i="24"/>
  <c r="X17" i="24"/>
  <c r="X25" i="13"/>
  <c r="X12" i="12"/>
  <c r="Y23" i="28"/>
  <c r="X7" i="14"/>
  <c r="Y25" i="13"/>
  <c r="X16" i="7"/>
  <c r="X16" i="14" s="1"/>
  <c r="X31" i="23"/>
  <c r="X26" i="13"/>
  <c r="Y26" i="24"/>
  <c r="Y26" i="27" s="1"/>
  <c r="Y31" i="23"/>
  <c r="Y31" i="26" s="1"/>
  <c r="Y10" i="13"/>
  <c r="Y26" i="13"/>
  <c r="X8" i="25"/>
  <c r="X27" i="21"/>
  <c r="X32" i="23"/>
  <c r="X11" i="13"/>
  <c r="Y67" i="6"/>
  <c r="Y8" i="25"/>
  <c r="Y8" i="28" s="1"/>
  <c r="Y11" i="24"/>
  <c r="Y11" i="27" s="1"/>
  <c r="Y13" i="29"/>
  <c r="Y9" i="25"/>
  <c r="Y12" i="24"/>
  <c r="Y12" i="27" s="1"/>
  <c r="Y21" i="25"/>
  <c r="X10" i="14"/>
  <c r="X30" i="14"/>
  <c r="Y12" i="13"/>
  <c r="Y52" i="38"/>
  <c r="X14" i="29"/>
  <c r="X6" i="29" s="1"/>
  <c r="X10" i="25"/>
  <c r="X10" i="28" s="1"/>
  <c r="X13" i="21"/>
  <c r="X31" i="24"/>
  <c r="X17" i="23"/>
  <c r="X22" i="24"/>
  <c r="Y10" i="14"/>
  <c r="Y10" i="17" s="1"/>
  <c r="X31" i="13"/>
  <c r="Y33" i="12"/>
  <c r="Y17" i="23"/>
  <c r="Y17" i="26" s="1"/>
  <c r="X31" i="14"/>
  <c r="Y31" i="13"/>
  <c r="X13" i="29"/>
  <c r="X5" i="31" s="1"/>
  <c r="X9" i="36"/>
  <c r="Y53" i="38"/>
  <c r="Y31" i="14"/>
  <c r="X32" i="10"/>
  <c r="Y14" i="21"/>
  <c r="Y32" i="21"/>
  <c r="X17" i="13"/>
  <c r="Y45" i="37"/>
  <c r="X15" i="21"/>
  <c r="X33" i="21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7" i="28" s="1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17" i="21"/>
  <c r="X32" i="21"/>
  <c r="X7" i="23"/>
  <c r="X7" i="26" s="1"/>
  <c r="X11" i="23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18" i="27" s="1"/>
  <c r="Y8" i="14"/>
  <c r="Y12" i="12"/>
  <c r="Y18" i="12"/>
  <c r="Y28" i="12"/>
  <c r="X82" i="6"/>
  <c r="X81" i="6" s="1"/>
  <c r="X93" i="6" s="1"/>
  <c r="X107" i="6"/>
  <c r="X24" i="28"/>
  <c r="X9" i="25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29" i="8"/>
  <c r="X30" i="12"/>
  <c r="X30" i="10"/>
  <c r="X4" i="7"/>
  <c r="X3" i="7" s="1"/>
  <c r="X5" i="12"/>
  <c r="Y9" i="28"/>
  <c r="X32" i="14"/>
  <c r="X29" i="11"/>
  <c r="Y20" i="12"/>
  <c r="Y20" i="10"/>
  <c r="X33" i="6"/>
  <c r="X5" i="24"/>
  <c r="X5" i="27" s="1"/>
  <c r="X5" i="23"/>
  <c r="X5" i="26" s="1"/>
  <c r="X30" i="23"/>
  <c r="X18" i="13"/>
  <c r="X20" i="10"/>
  <c r="X10" i="13"/>
  <c r="X14" i="10"/>
  <c r="X19" i="9"/>
  <c r="X19" i="10" s="1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5" i="28" s="1"/>
  <c r="X28" i="13"/>
  <c r="Y9" i="13"/>
  <c r="Y16" i="9"/>
  <c r="Y16" i="13" s="1"/>
  <c r="Y9" i="39"/>
  <c r="Y17" i="38"/>
  <c r="Y46" i="37"/>
  <c r="Y17" i="27"/>
  <c r="X6" i="25"/>
  <c r="X6" i="28" s="1"/>
  <c r="Y8" i="27"/>
  <c r="Y15" i="21"/>
  <c r="X51" i="39"/>
  <c r="Y32" i="24"/>
  <c r="Y32" i="27" s="1"/>
  <c r="Y16" i="22"/>
  <c r="Y16" i="25" s="1"/>
  <c r="Y16" i="28" s="1"/>
  <c r="X6" i="24"/>
  <c r="X6" i="27" s="1"/>
  <c r="X24" i="24"/>
  <c r="X30" i="24"/>
  <c r="X6" i="13"/>
  <c r="Y11" i="10"/>
  <c r="Y15" i="10"/>
  <c r="X8" i="14"/>
  <c r="Y22" i="26"/>
  <c r="X13" i="13"/>
  <c r="X9" i="39"/>
  <c r="X5" i="39" s="1"/>
  <c r="X46" i="37"/>
  <c r="X21" i="23"/>
  <c r="Y13" i="13"/>
  <c r="X19" i="7"/>
  <c r="X27" i="12" s="1"/>
  <c r="X29" i="7"/>
  <c r="Y19" i="18"/>
  <c r="Y19" i="23" s="1"/>
  <c r="Y19" i="26" s="1"/>
  <c r="Y31" i="25"/>
  <c r="Y31" i="28" s="1"/>
  <c r="Y9" i="38"/>
  <c r="Y52" i="37"/>
  <c r="X32" i="24"/>
  <c r="Y51" i="39"/>
  <c r="Y6" i="24"/>
  <c r="Y24" i="24"/>
  <c r="Y24" i="27" s="1"/>
  <c r="Y18" i="23"/>
  <c r="Y18" i="26" s="1"/>
  <c r="X16" i="9"/>
  <c r="X19" i="8"/>
  <c r="Y33" i="6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X12" i="26" s="1"/>
  <c r="Y22" i="21"/>
  <c r="Y13" i="21"/>
  <c r="Y16" i="19"/>
  <c r="Y16" i="23" s="1"/>
  <c r="Y16" i="26" s="1"/>
  <c r="X8" i="10"/>
  <c r="X26" i="10"/>
  <c r="X30" i="25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12" i="36" s="1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4" i="19"/>
  <c r="X26" i="23"/>
  <c r="Y9" i="14"/>
  <c r="Y25" i="6"/>
  <c r="Y49" i="37"/>
  <c r="X16" i="29"/>
  <c r="Y9" i="23"/>
  <c r="Y9" i="26" s="1"/>
  <c r="X26" i="6"/>
  <c r="X22" i="15" s="1"/>
  <c r="X33" i="39"/>
  <c r="Y51" i="38"/>
  <c r="X9" i="38"/>
  <c r="X52" i="38"/>
  <c r="X68" i="29"/>
  <c r="X6" i="30" s="1"/>
  <c r="X10" i="23"/>
  <c r="Y5" i="29"/>
  <c r="Y5" i="31"/>
  <c r="Y12" i="29"/>
  <c r="Y16" i="29"/>
  <c r="X8" i="23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8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Y8" i="35"/>
  <c r="X8" i="34"/>
  <c r="Y26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Y21" i="28"/>
  <c r="Y6" i="27"/>
  <c r="Y10" i="27"/>
  <c r="Y14" i="27"/>
  <c r="Y18" i="27"/>
  <c r="Y22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5" i="32" l="1"/>
  <c r="X16" i="12"/>
  <c r="X31" i="26"/>
  <c r="X8" i="27"/>
  <c r="X29" i="13"/>
  <c r="Y24" i="15"/>
  <c r="X21" i="26"/>
  <c r="X4" i="13"/>
  <c r="X5" i="29"/>
  <c r="X22" i="28"/>
  <c r="X29" i="23"/>
  <c r="X29" i="26" s="1"/>
  <c r="Y31" i="6"/>
  <c r="X16" i="13"/>
  <c r="X16" i="16" s="1"/>
  <c r="Y29" i="12"/>
  <c r="Y29" i="15" s="1"/>
  <c r="X33" i="26"/>
  <c r="X32" i="26"/>
  <c r="X17" i="28"/>
  <c r="X30" i="26"/>
  <c r="X15" i="12"/>
  <c r="X15" i="15" s="1"/>
  <c r="X30" i="28"/>
  <c r="X22" i="27"/>
  <c r="X32" i="27"/>
  <c r="X23" i="28"/>
  <c r="X114" i="6"/>
  <c r="X168" i="6" s="1"/>
  <c r="X163" i="6"/>
  <c r="Y29" i="14"/>
  <c r="Y29" i="17" s="1"/>
  <c r="X90" i="6"/>
  <c r="Y15" i="13"/>
  <c r="Y15" i="16" s="1"/>
  <c r="X14" i="27"/>
  <c r="X31" i="6"/>
  <c r="Y5" i="39"/>
  <c r="Y37" i="39" s="1"/>
  <c r="Y5" i="37"/>
  <c r="Y38" i="37" s="1"/>
  <c r="X11" i="27"/>
  <c r="Y10" i="16"/>
  <c r="X17" i="26"/>
  <c r="Y30" i="15"/>
  <c r="X14" i="26"/>
  <c r="X26" i="26"/>
  <c r="X23" i="26"/>
  <c r="X9" i="28"/>
  <c r="X28" i="27"/>
  <c r="X23" i="27"/>
  <c r="X11" i="26"/>
  <c r="X17" i="27"/>
  <c r="X8" i="26"/>
  <c r="X8" i="28"/>
  <c r="X10" i="27"/>
  <c r="X18" i="26"/>
  <c r="X31" i="28"/>
  <c r="X21" i="27"/>
  <c r="Y28" i="16"/>
  <c r="X91" i="6"/>
  <c r="X4" i="14"/>
  <c r="X4" i="17" s="1"/>
  <c r="X4" i="23"/>
  <c r="X4" i="26" s="1"/>
  <c r="X29" i="10"/>
  <c r="X3" i="8"/>
  <c r="X3" i="19"/>
  <c r="X3" i="23" s="1"/>
  <c r="X9" i="29"/>
  <c r="X25" i="27"/>
  <c r="Y27" i="24"/>
  <c r="Y27" i="27" s="1"/>
  <c r="X13" i="26"/>
  <c r="X94" i="6"/>
  <c r="X92" i="6"/>
  <c r="X10" i="26"/>
  <c r="X27" i="13"/>
  <c r="X27" i="16" s="1"/>
  <c r="X28" i="26"/>
  <c r="X33" i="27"/>
  <c r="X9" i="27"/>
  <c r="X13" i="27"/>
  <c r="X113" i="6"/>
  <c r="X167" i="6" s="1"/>
  <c r="X89" i="6"/>
  <c r="Y139" i="6"/>
  <c r="X26" i="27"/>
  <c r="X21" i="28"/>
  <c r="X22" i="26"/>
  <c r="X4" i="12"/>
  <c r="X4" i="15" s="1"/>
  <c r="X7" i="27"/>
  <c r="X30" i="27"/>
  <c r="X24" i="27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36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0" i="15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140" i="6"/>
  <c r="X16" i="15"/>
  <c r="X20" i="17"/>
  <c r="X32" i="16"/>
  <c r="X8" i="15"/>
  <c r="X23" i="15"/>
  <c r="Y31" i="36"/>
  <c r="Y34" i="36"/>
  <c r="Y32" i="36"/>
  <c r="X8" i="36"/>
  <c r="X3" i="11"/>
  <c r="Y159" i="6"/>
  <c r="Y135" i="6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Y169" i="6"/>
  <c r="X35" i="39"/>
  <c r="X16" i="25"/>
  <c r="X16" i="28" s="1"/>
  <c r="X30" i="16"/>
  <c r="X9" i="17"/>
  <c r="X31" i="17"/>
  <c r="X147" i="6"/>
  <c r="X26" i="15"/>
  <c r="Y33" i="37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6" i="37"/>
  <c r="X31" i="36"/>
  <c r="X34" i="36"/>
  <c r="X32" i="36"/>
  <c r="X38" i="39"/>
  <c r="Y39" i="37"/>
  <c r="Y40" i="37"/>
  <c r="Y32" i="37"/>
  <c r="X37" i="39"/>
  <c r="X144" i="6" l="1"/>
  <c r="X3" i="14"/>
  <c r="Y44" i="39"/>
  <c r="Y37" i="37"/>
  <c r="Y35" i="39"/>
  <c r="Y35" i="37"/>
  <c r="X3" i="12"/>
  <c r="X3" i="15" s="1"/>
  <c r="Y38" i="39"/>
  <c r="Y34" i="37"/>
  <c r="Y39" i="38"/>
  <c r="Y44" i="38"/>
  <c r="X34" i="37"/>
  <c r="X44" i="39"/>
  <c r="X3" i="29"/>
  <c r="X3" i="35"/>
  <c r="X153" i="6"/>
  <c r="X143" i="6"/>
  <c r="X35" i="37"/>
  <c r="X38" i="37"/>
  <c r="X37" i="37"/>
  <c r="X39" i="37"/>
  <c r="X32" i="37"/>
  <c r="X33" i="37"/>
  <c r="X40" i="37"/>
  <c r="X3" i="13"/>
  <c r="X3" i="16" s="1"/>
  <c r="X3" i="10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" i="17"/>
  <c r="X39" i="38"/>
  <c r="X37" i="38"/>
  <c r="Y3" i="35"/>
  <c r="X32" i="38"/>
  <c r="Y3" i="14"/>
  <c r="Y3" i="34"/>
  <c r="Y3" i="2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X31" i="37" l="1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U3" i="32"/>
  <c r="S8" i="32"/>
  <c r="W3" i="31"/>
  <c r="W8" i="30"/>
  <c r="N3" i="29"/>
  <c r="W8" i="35"/>
  <c r="S8" i="33"/>
  <c r="U8" i="32"/>
  <c r="W8" i="31"/>
  <c r="B69" i="29"/>
  <c r="R3" i="35"/>
  <c r="T3" i="34"/>
  <c r="R8" i="34"/>
  <c r="T8" i="33"/>
  <c r="V8" i="32"/>
  <c r="R3" i="31"/>
  <c r="R8" i="30"/>
  <c r="P3" i="29"/>
  <c r="S3" i="35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3" i="34" l="1"/>
  <c r="U15" i="24"/>
  <c r="U19" i="23"/>
  <c r="T3" i="35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G90" i="6" l="1"/>
  <c r="T56" i="6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E4" i="24"/>
  <c r="C4" i="24"/>
  <c r="K29" i="13"/>
  <c r="K29" i="12"/>
  <c r="K16" i="24"/>
  <c r="N19" i="24"/>
  <c r="O4" i="24"/>
  <c r="E19" i="14"/>
  <c r="O4" i="23"/>
  <c r="N19" i="23"/>
  <c r="G16" i="12"/>
  <c r="C4" i="13"/>
  <c r="O4" i="12"/>
  <c r="C16" i="13"/>
  <c r="E4" i="23"/>
  <c r="H4" i="12"/>
  <c r="J29" i="13"/>
  <c r="C4" i="12"/>
  <c r="F4" i="24"/>
  <c r="P29" i="24"/>
  <c r="G19" i="24"/>
  <c r="P29" i="12"/>
  <c r="P29" i="15" s="1"/>
  <c r="H29" i="23"/>
  <c r="O29" i="13"/>
  <c r="P19" i="24"/>
  <c r="P19" i="27" s="1"/>
  <c r="J19" i="23"/>
  <c r="J19" i="26" s="1"/>
  <c r="P29" i="13"/>
  <c r="P29" i="16" s="1"/>
  <c r="H29" i="24"/>
  <c r="G19" i="23"/>
  <c r="G19" i="26" s="1"/>
  <c r="O29" i="23"/>
  <c r="O29" i="26" s="1"/>
  <c r="O29" i="12"/>
  <c r="O29" i="15" s="1"/>
  <c r="C17" i="16"/>
  <c r="E4" i="13"/>
  <c r="P4" i="12"/>
  <c r="P4" i="15" s="1"/>
  <c r="O4" i="13"/>
  <c r="O4" i="16" s="1"/>
  <c r="K4" i="24"/>
  <c r="K4" i="27" s="1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N29" i="24"/>
  <c r="N29" i="27" s="1"/>
  <c r="D16" i="14"/>
  <c r="D16" i="17" s="1"/>
  <c r="K16" i="12"/>
  <c r="K16" i="15" s="1"/>
  <c r="I29" i="23"/>
  <c r="C19" i="23"/>
  <c r="C19" i="26" s="1"/>
  <c r="F4" i="12"/>
  <c r="F4" i="15" s="1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C19" i="16" s="1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M16" i="24"/>
  <c r="J4" i="23"/>
  <c r="J4" i="26" s="1"/>
  <c r="P19" i="12"/>
  <c r="P19" i="15" s="1"/>
  <c r="H4" i="24"/>
  <c r="M4" i="12"/>
  <c r="O19" i="24"/>
  <c r="O19" i="27" s="1"/>
  <c r="P16" i="24"/>
  <c r="P16" i="27" s="1"/>
  <c r="L19" i="13"/>
  <c r="G4" i="23"/>
  <c r="G4" i="26" s="1"/>
  <c r="P4" i="24"/>
  <c r="P4" i="27" s="1"/>
  <c r="C29" i="24"/>
  <c r="C29" i="27" s="1"/>
  <c r="G4" i="24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D4" i="13"/>
  <c r="N16" i="12"/>
  <c r="N16" i="15" s="1"/>
  <c r="E16" i="12"/>
  <c r="E16" i="15" s="1"/>
  <c r="I16" i="14"/>
  <c r="I16" i="17" s="1"/>
  <c r="Q4" i="23"/>
  <c r="Q4" i="26" s="1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L4" i="27" s="1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6" s="1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O19" i="15" s="1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P16" i="15" s="1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F19" i="15"/>
  <c r="F29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4" i="16"/>
  <c r="D3" i="9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1"/>
  <c r="D19" i="26"/>
  <c r="Q19" i="26"/>
  <c r="C4" i="14"/>
  <c r="C4" i="17" s="1"/>
  <c r="C3" i="11"/>
  <c r="C3" i="14" s="1"/>
  <c r="C3" i="17" s="1"/>
  <c r="G9" i="17"/>
  <c r="G20" i="17"/>
  <c r="C22" i="17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43" i="4"/>
  <c r="B11" i="4"/>
  <c r="B24" i="4"/>
  <c r="B13" i="4"/>
  <c r="B28" i="4"/>
  <c r="B29" i="4"/>
  <c r="B33" i="4"/>
  <c r="B38" i="4"/>
  <c r="B22" i="4"/>
  <c r="B27" i="4"/>
  <c r="B26" i="4"/>
  <c r="B17" i="4"/>
  <c r="B12" i="4"/>
  <c r="B14" i="4"/>
  <c r="B23" i="4"/>
  <c r="B16" i="4"/>
  <c r="B8" i="4"/>
  <c r="B34" i="4"/>
  <c r="B39" i="4"/>
  <c r="B36" i="4"/>
  <c r="B44" i="4"/>
  <c r="B4" i="4"/>
  <c r="B37" i="4"/>
  <c r="B21" i="4"/>
  <c r="B30" i="4"/>
  <c r="B15" i="4"/>
  <c r="B25" i="4"/>
  <c r="B9" i="4"/>
  <c r="B7" i="4"/>
  <c r="B20" i="4"/>
  <c r="B45" i="4"/>
  <c r="B10" i="4"/>
  <c r="B42" i="4"/>
  <c r="B35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<sst xmlns="http://schemas.openxmlformats.org/spreadsheetml/2006/main" count="2101" uniqueCount="1057">
  <si>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</si>
  <si>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</si>
  <si>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</si>
  <si>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</si>
  <si>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</si>
  <si>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</si>
  <si>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</si>
  <si>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</si>
  <si>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</si>
  <si>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</si>
  <si>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</si>
  <si>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</si>
  <si>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</si>
  <si>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</si>
  <si>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</si>
  <si>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</si>
  <si>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</si>
  <si>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</si>
  <si>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</si>
  <si>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</si>
  <si>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</si>
  <si>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</si>
  <si>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</si>
  <si>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</si>
  <si>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</si>
  <si>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</si>
  <si>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</si>
  <si>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</si>
  <si>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</si>
  <si>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</si>
  <si>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</si>
  <si>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</si>
  <si>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</si>
  <si>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</si>
  <si>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</si>
  <si>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</si>
  <si>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</si>
  <si>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</si>
  <si>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</si>
  <si>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</si>
  <si>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</si>
  <si>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</si>
  <si>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</si>
  <si>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</si>
  <si>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</si>
  <si>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</si>
  <si>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</si>
  <si>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</si>
  <si>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</si>
  <si>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</si>
  <si>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</si>
  <si>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</si>
  <si>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</si>
  <si>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</si>
  <si>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</si>
  <si>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</si>
  <si>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</si>
  <si>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</si>
  <si>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</si>
  <si>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</si>
  <si>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</si>
  <si>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</si>
  <si>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</si>
  <si>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</si>
  <si>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</si>
  <si>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</si>
  <si>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</si>
  <si>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</si>
  <si>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</si>
  <si>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</si>
  <si>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</si>
  <si>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</si>
  <si>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</si>
  <si>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</si>
  <si>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</si>
  <si>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</si>
  <si>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</si>
  <si>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</si>
  <si>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</si>
  <si>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</si>
  <si>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</si>
  <si>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</si>
  <si>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</si>
  <si>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</si>
  <si>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</si>
  <si>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</si>
  <si>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</si>
  <si>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</si>
  <si>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</si>
  <si>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</si>
  <si>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</si>
  <si>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</si>
  <si>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</si>
  <si>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</si>
  <si>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</si>
  <si>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</si>
  <si>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</si>
  <si>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</si>
  <si>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</si>
  <si>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</si>
  <si>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</si>
  <si>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</si>
  <si>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</si>
  <si>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</si>
  <si>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</si>
  <si>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</si>
  <si>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</si>
  <si>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</si>
  <si>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</si>
  <si>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</si>
  <si>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</si>
  <si>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</si>
  <si>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</si>
  <si>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</si>
  <si>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</si>
  <si>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</si>
  <si>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</si>
  <si>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</si>
  <si>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</si>
  <si>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</si>
  <si>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</si>
  <si>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</si>
  <si>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</si>
  <si>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</si>
  <si>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</si>
  <si>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</si>
  <si>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</si>
  <si>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</si>
  <si>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</si>
  <si>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</si>
  <si>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</si>
  <si>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</si>
  <si>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</si>
  <si>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</si>
  <si>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</si>
  <si>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</si>
  <si>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</si>
  <si>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</si>
  <si>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</si>
  <si>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</si>
  <si>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</si>
  <si>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</si>
  <si>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</si>
  <si>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</si>
  <si>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</si>
  <si>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</si>
  <si>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</si>
  <si>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</si>
  <si>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</si>
  <si>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</si>
  <si>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</si>
  <si>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</si>
  <si>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</si>
  <si>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</si>
  <si>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</si>
  <si>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</si>
  <si>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</si>
  <si>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</si>
  <si>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</si>
  <si>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</si>
  <si>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</si>
  <si>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</si>
  <si>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</si>
  <si>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</si>
  <si>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</si>
  <si>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</si>
  <si>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</si>
  <si>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</si>
  <si>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</si>
  <si>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</si>
  <si>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</si>
  <si>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</si>
  <si>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</si>
  <si>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</si>
  <si>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</si>
  <si>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</si>
  <si>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</si>
  <si>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</si>
  <si>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</si>
  <si>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</si>
  <si>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</si>
  <si>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</si>
  <si>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</si>
  <si>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</si>
  <si>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</si>
  <si>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PT</t>
  </si>
  <si>
    <t>Portugal</t>
  </si>
  <si>
    <t>PT - Services sector summary</t>
  </si>
  <si>
    <t>Macro.number.PT.Population</t>
  </si>
  <si>
    <t>Macro.Meuro2015.PT.GDP</t>
  </si>
  <si>
    <t>Macro.Meuro2015.PT.VA</t>
  </si>
  <si>
    <t>Macro.number.PT.Employees</t>
  </si>
  <si>
    <t>NUM.number.PT.Ser.Bld</t>
  </si>
  <si>
    <t>SurfaceArea.ksqm.PT.Ser.Bld</t>
  </si>
  <si>
    <t>NUM.number.PT.Ser.BldNew</t>
  </si>
  <si>
    <t>SurfaceArea.ksqm.PT.Ser.BldNew</t>
  </si>
  <si>
    <t>HDD.Celsius.PT.Actual</t>
  </si>
  <si>
    <t>HDD.Celsius.PT.Mean</t>
  </si>
  <si>
    <t>HDD.ratio.PT.Relative</t>
  </si>
  <si>
    <t>FEC.ktoe.PT.ES.Ser</t>
  </si>
  <si>
    <t>FEC.ktoe.PT.ES.Ser.Solids</t>
  </si>
  <si>
    <t>FEC.ktoe.PT.ES.Ser.LPG</t>
  </si>
  <si>
    <t>FEC.ktoe.PT.ES.Ser.Oil</t>
  </si>
  <si>
    <t>FEC.ktoe.PT.ES.Ser.NG</t>
  </si>
  <si>
    <t>FEC.ktoe.PT.ES.Ser.Biomass_Waste</t>
  </si>
  <si>
    <t>FEC.ktoe.PT.ES.Ser.Biogas</t>
  </si>
  <si>
    <t>FEC.ktoe.PT.ES.Ser.LiqBio</t>
  </si>
  <si>
    <t>FEC.ktoe.PT.ES.Ser.Solar</t>
  </si>
  <si>
    <t>FEC.ktoe.PT.ES.Ser.Geo</t>
  </si>
  <si>
    <t>FEC.ktoe.PT.ES.Ser.Ambient</t>
  </si>
  <si>
    <t>FEC.ktoe.PT.ES.Ser.Steam_Distr</t>
  </si>
  <si>
    <t>FEC.ktoe.PT.ES.Ser.Elec</t>
  </si>
  <si>
    <t>FEC.ktoe.PT.Ser</t>
  </si>
  <si>
    <t>FEC.ktoe.PT.Ser.Bld.Thermal</t>
  </si>
  <si>
    <t>FEC.ktoe.PT.Ser.Bld.Thermal.SH</t>
  </si>
  <si>
    <t>FEC.ktoe.PT.Ser.Bld.Thermal.SC</t>
  </si>
  <si>
    <t>FEC.ktoe.PT.Ser.Bld.Thermal.HW</t>
  </si>
  <si>
    <t>FEC.ktoe.PT.Ser.Bld.Thermal.CA</t>
  </si>
  <si>
    <t>FEC.ktoe.PT.Ser.SEU</t>
  </si>
  <si>
    <t>EMI.ktCO2.PT.ES.Ser</t>
  </si>
  <si>
    <t>EMI.ktCO2.PT.ES.Ser.Solids</t>
  </si>
  <si>
    <t>EMI.ktCO2.PT.ES.Ser.LPG</t>
  </si>
  <si>
    <t>EMI.ktCO2.PT.ES.Ser.Oil</t>
  </si>
  <si>
    <t>EMI.ktCO2.PT.ES.Ser.NG</t>
  </si>
  <si>
    <t>EMI.ktCO2.PT.ES.Ser.Biomass_Waste</t>
  </si>
  <si>
    <t>EMI.ktCO2.PT.ES.Ser.Biogas</t>
  </si>
  <si>
    <t>EMI.ktCO2.PT.ES.Ser.LiqBio</t>
  </si>
  <si>
    <t>EMI.ktCO2.PT.ES.Ser.Solar</t>
  </si>
  <si>
    <t>EMI.ktCO2.PT.ES.Ser.Geo</t>
  </si>
  <si>
    <t>EMI.ktCO2.PT.ES.Ser.Ambient</t>
  </si>
  <si>
    <t>EMI.ktCO2.PT.ES.Ser.Steam_Distr</t>
  </si>
  <si>
    <t>EMI.ktCO2.PT.ES.Ser.Elec</t>
  </si>
  <si>
    <t>EMI.ktCO2.PT.Ser</t>
  </si>
  <si>
    <t>EMI.ktCO2.PT.Ser.Bld.Thermal</t>
  </si>
  <si>
    <t>EMI.ktCO2.PT.Ser.Bld.Thermal.SH</t>
  </si>
  <si>
    <t>EMI.ktCO2.PT.Ser.Bld.Thermal.SC</t>
  </si>
  <si>
    <t>EMI.ktCO2.PT.Ser.Bld.Thermal.HW</t>
  </si>
  <si>
    <t>EMI.ktCO2.PT.Ser.Bld.Thermal.CA</t>
  </si>
  <si>
    <t>EMI.ktCO2.PT.Ser.SEU</t>
  </si>
  <si>
    <t>Eff.ratio.PT.Ser.Bld.Thermal</t>
  </si>
  <si>
    <t>Eff.ratio.PT.Ser.Bld.Thermal.SH</t>
  </si>
  <si>
    <t>Eff.ratio.PT.Ser.Bld.Thermal.SC</t>
  </si>
  <si>
    <t>Eff.ratio.PT.Ser.Bld.Thermal.HW</t>
  </si>
  <si>
    <t>Eff.ratio.PT.Ser.Bld.Thermal.CA</t>
  </si>
  <si>
    <t>PT - Number of buildings</t>
  </si>
  <si>
    <t>NUM.number.PT.Ser.Bld.Thermal</t>
  </si>
  <si>
    <t>NUM.number.PT.Ser.Bld.Thermal.SH</t>
  </si>
  <si>
    <t>NUM.number.PT.Ser.Bld.Thermal.SH.Solids</t>
  </si>
  <si>
    <t>NUM.number.PT.Ser.Bld.Thermal.SH.LPG</t>
  </si>
  <si>
    <t>NUM.number.PT.Ser.Bld.Thermal.SH.Oil</t>
  </si>
  <si>
    <t>NUM.number.PT.Ser.Bld.Thermal.SH.GasHP</t>
  </si>
  <si>
    <t>NUM.number.PT.Ser.Bld.Thermal.SH.GasTH</t>
  </si>
  <si>
    <t>NUM.number.PT.Ser.Bld.Thermal.SH.Biomass</t>
  </si>
  <si>
    <t>NUM.number.PT.Ser.Bld.Thermal.SH.Geo</t>
  </si>
  <si>
    <t>NUM.number.PT.Ser.Bld.Thermal.SH.DistrHeat</t>
  </si>
  <si>
    <t>NUM.number.PT.Ser.Bld.Thermal.SH.AdvElc</t>
  </si>
  <si>
    <t>NUM.number.PT.Ser.Bld.Thermal.SH.ConvElc</t>
  </si>
  <si>
    <t>NUM.number.PT.Ser.Bld.Thermal.SC</t>
  </si>
  <si>
    <t>NUM.number.PT.Ser.Bld.Thermal.SC.GasHP</t>
  </si>
  <si>
    <t>NUM.number.PT.Ser.Bld.Thermal.SC.AC</t>
  </si>
  <si>
    <t>NUM.number.PT.Ser.Bld.Thermal.HW</t>
  </si>
  <si>
    <t>NUM.number.PT.Ser.Bld.Thermal.HW.Solids</t>
  </si>
  <si>
    <t>NUM.number.PT.Ser.Bld.Thermal.HW.LPG</t>
  </si>
  <si>
    <t>NUM.number.PT.Ser.Bld.Thermal.HW.Oil</t>
  </si>
  <si>
    <t>NUM.number.PT.Ser.Bld.Thermal.HW.Gas</t>
  </si>
  <si>
    <t>NUM.number.PT.Ser.Bld.Thermal.HW.Biomass</t>
  </si>
  <si>
    <t>NUM.number.PT.Ser.Bld.Thermal.HW.DistrHeat</t>
  </si>
  <si>
    <t>NUM.number.PT.Ser.Bld.Thermal.HW.Elc</t>
  </si>
  <si>
    <t>NUM.number.PT.Ser.Bld.Thermal.HW.Solar</t>
  </si>
  <si>
    <t>NUM.number.PT.Ser.Bld.Thermal.CA</t>
  </si>
  <si>
    <t>NUM.number.PT.Ser.Bld.Thermal.CA.LPG</t>
  </si>
  <si>
    <t>NUM.number.PT.Ser.Bld.Thermal.CA.Gas</t>
  </si>
  <si>
    <t>NUM.number.PT.Ser.Bld.Thermal.CA.Biomass</t>
  </si>
  <si>
    <t>NUM.number.PT.Ser.Bld.Thermal.CA.Elc</t>
  </si>
  <si>
    <t>PT - Final energy consumption</t>
  </si>
  <si>
    <t>FEC.ktoe.PT.Ser.Bld.Thermal.SH.Solids.Solids</t>
  </si>
  <si>
    <t>FEC.ktoe.PT.Ser.Bld.Thermal.SH.LPG.LPG</t>
  </si>
  <si>
    <t>FEC.ktoe.PT.Ser.Bld.Thermal.SH.Oil.Oil_LiqBio</t>
  </si>
  <si>
    <t>FEC.ktoe.PT.Ser.Bld.Thermal.SH.GasHP.NG_Biogas</t>
  </si>
  <si>
    <t>FEC.ktoe.PT.Ser.Bld.Thermal.SH.GasTH.NG_Biogas</t>
  </si>
  <si>
    <t>FEC.ktoe.PT.Ser.Bld.Thermal.SH.Biomass.Biomass_Waste</t>
  </si>
  <si>
    <t>FEC.ktoe.PT.Ser.Bld.Thermal.SH.Geo.Geo</t>
  </si>
  <si>
    <t>FEC.ktoe.PT.Ser.Bld.Thermal.SH.DistrHeat.Steam_Distr</t>
  </si>
  <si>
    <t>FEC.ktoe.PT.Ser.Bld.Thermal.SH.AdvElc.Elec</t>
  </si>
  <si>
    <t>FEC.ktoe.PT.Ser.Bld.Thermal.SH.ConvElc.Elec</t>
  </si>
  <si>
    <t>FEC.ktoe.PT.Ser.Bld.Thermal.SH.TotalCirculation.Elec</t>
  </si>
  <si>
    <t>FEC.ktoe.PT.Ser.Bld.Thermal.SC.GasHP.NG_Biogas</t>
  </si>
  <si>
    <t>FEC.ktoe.PT.Ser.Bld.Thermal.SC.AC.Elec</t>
  </si>
  <si>
    <t>FEC.ktoe.PT.Ser.Bld.Thermal.HW.Solids.Solids</t>
  </si>
  <si>
    <t>FEC.ktoe.PT.Ser.Bld.Thermal.HW.LPG.LPG</t>
  </si>
  <si>
    <t>FEC.ktoe.PT.Ser.Bld.Thermal.HW.Oil.Oil_LiqBio</t>
  </si>
  <si>
    <t>FEC.ktoe.PT.Ser.Bld.Thermal.HW.Gas.NG_Biogas</t>
  </si>
  <si>
    <t>FEC.ktoe.PT.Ser.Bld.Thermal.HW.Biomass.Biomass_Waste</t>
  </si>
  <si>
    <t>FEC.ktoe.PT.Ser.Bld.Thermal.HW.DistrHeat.Steam_Distr</t>
  </si>
  <si>
    <t>FEC.ktoe.PT.Ser.Bld.Thermal.HW.Elc.Elec</t>
  </si>
  <si>
    <t>FEC.ktoe.PT.Ser.Bld.Thermal.HW.TotalSolar.Solar</t>
  </si>
  <si>
    <t>FEC.ktoe.PT.Ser.Bld.Thermal.CA.LPG</t>
  </si>
  <si>
    <t>FEC.ktoe.PT.Ser.Bld.Thermal.CA.Gas.NG_Biogas</t>
  </si>
  <si>
    <t>FEC.ktoe.PT.Ser.Bld.Thermal.CA.Biomass.Biomass_Waste</t>
  </si>
  <si>
    <t>FEC.ktoe.PT.Ser.Bld.Thermal.CA.Elc.Elec</t>
  </si>
  <si>
    <t>PT - Thermal energy service</t>
  </si>
  <si>
    <t>TES.ktoe.PT.Ser.Bld.Thermal</t>
  </si>
  <si>
    <t>TES.ktoe.PT.Ser.Bld.Thermal.SH</t>
  </si>
  <si>
    <t>TES.ktoe.PT.Ser.Bld.Thermal.SH.Solids.Solids</t>
  </si>
  <si>
    <t>TES.ktoe.PT.Ser.Bld.Thermal.SH.LPG.LPG</t>
  </si>
  <si>
    <t>TES.ktoe.PT.Ser.Bld.Thermal.SH.Oil.Oil_LiqBio</t>
  </si>
  <si>
    <t>TES.ktoe.PT.Ser.Bld.Thermal.SH.GasHP.NG_Biogas</t>
  </si>
  <si>
    <t>TES.ktoe.PT.Ser.Bld.Thermal.SH.GasTH.NG_Biogas</t>
  </si>
  <si>
    <t>TES.ktoe.PT.Ser.Bld.Thermal.SH.Biomass.Biomass_Waste</t>
  </si>
  <si>
    <t>TES.ktoe.PT.Ser.Bld.Thermal.SH.Geo.Geo</t>
  </si>
  <si>
    <t>TES.ktoe.PT.Ser.Bld.Thermal.SH.DistrHeat.Steam_Distr</t>
  </si>
  <si>
    <t>TES.ktoe.PT.Ser.Bld.Thermal.SH.AdvElc.Elec</t>
  </si>
  <si>
    <t>TES.ktoe.PT.Ser.Bld.Thermal.SH.ConvElc.Elec</t>
  </si>
  <si>
    <t>TES.ktoe.PT.Ser.Bld.Thermal.SH.TotalCirculation.Elec</t>
  </si>
  <si>
    <t>TES.ktoe.PT.Ser.Bld.Thermal.SC</t>
  </si>
  <si>
    <t>TES.ktoe.PT.Ser.Bld.Thermal.SC.GasHP.NG_Biogas</t>
  </si>
  <si>
    <t>TES.ktoe.PT.Ser.Bld.Thermal.SC.AC.Elec</t>
  </si>
  <si>
    <t>TES.ktoe.PT.Ser.Bld.Thermal.HW</t>
  </si>
  <si>
    <t>TES.ktoe.PT.Ser.Bld.Thermal.HW.Solids.Solids</t>
  </si>
  <si>
    <t>TES.ktoe.PT.Ser.Bld.Thermal.HW.LPG.LPG</t>
  </si>
  <si>
    <t>TES.ktoe.PT.Ser.Bld.Thermal.HW.Oil.Oil_LiqBio</t>
  </si>
  <si>
    <t>TES.ktoe.PT.Ser.Bld.Thermal.HW.Gas.NG_Biogas</t>
  </si>
  <si>
    <t>TES.ktoe.PT.Ser.Bld.Thermal.HW.Biomass.Biomass_Waste</t>
  </si>
  <si>
    <t>TES.ktoe.PT.Ser.Bld.Thermal.HW.DistrHeat.Steam_Distr</t>
  </si>
  <si>
    <t>TES.ktoe.PT.Ser.Bld.Thermal.HW.Elc.Elec</t>
  </si>
  <si>
    <t>TES.ktoe.PT.Ser.Bld.Thermal.HW.TotalSolar.Solar</t>
  </si>
  <si>
    <t>TES.ktoe.PT.Ser.Bld.Thermal.CA</t>
  </si>
  <si>
    <t>TES.ktoe.PT.Ser.Bld.Thermal.CA.LPG</t>
  </si>
  <si>
    <t>TES.ktoe.PT.Ser.Bld.Thermal.CA.Gas.NG_Biogas</t>
  </si>
  <si>
    <t>TES.ktoe.PT.Ser.Bld.Thermal.CA.Biomass.Biomass_Waste</t>
  </si>
  <si>
    <t>TES.ktoe.PT.Ser.Bld.Thermal.CA.Elc.Elec</t>
  </si>
  <si>
    <t>PT - System efficiency indicator of total stock</t>
  </si>
  <si>
    <t>Eff.ratio.PT.Ser.Bld.Thermal.SH.Solids.Solids</t>
  </si>
  <si>
    <t>Eff.ratio.PT.Ser.Bld.Thermal.SH.LPG.LPG</t>
  </si>
  <si>
    <t>Eff.ratio.PT.Ser.Bld.Thermal.SH.Oil.Oil_LiqBio</t>
  </si>
  <si>
    <t>Eff.ratio.PT.Ser.Bld.Thermal.SH.GasHP.NG_Biogas</t>
  </si>
  <si>
    <t>Eff.ratio.PT.Ser.Bld.Thermal.SH.GasTH.NG_Biogas</t>
  </si>
  <si>
    <t>Eff.ratio.PT.Ser.Bld.Thermal.SH.Biomass.Biomass_Waste</t>
  </si>
  <si>
    <t>Eff.ratio.PT.Ser.Bld.Thermal.SH.Geo.Geo</t>
  </si>
  <si>
    <t>Eff.ratio.PT.Ser.Bld.Thermal.SH.DistrHeat.Steam_Distr</t>
  </si>
  <si>
    <t>Eff.ratio.PT.Ser.Bld.Thermal.SH.AdvElc.Elec</t>
  </si>
  <si>
    <t>Eff.ratio.PT.Ser.Bld.Thermal.SH.ConvElc.Elec</t>
  </si>
  <si>
    <t>Eff.ratio.PT.Ser.Bld.Thermal.SH.TotalCirculation.Elec</t>
  </si>
  <si>
    <t>Eff.ratio.PT.Ser.Bld.Thermal.SC.GasHP.NG_Biogas</t>
  </si>
  <si>
    <t>Eff.ratio.PT.Ser.Bld.Thermal.SC.AC.Elec</t>
  </si>
  <si>
    <t>Eff.ratio.PT.Ser.Bld.Thermal.HW.Solids.Solids</t>
  </si>
  <si>
    <t>Eff.ratio.PT.Ser.Bld.Thermal.HW.LPG.LPG</t>
  </si>
  <si>
    <t>Eff.ratio.PT.Ser.Bld.Thermal.HW.Oil.Oil_LiqBio</t>
  </si>
  <si>
    <t>Eff.ratio.PT.Ser.Bld.Thermal.HW.Gas.NG_Biogas</t>
  </si>
  <si>
    <t>Eff.ratio.PT.Ser.Bld.Thermal.HW.Biomass.Biomass_Waste</t>
  </si>
  <si>
    <t>Eff.ratio.PT.Ser.Bld.Thermal.HW.DistrHeat.Steam_Distr</t>
  </si>
  <si>
    <t>Eff.ratio.PT.Ser.Bld.Thermal.HW.Elc.Elec</t>
  </si>
  <si>
    <t>Eff.ratio.PT.Ser.Bld.Thermal.HW.TotalSolar.Solar</t>
  </si>
  <si>
    <t>Eff.ratio.PT.Ser.Bld.Thermal.CA.LPG</t>
  </si>
  <si>
    <t>Eff.ratio.PT.Ser.Bld.Thermal.CA.Gas.NG_Biogas</t>
  </si>
  <si>
    <t>Eff.ratio.PT.Ser.Bld.Thermal.CA.Biomass.Biomass_Waste</t>
  </si>
  <si>
    <t>Eff.ratio.PT.Ser.Bld.Thermal.CA.Elc.Elec</t>
  </si>
  <si>
    <t>PT - CO2 emissions</t>
  </si>
  <si>
    <t>EMI.ktCO2.PT.Ser.Bld.Thermal.SH.Solids.Solids</t>
  </si>
  <si>
    <t>EMI.ktCO2.PT.Ser.Bld.Thermal.SH.LPG.LPG</t>
  </si>
  <si>
    <t>EMI.ktCO2.PT.Ser.Bld.Thermal.SH.Oil.Oil_LiqBio</t>
  </si>
  <si>
    <t>EMI.ktCO2.PT.Ser.Bld.Thermal.SH.GasHP.NG_Biogas</t>
  </si>
  <si>
    <t>EMI.ktCO2.PT.Ser.Bld.Thermal.SH.GasTH.NG_Biogas</t>
  </si>
  <si>
    <t>EMI.ktCO2.PT.Ser.Bld.Thermal.SH.Biomass.Biomass_Waste</t>
  </si>
  <si>
    <t>EMI.ktCO2.PT.Ser.Bld.Thermal.SH.Geo.Geo</t>
  </si>
  <si>
    <t>EMI.ktCO2.PT.Ser.Bld.Thermal.SH.DistrHeat.Steam_Distr</t>
  </si>
  <si>
    <t>EMI.ktCO2.PT.Ser.Bld.Thermal.SH.AdvElc.Elec</t>
  </si>
  <si>
    <t>EMI.ktCO2.PT.Ser.Bld.Thermal.SH.ConvElc.Elec</t>
  </si>
  <si>
    <t>EMI.ktCO2.PT.Ser.Bld.Thermal.SH.TotalCirculation.Elec</t>
  </si>
  <si>
    <t>EMI.ktCO2.PT.Ser.Bld.Thermal.SC.GasHP.NG_Biogas</t>
  </si>
  <si>
    <t>EMI.ktCO2.PT.Ser.Bld.Thermal.SC.AC.Elec</t>
  </si>
  <si>
    <t>EMI.ktCO2.PT.Ser.Bld.Thermal.HW.Solids.Solids</t>
  </si>
  <si>
    <t>EMI.ktCO2.PT.Ser.Bld.Thermal.HW.LPG.LPG</t>
  </si>
  <si>
    <t>EMI.ktCO2.PT.Ser.Bld.Thermal.HW.Oil.Oil_LiqBio</t>
  </si>
  <si>
    <t>EMI.ktCO2.PT.Ser.Bld.Thermal.HW.Gas.NG_Biogas</t>
  </si>
  <si>
    <t>EMI.ktCO2.PT.Ser.Bld.Thermal.HW.Biomass.Biomass_Waste</t>
  </si>
  <si>
    <t>EMI.ktCO2.PT.Ser.Bld.Thermal.HW.DistrHeat.Steam_Distr</t>
  </si>
  <si>
    <t>EMI.ktCO2.PT.Ser.Bld.Thermal.HW.Elc.Elec</t>
  </si>
  <si>
    <t>EMI.ktCO2.PT.Ser.Bld.Thermal.HW.TotalSolar.Solar</t>
  </si>
  <si>
    <t>EMI.ktCO2.PT.Ser.Bld.Thermal.CA.LPG</t>
  </si>
  <si>
    <t>EMI.ktCO2.PT.Ser.Bld.Thermal.CA.Gas.NG_Biogas</t>
  </si>
  <si>
    <t>EMI.ktCO2.PT.Ser.Bld.Thermal.CA.Biomass.Biomass_Waste</t>
  </si>
  <si>
    <t>EMI.ktCO2.PT.Ser.Bld.Thermal.CA.Elc.Elec</t>
  </si>
  <si>
    <t>PT - Final energy consumption per building</t>
  </si>
  <si>
    <t>FEC_per_building.kWh.PT.Ser.Bld.Thermal</t>
  </si>
  <si>
    <t>FEC_per_building.kWh.PT.Ser.Bld.Thermal.SH</t>
  </si>
  <si>
    <t>FEC_per_building.kWh.PT.Ser.Bld.Thermal.SH.Solids.Solids</t>
  </si>
  <si>
    <t>FEC_per_building.kWh.PT.Ser.Bld.Thermal.SH.LPG.LPG</t>
  </si>
  <si>
    <t>FEC_per_building.kWh.PT.Ser.Bld.Thermal.SH.Oil.Oil_LiqBio</t>
  </si>
  <si>
    <t>FEC_per_building.kWh.PT.Ser.Bld.Thermal.SH.GasHP.NG_Biogas</t>
  </si>
  <si>
    <t>FEC_per_building.kWh.PT.Ser.Bld.Thermal.SH.GasTH.NG_Biogas</t>
  </si>
  <si>
    <t>FEC_per_building.kWh.PT.Ser.Bld.Thermal.SH.Biomass.Biomass_Waste</t>
  </si>
  <si>
    <t>FEC_per_building.kWh.PT.Ser.Bld.Thermal.SH.Geo.Geo</t>
  </si>
  <si>
    <t>FEC_per_building.kWh.PT.Ser.Bld.Thermal.SH.DistrHeat.Steam_Distr</t>
  </si>
  <si>
    <t>FEC_per_building.kWh.PT.Ser.Bld.Thermal.SH.AdvElc.Elec</t>
  </si>
  <si>
    <t>FEC_per_building.kWh.PT.Ser.Bld.Thermal.SH.ConvElc.Elec</t>
  </si>
  <si>
    <t>FEC_per_building.kWh.PT.Ser.Bld.Thermal.SH.TotalCirculation.Elec</t>
  </si>
  <si>
    <t>FEC_per_building.kWh.PT.Ser.Bld.Thermal.SC</t>
  </si>
  <si>
    <t>FEC_per_building.kWh.PT.Ser.Bld.Thermal.SC.GasHP.NG_Biogas</t>
  </si>
  <si>
    <t>FEC_per_building.kWh.PT.Ser.Bld.Thermal.SC.AC.Elec</t>
  </si>
  <si>
    <t>FEC_per_building.kWh.PT.Ser.Bld.Thermal.HW</t>
  </si>
  <si>
    <t>FEC_per_building.kWh.PT.Ser.Bld.Thermal.HW.Solids.Solids</t>
  </si>
  <si>
    <t>FEC_per_building.kWh.PT.Ser.Bld.Thermal.HW.LPG.LPG</t>
  </si>
  <si>
    <t>FEC_per_building.kWh.PT.Ser.Bld.Thermal.HW.Oil.Oil_LiqBio</t>
  </si>
  <si>
    <t>FEC_per_building.kWh.PT.Ser.Bld.Thermal.HW.Gas.NG_Biogas</t>
  </si>
  <si>
    <t>FEC_per_building.kWh.PT.Ser.Bld.Thermal.HW.Biomass.Biomass_Waste</t>
  </si>
  <si>
    <t>FEC_per_building.kWh.PT.Ser.Bld.Thermal.HW.DistrHeat.Steam_Distr</t>
  </si>
  <si>
    <t>FEC_per_building.kWh.PT.Ser.Bld.Thermal.HW.Elc.Elec</t>
  </si>
  <si>
    <t>FEC_per_building.kWh.PT.Ser.Bld.Thermal.HW.TotalSolar.Solar</t>
  </si>
  <si>
    <t>FEC_per_building.kWh.PT.Ser.Bld.Thermal.CA</t>
  </si>
  <si>
    <t>FEC_per_building.kWh.PT.Ser.Bld.Thermal.CA.LPG</t>
  </si>
  <si>
    <t>FEC_per_building.kWh.PT.Ser.Bld.Thermal.CA.Gas.NG_Biogas</t>
  </si>
  <si>
    <t>FEC_per_building.kWh.PT.Ser.Bld.Thermal.CA.Biomass.Biomass_Waste</t>
  </si>
  <si>
    <t>FEC_per_building.kWh.PT.Ser.Bld.Thermal.CA.Elc.Elec</t>
  </si>
  <si>
    <t>PT - Thermal energy service per building</t>
  </si>
  <si>
    <t>TES_per_building.kWh.PT.Ser.Bld.Thermal</t>
  </si>
  <si>
    <t>TES_per_building.kWh.PT.Ser.Bld.Thermal.SH</t>
  </si>
  <si>
    <t>TES_per_building.kWh.PT.Ser.Bld.Thermal.SH.Solids.Solids</t>
  </si>
  <si>
    <t>TES_per_building.kWh.PT.Ser.Bld.Thermal.SH.LPG.LPG</t>
  </si>
  <si>
    <t>TES_per_building.kWh.PT.Ser.Bld.Thermal.SH.Oil.Oil_LiqBio</t>
  </si>
  <si>
    <t>TES_per_building.kWh.PT.Ser.Bld.Thermal.SH.GasHP.NG_Biogas</t>
  </si>
  <si>
    <t>TES_per_building.kWh.PT.Ser.Bld.Thermal.SH.GasTH.NG_Biogas</t>
  </si>
  <si>
    <t>TES_per_building.kWh.PT.Ser.Bld.Thermal.SH.Biomass.Biomass_Waste</t>
  </si>
  <si>
    <t>TES_per_building.kWh.PT.Ser.Bld.Thermal.SH.Geo.Geo</t>
  </si>
  <si>
    <t>TES_per_building.kWh.PT.Ser.Bld.Thermal.SH.DistrHeat.Steam_Distr</t>
  </si>
  <si>
    <t>TES_per_building.kWh.PT.Ser.Bld.Thermal.SH.AdvElc.Elec</t>
  </si>
  <si>
    <t>TES_per_building.kWh.PT.Ser.Bld.Thermal.SH.ConvElc.Elec</t>
  </si>
  <si>
    <t>TES_per_building.kWh.PT.Ser.Bld.Thermal.SH.TotalCirculation.Elec</t>
  </si>
  <si>
    <t>TES_per_building.kWh.PT.Ser.Bld.Thermal.SC</t>
  </si>
  <si>
    <t>TES_per_building.kWh.PT.Ser.Bld.Thermal.SC.GasHP.NG_Biogas</t>
  </si>
  <si>
    <t>TES_per_building.kWh.PT.Ser.Bld.Thermal.SC.AC.Elec</t>
  </si>
  <si>
    <t>TES_per_building.kWh.PT.Ser.Bld.Thermal.HW</t>
  </si>
  <si>
    <t>TES_per_building.kWh.PT.Ser.Bld.Thermal.HW.Solids.Solids</t>
  </si>
  <si>
    <t>TES_per_building.kWh.PT.Ser.Bld.Thermal.HW.LPG.LPG</t>
  </si>
  <si>
    <t>TES_per_building.kWh.PT.Ser.Bld.Thermal.HW.Oil.Oil_LiqBio</t>
  </si>
  <si>
    <t>TES_per_building.kWh.PT.Ser.Bld.Thermal.HW.Gas.NG_Biogas</t>
  </si>
  <si>
    <t>TES_per_building.kWh.PT.Ser.Bld.Thermal.HW.Biomass.Biomass_Waste</t>
  </si>
  <si>
    <t>TES_per_building.kWh.PT.Ser.Bld.Thermal.HW.DistrHeat.Steam_Distr</t>
  </si>
  <si>
    <t>TES_per_building.kWh.PT.Ser.Bld.Thermal.HW.Elc.Elec</t>
  </si>
  <si>
    <t>TES_per_building.kWh.PT.Ser.Bld.Thermal.HW.TotalSolar.Solar</t>
  </si>
  <si>
    <t>TES_per_building.kWh.PT.Ser.Bld.Thermal.CA</t>
  </si>
  <si>
    <t>TES_per_building.kWh.PT.Ser.Bld.Thermal.CA.LPG</t>
  </si>
  <si>
    <t>TES_per_building.kWh.PT.Ser.Bld.Thermal.CA.Gas.NG_Biogas</t>
  </si>
  <si>
    <t>TES_per_building.kWh.PT.Ser.Bld.Thermal.CA.Biomass.Biomass_Waste</t>
  </si>
  <si>
    <t>TES_per_building.kWh.PT.Ser.Bld.Thermal.CA.Elc.Elec</t>
  </si>
  <si>
    <t>PT - CO2 emissions per building</t>
  </si>
  <si>
    <t>EMI_per_building.kgCO2.PT.Ser.Bld.Thermal</t>
  </si>
  <si>
    <t>EMI_per_building.kgCO2.PT.Ser.Bld.Thermal.SH</t>
  </si>
  <si>
    <t>EMI_per_building.kgCO2.PT.Ser.Bld.Thermal.SH.Solids.Solids</t>
  </si>
  <si>
    <t>EMI_per_building.kgCO2.PT.Ser.Bld.Thermal.SH.LPG.LPG</t>
  </si>
  <si>
    <t>EMI_per_building.kgCO2.PT.Ser.Bld.Thermal.SH.Oil.Oil_LiqBio</t>
  </si>
  <si>
    <t>EMI_per_building.kgCO2.PT.Ser.Bld.Thermal.SH.GasHP.NG_Biogas</t>
  </si>
  <si>
    <t>EMI_per_building.kgCO2.PT.Ser.Bld.Thermal.SH.GasTH.NG_Biogas</t>
  </si>
  <si>
    <t>EMI_per_building.kgCO2.PT.Ser.Bld.Thermal.SH.Biomass.Biomass_Waste</t>
  </si>
  <si>
    <t>EMI_per_building.kgCO2.PT.Ser.Bld.Thermal.SH.Geo.Geo</t>
  </si>
  <si>
    <t>EMI_per_building.kgCO2.PT.Ser.Bld.Thermal.SH.DistrHeat.Steam_Distr</t>
  </si>
  <si>
    <t>EMI_per_building.kgCO2.PT.Ser.Bld.Thermal.SH.AdvElc.Elec</t>
  </si>
  <si>
    <t>EMI_per_building.kgCO2.PT.Ser.Bld.Thermal.SH.ConvElc.Elec</t>
  </si>
  <si>
    <t>EMI_per_building.kgCO2.PT.Ser.Bld.Thermal.SH.TotalCirculation.Elec</t>
  </si>
  <si>
    <t>EMI_per_building.kgCO2.PT.Ser.Bld.Thermal.SC</t>
  </si>
  <si>
    <t>EMI_per_building.kgCO2.PT.Ser.Bld.Thermal.SC.GasHP.NG_Biogas</t>
  </si>
  <si>
    <t>EMI_per_building.kgCO2.PT.Ser.Bld.Thermal.SC.AC.Elec</t>
  </si>
  <si>
    <t>EMI_per_building.kgCO2.PT.Ser.Bld.Thermal.HW</t>
  </si>
  <si>
    <t>EMI_per_building.kgCO2.PT.Ser.Bld.Thermal.HW.Solids.Solids</t>
  </si>
  <si>
    <t>EMI_per_building.kgCO2.PT.Ser.Bld.Thermal.HW.LPG.LPG</t>
  </si>
  <si>
    <t>EMI_per_building.kgCO2.PT.Ser.Bld.Thermal.HW.Oil.Oil_LiqBio</t>
  </si>
  <si>
    <t>EMI_per_building.kgCO2.PT.Ser.Bld.Thermal.HW.Gas.NG_Biogas</t>
  </si>
  <si>
    <t>EMI_per_building.kgCO2.PT.Ser.Bld.Thermal.HW.Biomass.Biomass_Waste</t>
  </si>
  <si>
    <t>EMI_per_building.kgCO2.PT.Ser.Bld.Thermal.HW.DistrHeat.Steam_Distr</t>
  </si>
  <si>
    <t>EMI_per_building.kgCO2.PT.Ser.Bld.Thermal.HW.Elc.Elec</t>
  </si>
  <si>
    <t>EMI_per_building.kgCO2.PT.Ser.Bld.Thermal.HW.TotalSolar.Solar</t>
  </si>
  <si>
    <t>EMI_per_building.kgCO2.PT.Ser.Bld.Thermal.CA</t>
  </si>
  <si>
    <t>EMI_per_building.kgCO2.PT.Ser.Bld.Thermal.CA.LPG</t>
  </si>
  <si>
    <t>EMI_per_building.kgCO2.PT.Ser.Bld.Thermal.CA.Gas.NG_Biogas</t>
  </si>
  <si>
    <t>EMI_per_building.kgCO2.PT.Ser.Bld.Thermal.CA.Biomass.Biomass_Waste</t>
  </si>
  <si>
    <t>EMI_per_building.kgCO2.PT.Ser.Bld.Thermal.CA.Elc.Elec</t>
  </si>
  <si>
    <t>PT - Final energy consumption per useful surface area</t>
  </si>
  <si>
    <t>FEC_per_sqm.kWh.PT.Ser.Bld.Thermal</t>
  </si>
  <si>
    <t>FEC_per_sqm.kWh.PT.Ser.Bld.Thermal.SH</t>
  </si>
  <si>
    <t>FEC_per_sqm.kWh.PT.Ser.Bld.Thermal.SH.Solids.Solids</t>
  </si>
  <si>
    <t>FEC_per_sqm.kWh.PT.Ser.Bld.Thermal.SH.LPG.LPG</t>
  </si>
  <si>
    <t>FEC_per_sqm.kWh.PT.Ser.Bld.Thermal.SH.Oil.Oil_LiqBio</t>
  </si>
  <si>
    <t>FEC_per_sqm.kWh.PT.Ser.Bld.Thermal.SH.GasHP.NG_Biogas</t>
  </si>
  <si>
    <t>FEC_per_sqm.kWh.PT.Ser.Bld.Thermal.SH.GasTH.NG_Biogas</t>
  </si>
  <si>
    <t>FEC_per_sqm.kWh.PT.Ser.Bld.Thermal.SH.Biomass.Biomass_Waste</t>
  </si>
  <si>
    <t>FEC_per_sqm.kWh.PT.Ser.Bld.Thermal.SH.Geo.Geo</t>
  </si>
  <si>
    <t>FEC_per_sqm.kWh.PT.Ser.Bld.Thermal.SH.DistrHeat.Steam_Distr</t>
  </si>
  <si>
    <t>FEC_per_sqm.kWh.PT.Ser.Bld.Thermal.SH.AdvElc.Elec</t>
  </si>
  <si>
    <t>FEC_per_sqm.kWh.PT.Ser.Bld.Thermal.SH.ConvElc.Elec</t>
  </si>
  <si>
    <t>FEC_per_sqm.kWh.PT.Ser.Bld.Thermal.SH.TotalCirculation.Elec</t>
  </si>
  <si>
    <t>FEC_per_sqm.kWh.PT.Ser.Bld.Thermal.SC</t>
  </si>
  <si>
    <t>FEC_per_sqm.kWh.PT.Ser.Bld.Thermal.SC.GasHP.NG_Biogas</t>
  </si>
  <si>
    <t>FEC_per_sqm.kWh.PT.Ser.Bld.Thermal.SC.AC.Elec</t>
  </si>
  <si>
    <t>FEC_per_sqm.kWh.PT.Ser.Bld.Thermal.HW</t>
  </si>
  <si>
    <t>FEC_per_sqm.kWh.PT.Ser.Bld.Thermal.HW.Solids.Solids</t>
  </si>
  <si>
    <t>FEC_per_sqm.kWh.PT.Ser.Bld.Thermal.HW.LPG.LPG</t>
  </si>
  <si>
    <t>FEC_per_sqm.kWh.PT.Ser.Bld.Thermal.HW.Oil.Oil_LiqBio</t>
  </si>
  <si>
    <t>FEC_per_sqm.kWh.PT.Ser.Bld.Thermal.HW.Gas.NG_Biogas</t>
  </si>
  <si>
    <t>FEC_per_sqm.kWh.PT.Ser.Bld.Thermal.HW.Biomass.Biomass_Waste</t>
  </si>
  <si>
    <t>FEC_per_sqm.kWh.PT.Ser.Bld.Thermal.HW.DistrHeat.Steam_Distr</t>
  </si>
  <si>
    <t>FEC_per_sqm.kWh.PT.Ser.Bld.Thermal.HW.Elc.Elec</t>
  </si>
  <si>
    <t>FEC_per_sqm.kWh.PT.Ser.Bld.Thermal.HW.TotalSolar.Solar</t>
  </si>
  <si>
    <t>FEC_per_sqm.kWh.PT.Ser.Bld.Thermal.CA</t>
  </si>
  <si>
    <t>FEC_per_sqm.kWh.PT.Ser.Bld.Thermal.CA.LPG</t>
  </si>
  <si>
    <t>FEC_per_sqm.kWh.PT.Ser.Bld.Thermal.CA.Gas.NG_Biogas</t>
  </si>
  <si>
    <t>FEC_per_sqm.kWh.PT.Ser.Bld.Thermal.CA.Biomass.Biomass_Waste</t>
  </si>
  <si>
    <t>FEC_per_sqm.kWh.PT.Ser.Bld.Thermal.CA.Elc.Elec</t>
  </si>
  <si>
    <t>PT - Thermal energy service per useful surface area</t>
  </si>
  <si>
    <t>TES_per_sqm.kWh.PT.Ser.Bld.Thermal</t>
  </si>
  <si>
    <t>TES_per_sqm.kWh.PT.Ser.Bld.Thermal.SH</t>
  </si>
  <si>
    <t>TES_per_sqm.kWh.PT.Ser.Bld.Thermal.SH.Solids.Solids</t>
  </si>
  <si>
    <t>TES_per_sqm.kWh.PT.Ser.Bld.Thermal.SH.LPG.LPG</t>
  </si>
  <si>
    <t>TES_per_sqm.kWh.PT.Ser.Bld.Thermal.SH.Oil.Oil_LiqBio</t>
  </si>
  <si>
    <t>TES_per_sqm.kWh.PT.Ser.Bld.Thermal.SH.GasHP.NG_Biogas</t>
  </si>
  <si>
    <t>TES_per_sqm.kWh.PT.Ser.Bld.Thermal.SH.GasTH.NG_Biogas</t>
  </si>
  <si>
    <t>TES_per_sqm.kWh.PT.Ser.Bld.Thermal.SH.Biomass.Biomass_Waste</t>
  </si>
  <si>
    <t>TES_per_sqm.kWh.PT.Ser.Bld.Thermal.SH.Geo.Geo</t>
  </si>
  <si>
    <t>TES_per_sqm.kWh.PT.Ser.Bld.Thermal.SH.DistrHeat.Steam_Distr</t>
  </si>
  <si>
    <t>TES_per_sqm.kWh.PT.Ser.Bld.Thermal.SH.AdvElc.Elec</t>
  </si>
  <si>
    <t>TES_per_sqm.kWh.PT.Ser.Bld.Thermal.SH.ConvElc.Elec</t>
  </si>
  <si>
    <t>TES_per_sqm.kWh.PT.Ser.Bld.Thermal.SH.TotalCirculation.Elec</t>
  </si>
  <si>
    <t>TES_per_sqm.kWh.PT.Ser.Bld.Thermal.SC</t>
  </si>
  <si>
    <t>TES_per_sqm.kWh.PT.Ser.Bld.Thermal.SC.GasHP.NG_Biogas</t>
  </si>
  <si>
    <t>TES_per_sqm.kWh.PT.Ser.Bld.Thermal.SC.AC.Elec</t>
  </si>
  <si>
    <t>TES_per_sqm.kWh.PT.Ser.Bld.Thermal.HW</t>
  </si>
  <si>
    <t>TES_per_sqm.kWh.PT.Ser.Bld.Thermal.HW.Solids.Solids</t>
  </si>
  <si>
    <t>TES_per_sqm.kWh.PT.Ser.Bld.Thermal.HW.LPG.LPG</t>
  </si>
  <si>
    <t>TES_per_sqm.kWh.PT.Ser.Bld.Thermal.HW.Oil.Oil_LiqBio</t>
  </si>
  <si>
    <t>TES_per_sqm.kWh.PT.Ser.Bld.Thermal.HW.Gas.NG_Biogas</t>
  </si>
  <si>
    <t>TES_per_sqm.kWh.PT.Ser.Bld.Thermal.HW.Biomass.Biomass_Waste</t>
  </si>
  <si>
    <t>TES_per_sqm.kWh.PT.Ser.Bld.Thermal.HW.DistrHeat.Steam_Distr</t>
  </si>
  <si>
    <t>TES_per_sqm.kWh.PT.Ser.Bld.Thermal.HW.Elc.Elec</t>
  </si>
  <si>
    <t>TES_per_sqm.kWh.PT.Ser.Bld.Thermal.HW.TotalSolar.Solar</t>
  </si>
  <si>
    <t>TES_per_sqm.kWh.PT.Ser.Bld.Thermal.CA</t>
  </si>
  <si>
    <t>TES_per_sqm.kWh.PT.Ser.Bld.Thermal.CA.LPG</t>
  </si>
  <si>
    <t>TES_per_sqm.kWh.PT.Ser.Bld.Thermal.CA.Gas.NG_Biogas</t>
  </si>
  <si>
    <t>TES_per_sqm.kWh.PT.Ser.Bld.Thermal.CA.Biomass.Biomass_Waste</t>
  </si>
  <si>
    <t>TES_per_sqm.kWh.PT.Ser.Bld.Thermal.CA.Elc.Elec</t>
  </si>
  <si>
    <t>PT - CO2 emissions per useful surface area</t>
  </si>
  <si>
    <t>EMI_per_sqm.kgCO2.PT.Ser.Bld.Thermal</t>
  </si>
  <si>
    <t>EMI_per_sqm.kgCO2.PT.Ser.Bld.Thermal.SH</t>
  </si>
  <si>
    <t>EMI_per_sqm.kgCO2.PT.Ser.Bld.Thermal.SH.Solids.Solids</t>
  </si>
  <si>
    <t>EMI_per_sqm.kgCO2.PT.Ser.Bld.Thermal.SH.LPG.LPG</t>
  </si>
  <si>
    <t>EMI_per_sqm.kgCO2.PT.Ser.Bld.Thermal.SH.Oil.Oil_LiqBio</t>
  </si>
  <si>
    <t>EMI_per_sqm.kgCO2.PT.Ser.Bld.Thermal.SH.GasHP.NG_Biogas</t>
  </si>
  <si>
    <t>EMI_per_sqm.kgCO2.PT.Ser.Bld.Thermal.SH.GasTH.NG_Biogas</t>
  </si>
  <si>
    <t>EMI_per_sqm.kgCO2.PT.Ser.Bld.Thermal.SH.Biomass.Biomass_Waste</t>
  </si>
  <si>
    <t>EMI_per_sqm.kgCO2.PT.Ser.Bld.Thermal.SH.Geo.Geo</t>
  </si>
  <si>
    <t>EMI_per_sqm.kgCO2.PT.Ser.Bld.Thermal.SH.DistrHeat.Steam_Distr</t>
  </si>
  <si>
    <t>EMI_per_sqm.kgCO2.PT.Ser.Bld.Thermal.SH.AdvElc.Elec</t>
  </si>
  <si>
    <t>EMI_per_sqm.kgCO2.PT.Ser.Bld.Thermal.SH.ConvElc.Elec</t>
  </si>
  <si>
    <t>EMI_per_sqm.kgCO2.PT.Ser.Bld.Thermal.SH.TotalCirculation.Elec</t>
  </si>
  <si>
    <t>EMI_per_sqm.kgCO2.PT.Ser.Bld.Thermal.SC</t>
  </si>
  <si>
    <t>EMI_per_sqm.kgCO2.PT.Ser.Bld.Thermal.SC.GasHP.NG_Biogas</t>
  </si>
  <si>
    <t>EMI_per_sqm.kgCO2.PT.Ser.Bld.Thermal.SC.AC.Elec</t>
  </si>
  <si>
    <t>EMI_per_sqm.kgCO2.PT.Ser.Bld.Thermal.HW</t>
  </si>
  <si>
    <t>EMI_per_sqm.kgCO2.PT.Ser.Bld.Thermal.HW.Solids.Solids</t>
  </si>
  <si>
    <t>EMI_per_sqm.kgCO2.PT.Ser.Bld.Thermal.HW.LPG.LPG</t>
  </si>
  <si>
    <t>EMI_per_sqm.kgCO2.PT.Ser.Bld.Thermal.HW.Oil.Oil_LiqBio</t>
  </si>
  <si>
    <t>EMI_per_sqm.kgCO2.PT.Ser.Bld.Thermal.HW.Gas.NG_Biogas</t>
  </si>
  <si>
    <t>EMI_per_sqm.kgCO2.PT.Ser.Bld.Thermal.HW.Biomass.Biomass_Waste</t>
  </si>
  <si>
    <t>EMI_per_sqm.kgCO2.PT.Ser.Bld.Thermal.HW.DistrHeat.Steam_Distr</t>
  </si>
  <si>
    <t>EMI_per_sqm.kgCO2.PT.Ser.Bld.Thermal.HW.Elc.Elec</t>
  </si>
  <si>
    <t>EMI_per_sqm.kgCO2.PT.Ser.Bld.Thermal.HW.TotalSolar.Solar</t>
  </si>
  <si>
    <t>EMI_per_sqm.kgCO2.PT.Ser.Bld.Thermal.CA</t>
  </si>
  <si>
    <t>EMI_per_sqm.kgCO2.PT.Ser.Bld.Thermal.CA.LPG</t>
  </si>
  <si>
    <t>EMI_per_sqm.kgCO2.PT.Ser.Bld.Thermal.CA.Gas.NG_Biogas</t>
  </si>
  <si>
    <t>EMI_per_sqm.kgCO2.PT.Ser.Bld.Thermal.CA.Biomass.Biomass_Waste</t>
  </si>
  <si>
    <t>EMI_per_sqm.kgCO2.PT.Ser.Bld.Thermal.CA.Elc.Elec</t>
  </si>
  <si>
    <t>PT - Number of new and renovated buildings</t>
  </si>
  <si>
    <t>NUM.number.PT.Ser.BldNew.Thermal</t>
  </si>
  <si>
    <t>NUM.number.PT.Ser.BldNew.Thermal.SH</t>
  </si>
  <si>
    <t>NUM.number.PT.Ser.BldNew.Thermal.SH.Solids</t>
  </si>
  <si>
    <t>NUM.number.PT.Ser.BldNew.Thermal.SH.LPG</t>
  </si>
  <si>
    <t>NUM.number.PT.Ser.BldNew.Thermal.SH.Oil</t>
  </si>
  <si>
    <t>NUM.number.PT.Ser.BldNew.Thermal.SH.GasHP</t>
  </si>
  <si>
    <t>NUM.number.PT.Ser.BldNew.Thermal.SH.GasTH</t>
  </si>
  <si>
    <t>NUM.number.PT.Ser.BldNew.Thermal.SH.Biomass</t>
  </si>
  <si>
    <t>NUM.number.PT.Ser.BldNew.Thermal.SH.Geo</t>
  </si>
  <si>
    <t>NUM.number.PT.Ser.BldNew.Thermal.SH.DistrHeat</t>
  </si>
  <si>
    <t>NUM.number.PT.Ser.BldNew.Thermal.SH.AdvElc</t>
  </si>
  <si>
    <t>NUM.number.PT.Ser.BldNew.Thermal.SH.ConvElc</t>
  </si>
  <si>
    <t>NUM.number.PT.Ser.BldNew.Thermal.SC</t>
  </si>
  <si>
    <t>NUM.number.PT.Ser.BldNew.Thermal.SC.GasHP</t>
  </si>
  <si>
    <t>NUM.number.PT.Ser.BldNew.Thermal.SC.AC</t>
  </si>
  <si>
    <t>NUM.number.PT.Ser.BldNew.Thermal.HW</t>
  </si>
  <si>
    <t>NUM.number.PT.Ser.BldNew.Thermal.HW.Solids</t>
  </si>
  <si>
    <t>NUM.number.PT.Ser.BldNew.Thermal.HW.LPG</t>
  </si>
  <si>
    <t>NUM.number.PT.Ser.BldNew.Thermal.HW.Oil</t>
  </si>
  <si>
    <t>NUM.number.PT.Ser.BldNew.Thermal.HW.Gas</t>
  </si>
  <si>
    <t>NUM.number.PT.Ser.BldNew.Thermal.HW.Biomass</t>
  </si>
  <si>
    <t>NUM.number.PT.Ser.BldNew.Thermal.HW.DistrHeat</t>
  </si>
  <si>
    <t>NUM.number.PT.Ser.BldNew.Thermal.HW.Elc</t>
  </si>
  <si>
    <t>NUM.number.PT.Ser.BldNew.Thermal.HW.Solar</t>
  </si>
  <si>
    <t>NUM.number.PT.Ser.BldNew.Thermal.CA</t>
  </si>
  <si>
    <t>NUM.number.PT.Ser.BldNew.Thermal.CA.LPG</t>
  </si>
  <si>
    <t>NUM.number.PT.Ser.BldNew.Thermal.CA.Gas</t>
  </si>
  <si>
    <t>NUM.number.PT.Ser.BldNew.Thermal.CA.Biomass</t>
  </si>
  <si>
    <t>NUM.number.PT.Ser.BldNew.Thermal.CA.Elc</t>
  </si>
  <si>
    <t>PT - Final energy consumption in new and renovated buildings</t>
  </si>
  <si>
    <t>FEC.ktoe.PT.Ser.BldNew.Thermal</t>
  </si>
  <si>
    <t>FEC.ktoe.PT.Ser.BldNew.Thermal.SH</t>
  </si>
  <si>
    <t>FEC.ktoe.PT.Ser.BldNew.Thermal.SH.Solids.Solids</t>
  </si>
  <si>
    <t>FEC.ktoe.PT.Ser.BldNew.Thermal.SH.LPG.LPG</t>
  </si>
  <si>
    <t>FEC.ktoe.PT.Ser.BldNew.Thermal.SH.Oil.Oil_LiqBio</t>
  </si>
  <si>
    <t>FEC.ktoe.PT.Ser.BldNew.Thermal.SH.GasHP.NG_Biogas</t>
  </si>
  <si>
    <t>FEC.ktoe.PT.Ser.BldNew.Thermal.SH.GasTH.NG_Biogas</t>
  </si>
  <si>
    <t>FEC.ktoe.PT.Ser.BldNew.Thermal.SH.Biomass.Biomass_Waste</t>
  </si>
  <si>
    <t>FEC.ktoe.PT.Ser.BldNew.Thermal.SH.Geo.Geo</t>
  </si>
  <si>
    <t>FEC.ktoe.PT.Ser.BldNew.Thermal.SH.DistrHeat.Steam_Distr</t>
  </si>
  <si>
    <t>FEC.ktoe.PT.Ser.BldNew.Thermal.SH.AdvElc.Elec</t>
  </si>
  <si>
    <t>FEC.ktoe.PT.Ser.BldNew.Thermal.SH.ConvElc.Elec</t>
  </si>
  <si>
    <t>FEC.ktoe.PT.Ser.BldNew.Thermal.SH.TotalCirculation.Elec</t>
  </si>
  <si>
    <t>FEC.ktoe.PT.Ser.BldNew.Thermal.SC</t>
  </si>
  <si>
    <t>FEC.ktoe.PT.Ser.BldNew.Thermal.SC.GasHP.NG_Biogas</t>
  </si>
  <si>
    <t>FEC.ktoe.PT.Ser.BldNew.Thermal.SC.AC.Elec</t>
  </si>
  <si>
    <t>FEC.ktoe.PT.Ser.BldNew.Thermal.HW</t>
  </si>
  <si>
    <t>FEC.ktoe.PT.Ser.BldNew.Thermal.HW.Solids.Solids</t>
  </si>
  <si>
    <t>FEC.ktoe.PT.Ser.BldNew.Thermal.HW.LPG.LPG</t>
  </si>
  <si>
    <t>FEC.ktoe.PT.Ser.BldNew.Thermal.HW.Oil.Oil_LiqBio</t>
  </si>
  <si>
    <t>FEC.ktoe.PT.Ser.BldNew.Thermal.HW.Gas.NG_Biogas</t>
  </si>
  <si>
    <t>FEC.ktoe.PT.Ser.BldNew.Thermal.HW.Biomass.Biomass_Waste</t>
  </si>
  <si>
    <t>FEC.ktoe.PT.Ser.BldNew.Thermal.HW.DistrHeat.Steam_Distr</t>
  </si>
  <si>
    <t>FEC.ktoe.PT.Ser.BldNew.Thermal.HW.Elc.Elec</t>
  </si>
  <si>
    <t>FEC.ktoe.PT.Ser.BldNew.Thermal.HW.TotalSolar.Solar</t>
  </si>
  <si>
    <t>FEC.ktoe.PT.Ser.BldNew.Thermal.CA</t>
  </si>
  <si>
    <t>FEC.ktoe.PT.Ser.BldNew.Thermal.CA.LPG</t>
  </si>
  <si>
    <t>FEC.ktoe.PT.Ser.BldNew.Thermal.CA.Gas.NG_Biogas</t>
  </si>
  <si>
    <t>FEC.ktoe.PT.Ser.BldNew.Thermal.CA.Biomass.Biomass_Waste</t>
  </si>
  <si>
    <t>FEC.ktoe.PT.Ser.BldNew.Thermal.CA.Elc.Elec</t>
  </si>
  <si>
    <t>PT - Thermal energy service in new and renovated buildings</t>
  </si>
  <si>
    <t>TES.ktoe.PT.Ser.BldNew.Thermal</t>
  </si>
  <si>
    <t>TES.ktoe.PT.Ser.BldNew.Thermal.SH</t>
  </si>
  <si>
    <t>TES.ktoe.PT.Ser.BldNew.Thermal.SH.Solids.Solids</t>
  </si>
  <si>
    <t>TES.ktoe.PT.Ser.BldNew.Thermal.SH.LPG.LPG</t>
  </si>
  <si>
    <t>TES.ktoe.PT.Ser.BldNew.Thermal.SH.Oil.Oil_LiqBio</t>
  </si>
  <si>
    <t>TES.ktoe.PT.Ser.BldNew.Thermal.SH.GasHP.NG_Biogas</t>
  </si>
  <si>
    <t>TES.ktoe.PT.Ser.BldNew.Thermal.SH.GasTH.NG_Biogas</t>
  </si>
  <si>
    <t>TES.ktoe.PT.Ser.BldNew.Thermal.SH.Biomass.Biomass_Waste</t>
  </si>
  <si>
    <t>TES.ktoe.PT.Ser.BldNew.Thermal.SH.Geo.Geo</t>
  </si>
  <si>
    <t>TES.ktoe.PT.Ser.BldNew.Thermal.SH.DistrHeat.Steam_Distr</t>
  </si>
  <si>
    <t>TES.ktoe.PT.Ser.BldNew.Thermal.SH.AdvElc.Elec</t>
  </si>
  <si>
    <t>TES.ktoe.PT.Ser.BldNew.Thermal.SH.ConvElc.Elec</t>
  </si>
  <si>
    <t>TES.ktoe.PT.Ser.BldNew.Thermal.SH.TotalCirculation.Elec</t>
  </si>
  <si>
    <t>TES.ktoe.PT.Ser.BldNew.Thermal.SC</t>
  </si>
  <si>
    <t>TES.ktoe.PT.Ser.BldNew.Thermal.SC.GasHP.NG_Biogas</t>
  </si>
  <si>
    <t>TES.ktoe.PT.Ser.BldNew.Thermal.SC.AC.Elec</t>
  </si>
  <si>
    <t>TES.ktoe.PT.Ser.BldNew.Thermal.HW</t>
  </si>
  <si>
    <t>TES.ktoe.PT.Ser.BldNew.Thermal.HW.Solids.Solids</t>
  </si>
  <si>
    <t>TES.ktoe.PT.Ser.BldNew.Thermal.HW.LPG.LPG</t>
  </si>
  <si>
    <t>TES.ktoe.PT.Ser.BldNew.Thermal.HW.Oil.Oil_LiqBio</t>
  </si>
  <si>
    <t>TES.ktoe.PT.Ser.BldNew.Thermal.HW.Gas.NG_Biogas</t>
  </si>
  <si>
    <t>TES.ktoe.PT.Ser.BldNew.Thermal.HW.Biomass.Biomass_Waste</t>
  </si>
  <si>
    <t>TES.ktoe.PT.Ser.BldNew.Thermal.HW.DistrHeat.Steam_Distr</t>
  </si>
  <si>
    <t>TES.ktoe.PT.Ser.BldNew.Thermal.HW.Elc.Elec</t>
  </si>
  <si>
    <t>TES.ktoe.PT.Ser.BldNew.Thermal.HW.TotalSolar.Solar</t>
  </si>
  <si>
    <t>TES.ktoe.PT.Ser.BldNew.Thermal.CA</t>
  </si>
  <si>
    <t>TES.ktoe.PT.Ser.BldNew.Thermal.CA.LPG</t>
  </si>
  <si>
    <t>TES.ktoe.PT.Ser.BldNew.Thermal.CA.Gas.NG_Biogas</t>
  </si>
  <si>
    <t>TES.ktoe.PT.Ser.BldNew.Thermal.CA.Biomass.Biomass_Waste</t>
  </si>
  <si>
    <t>TES.ktoe.PT.Ser.BldNew.Thermal.CA.Elc.Elec</t>
  </si>
  <si>
    <t>PT - System efficiency indicator of new and renovated buildings</t>
  </si>
  <si>
    <t>Eff.ratio.PT.Ser.BldNew.Thermal</t>
  </si>
  <si>
    <t>Eff.ratio.PT.Ser.BldNew.Thermal.SH</t>
  </si>
  <si>
    <t>Eff.ratio.PT.Ser.BldNew.Thermal.SH.Solids.Solids</t>
  </si>
  <si>
    <t>Eff.ratio.PT.Ser.BldNew.Thermal.SH.LPG.LPG</t>
  </si>
  <si>
    <t>Eff.ratio.PT.Ser.BldNew.Thermal.SH.Oil.Oil_LiqBio</t>
  </si>
  <si>
    <t>Eff.ratio.PT.Ser.BldNew.Thermal.SH.GasHP.NG_Biogas</t>
  </si>
  <si>
    <t>Eff.ratio.PT.Ser.BldNew.Thermal.SH.GasTH.NG_Biogas</t>
  </si>
  <si>
    <t>Eff.ratio.PT.Ser.BldNew.Thermal.SH.Biomass.Biomass_Waste</t>
  </si>
  <si>
    <t>Eff.ratio.PT.Ser.BldNew.Thermal.SH.Geo.Geo</t>
  </si>
  <si>
    <t>Eff.ratio.PT.Ser.BldNew.Thermal.SH.DistrHeat.Steam_Distr</t>
  </si>
  <si>
    <t>Eff.ratio.PT.Ser.BldNew.Thermal.SH.AdvElc.Elec</t>
  </si>
  <si>
    <t>Eff.ratio.PT.Ser.BldNew.Thermal.SH.ConvElc.Elec</t>
  </si>
  <si>
    <t>Eff.ratio.PT.Ser.BldNew.Thermal.SH.TotalCirculation.Elec</t>
  </si>
  <si>
    <t>Eff.ratio.PT.Ser.BldNew.Thermal.SC</t>
  </si>
  <si>
    <t>Eff.ratio.PT.Ser.BldNew.Thermal.SC.GasHP.NG_Biogas</t>
  </si>
  <si>
    <t>Eff.ratio.PT.Ser.BldNew.Thermal.SC.AC.Elec</t>
  </si>
  <si>
    <t>Eff.ratio.PT.Ser.BldNew.Thermal.HW</t>
  </si>
  <si>
    <t>Eff.ratio.PT.Ser.BldNew.Thermal.HW.Solids.Solids</t>
  </si>
  <si>
    <t>Eff.ratio.PT.Ser.BldNew.Thermal.HW.LPG.LPG</t>
  </si>
  <si>
    <t>Eff.ratio.PT.Ser.BldNew.Thermal.HW.Oil.Oil_LiqBio</t>
  </si>
  <si>
    <t>Eff.ratio.PT.Ser.BldNew.Thermal.HW.Gas.NG_Biogas</t>
  </si>
  <si>
    <t>Eff.ratio.PT.Ser.BldNew.Thermal.HW.Biomass.Biomass_Waste</t>
  </si>
  <si>
    <t>Eff.ratio.PT.Ser.BldNew.Thermal.HW.DistrHeat.Steam_Distr</t>
  </si>
  <si>
    <t>Eff.ratio.PT.Ser.BldNew.Thermal.HW.Elc.Elec</t>
  </si>
  <si>
    <t>Eff.ratio.PT.Ser.BldNew.Thermal.HW.TotalSolar.Solar</t>
  </si>
  <si>
    <t>Eff.ratio.PT.Ser.BldNew.Thermal.CA</t>
  </si>
  <si>
    <t>Eff.ratio.PT.Ser.BldNew.Thermal.CA.LPG</t>
  </si>
  <si>
    <t>Eff.ratio.PT.Ser.BldNew.Thermal.CA.Gas.NG_Biogas</t>
  </si>
  <si>
    <t>Eff.ratio.PT.Ser.BldNew.Thermal.CA.Biomass.Biomass_Waste</t>
  </si>
  <si>
    <t>Eff.ratio.PT.Ser.BldNew.Thermal.CA.Elc.Elec</t>
  </si>
  <si>
    <t>PT - CO2 emissions in new and renovated buildings</t>
  </si>
  <si>
    <t>EMI.ktCO2.PT.Ser.BldNew.Thermal</t>
  </si>
  <si>
    <t>EMI.ktCO2.PT.Ser.BldNew.Thermal.SH</t>
  </si>
  <si>
    <t>EMI.ktCO2.PT.Ser.BldNew.Thermal.SH.Solids.Solids</t>
  </si>
  <si>
    <t>EMI.ktCO2.PT.Ser.BldNew.Thermal.SH.LPG.LPG</t>
  </si>
  <si>
    <t>EMI.ktCO2.PT.Ser.BldNew.Thermal.SH.Oil.Oil_LiqBio</t>
  </si>
  <si>
    <t>EMI.ktCO2.PT.Ser.BldNew.Thermal.SH.GasHP.NG_Biogas</t>
  </si>
  <si>
    <t>EMI.ktCO2.PT.Ser.BldNew.Thermal.SH.GasTH.NG_Biogas</t>
  </si>
  <si>
    <t>EMI.ktCO2.PT.Ser.BldNew.Thermal.SH.Biomass.Biomass_Waste</t>
  </si>
  <si>
    <t>EMI.ktCO2.PT.Ser.BldNew.Thermal.SH.Geo.Geo</t>
  </si>
  <si>
    <t>EMI.ktCO2.PT.Ser.BldNew.Thermal.SH.DistrHeat.Steam_Distr</t>
  </si>
  <si>
    <t>EMI.ktCO2.PT.Ser.BldNew.Thermal.SH.AdvElc.Elec</t>
  </si>
  <si>
    <t>EMI.ktCO2.PT.Ser.BldNew.Thermal.SH.ConvElc.Elec</t>
  </si>
  <si>
    <t>EMI.ktCO2.PT.Ser.BldNew.Thermal.SH.TotalCirculation.Elec</t>
  </si>
  <si>
    <t>EMI.ktCO2.PT.Ser.BldNew.Thermal.SC</t>
  </si>
  <si>
    <t>EMI.ktCO2.PT.Ser.BldNew.Thermal.SC.GasHP.NG_Biogas</t>
  </si>
  <si>
    <t>EMI.ktCO2.PT.Ser.BldNew.Thermal.SC.AC.Elec</t>
  </si>
  <si>
    <t>EMI.ktCO2.PT.Ser.BldNew.Thermal.HW</t>
  </si>
  <si>
    <t>EMI.ktCO2.PT.Ser.BldNew.Thermal.HW.Solids.Solids</t>
  </si>
  <si>
    <t>EMI.ktCO2.PT.Ser.BldNew.Thermal.HW.LPG.LPG</t>
  </si>
  <si>
    <t>EMI.ktCO2.PT.Ser.BldNew.Thermal.HW.Oil.Oil_LiqBio</t>
  </si>
  <si>
    <t>EMI.ktCO2.PT.Ser.BldNew.Thermal.HW.Gas.NG_Biogas</t>
  </si>
  <si>
    <t>EMI.ktCO2.PT.Ser.BldNew.Thermal.HW.Biomass.Biomass_Waste</t>
  </si>
  <si>
    <t>EMI.ktCO2.PT.Ser.BldNew.Thermal.HW.DistrHeat.Steam_Distr</t>
  </si>
  <si>
    <t>EMI.ktCO2.PT.Ser.BldNew.Thermal.HW.Elc.Elec</t>
  </si>
  <si>
    <t>EMI.ktCO2.PT.Ser.BldNew.Thermal.HW.TotalSolar.Solar</t>
  </si>
  <si>
    <t>EMI.ktCO2.PT.Ser.BldNew.Thermal.CA</t>
  </si>
  <si>
    <t>EMI.ktCO2.PT.Ser.BldNew.Thermal.CA.LPG</t>
  </si>
  <si>
    <t>EMI.ktCO2.PT.Ser.BldNew.Thermal.CA.Gas.NG_Biogas</t>
  </si>
  <si>
    <t>EMI.ktCO2.PT.Ser.BldNew.Thermal.CA.Biomass.Biomass_Waste</t>
  </si>
  <si>
    <t>EMI.ktCO2.PT.Ser.BldNew.Thermal.CA.Elc.Elec</t>
  </si>
  <si>
    <t>PT - Final energy consumption of new and renovated buildings (per building)</t>
  </si>
  <si>
    <t>FEC_per_building.kWh.PT.Ser.BldNew.Thermal</t>
  </si>
  <si>
    <t>FEC_per_building.kWh.PT.Ser.BldNew.Thermal.SH</t>
  </si>
  <si>
    <t>FEC_per_building.kWh.PT.Ser.BldNew.Thermal.SH.Solids.Solids</t>
  </si>
  <si>
    <t>FEC_per_building.kWh.PT.Ser.BldNew.Thermal.SH.LPG.LPG</t>
  </si>
  <si>
    <t>FEC_per_building.kWh.PT.Ser.BldNew.Thermal.SH.Oil.Oil_LiqBio</t>
  </si>
  <si>
    <t>FEC_per_building.kWh.PT.Ser.BldNew.Thermal.SH.GasHP.NG_Biogas</t>
  </si>
  <si>
    <t>FEC_per_building.kWh.PT.Ser.BldNew.Thermal.SH.GasTH.NG_Biogas</t>
  </si>
  <si>
    <t>FEC_per_building.kWh.PT.Ser.BldNew.Thermal.SH.Biomass.Biomass_Waste</t>
  </si>
  <si>
    <t>FEC_per_building.kWh.PT.Ser.BldNew.Thermal.SH.Geo.Geo</t>
  </si>
  <si>
    <t>FEC_per_building.kWh.PT.Ser.BldNew.Thermal.SH.DistrHeat.Steam_Distr</t>
  </si>
  <si>
    <t>FEC_per_building.kWh.PT.Ser.BldNew.Thermal.SH.AdvElc.Elec</t>
  </si>
  <si>
    <t>FEC_per_building.kWh.PT.Ser.BldNew.Thermal.SH.ConvElc.Elec</t>
  </si>
  <si>
    <t>FEC_per_building.kWh.PT.Ser.BldNew.Thermal.SH.TotalCirculation.Elec</t>
  </si>
  <si>
    <t>FEC_per_building.kWh.PT.Ser.BldNew.Thermal.SC</t>
  </si>
  <si>
    <t>FEC_per_building.kWh.PT.Ser.BldNew.Thermal.SC.GasHP.NG_Biogas</t>
  </si>
  <si>
    <t>FEC_per_building.kWh.PT.Ser.BldNew.Thermal.SC.AC.Elec</t>
  </si>
  <si>
    <t>FEC_per_building.kWh.PT.Ser.BldNew.Thermal.HW</t>
  </si>
  <si>
    <t>FEC_per_building.kWh.PT.Ser.BldNew.Thermal.HW.Solids.Solids</t>
  </si>
  <si>
    <t>FEC_per_building.kWh.PT.Ser.BldNew.Thermal.HW.LPG.LPG</t>
  </si>
  <si>
    <t>FEC_per_building.kWh.PT.Ser.BldNew.Thermal.HW.Oil.Oil_LiqBio</t>
  </si>
  <si>
    <t>FEC_per_building.kWh.PT.Ser.BldNew.Thermal.HW.Gas.NG_Biogas</t>
  </si>
  <si>
    <t>FEC_per_building.kWh.PT.Ser.BldNew.Thermal.HW.Biomass.Biomass_Waste</t>
  </si>
  <si>
    <t>FEC_per_building.kWh.PT.Ser.BldNew.Thermal.HW.DistrHeat.Steam_Distr</t>
  </si>
  <si>
    <t>FEC_per_building.kWh.PT.Ser.BldNew.Thermal.HW.Elc.Elec</t>
  </si>
  <si>
    <t>FEC_per_building.kWh.PT.Ser.BldNew.Thermal.HW.TotalSolar.Solar</t>
  </si>
  <si>
    <t>FEC_per_building.kWh.PT.Ser.BldNew.Thermal.CA</t>
  </si>
  <si>
    <t>FEC_per_building.kWh.PT.Ser.BldNew.Thermal.CA.LPG</t>
  </si>
  <si>
    <t>FEC_per_building.kWh.PT.Ser.BldNew.Thermal.CA.Gas.NG_Biogas</t>
  </si>
  <si>
    <t>FEC_per_building.kWh.PT.Ser.BldNew.Thermal.CA.Biomass.Biomass_Waste</t>
  </si>
  <si>
    <t>FEC_per_building.kWh.PT.Ser.BldNew.Thermal.CA.Elc.Elec</t>
  </si>
  <si>
    <t>PT - Thermal energy service of new and renovated buildings (per building)</t>
  </si>
  <si>
    <t>TES_per_building.kWh.PT.Ser.BldNew.Thermal</t>
  </si>
  <si>
    <t>TES_per_building.kWh.PT.Ser.BldNew.Thermal.SH</t>
  </si>
  <si>
    <t>TES_per_building.kWh.PT.Ser.BldNew.Thermal.SH.Solids.Solids</t>
  </si>
  <si>
    <t>TES_per_building.kWh.PT.Ser.BldNew.Thermal.SH.LPG.LPG</t>
  </si>
  <si>
    <t>TES_per_building.kWh.PT.Ser.BldNew.Thermal.SH.Oil.Oil_LiqBio</t>
  </si>
  <si>
    <t>TES_per_building.kWh.PT.Ser.BldNew.Thermal.SH.GasHP.NG_Biogas</t>
  </si>
  <si>
    <t>TES_per_building.kWh.PT.Ser.BldNew.Thermal.SH.GasTH.NG_Biogas</t>
  </si>
  <si>
    <t>TES_per_building.kWh.PT.Ser.BldNew.Thermal.SH.Biomass.Biomass_Waste</t>
  </si>
  <si>
    <t>TES_per_building.kWh.PT.Ser.BldNew.Thermal.SH.Geo.Geo</t>
  </si>
  <si>
    <t>TES_per_building.kWh.PT.Ser.BldNew.Thermal.SH.DistrHeat.Steam_Distr</t>
  </si>
  <si>
    <t>TES_per_building.kWh.PT.Ser.BldNew.Thermal.SH.AdvElc.Elec</t>
  </si>
  <si>
    <t>TES_per_building.kWh.PT.Ser.BldNew.Thermal.SH.ConvElc.Elec</t>
  </si>
  <si>
    <t>TES_per_building.kWh.PT.Ser.BldNew.Thermal.SH.TotalCirculation.Elec</t>
  </si>
  <si>
    <t>TES_per_building.kWh.PT.Ser.BldNew.Thermal.SC</t>
  </si>
  <si>
    <t>TES_per_building.kWh.PT.Ser.BldNew.Thermal.SC.GasHP.NG_Biogas</t>
  </si>
  <si>
    <t>TES_per_building.kWh.PT.Ser.BldNew.Thermal.SC.AC.Elec</t>
  </si>
  <si>
    <t>TES_per_building.kWh.PT.Ser.BldNew.Thermal.HW</t>
  </si>
  <si>
    <t>TES_per_building.kWh.PT.Ser.BldNew.Thermal.HW.Solids.Solids</t>
  </si>
  <si>
    <t>TES_per_building.kWh.PT.Ser.BldNew.Thermal.HW.LPG.LPG</t>
  </si>
  <si>
    <t>TES_per_building.kWh.PT.Ser.BldNew.Thermal.HW.Oil.Oil_LiqBio</t>
  </si>
  <si>
    <t>TES_per_building.kWh.PT.Ser.BldNew.Thermal.HW.Gas.NG_Biogas</t>
  </si>
  <si>
    <t>TES_per_building.kWh.PT.Ser.BldNew.Thermal.HW.Biomass.Biomass_Waste</t>
  </si>
  <si>
    <t>TES_per_building.kWh.PT.Ser.BldNew.Thermal.HW.DistrHeat.Steam_Distr</t>
  </si>
  <si>
    <t>TES_per_building.kWh.PT.Ser.BldNew.Thermal.HW.Elc.Elec</t>
  </si>
  <si>
    <t>TES_per_building.kWh.PT.Ser.BldNew.Thermal.HW.TotalSolar.Solar</t>
  </si>
  <si>
    <t>TES_per_building.kWh.PT.Ser.BldNew.Thermal.CA</t>
  </si>
  <si>
    <t>TES_per_building.kWh.PT.Ser.BldNew.Thermal.CA.LPG</t>
  </si>
  <si>
    <t>TES_per_building.kWh.PT.Ser.BldNew.Thermal.CA.Gas.NG_Biogas</t>
  </si>
  <si>
    <t>TES_per_building.kWh.PT.Ser.BldNew.Thermal.CA.Biomass.Biomass_Waste</t>
  </si>
  <si>
    <t>TES_per_building.kWh.PT.Ser.BldNew.Thermal.CA.Elc.Elec</t>
  </si>
  <si>
    <t>PT - CO2 emissions in new and renovated buildings (per building)</t>
  </si>
  <si>
    <t>EMI_per_building.kgCO2.PT.Ser.BldNew.Thermal</t>
  </si>
  <si>
    <t>EMI_per_building.kgCO2.PT.Ser.BldNew.Thermal.SH</t>
  </si>
  <si>
    <t>EMI_per_building.kgCO2.PT.Ser.BldNew.Thermal.SH.Solids.Solids</t>
  </si>
  <si>
    <t>EMI_per_building.kgCO2.PT.Ser.BldNew.Thermal.SH.LPG.LPG</t>
  </si>
  <si>
    <t>EMI_per_building.kgCO2.PT.Ser.BldNew.Thermal.SH.Oil.Oil_LiqBio</t>
  </si>
  <si>
    <t>EMI_per_building.kgCO2.PT.Ser.BldNew.Thermal.SH.GasHP.NG_Biogas</t>
  </si>
  <si>
    <t>EMI_per_building.kgCO2.PT.Ser.BldNew.Thermal.SH.GasTH.NG_Biogas</t>
  </si>
  <si>
    <t>EMI_per_building.kgCO2.PT.Ser.BldNew.Thermal.SH.Biomass.Biomass_Waste</t>
  </si>
  <si>
    <t>EMI_per_building.kgCO2.PT.Ser.BldNew.Thermal.SH.Geo.Geo</t>
  </si>
  <si>
    <t>EMI_per_building.kgCO2.PT.Ser.BldNew.Thermal.SH.DistrHeat.Steam_Distr</t>
  </si>
  <si>
    <t>EMI_per_building.kgCO2.PT.Ser.BldNew.Thermal.SH.AdvElc.Elec</t>
  </si>
  <si>
    <t>EMI_per_building.kgCO2.PT.Ser.BldNew.Thermal.SH.ConvElc.Elec</t>
  </si>
  <si>
    <t>EMI_per_building.kgCO2.PT.Ser.BldNew.Thermal.SH.TotalCirculation.Elec</t>
  </si>
  <si>
    <t>EMI_per_building.kgCO2.PT.Ser.BldNew.Thermal.SC</t>
  </si>
  <si>
    <t>EMI_per_building.kgCO2.PT.Ser.BldNew.Thermal.SC.GasHP.NG_Biogas</t>
  </si>
  <si>
    <t>EMI_per_building.kgCO2.PT.Ser.BldNew.Thermal.SC.AC.Elec</t>
  </si>
  <si>
    <t>EMI_per_building.kgCO2.PT.Ser.BldNew.Thermal.HW</t>
  </si>
  <si>
    <t>EMI_per_building.kgCO2.PT.Ser.BldNew.Thermal.HW.Solids.Solids</t>
  </si>
  <si>
    <t>EMI_per_building.kgCO2.PT.Ser.BldNew.Thermal.HW.LPG.LPG</t>
  </si>
  <si>
    <t>EMI_per_building.kgCO2.PT.Ser.BldNew.Thermal.HW.Oil.Oil_LiqBio</t>
  </si>
  <si>
    <t>EMI_per_building.kgCO2.PT.Ser.BldNew.Thermal.HW.Gas.NG_Biogas</t>
  </si>
  <si>
    <t>EMI_per_building.kgCO2.PT.Ser.BldNew.Thermal.HW.Biomass.Biomass_Waste</t>
  </si>
  <si>
    <t>EMI_per_building.kgCO2.PT.Ser.BldNew.Thermal.HW.DistrHeat.Steam_Distr</t>
  </si>
  <si>
    <t>EMI_per_building.kgCO2.PT.Ser.BldNew.Thermal.HW.Elc.Elec</t>
  </si>
  <si>
    <t>EMI_per_building.kgCO2.PT.Ser.BldNew.Thermal.HW.TotalSolar.Solar</t>
  </si>
  <si>
    <t>EMI_per_building.kgCO2.PT.Ser.BldNew.Thermal.CA</t>
  </si>
  <si>
    <t>EMI_per_building.kgCO2.PT.Ser.BldNew.Thermal.CA.LPG</t>
  </si>
  <si>
    <t>EMI_per_building.kgCO2.PT.Ser.BldNew.Thermal.CA.Gas.NG_Biogas</t>
  </si>
  <si>
    <t>EMI_per_building.kgCO2.PT.Ser.BldNew.Thermal.CA.Biomass.Biomass_Waste</t>
  </si>
  <si>
    <t>EMI_per_building.kgCO2.PT.Ser.BldNew.Thermal.CA.Elc.Elec</t>
  </si>
  <si>
    <t>PT - Final energy consumption in new and renovated buildings per surface area</t>
  </si>
  <si>
    <t>FEC_per_sqm.kWh.PT.Ser.BldNew.Thermal</t>
  </si>
  <si>
    <t>FEC_per_sqm.kWh.PT.Ser.BldNew.Thermal.SH</t>
  </si>
  <si>
    <t>FEC_per_sqm.kWh.PT.Ser.BldNew.Thermal.SH.Solids.Solids</t>
  </si>
  <si>
    <t>FEC_per_sqm.kWh.PT.Ser.BldNew.Thermal.SH.LPG.LPG</t>
  </si>
  <si>
    <t>FEC_per_sqm.kWh.PT.Ser.BldNew.Thermal.SH.Oil.Oil_LiqBio</t>
  </si>
  <si>
    <t>FEC_per_sqm.kWh.PT.Ser.BldNew.Thermal.SH.GasHP.NG_Biogas</t>
  </si>
  <si>
    <t>FEC_per_sqm.kWh.PT.Ser.BldNew.Thermal.SH.GasTH.NG_Biogas</t>
  </si>
  <si>
    <t>FEC_per_sqm.kWh.PT.Ser.BldNew.Thermal.SH.Biomass.Biomass_Waste</t>
  </si>
  <si>
    <t>FEC_per_sqm.kWh.PT.Ser.BldNew.Thermal.SH.Geo.Geo</t>
  </si>
  <si>
    <t>FEC_per_sqm.kWh.PT.Ser.BldNew.Thermal.SH.DistrHeat.Steam_Distr</t>
  </si>
  <si>
    <t>FEC_per_sqm.kWh.PT.Ser.BldNew.Thermal.SH.AdvElc.Elec</t>
  </si>
  <si>
    <t>FEC_per_sqm.kWh.PT.Ser.BldNew.Thermal.SH.ConvElc.Elec</t>
  </si>
  <si>
    <t>FEC_per_sqm.kWh.PT.Ser.BldNew.Thermal.SH.TotalCirculation.Elec</t>
  </si>
  <si>
    <t>FEC_per_sqm.kWh.PT.Ser.BldNew.Thermal.SC</t>
  </si>
  <si>
    <t>FEC_per_sqm.kWh.PT.Ser.BldNew.Thermal.SC.GasHP.NG_Biogas</t>
  </si>
  <si>
    <t>FEC_per_sqm.kWh.PT.Ser.BldNew.Thermal.SC.AC.Elec</t>
  </si>
  <si>
    <t>FEC_per_sqm.kWh.PT.Ser.BldNew.Thermal.HW</t>
  </si>
  <si>
    <t>FEC_per_sqm.kWh.PT.Ser.BldNew.Thermal.HW.Solids.Solids</t>
  </si>
  <si>
    <t>FEC_per_sqm.kWh.PT.Ser.BldNew.Thermal.HW.LPG.LPG</t>
  </si>
  <si>
    <t>FEC_per_sqm.kWh.PT.Ser.BldNew.Thermal.HW.Oil.Oil_LiqBio</t>
  </si>
  <si>
    <t>FEC_per_sqm.kWh.PT.Ser.BldNew.Thermal.HW.Gas.NG_Biogas</t>
  </si>
  <si>
    <t>FEC_per_sqm.kWh.PT.Ser.BldNew.Thermal.HW.Biomass.Biomass_Waste</t>
  </si>
  <si>
    <t>FEC_per_sqm.kWh.PT.Ser.BldNew.Thermal.HW.DistrHeat.Steam_Distr</t>
  </si>
  <si>
    <t>FEC_per_sqm.kWh.PT.Ser.BldNew.Thermal.HW.Elc.Elec</t>
  </si>
  <si>
    <t>FEC_per_sqm.kWh.PT.Ser.BldNew.Thermal.HW.TotalSolar.Solar</t>
  </si>
  <si>
    <t>FEC_per_sqm.kWh.PT.Ser.BldNew.Thermal.CA</t>
  </si>
  <si>
    <t>FEC_per_sqm.kWh.PT.Ser.BldNew.Thermal.CA.LPG</t>
  </si>
  <si>
    <t>FEC_per_sqm.kWh.PT.Ser.BldNew.Thermal.CA.Gas.NG_Biogas</t>
  </si>
  <si>
    <t>FEC_per_sqm.kWh.PT.Ser.BldNew.Thermal.CA.Biomass.Biomass_Waste</t>
  </si>
  <si>
    <t>FEC_per_sqm.kWh.PT.Ser.BldNew.Thermal.CA.Elc.Elec</t>
  </si>
  <si>
    <t>PT - Thermal energy service in new and renovated buildings per surface area</t>
  </si>
  <si>
    <t>TES_per_sqm.kWh.PT.Ser.BldNew.Thermal</t>
  </si>
  <si>
    <t>TES_per_sqm.kWh.PT.Ser.BldNew.Thermal.SH</t>
  </si>
  <si>
    <t>TES_per_sqm.kWh.PT.Ser.BldNew.Thermal.SH.Solids.Solids</t>
  </si>
  <si>
    <t>TES_per_sqm.kWh.PT.Ser.BldNew.Thermal.SH.LPG.LPG</t>
  </si>
  <si>
    <t>TES_per_sqm.kWh.PT.Ser.BldNew.Thermal.SH.Oil.Oil_LiqBio</t>
  </si>
  <si>
    <t>TES_per_sqm.kWh.PT.Ser.BldNew.Thermal.SH.GasHP.NG_Biogas</t>
  </si>
  <si>
    <t>TES_per_sqm.kWh.PT.Ser.BldNew.Thermal.SH.GasTH.NG_Biogas</t>
  </si>
  <si>
    <t>TES_per_sqm.kWh.PT.Ser.BldNew.Thermal.SH.Biomass.Biomass_Waste</t>
  </si>
  <si>
    <t>TES_per_sqm.kWh.PT.Ser.BldNew.Thermal.SH.Geo.Geo</t>
  </si>
  <si>
    <t>TES_per_sqm.kWh.PT.Ser.BldNew.Thermal.SH.DistrHeat.Steam_Distr</t>
  </si>
  <si>
    <t>TES_per_sqm.kWh.PT.Ser.BldNew.Thermal.SH.AdvElc.Elec</t>
  </si>
  <si>
    <t>TES_per_sqm.kWh.PT.Ser.BldNew.Thermal.SH.ConvElc.Elec</t>
  </si>
  <si>
    <t>TES_per_sqm.kWh.PT.Ser.BldNew.Thermal.SH.TotalCirculation.Elec</t>
  </si>
  <si>
    <t>TES_per_sqm.kWh.PT.Ser.BldNew.Thermal.SC</t>
  </si>
  <si>
    <t>TES_per_sqm.kWh.PT.Ser.BldNew.Thermal.SC.GasHP.NG_Biogas</t>
  </si>
  <si>
    <t>TES_per_sqm.kWh.PT.Ser.BldNew.Thermal.SC.AC.Elec</t>
  </si>
  <si>
    <t>TES_per_sqm.kWh.PT.Ser.BldNew.Thermal.HW</t>
  </si>
  <si>
    <t>TES_per_sqm.kWh.PT.Ser.BldNew.Thermal.HW.Solids.Solids</t>
  </si>
  <si>
    <t>TES_per_sqm.kWh.PT.Ser.BldNew.Thermal.HW.LPG.LPG</t>
  </si>
  <si>
    <t>TES_per_sqm.kWh.PT.Ser.BldNew.Thermal.HW.Oil.Oil_LiqBio</t>
  </si>
  <si>
    <t>TES_per_sqm.kWh.PT.Ser.BldNew.Thermal.HW.Gas.NG_Biogas</t>
  </si>
  <si>
    <t>TES_per_sqm.kWh.PT.Ser.BldNew.Thermal.HW.Biomass.Biomass_Waste</t>
  </si>
  <si>
    <t>TES_per_sqm.kWh.PT.Ser.BldNew.Thermal.HW.DistrHeat.Steam_Distr</t>
  </si>
  <si>
    <t>TES_per_sqm.kWh.PT.Ser.BldNew.Thermal.HW.Elc.Elec</t>
  </si>
  <si>
    <t>TES_per_sqm.kWh.PT.Ser.BldNew.Thermal.HW.TotalSolar.Solar</t>
  </si>
  <si>
    <t>TES_per_sqm.kWh.PT.Ser.BldNew.Thermal.CA</t>
  </si>
  <si>
    <t>TES_per_sqm.kWh.PT.Ser.BldNew.Thermal.CA.LPG</t>
  </si>
  <si>
    <t>TES_per_sqm.kWh.PT.Ser.BldNew.Thermal.CA.Gas.NG_Biogas</t>
  </si>
  <si>
    <t>TES_per_sqm.kWh.PT.Ser.BldNew.Thermal.CA.Biomass.Biomass_Waste</t>
  </si>
  <si>
    <t>TES_per_sqm.kWh.PT.Ser.BldNew.Thermal.CA.Elc.Elec</t>
  </si>
  <si>
    <t>PT - CO2 emissions in new and renovated buildings per surface area</t>
  </si>
  <si>
    <t>EMI_per_sqm.kgCO2.PT.Ser.BldNew.Thermal</t>
  </si>
  <si>
    <t>EMI_per_sqm.kgCO2.PT.Ser.BldNew.Thermal.SH</t>
  </si>
  <si>
    <t>EMI_per_sqm.kgCO2.PT.Ser.BldNew.Thermal.SH.Solids.Solids</t>
  </si>
  <si>
    <t>EMI_per_sqm.kgCO2.PT.Ser.BldNew.Thermal.SH.LPG.LPG</t>
  </si>
  <si>
    <t>EMI_per_sqm.kgCO2.PT.Ser.BldNew.Thermal.SH.Oil.Oil_LiqBio</t>
  </si>
  <si>
    <t>EMI_per_sqm.kgCO2.PT.Ser.BldNew.Thermal.SH.GasHP.NG_Biogas</t>
  </si>
  <si>
    <t>EMI_per_sqm.kgCO2.PT.Ser.BldNew.Thermal.SH.GasTH.NG_Biogas</t>
  </si>
  <si>
    <t>EMI_per_sqm.kgCO2.PT.Ser.BldNew.Thermal.SH.Biomass.Biomass_Waste</t>
  </si>
  <si>
    <t>EMI_per_sqm.kgCO2.PT.Ser.BldNew.Thermal.SH.Geo.Geo</t>
  </si>
  <si>
    <t>EMI_per_sqm.kgCO2.PT.Ser.BldNew.Thermal.SH.DistrHeat.Steam_Distr</t>
  </si>
  <si>
    <t>EMI_per_sqm.kgCO2.PT.Ser.BldNew.Thermal.SH.AdvElc.Elec</t>
  </si>
  <si>
    <t>EMI_per_sqm.kgCO2.PT.Ser.BldNew.Thermal.SH.ConvElc.Elec</t>
  </si>
  <si>
    <t>EMI_per_sqm.kgCO2.PT.Ser.BldNew.Thermal.SH.TotalCirculation.Elec</t>
  </si>
  <si>
    <t>EMI_per_sqm.kgCO2.PT.Ser.BldNew.Thermal.SC</t>
  </si>
  <si>
    <t>EMI_per_sqm.kgCO2.PT.Ser.BldNew.Thermal.SC.GasHP.NG_Biogas</t>
  </si>
  <si>
    <t>EMI_per_sqm.kgCO2.PT.Ser.BldNew.Thermal.SC.AC.Elec</t>
  </si>
  <si>
    <t>EMI_per_sqm.kgCO2.PT.Ser.BldNew.Thermal.HW</t>
  </si>
  <si>
    <t>EMI_per_sqm.kgCO2.PT.Ser.BldNew.Thermal.HW.Solids.Solids</t>
  </si>
  <si>
    <t>EMI_per_sqm.kgCO2.PT.Ser.BldNew.Thermal.HW.LPG.LPG</t>
  </si>
  <si>
    <t>EMI_per_sqm.kgCO2.PT.Ser.BldNew.Thermal.HW.Oil.Oil_LiqBio</t>
  </si>
  <si>
    <t>EMI_per_sqm.kgCO2.PT.Ser.BldNew.Thermal.HW.Gas.NG_Biogas</t>
  </si>
  <si>
    <t>EMI_per_sqm.kgCO2.PT.Ser.BldNew.Thermal.HW.Biomass.Biomass_Waste</t>
  </si>
  <si>
    <t>EMI_per_sqm.kgCO2.PT.Ser.BldNew.Thermal.HW.DistrHeat.Steam_Distr</t>
  </si>
  <si>
    <t>EMI_per_sqm.kgCO2.PT.Ser.BldNew.Thermal.HW.Elc.Elec</t>
  </si>
  <si>
    <t>EMI_per_sqm.kgCO2.PT.Ser.BldNew.Thermal.HW.TotalSolar.Solar</t>
  </si>
  <si>
    <t>EMI_per_sqm.kgCO2.PT.Ser.BldNew.Thermal.CA</t>
  </si>
  <si>
    <t>EMI_per_sqm.kgCO2.PT.Ser.BldNew.Thermal.CA.LPG</t>
  </si>
  <si>
    <t>EMI_per_sqm.kgCO2.PT.Ser.BldNew.Thermal.CA.Gas.NG_Biogas</t>
  </si>
  <si>
    <t>EMI_per_sqm.kgCO2.PT.Ser.BldNew.Thermal.CA.Biomass.Biomass_Waste</t>
  </si>
  <si>
    <t>EMI_per_sqm.kgCO2.PT.Ser.BldNew.Thermal.CA.Elc.Elec</t>
  </si>
  <si>
    <t>FEC.ktoe.PT.Ser.SEU.VE</t>
  </si>
  <si>
    <t>FEC.ktoe.PT.Ser.SEU.SL</t>
  </si>
  <si>
    <t>FEC.ktoe.PT.Ser.SEU.BL</t>
  </si>
  <si>
    <t>FEC.ktoe.PT.Ser.SEU.CR</t>
  </si>
  <si>
    <t>FEC.ktoe.PT.Ser.SEU.BT</t>
  </si>
  <si>
    <t>FEC.ktoe.PT.Ser.SEU.IT</t>
  </si>
  <si>
    <t>Size.MW.PT.Ser.SEU</t>
  </si>
  <si>
    <t>Size.MW.PT.Ser.SEU.VE</t>
  </si>
  <si>
    <t>Size.MW.PT.Ser.SEU.SL</t>
  </si>
  <si>
    <t>Size.MW.PT.Ser.SEU.BL</t>
  </si>
  <si>
    <t>Size.MW.PT.Ser.SEU.CR</t>
  </si>
  <si>
    <t>Size.MW.PT.Ser.SEU.BT</t>
  </si>
  <si>
    <t>Size.MW.PT.Ser.SEU.IT</t>
  </si>
  <si>
    <t>NUM.Msqm.PT.Ser.SEU.VE</t>
  </si>
  <si>
    <t>NUM.k.PT.Ser.SEU.SL</t>
  </si>
  <si>
    <t>NUM.M.PT.Ser.SEU.BL</t>
  </si>
  <si>
    <t>NUM.k.PT.Ser.SEU.CR</t>
  </si>
  <si>
    <t>NUM.Msqm.PT.Ser.SEU.BT</t>
  </si>
  <si>
    <t>NUM.k.PT.Ser.SEU.IT</t>
  </si>
  <si>
    <t>NUM.Msqm.PT.Ser.SEUnew.VE</t>
  </si>
  <si>
    <t>NUM.k.PT.Ser.SEUnew.SL</t>
  </si>
  <si>
    <t>NUM.M.PT.Ser.SEUnew.BL</t>
  </si>
  <si>
    <t>NUM.k.PT.Ser.SEUnew.CR</t>
  </si>
  <si>
    <t>NUM.Msqm.PT.Ser.SEUnew.BT</t>
  </si>
  <si>
    <t>NUM.k.PT.Ser.SEUnew.IT</t>
  </si>
  <si>
    <t>NUM.Msqm.PT.Ser.SEUrepl.VE</t>
  </si>
  <si>
    <t>NUM.k.PT.Ser.SEUrepl.SL</t>
  </si>
  <si>
    <t>NUM.M.PT.Ser.SEUrepl.BL</t>
  </si>
  <si>
    <t>NUM.k.PT.Ser.SEUrepl.CR</t>
  </si>
  <si>
    <t>NUM.Msqm.PT.Ser.SEUrepl.BT</t>
  </si>
  <si>
    <t>NUM.k.PT.Ser.SEUrepl.IT</t>
  </si>
  <si>
    <t>Op.hours.PT.Ser.SEU.VE</t>
  </si>
  <si>
    <t>Op.hours.PT.Ser.SEU.SL</t>
  </si>
  <si>
    <t>Op.hours.PT.Ser.SEU.BL</t>
  </si>
  <si>
    <t>Op.hours.PT.Ser.SEU.CR</t>
  </si>
  <si>
    <t>Op.hours.PT.Ser.SEU.BT</t>
  </si>
  <si>
    <t>Op.hours.PT.Ser.SEU.IT</t>
  </si>
  <si>
    <t>Size_per_appl.W.PT.Ser.SEU.VE</t>
  </si>
  <si>
    <t>Size_per_appl.W.PT.Ser.SEU.SL</t>
  </si>
  <si>
    <t>Size_per_appl.W.PT.Ser.SEU.BL</t>
  </si>
  <si>
    <t>Size_per_appl.W.PT.Ser.SEU.CR</t>
  </si>
  <si>
    <t>Size_per_appl.W.PT.Ser.SEU.BT</t>
  </si>
  <si>
    <t>Size_per_appl.W.PT.Ser.SEU.IT</t>
  </si>
  <si>
    <t>Size_per_appl.W.PT.Ser.SEUnew.VE</t>
  </si>
  <si>
    <t>Size_per_appl.W.PT.Ser.SEUnew.SL</t>
  </si>
  <si>
    <t>Size_per_appl.W.PT.Ser.SEUnew.BL</t>
  </si>
  <si>
    <t>Size_per_appl.W.PT.Ser.SEUnew.CR</t>
  </si>
  <si>
    <t>Size_per_appl.W.PT.Ser.SEUnew.BT</t>
  </si>
  <si>
    <t>Size_per_appl.W.PT.Ser.SEUnew.IT</t>
  </si>
  <si>
    <t>NUM.sqm_per_building.PT.Ser.SEU.VE</t>
  </si>
  <si>
    <t>NUM.number_per_capita.PT.Ser.SEU.SL</t>
  </si>
  <si>
    <t>NUM.number_per_building.PT.Ser.SEU.BL</t>
  </si>
  <si>
    <t>NUM.number_per_capita.PT.Ser.SEU.CR</t>
  </si>
  <si>
    <t>NUM.sqm_per_building.PT.Ser.SEU.BT</t>
  </si>
  <si>
    <t>NUM.number_per_capita.PT.Ser.SEU.IT</t>
  </si>
  <si>
    <t>Lumens_per_sqm.lumen.PT.Ser.SEU.BL</t>
  </si>
  <si>
    <t>FEC.ktoe.PT.Ser.SEU.IT.DataCenters</t>
  </si>
  <si>
    <t>PT - Services / specific electric uses</t>
  </si>
  <si>
    <t>PT - Ventilation and others</t>
  </si>
  <si>
    <t>PT - Street lighting</t>
  </si>
  <si>
    <t>PT - Building lighting</t>
  </si>
  <si>
    <t>PT - Commercial refrigeration</t>
  </si>
  <si>
    <t>PT - Miscellaneous building technologies</t>
  </si>
  <si>
    <t>PT - ICT and multimedia</t>
  </si>
  <si>
    <t>PT - Agriculture, forestry and fishing</t>
  </si>
  <si>
    <t>VA.Meuro2015.Meuro2023.PT.AGR.AGR</t>
  </si>
  <si>
    <t>OUTPUT.index.index.PT.AGR.AGR</t>
  </si>
  <si>
    <t>CAP.index.index.PT.AGR.AGR</t>
  </si>
  <si>
    <t>NEWCAP.index.index.PT.AGR.AGR</t>
  </si>
  <si>
    <t>CAPOUT.index.PT.AGR.AGR</t>
  </si>
  <si>
    <t>CAPIDLE.index.PT.AGR.AGR</t>
  </si>
  <si>
    <t>FEC.ktoe.PT.ES.AGR</t>
  </si>
  <si>
    <t>FEC.ktoe.PT.ES.AGR.Solids</t>
  </si>
  <si>
    <t>FEC.ktoe.PT.ES.AGR.LPG</t>
  </si>
  <si>
    <t>FEC.ktoe.PT.ES.AGR.Diesel</t>
  </si>
  <si>
    <t>FEC.ktoe.PT.ES.AGR.RFO</t>
  </si>
  <si>
    <t>FEC.ktoe.PT.ES.AGR.NG</t>
  </si>
  <si>
    <t>FEC.ktoe.PT.ES.AGR.Biomass_Waste</t>
  </si>
  <si>
    <t>FEC.ktoe.PT.ES.AGR.Biogas</t>
  </si>
  <si>
    <t>FEC.ktoe.PT.ES.AGR.LiqBio</t>
  </si>
  <si>
    <t>FEC.ktoe.PT.ES.AGR.Solar</t>
  </si>
  <si>
    <t>FEC.ktoe.PT.ES.AGR.Geo</t>
  </si>
  <si>
    <t>FEC.ktoe.PT.ES.AGR.Ambient</t>
  </si>
  <si>
    <t>FEC.ktoe.PT.ES.AGR.Steam_Distr</t>
  </si>
  <si>
    <t>FEC.ktoe.PT.ES.AGR.Elec</t>
  </si>
  <si>
    <t>PT - Agriculture, forestry and fishing / final energy consumption</t>
  </si>
  <si>
    <t>FEC.ktoe.ktoe.PT.AGR.AGR.LIGHT.GENERIC.ELEC</t>
  </si>
  <si>
    <t>FEC.ktoe.ktoe.PT.AGR.AGR.FANS.GENERIC.ELEC</t>
  </si>
  <si>
    <t>FEC.ktoe.ktoe.PT.AGR.AGR.MOTOR.GENERIC.ELEC</t>
  </si>
  <si>
    <t>FEC.ktoe.ktoe.PT.AGR.AGR.LOW_ENTH.THERM.DIESEL_LIQBIO</t>
  </si>
  <si>
    <t>FEC.ktoe.ktoe.PT.AGR.AGR.LOW_ENTH.THERM.NG_BIOGAS</t>
  </si>
  <si>
    <t>FEC.ktoe.ktoe.PT.AGR.AGR.LOW_ENTH.THERM.SOLAR_GEO</t>
  </si>
  <si>
    <t>FEC.ktoe.ktoe.PT.AGR.AGR.LOW_ENTH.HP.AMBIENT</t>
  </si>
  <si>
    <t>FEC.ktoe.ktoe.PT.AGR.AGR.LOW_ENTH.THERM.STEAM_DISTR</t>
  </si>
  <si>
    <t>FEC.ktoe.ktoe.PT.AGR.AGR.LOW_ENTH.THERM.ELEC</t>
  </si>
  <si>
    <t>FEC.ktoe.ktoe.PT.AGR.AGR.FARM_DRIVES.MECH.DIESEL_LIQBIO</t>
  </si>
  <si>
    <t>FEC.ktoe.ktoe.PT.AGR.AGR.HEAT_USE.THERM.SOLIDS</t>
  </si>
  <si>
    <t>FEC.ktoe.ktoe.PT.AGR.AGR.HEAT_USE.THERM.LPG</t>
  </si>
  <si>
    <t>FEC.ktoe.ktoe.PT.AGR.AGR.HEAT_USE.THERM.DIESEL_LIQBIO</t>
  </si>
  <si>
    <t>FEC.ktoe.ktoe.PT.AGR.AGR.HEAT_USE.THERM.RFO</t>
  </si>
  <si>
    <t>FEC.ktoe.ktoe.PT.AGR.AGR.HEAT_USE.THERM.NG_BIOGAS</t>
  </si>
  <si>
    <t>FEC.ktoe.ktoe.PT.AGR.AGR.HEAT_USE.THERM.BIOMASS_WASTE</t>
  </si>
  <si>
    <t>FEC.ktoe.ktoe.PT.AGR.AGR.HEAT_USE.THERM.SOLAR_GEO</t>
  </si>
  <si>
    <t>FEC.ktoe.ktoe.PT.AGR.AGR.FARM_PUMP.MECH.DIESEL_LIQBIO</t>
  </si>
  <si>
    <t>FEC.ktoe.ktoe.PT.AGR.AGR.FARM_PUMP_ELEC.MECH.ELEC</t>
  </si>
  <si>
    <t>FEC.ktoe.ktoe.PT.AGR.AGR.GENERIC.MECH.ELEC</t>
  </si>
  <si>
    <t>PT - Agriculture, forestry and fishing / useful energy demand</t>
  </si>
  <si>
    <t>UED.ktoe.ktoe.PT.AGR.AGR.LIGHT.GENERIC.ELEC</t>
  </si>
  <si>
    <t>UED.ktoe.ktoe.PT.AGR.AGR.FANS.GENERIC.ELEC</t>
  </si>
  <si>
    <t>UED.ktoe.ktoe.PT.AGR.AGR.MOTOR.GENERIC.ELEC</t>
  </si>
  <si>
    <t>UED.ktoe.ktoe.PT.AGR.AGR.LOW_ENTH.THERM.DIESEL_LIQBIO</t>
  </si>
  <si>
    <t>UED.ktoe.ktoe.PT.AGR.AGR.LOW_ENTH.THERM.NG_BIOGAS</t>
  </si>
  <si>
    <t>UED.ktoe.ktoe.PT.AGR.AGR.LOW_ENTH.THERM.SOLAR_GEO</t>
  </si>
  <si>
    <t>UED.ktoe.ktoe.PT.AGR.AGR.LOW_ENTH.HP.AMBIENT</t>
  </si>
  <si>
    <t>UED.ktoe.ktoe.PT.AGR.AGR.LOW_ENTH.THERM.STEAM_DISTR</t>
  </si>
  <si>
    <t>UED.ktoe.ktoe.PT.AGR.AGR.LOW_ENTH.THERM.ELEC</t>
  </si>
  <si>
    <t>UED.ktoe.ktoe.PT.AGR.AGR.FARM_DRIVES.MECH.DIESEL_LIQBIO</t>
  </si>
  <si>
    <t>UED.ktoe.ktoe.PT.AGR.AGR.HEAT_USE.THERM.SOLIDS</t>
  </si>
  <si>
    <t>UED.ktoe.ktoe.PT.AGR.AGR.HEAT_USE.THERM.LPG</t>
  </si>
  <si>
    <t>UED.ktoe.ktoe.PT.AGR.AGR.HEAT_USE.THERM.DIESEL_LIQBIO</t>
  </si>
  <si>
    <t>UED.ktoe.ktoe.PT.AGR.AGR.HEAT_USE.THERM.RFO</t>
  </si>
  <si>
    <t>UED.ktoe.ktoe.PT.AGR.AGR.HEAT_USE.THERM.NG_BIOGAS</t>
  </si>
  <si>
    <t>UED.ktoe.ktoe.PT.AGR.AGR.HEAT_USE.THERM.BIOMASS_WASTE</t>
  </si>
  <si>
    <t>UED.ktoe.ktoe.PT.AGR.AGR.HEAT_USE.THERM.SOLAR_GEO</t>
  </si>
  <si>
    <t>UED.ktoe.ktoe.PT.AGR.AGR.FARM_PUMP.MECH.DIESEL_LIQBIO</t>
  </si>
  <si>
    <t>UED.ktoe.ktoe.PT.AGR.AGR.FARM_PUMP_ELEC.MECH.ELEC</t>
  </si>
  <si>
    <t>UED.ktoe.ktoe.PT.AGR.AGR.GENERIC.MECH.ELEC</t>
  </si>
  <si>
    <t>PT - Agriculture, forestry and fishing / CO2 emissions</t>
  </si>
  <si>
    <t>FUEL_EMI.ktCO2.ktCO2.PT.AGR.AGR.LIGHT.GENERIC.ELEC</t>
  </si>
  <si>
    <t>FUEL_EMI.ktCO2.ktCO2.PT.AGR.AGR.FANS.GENERIC.ELEC</t>
  </si>
  <si>
    <t>FUEL_EMI.ktCO2.ktCO2.PT.AGR.AGR.MOTOR.GENERIC.ELEC</t>
  </si>
  <si>
    <t>FUEL_EMI.ktCO2.ktCO2.PT.AGR.AGR.LOW_ENTH.THERM.DIESEL_LIQBIO</t>
  </si>
  <si>
    <t>FUEL_EMI.ktCO2.ktCO2.PT.AGR.AGR.LOW_ENTH.THERM.NG_BIOGAS</t>
  </si>
  <si>
    <t>FUEL_EMI.ktCO2.ktCO2.PT.AGR.AGR.LOW_ENTH.THERM.SOLAR_GEO</t>
  </si>
  <si>
    <t>FUEL_EMI.ktCO2.ktCO2.PT.AGR.AGR.LOW_ENTH.HP.AMBIENT</t>
  </si>
  <si>
    <t>FUEL_EMI.ktCO2.ktCO2.PT.AGR.AGR.LOW_ENTH.THERM.STEAM_DISTR</t>
  </si>
  <si>
    <t>FUEL_EMI.ktCO2.ktCO2.PT.AGR.AGR.LOW_ENTH.THERM.ELEC</t>
  </si>
  <si>
    <t>FUEL_EMI.ktCO2.ktCO2.PT.AGR.AGR.FARM_DRIVES.MECH.DIESEL_LIQBIO</t>
  </si>
  <si>
    <t>FUEL_EMI.ktCO2.ktCO2.PT.AGR.AGR.HEAT_USE.THERM.SOLIDS</t>
  </si>
  <si>
    <t>FUEL_EMI.ktCO2.ktCO2.PT.AGR.AGR.HEAT_USE.THERM.LPG</t>
  </si>
  <si>
    <t>FUEL_EMI.ktCO2.ktCO2.PT.AGR.AGR.HEAT_USE.THERM.DIESEL_LIQBIO</t>
  </si>
  <si>
    <t>FUEL_EMI.ktCO2.ktCO2.PT.AGR.AGR.HEAT_USE.THERM.RFO</t>
  </si>
  <si>
    <t>FUEL_EMI.ktCO2.ktCO2.PT.AGR.AGR.HEAT_USE.THERM.NG_BIOGAS</t>
  </si>
  <si>
    <t>FUEL_EMI.ktCO2.ktCO2.PT.AGR.AGR.HEAT_USE.THERM.BIOMASS_WASTE</t>
  </si>
  <si>
    <t>FUEL_EMI.ktCO2.ktCO2.PT.AGR.AGR.HEAT_USE.THERM.SOLAR_GEO</t>
  </si>
  <si>
    <t>FUEL_EMI.ktCO2.ktCO2.PT.AGR.AGR.FARM_PUMP.MECH.DIESEL_LIQBIO</t>
  </si>
  <si>
    <t>FUEL_EMI.ktCO2.ktCO2.PT.AGR.AGR.FARM_PUMP_ELEC.MECH.ELEC</t>
  </si>
  <si>
    <t>FUEL_EMI.ktCO2.ktCO2.PT.AGR.AGR.GENERIC.MECH.ELEC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</si>
</sst>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45967.479097222225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10249022</v>
      </c>
      <c r="C3" s="34">
        <v>10330774</v>
      </c>
      <c r="D3" s="34">
        <v>10394669</v>
      </c>
      <c r="E3" s="34">
        <v>10444592</v>
      </c>
      <c r="F3" s="34">
        <v>10473050</v>
      </c>
      <c r="G3" s="34">
        <v>10494672</v>
      </c>
      <c r="H3" s="34">
        <v>10511988</v>
      </c>
      <c r="I3" s="34">
        <v>10532588</v>
      </c>
      <c r="J3" s="34">
        <v>10553339</v>
      </c>
      <c r="K3" s="34">
        <v>10563014</v>
      </c>
      <c r="L3" s="34">
        <v>10573479</v>
      </c>
      <c r="M3" s="34">
        <v>10572721</v>
      </c>
      <c r="N3" s="34">
        <v>10558950</v>
      </c>
      <c r="O3" s="34">
        <v>10503889</v>
      </c>
      <c r="P3" s="34">
        <v>10444092</v>
      </c>
      <c r="Q3" s="34">
        <v>10395121</v>
      </c>
      <c r="R3" s="34">
        <v>10368554</v>
      </c>
      <c r="S3" s="34">
        <v>10344478</v>
      </c>
      <c r="T3" s="34">
        <v>10335770</v>
      </c>
      <c r="U3" s="34">
        <v>10333496</v>
      </c>
      <c r="V3" s="34">
        <v>10375395</v>
      </c>
      <c r="W3" s="34">
        <v>10394297</v>
      </c>
      <c r="X3" s="34">
        <v>10421117</v>
      </c>
      <c r="Y3" s="34">
        <v>10516621</v>
      </c>
      <c r="DA3" s="88" t="s">
        <v>188</v>
      </c>
    </row>
    <row r="4" spans="1:105" ht="12" customHeight="1" x14ac:dyDescent="0.25">
      <c r="A4" s="35" t="s">
        <v>178</v>
      </c>
      <c r="B4" s="36">
        <v>220809.78622152141</v>
      </c>
      <c r="C4" s="36">
        <v>225100.5642349734</v>
      </c>
      <c r="D4" s="36">
        <v>226835.19245487134</v>
      </c>
      <c r="E4" s="36">
        <v>224725.58584512098</v>
      </c>
      <c r="F4" s="36">
        <v>228745.11960281263</v>
      </c>
      <c r="G4" s="36">
        <v>230533.63564449758</v>
      </c>
      <c r="H4" s="36">
        <v>234278.60048569101</v>
      </c>
      <c r="I4" s="36">
        <v>240153.16505934155</v>
      </c>
      <c r="J4" s="36">
        <v>240917.81602330972</v>
      </c>
      <c r="K4" s="36">
        <v>233397.72905858842</v>
      </c>
      <c r="L4" s="36">
        <v>237452.370609723</v>
      </c>
      <c r="M4" s="36">
        <v>233384.63325101507</v>
      </c>
      <c r="N4" s="36">
        <v>223928.85843390576</v>
      </c>
      <c r="O4" s="36">
        <v>221725.78151792131</v>
      </c>
      <c r="P4" s="36">
        <v>223370.66968952332</v>
      </c>
      <c r="Q4" s="36">
        <v>226921.001938</v>
      </c>
      <c r="R4" s="36">
        <v>231468.96799143872</v>
      </c>
      <c r="S4" s="36">
        <v>239140.62849103127</v>
      </c>
      <c r="T4" s="36">
        <v>246187.85165100163</v>
      </c>
      <c r="U4" s="36">
        <v>252947.78589435213</v>
      </c>
      <c r="V4" s="36">
        <v>232194.07178545991</v>
      </c>
      <c r="W4" s="36">
        <v>245101.17325516869</v>
      </c>
      <c r="X4" s="36">
        <v>262222.32104382111</v>
      </c>
      <c r="Y4" s="36">
        <v>270352.59999999998</v>
      </c>
      <c r="DA4" s="89" t="s">
        <v>189</v>
      </c>
    </row>
    <row r="5" spans="1:105" ht="12" customHeight="1" x14ac:dyDescent="0.25">
      <c r="A5" s="35" t="s">
        <v>179</v>
      </c>
      <c r="B5" s="36">
        <v>131649.89312415672</v>
      </c>
      <c r="C5" s="36">
        <v>135677.54067865908</v>
      </c>
      <c r="D5" s="36">
        <v>138441.88994485448</v>
      </c>
      <c r="E5" s="36">
        <v>139525.19922932383</v>
      </c>
      <c r="F5" s="36">
        <v>142871.9590831052</v>
      </c>
      <c r="G5" s="36">
        <v>145697.67431291472</v>
      </c>
      <c r="H5" s="36">
        <v>148584.29014712831</v>
      </c>
      <c r="I5" s="36">
        <v>153572.95661684757</v>
      </c>
      <c r="J5" s="36">
        <v>156792.02104361969</v>
      </c>
      <c r="K5" s="36">
        <v>154951.24889170614</v>
      </c>
      <c r="L5" s="36">
        <v>157017.91396220247</v>
      </c>
      <c r="M5" s="36">
        <v>156993.05487357581</v>
      </c>
      <c r="N5" s="36">
        <v>152404.16100282737</v>
      </c>
      <c r="O5" s="36">
        <v>151687.7706919825</v>
      </c>
      <c r="P5" s="36">
        <v>151716.45538785204</v>
      </c>
      <c r="Q5" s="36">
        <v>152143.560872</v>
      </c>
      <c r="R5" s="36">
        <v>155019.10200058896</v>
      </c>
      <c r="S5" s="36">
        <v>160041.37002683617</v>
      </c>
      <c r="T5" s="36">
        <v>164368.38563140784</v>
      </c>
      <c r="U5" s="36">
        <v>169967.6750524361</v>
      </c>
      <c r="V5" s="36">
        <v>156005.8470183381</v>
      </c>
      <c r="W5" s="36">
        <v>164134.10690207468</v>
      </c>
      <c r="X5" s="36">
        <v>178201.55851505668</v>
      </c>
      <c r="Y5" s="36">
        <v>182307.30542577934</v>
      </c>
      <c r="DA5" s="89" t="s">
        <v>190</v>
      </c>
    </row>
    <row r="6" spans="1:105" ht="12" customHeight="1" x14ac:dyDescent="0.25">
      <c r="A6" s="37" t="s">
        <v>70</v>
      </c>
      <c r="B6" s="38">
        <v>2793020.0000000005</v>
      </c>
      <c r="C6" s="38">
        <v>2883160</v>
      </c>
      <c r="D6" s="38">
        <v>2926630</v>
      </c>
      <c r="E6" s="38">
        <v>2945620.0000000005</v>
      </c>
      <c r="F6" s="38">
        <v>3000470.0000000005</v>
      </c>
      <c r="G6" s="38">
        <v>3043399.9999999995</v>
      </c>
      <c r="H6" s="38">
        <v>3089080</v>
      </c>
      <c r="I6" s="38">
        <v>3115299.9999999995</v>
      </c>
      <c r="J6" s="38">
        <v>3179709.9999999995</v>
      </c>
      <c r="K6" s="38">
        <v>3166379.9999999995</v>
      </c>
      <c r="L6" s="38">
        <v>3162890.0000000005</v>
      </c>
      <c r="M6" s="38">
        <v>3156260</v>
      </c>
      <c r="N6" s="38">
        <v>3075500</v>
      </c>
      <c r="O6" s="38">
        <v>3026319.9999999995</v>
      </c>
      <c r="P6" s="38">
        <v>3124470</v>
      </c>
      <c r="Q6" s="38">
        <v>3198610</v>
      </c>
      <c r="R6" s="38">
        <v>3291700</v>
      </c>
      <c r="S6" s="38">
        <v>3424700.0000000005</v>
      </c>
      <c r="T6" s="38">
        <v>3521750.0000000005</v>
      </c>
      <c r="U6" s="38">
        <v>3589320</v>
      </c>
      <c r="V6" s="38">
        <v>3512820</v>
      </c>
      <c r="W6" s="38">
        <v>3573990</v>
      </c>
      <c r="X6" s="38">
        <v>3736410.0000000005</v>
      </c>
      <c r="Y6" s="38">
        <v>3814912.0998851676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160632.62150341421</v>
      </c>
      <c r="C8" s="34">
        <v>166267.1404075743</v>
      </c>
      <c r="D8" s="34">
        <v>168766.27711969285</v>
      </c>
      <c r="E8" s="34">
        <v>170423.3354313313</v>
      </c>
      <c r="F8" s="34">
        <v>173372.03545299495</v>
      </c>
      <c r="G8" s="34">
        <v>176760.22585694998</v>
      </c>
      <c r="H8" s="34">
        <v>181008.06536802655</v>
      </c>
      <c r="I8" s="34">
        <v>184652.02844287755</v>
      </c>
      <c r="J8" s="34">
        <v>186734.77109447692</v>
      </c>
      <c r="K8" s="34">
        <v>187590.41879868039</v>
      </c>
      <c r="L8" s="34">
        <v>188342.74917965915</v>
      </c>
      <c r="M8" s="34">
        <v>189109.83803155232</v>
      </c>
      <c r="N8" s="34">
        <v>189333.34340326636</v>
      </c>
      <c r="O8" s="34">
        <v>190184.70936700961</v>
      </c>
      <c r="P8" s="34">
        <v>191565.01284622177</v>
      </c>
      <c r="Q8" s="34">
        <v>192841.65349043626</v>
      </c>
      <c r="R8" s="34">
        <v>194012.04100112666</v>
      </c>
      <c r="S8" s="34">
        <v>195693.71802547251</v>
      </c>
      <c r="T8" s="34">
        <v>197261.37881119319</v>
      </c>
      <c r="U8" s="34">
        <v>198695.3007043555</v>
      </c>
      <c r="V8" s="34">
        <v>199955.72222222222</v>
      </c>
      <c r="W8" s="34">
        <v>201047.31590284751</v>
      </c>
      <c r="X8" s="34">
        <v>202049.22611556764</v>
      </c>
      <c r="Y8" s="34">
        <v>203000.44257414498</v>
      </c>
      <c r="DA8" s="88" t="s">
        <v>192</v>
      </c>
    </row>
    <row r="9" spans="1:105" ht="12" customHeight="1" x14ac:dyDescent="0.25">
      <c r="A9" s="39" t="s">
        <v>68</v>
      </c>
      <c r="B9" s="40">
        <v>144569.3593530728</v>
      </c>
      <c r="C9" s="40">
        <v>149640.42636681689</v>
      </c>
      <c r="D9" s="40">
        <v>151889.64940772357</v>
      </c>
      <c r="E9" s="40">
        <v>153381.00188819817</v>
      </c>
      <c r="F9" s="40">
        <v>156034.83190769548</v>
      </c>
      <c r="G9" s="40">
        <v>159084.20327125498</v>
      </c>
      <c r="H9" s="40">
        <v>162907.25883122391</v>
      </c>
      <c r="I9" s="40">
        <v>166186.82559858978</v>
      </c>
      <c r="J9" s="40">
        <v>168061.29398502922</v>
      </c>
      <c r="K9" s="40">
        <v>168831.37691881234</v>
      </c>
      <c r="L9" s="40">
        <v>169508.47426169322</v>
      </c>
      <c r="M9" s="40">
        <v>170198.8542283971</v>
      </c>
      <c r="N9" s="40">
        <v>170400.00906293973</v>
      </c>
      <c r="O9" s="40">
        <v>171166.23843030864</v>
      </c>
      <c r="P9" s="40">
        <v>172408.51156159959</v>
      </c>
      <c r="Q9" s="40">
        <v>173557.48814139265</v>
      </c>
      <c r="R9" s="40">
        <v>174610.836901014</v>
      </c>
      <c r="S9" s="40">
        <v>176124.34622292526</v>
      </c>
      <c r="T9" s="40">
        <v>177535.24093007387</v>
      </c>
      <c r="U9" s="40">
        <v>178825.77063391995</v>
      </c>
      <c r="V9" s="40">
        <v>179960.15</v>
      </c>
      <c r="W9" s="40">
        <v>180942.58431256277</v>
      </c>
      <c r="X9" s="40">
        <v>181844.3035040109</v>
      </c>
      <c r="Y9" s="40">
        <v>182700.39831673048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6276.7996633431831</v>
      </c>
      <c r="D10" s="41">
        <v>3164.2164840515688</v>
      </c>
      <c r="E10" s="41">
        <v>2331.9090890356788</v>
      </c>
      <c r="F10" s="41">
        <v>3630.7162030680438</v>
      </c>
      <c r="G10" s="41">
        <v>4081.9317919164655</v>
      </c>
      <c r="H10" s="41">
        <v>4954.6089063236968</v>
      </c>
      <c r="I10" s="41">
        <v>4368.3202799337332</v>
      </c>
      <c r="J10" s="41">
        <v>2821.4306646964042</v>
      </c>
      <c r="K10" s="41">
        <v>1602.8039220361229</v>
      </c>
      <c r="L10" s="41">
        <v>1502.7436006328114</v>
      </c>
      <c r="M10" s="41">
        <v>1520.759073368703</v>
      </c>
      <c r="N10" s="41">
        <v>979.78119464667441</v>
      </c>
      <c r="O10" s="41">
        <v>1608.9445874043599</v>
      </c>
      <c r="P10" s="41">
        <v>2141.1391046948734</v>
      </c>
      <c r="Q10" s="41">
        <v>2042.6874726113992</v>
      </c>
      <c r="R10" s="41">
        <v>2154.2734978864564</v>
      </c>
      <c r="S10" s="41">
        <v>2671.5343763923861</v>
      </c>
      <c r="T10" s="41">
        <v>2566.0981225853502</v>
      </c>
      <c r="U10" s="41">
        <v>2440.3574993418474</v>
      </c>
      <c r="V10" s="41">
        <v>2274.173052072626</v>
      </c>
      <c r="W10" s="41">
        <v>2111.7759368610732</v>
      </c>
      <c r="X10" s="41">
        <v>2027.6618244693911</v>
      </c>
      <c r="Y10" s="41">
        <v>1982.0798571261046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5649.119697008864</v>
      </c>
      <c r="D11" s="42">
        <v>2847.7948356464117</v>
      </c>
      <c r="E11" s="42">
        <v>2098.7181801321108</v>
      </c>
      <c r="F11" s="42">
        <v>3267.6445827612397</v>
      </c>
      <c r="G11" s="42">
        <v>3673.7386127248192</v>
      </c>
      <c r="H11" s="42">
        <v>4459.1480156913267</v>
      </c>
      <c r="I11" s="42">
        <v>3931.4882519403595</v>
      </c>
      <c r="J11" s="42">
        <v>2539.2875982267637</v>
      </c>
      <c r="K11" s="42">
        <v>1442.5235298325106</v>
      </c>
      <c r="L11" s="42">
        <v>1352.4692405695303</v>
      </c>
      <c r="M11" s="42">
        <v>1368.6831660318326</v>
      </c>
      <c r="N11" s="42">
        <v>881.80307518200709</v>
      </c>
      <c r="O11" s="42">
        <v>1448.0501286639237</v>
      </c>
      <c r="P11" s="42">
        <v>1927.0251942253863</v>
      </c>
      <c r="Q11" s="42">
        <v>1838.4187253502594</v>
      </c>
      <c r="R11" s="42">
        <v>1938.8461480978108</v>
      </c>
      <c r="S11" s="42">
        <v>2404.3809387531473</v>
      </c>
      <c r="T11" s="42">
        <v>2309.4883103268148</v>
      </c>
      <c r="U11" s="42">
        <v>2196.321749407663</v>
      </c>
      <c r="V11" s="42">
        <v>2046.7557468653633</v>
      </c>
      <c r="W11" s="42">
        <v>1900.598343174966</v>
      </c>
      <c r="X11" s="42">
        <v>1824.895642022452</v>
      </c>
      <c r="Y11" s="42">
        <v>1783.8718714134943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1263.95</v>
      </c>
      <c r="C13" s="43">
        <v>1246.56</v>
      </c>
      <c r="D13" s="43">
        <v>1137.33</v>
      </c>
      <c r="E13" s="43">
        <v>1220.4000000000001</v>
      </c>
      <c r="F13" s="43">
        <v>1344.48</v>
      </c>
      <c r="G13" s="43">
        <v>1338.02</v>
      </c>
      <c r="H13" s="43">
        <v>1189.3</v>
      </c>
      <c r="I13" s="43">
        <v>1236.5999999999999</v>
      </c>
      <c r="J13" s="43">
        <v>1267.83</v>
      </c>
      <c r="K13" s="43">
        <v>1153.8499999999999</v>
      </c>
      <c r="L13" s="43">
        <v>1298.28</v>
      </c>
      <c r="M13" s="43">
        <v>1089.29</v>
      </c>
      <c r="N13" s="43">
        <v>1347.73</v>
      </c>
      <c r="O13" s="43">
        <v>1336.17</v>
      </c>
      <c r="P13" s="43">
        <v>1138.56</v>
      </c>
      <c r="Q13" s="43">
        <v>1080.28</v>
      </c>
      <c r="R13" s="43">
        <v>1233.04</v>
      </c>
      <c r="S13" s="43">
        <v>1054.83</v>
      </c>
      <c r="T13" s="43">
        <v>1307.33</v>
      </c>
      <c r="U13" s="43">
        <v>1109.07</v>
      </c>
      <c r="V13" s="43">
        <v>1010.1</v>
      </c>
      <c r="W13" s="43">
        <v>1064.78</v>
      </c>
      <c r="X13" s="43">
        <v>967.92</v>
      </c>
      <c r="Y13" s="43">
        <v>1046.75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1209.6666666666667</v>
      </c>
      <c r="C14" s="44">
        <f t="shared" ref="C14:Y14" si="0">AVERAGE($B$13:$V$13)</f>
        <v>1209.6666666666667</v>
      </c>
      <c r="D14" s="44">
        <f t="shared" si="0"/>
        <v>1209.6666666666667</v>
      </c>
      <c r="E14" s="44">
        <f t="shared" si="0"/>
        <v>1209.6666666666667</v>
      </c>
      <c r="F14" s="44">
        <f t="shared" si="0"/>
        <v>1209.6666666666667</v>
      </c>
      <c r="G14" s="44">
        <f t="shared" si="0"/>
        <v>1209.6666666666667</v>
      </c>
      <c r="H14" s="44">
        <f t="shared" si="0"/>
        <v>1209.6666666666667</v>
      </c>
      <c r="I14" s="44">
        <f t="shared" si="0"/>
        <v>1209.6666666666667</v>
      </c>
      <c r="J14" s="44">
        <f t="shared" si="0"/>
        <v>1209.6666666666667</v>
      </c>
      <c r="K14" s="44">
        <f t="shared" si="0"/>
        <v>1209.6666666666667</v>
      </c>
      <c r="L14" s="44">
        <f t="shared" si="0"/>
        <v>1209.6666666666667</v>
      </c>
      <c r="M14" s="44">
        <f t="shared" si="0"/>
        <v>1209.6666666666667</v>
      </c>
      <c r="N14" s="44">
        <f t="shared" si="0"/>
        <v>1209.6666666666667</v>
      </c>
      <c r="O14" s="44">
        <f t="shared" si="0"/>
        <v>1209.6666666666667</v>
      </c>
      <c r="P14" s="44">
        <f t="shared" si="0"/>
        <v>1209.6666666666667</v>
      </c>
      <c r="Q14" s="44">
        <f t="shared" si="0"/>
        <v>1209.6666666666667</v>
      </c>
      <c r="R14" s="44">
        <f t="shared" si="0"/>
        <v>1209.6666666666667</v>
      </c>
      <c r="S14" s="44">
        <f t="shared" si="0"/>
        <v>1209.6666666666667</v>
      </c>
      <c r="T14" s="44">
        <f t="shared" si="0"/>
        <v>1209.6666666666667</v>
      </c>
      <c r="U14" s="44">
        <f t="shared" si="0"/>
        <v>1209.6666666666667</v>
      </c>
      <c r="V14" s="44">
        <f t="shared" si="0"/>
        <v>1209.6666666666667</v>
      </c>
      <c r="W14" s="44">
        <f t="shared" si="0"/>
        <v>1209.6666666666667</v>
      </c>
      <c r="X14" s="44">
        <f t="shared" si="0"/>
        <v>1209.6666666666667</v>
      </c>
      <c r="Y14" s="44">
        <f t="shared" si="0"/>
        <v>1209.6666666666667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1.0448746211077431</v>
      </c>
      <c r="C15" s="46">
        <f t="shared" ref="C15:W15" si="1">C13/C14</f>
        <v>1.0304987599889777</v>
      </c>
      <c r="D15" s="46">
        <f t="shared" si="1"/>
        <v>0.94020115734362075</v>
      </c>
      <c r="E15" s="46">
        <f t="shared" si="1"/>
        <v>1.0088729677597135</v>
      </c>
      <c r="F15" s="46">
        <f t="shared" si="1"/>
        <v>1.1114466795260403</v>
      </c>
      <c r="G15" s="46">
        <f t="shared" si="1"/>
        <v>1.1061063653899146</v>
      </c>
      <c r="H15" s="46">
        <f t="shared" si="1"/>
        <v>0.98316340589694118</v>
      </c>
      <c r="I15" s="46">
        <f t="shared" si="1"/>
        <v>1.0222650868007714</v>
      </c>
      <c r="J15" s="46">
        <f t="shared" si="1"/>
        <v>1.0480821162854779</v>
      </c>
      <c r="K15" s="46">
        <f t="shared" si="1"/>
        <v>0.95385781206944054</v>
      </c>
      <c r="L15" s="46">
        <f t="shared" si="1"/>
        <v>1.0732543400385781</v>
      </c>
      <c r="M15" s="46">
        <f t="shared" si="1"/>
        <v>0.90048773766877921</v>
      </c>
      <c r="N15" s="46">
        <f t="shared" si="1"/>
        <v>1.1141333700744005</v>
      </c>
      <c r="O15" s="46">
        <f t="shared" si="1"/>
        <v>1.1045770184623864</v>
      </c>
      <c r="P15" s="46">
        <f t="shared" si="1"/>
        <v>0.94121796638192334</v>
      </c>
      <c r="Q15" s="46">
        <f t="shared" si="1"/>
        <v>0.89303940479470922</v>
      </c>
      <c r="R15" s="46">
        <f t="shared" si="1"/>
        <v>1.0193221273077981</v>
      </c>
      <c r="S15" s="46">
        <f t="shared" si="1"/>
        <v>0.87200055111600983</v>
      </c>
      <c r="T15" s="46">
        <f t="shared" si="1"/>
        <v>1.0807357398732431</v>
      </c>
      <c r="U15" s="46">
        <f t="shared" si="1"/>
        <v>0.91683934968310821</v>
      </c>
      <c r="V15" s="46">
        <f t="shared" si="1"/>
        <v>0.8350234224304216</v>
      </c>
      <c r="W15" s="46">
        <f t="shared" si="1"/>
        <v>0.88022595756406719</v>
      </c>
      <c r="X15" s="46">
        <f t="shared" ref="X15:Y15" si="2">X13/X14</f>
        <v>0.80015431248277757</v>
      </c>
      <c r="Y15" s="46">
        <f t="shared" si="2"/>
        <v>0.86532102507577835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21544.473826041296</v>
      </c>
      <c r="C19" s="34">
        <f t="shared" si="3"/>
        <v>21789.322294241785</v>
      </c>
      <c r="D19" s="34">
        <f t="shared" ref="D19:W19" si="4">D4*1000000/D3</f>
        <v>21822.262205258419</v>
      </c>
      <c r="E19" s="34">
        <f t="shared" si="4"/>
        <v>21515.975525431819</v>
      </c>
      <c r="F19" s="34">
        <f t="shared" si="4"/>
        <v>21841.30884535189</v>
      </c>
      <c r="G19" s="34">
        <f t="shared" si="4"/>
        <v>21966.730893971493</v>
      </c>
      <c r="H19" s="34">
        <f t="shared" si="4"/>
        <v>22286.802504501622</v>
      </c>
      <c r="I19" s="34">
        <f t="shared" si="4"/>
        <v>22800.964497931709</v>
      </c>
      <c r="J19" s="34">
        <f t="shared" si="4"/>
        <v>22828.586859884792</v>
      </c>
      <c r="K19" s="34">
        <f t="shared" si="4"/>
        <v>22095.751180353298</v>
      </c>
      <c r="L19" s="34">
        <f t="shared" si="4"/>
        <v>22457.354916931599</v>
      </c>
      <c r="M19" s="34">
        <f t="shared" si="4"/>
        <v>22074.226043703893</v>
      </c>
      <c r="N19" s="34">
        <f t="shared" si="4"/>
        <v>21207.493020982747</v>
      </c>
      <c r="O19" s="34">
        <f t="shared" si="4"/>
        <v>21108.922754031511</v>
      </c>
      <c r="P19" s="34">
        <f t="shared" si="4"/>
        <v>21387.27518768729</v>
      </c>
      <c r="Q19" s="34">
        <f t="shared" si="4"/>
        <v>21829.568115464939</v>
      </c>
      <c r="R19" s="34">
        <f t="shared" si="4"/>
        <v>22324.131985177366</v>
      </c>
      <c r="S19" s="34">
        <f t="shared" si="4"/>
        <v>23117.708645233841</v>
      </c>
      <c r="T19" s="34">
        <f t="shared" si="4"/>
        <v>23819.014127733266</v>
      </c>
      <c r="U19" s="34">
        <f t="shared" si="4"/>
        <v>24478.432651868461</v>
      </c>
      <c r="V19" s="34">
        <f t="shared" si="4"/>
        <v>22379.299466233326</v>
      </c>
      <c r="W19" s="34">
        <f t="shared" si="4"/>
        <v>23580.351153634412</v>
      </c>
      <c r="X19" s="34">
        <f t="shared" ref="X19:Y19" si="5">X4*1000000/X3</f>
        <v>25162.592555464169</v>
      </c>
      <c r="Y19" s="34">
        <f t="shared" si="5"/>
        <v>25707.173435269749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47135.320593535565</v>
      </c>
      <c r="C20" s="36">
        <f t="shared" si="6"/>
        <v>47058.62341273432</v>
      </c>
      <c r="D20" s="36">
        <f t="shared" ref="D20:W20" si="7">D5*1000000/D6</f>
        <v>47304.199692087655</v>
      </c>
      <c r="E20" s="36">
        <f t="shared" si="7"/>
        <v>47367.005665810189</v>
      </c>
      <c r="F20" s="36">
        <f t="shared" si="7"/>
        <v>47616.526438559682</v>
      </c>
      <c r="G20" s="36">
        <f t="shared" si="7"/>
        <v>47873.324016860999</v>
      </c>
      <c r="H20" s="36">
        <f t="shared" si="7"/>
        <v>48099.85178342041</v>
      </c>
      <c r="I20" s="36">
        <f t="shared" si="7"/>
        <v>49296.362025117189</v>
      </c>
      <c r="J20" s="36">
        <f t="shared" si="7"/>
        <v>49310.163833689148</v>
      </c>
      <c r="K20" s="36">
        <f t="shared" si="7"/>
        <v>48936.40336652776</v>
      </c>
      <c r="L20" s="36">
        <f t="shared" si="7"/>
        <v>49643.811186036328</v>
      </c>
      <c r="M20" s="36">
        <f t="shared" si="7"/>
        <v>49740.216228566656</v>
      </c>
      <c r="N20" s="36">
        <f t="shared" si="7"/>
        <v>49554.271176337948</v>
      </c>
      <c r="O20" s="36">
        <f t="shared" si="7"/>
        <v>50122.845796869646</v>
      </c>
      <c r="P20" s="36">
        <f t="shared" si="7"/>
        <v>48557.501076295193</v>
      </c>
      <c r="Q20" s="36">
        <f t="shared" si="7"/>
        <v>47565.524047007922</v>
      </c>
      <c r="R20" s="36">
        <f t="shared" si="7"/>
        <v>47093.933833760355</v>
      </c>
      <c r="S20" s="36">
        <f t="shared" si="7"/>
        <v>46731.500577229002</v>
      </c>
      <c r="T20" s="36">
        <f t="shared" si="7"/>
        <v>46672.36051150928</v>
      </c>
      <c r="U20" s="36">
        <f t="shared" si="7"/>
        <v>47353.725789964701</v>
      </c>
      <c r="V20" s="36">
        <f t="shared" si="7"/>
        <v>44410.430087034947</v>
      </c>
      <c r="W20" s="36">
        <f t="shared" si="7"/>
        <v>45924.612800280549</v>
      </c>
      <c r="X20" s="36">
        <f t="shared" ref="X20:Y20" si="8">X5*1000000/X6</f>
        <v>47693.255963627293</v>
      </c>
      <c r="Y20" s="36">
        <f t="shared" si="8"/>
        <v>47788.074968035813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12845.117624311541</v>
      </c>
      <c r="C21" s="36">
        <f t="shared" si="9"/>
        <v>13133.337412923665</v>
      </c>
      <c r="D21" s="36">
        <f t="shared" ref="D21:W21" si="10">D5*1000000/D3</f>
        <v>13318.547223086613</v>
      </c>
      <c r="E21" s="36">
        <f t="shared" si="10"/>
        <v>13358.606945041398</v>
      </c>
      <c r="F21" s="36">
        <f t="shared" si="10"/>
        <v>13641.8673722655</v>
      </c>
      <c r="G21" s="36">
        <f t="shared" si="10"/>
        <v>13883.013619950651</v>
      </c>
      <c r="H21" s="36">
        <f t="shared" si="10"/>
        <v>14134.746933418144</v>
      </c>
      <c r="I21" s="36">
        <f t="shared" si="10"/>
        <v>14580.742797197381</v>
      </c>
      <c r="J21" s="36">
        <f t="shared" si="10"/>
        <v>14857.100775746869</v>
      </c>
      <c r="K21" s="36">
        <f t="shared" si="10"/>
        <v>14669.226878967134</v>
      </c>
      <c r="L21" s="36">
        <f t="shared" si="10"/>
        <v>14850.165585253677</v>
      </c>
      <c r="M21" s="36">
        <f t="shared" si="10"/>
        <v>14848.879004144326</v>
      </c>
      <c r="N21" s="36">
        <f t="shared" si="10"/>
        <v>14433.64737997882</v>
      </c>
      <c r="O21" s="36">
        <f t="shared" si="10"/>
        <v>14441.105641156577</v>
      </c>
      <c r="P21" s="36">
        <f t="shared" si="10"/>
        <v>14526.533794211316</v>
      </c>
      <c r="Q21" s="36">
        <f t="shared" si="10"/>
        <v>14636.054825335848</v>
      </c>
      <c r="R21" s="36">
        <f t="shared" si="10"/>
        <v>14950.889198299874</v>
      </c>
      <c r="S21" s="36">
        <f t="shared" si="10"/>
        <v>15471.188592293993</v>
      </c>
      <c r="T21" s="36">
        <f t="shared" si="10"/>
        <v>15902.867965464386</v>
      </c>
      <c r="U21" s="36">
        <f t="shared" si="10"/>
        <v>16448.225755585147</v>
      </c>
      <c r="V21" s="36">
        <f t="shared" si="10"/>
        <v>15036.135686240197</v>
      </c>
      <c r="W21" s="36">
        <f t="shared" si="10"/>
        <v>15790.784783432173</v>
      </c>
      <c r="X21" s="36">
        <f t="shared" ref="X21:Y21" si="11">X5*1000000/X3</f>
        <v>17100.043931476506</v>
      </c>
      <c r="Y21" s="36">
        <f t="shared" si="11"/>
        <v>17335.159784286163</v>
      </c>
      <c r="DA21" s="89"/>
    </row>
    <row r="22" spans="1:105" ht="12" customHeight="1" x14ac:dyDescent="0.25">
      <c r="A22" s="51" t="s">
        <v>148</v>
      </c>
      <c r="B22" s="52">
        <v>0.7008534938415395</v>
      </c>
      <c r="C22" s="52">
        <v>0.69870887445419805</v>
      </c>
      <c r="D22" s="52">
        <v>0.6945479694833131</v>
      </c>
      <c r="E22" s="52">
        <v>0.68902423142268254</v>
      </c>
      <c r="F22" s="52">
        <v>0.68768050852418228</v>
      </c>
      <c r="G22" s="52">
        <v>0.68505540721085156</v>
      </c>
      <c r="H22" s="52">
        <v>0.67674919449098236</v>
      </c>
      <c r="I22" s="52">
        <v>0.67734895895172564</v>
      </c>
      <c r="J22" s="52">
        <v>0.68101550638955777</v>
      </c>
      <c r="K22" s="52">
        <v>0.68796414359310987</v>
      </c>
      <c r="L22" s="52">
        <v>0.68612834427132452</v>
      </c>
      <c r="M22" s="52">
        <v>0.67255485628794842</v>
      </c>
      <c r="N22" s="52">
        <v>0.65582647179975084</v>
      </c>
      <c r="O22" s="52">
        <v>0.65238942830233515</v>
      </c>
      <c r="P22" s="52">
        <v>0.64557729475735903</v>
      </c>
      <c r="Q22" s="52">
        <v>0.63981120526991486</v>
      </c>
      <c r="R22" s="52">
        <v>0.64275651065783512</v>
      </c>
      <c r="S22" s="52">
        <v>0.64771535716906337</v>
      </c>
      <c r="T22" s="52">
        <v>0.65173236197431406</v>
      </c>
      <c r="U22" s="52">
        <v>0.66154353525561693</v>
      </c>
      <c r="V22" s="52">
        <v>0.63896240347939626</v>
      </c>
      <c r="W22" s="52">
        <v>0.63229430708713696</v>
      </c>
      <c r="X22" s="52">
        <v>0.6640511407757459</v>
      </c>
      <c r="Y22" s="52">
        <v>0.67161504698400665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17.387626335542532</v>
      </c>
      <c r="C23" s="53">
        <f t="shared" si="12"/>
        <v>17.34052797764156</v>
      </c>
      <c r="D23" s="53">
        <f t="shared" ref="D23:W23" si="13">D6/D8</f>
        <v>17.341319900802031</v>
      </c>
      <c r="E23" s="53">
        <f t="shared" si="13"/>
        <v>17.284135371161536</v>
      </c>
      <c r="F23" s="53">
        <f t="shared" si="13"/>
        <v>17.306539616727839</v>
      </c>
      <c r="G23" s="53">
        <f t="shared" si="13"/>
        <v>17.217674311318138</v>
      </c>
      <c r="H23" s="53">
        <f t="shared" si="13"/>
        <v>17.065979870671875</v>
      </c>
      <c r="I23" s="53">
        <f t="shared" si="13"/>
        <v>16.871192947461843</v>
      </c>
      <c r="J23" s="53">
        <f t="shared" si="13"/>
        <v>17.02794815000604</v>
      </c>
      <c r="K23" s="53">
        <f t="shared" si="13"/>
        <v>16.879220272961369</v>
      </c>
      <c r="L23" s="53">
        <f t="shared" si="13"/>
        <v>16.79326660450802</v>
      </c>
      <c r="M23" s="53">
        <f t="shared" si="13"/>
        <v>16.690088854464509</v>
      </c>
      <c r="N23" s="53">
        <f t="shared" si="13"/>
        <v>16.243837164219968</v>
      </c>
      <c r="O23" s="53">
        <f t="shared" si="13"/>
        <v>15.912530560803118</v>
      </c>
      <c r="P23" s="53">
        <f t="shared" si="13"/>
        <v>16.310233030434208</v>
      </c>
      <c r="Q23" s="53">
        <f t="shared" si="13"/>
        <v>16.586717351283397</v>
      </c>
      <c r="R23" s="53">
        <f t="shared" si="13"/>
        <v>16.966472714860437</v>
      </c>
      <c r="S23" s="53">
        <f t="shared" si="13"/>
        <v>17.500306267134359</v>
      </c>
      <c r="T23" s="53">
        <f t="shared" si="13"/>
        <v>17.853215977826096</v>
      </c>
      <c r="U23" s="53">
        <f t="shared" si="13"/>
        <v>18.064443332460357</v>
      </c>
      <c r="V23" s="53">
        <f t="shared" si="13"/>
        <v>17.567989357643899</v>
      </c>
      <c r="W23" s="53">
        <f t="shared" si="13"/>
        <v>17.776860058788682</v>
      </c>
      <c r="X23" s="53">
        <f t="shared" ref="X23:Y23" si="14">X6/X8</f>
        <v>18.492572685543756</v>
      </c>
      <c r="Y23" s="53">
        <f t="shared" si="14"/>
        <v>18.792629471690873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14.105673629451941</v>
      </c>
      <c r="C24" s="54">
        <f t="shared" si="15"/>
        <v>14.484919171285412</v>
      </c>
      <c r="D24" s="54">
        <f t="shared" ref="D24:W24" si="16">D9*1000/D3</f>
        <v>14.612264171925395</v>
      </c>
      <c r="E24" s="54">
        <f t="shared" si="16"/>
        <v>14.685207606788103</v>
      </c>
      <c r="F24" s="54">
        <f t="shared" si="16"/>
        <v>14.898700178810898</v>
      </c>
      <c r="G24" s="54">
        <f t="shared" si="16"/>
        <v>15.158568392728709</v>
      </c>
      <c r="H24" s="54">
        <f t="shared" si="16"/>
        <v>15.497283561513189</v>
      </c>
      <c r="I24" s="54">
        <f t="shared" si="16"/>
        <v>15.778346746173854</v>
      </c>
      <c r="J24" s="54">
        <f t="shared" si="16"/>
        <v>15.924940342106817</v>
      </c>
      <c r="K24" s="54">
        <f t="shared" si="16"/>
        <v>15.983257895787352</v>
      </c>
      <c r="L24" s="54">
        <f t="shared" si="16"/>
        <v>16.031475946724179</v>
      </c>
      <c r="M24" s="54">
        <f t="shared" si="16"/>
        <v>16.097923536277662</v>
      </c>
      <c r="N24" s="54">
        <f t="shared" si="16"/>
        <v>16.137969122208148</v>
      </c>
      <c r="O24" s="54">
        <f t="shared" si="16"/>
        <v>16.295510970299539</v>
      </c>
      <c r="P24" s="54">
        <f t="shared" si="16"/>
        <v>16.50775496439514</v>
      </c>
      <c r="Q24" s="54">
        <f t="shared" si="16"/>
        <v>16.696052709861931</v>
      </c>
      <c r="R24" s="54">
        <f t="shared" si="16"/>
        <v>16.840423158428262</v>
      </c>
      <c r="S24" s="54">
        <f t="shared" si="16"/>
        <v>17.025928831104409</v>
      </c>
      <c r="T24" s="54">
        <f t="shared" si="16"/>
        <v>17.176779372032644</v>
      </c>
      <c r="U24" s="54">
        <f t="shared" si="16"/>
        <v>17.305447317531254</v>
      </c>
      <c r="V24" s="54">
        <f t="shared" si="16"/>
        <v>17.344896266599971</v>
      </c>
      <c r="W24" s="54">
        <f t="shared" si="16"/>
        <v>17.407871288704062</v>
      </c>
      <c r="X24" s="54">
        <f t="shared" ref="X24:Y24" si="17">X9*1000/X3</f>
        <v>17.449598109685446</v>
      </c>
      <c r="Y24" s="54">
        <f t="shared" si="17"/>
        <v>17.372538034481842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51.760946700371917</v>
      </c>
      <c r="C25" s="54">
        <f t="shared" si="18"/>
        <v>51.901533861047213</v>
      </c>
      <c r="D25" s="54">
        <f t="shared" ref="D25:W25" si="19">D9*1000/D6</f>
        <v>51.899163682366265</v>
      </c>
      <c r="E25" s="54">
        <f t="shared" si="19"/>
        <v>52.070871968617183</v>
      </c>
      <c r="F25" s="54">
        <f t="shared" si="19"/>
        <v>52.003463426628308</v>
      </c>
      <c r="G25" s="54">
        <f t="shared" si="19"/>
        <v>52.271868065734054</v>
      </c>
      <c r="H25" s="54">
        <f t="shared" si="19"/>
        <v>52.736497219633002</v>
      </c>
      <c r="I25" s="54">
        <f t="shared" si="19"/>
        <v>53.345368214486506</v>
      </c>
      <c r="J25" s="54">
        <f t="shared" si="19"/>
        <v>52.854283562032151</v>
      </c>
      <c r="K25" s="54">
        <f t="shared" si="19"/>
        <v>53.319998521596382</v>
      </c>
      <c r="L25" s="54">
        <f t="shared" si="19"/>
        <v>53.592908467159205</v>
      </c>
      <c r="M25" s="54">
        <f t="shared" si="19"/>
        <v>53.924218609492598</v>
      </c>
      <c r="N25" s="54">
        <f t="shared" si="19"/>
        <v>55.405628048427808</v>
      </c>
      <c r="O25" s="54">
        <f t="shared" si="19"/>
        <v>56.559200094606211</v>
      </c>
      <c r="P25" s="54">
        <f t="shared" si="19"/>
        <v>55.180082241660052</v>
      </c>
      <c r="Q25" s="54">
        <f t="shared" si="19"/>
        <v>54.260284355201996</v>
      </c>
      <c r="R25" s="54">
        <f t="shared" si="19"/>
        <v>53.045793025188807</v>
      </c>
      <c r="S25" s="54">
        <f t="shared" si="19"/>
        <v>51.427671393968886</v>
      </c>
      <c r="T25" s="54">
        <f t="shared" si="19"/>
        <v>50.411085661978795</v>
      </c>
      <c r="U25" s="54">
        <f t="shared" si="19"/>
        <v>49.821629343140195</v>
      </c>
      <c r="V25" s="54">
        <f t="shared" si="19"/>
        <v>51.229539230589666</v>
      </c>
      <c r="W25" s="54">
        <f t="shared" si="19"/>
        <v>50.627613483127476</v>
      </c>
      <c r="X25" s="54">
        <f t="shared" ref="X25:Y25" si="20">X9*1000/X6</f>
        <v>48.668187780251863</v>
      </c>
      <c r="Y25" s="54">
        <f t="shared" si="20"/>
        <v>47.891116107820658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</v>
      </c>
      <c r="C26" s="55">
        <f t="shared" si="21"/>
        <v>900</v>
      </c>
      <c r="D26" s="55">
        <f t="shared" ref="D26:W26" si="22">D9*1000/D8</f>
        <v>900</v>
      </c>
      <c r="E26" s="55">
        <f t="shared" si="22"/>
        <v>900</v>
      </c>
      <c r="F26" s="55">
        <f t="shared" si="22"/>
        <v>900.00000000000011</v>
      </c>
      <c r="G26" s="55">
        <f t="shared" si="22"/>
        <v>900</v>
      </c>
      <c r="H26" s="55">
        <f t="shared" si="22"/>
        <v>900</v>
      </c>
      <c r="I26" s="55">
        <f t="shared" si="22"/>
        <v>899.99999999999989</v>
      </c>
      <c r="J26" s="55">
        <f t="shared" si="22"/>
        <v>900</v>
      </c>
      <c r="K26" s="55">
        <f t="shared" si="22"/>
        <v>899.99999999999989</v>
      </c>
      <c r="L26" s="55">
        <f t="shared" si="22"/>
        <v>899.99999999999989</v>
      </c>
      <c r="M26" s="55">
        <f t="shared" si="22"/>
        <v>900</v>
      </c>
      <c r="N26" s="55">
        <f t="shared" si="22"/>
        <v>900</v>
      </c>
      <c r="O26" s="55">
        <f t="shared" si="22"/>
        <v>900</v>
      </c>
      <c r="P26" s="55">
        <f t="shared" si="22"/>
        <v>900</v>
      </c>
      <c r="Q26" s="55">
        <f t="shared" si="22"/>
        <v>900.00000000000011</v>
      </c>
      <c r="R26" s="55">
        <f t="shared" si="22"/>
        <v>900</v>
      </c>
      <c r="S26" s="55">
        <f t="shared" si="22"/>
        <v>900.00000000000011</v>
      </c>
      <c r="T26" s="55">
        <f t="shared" si="22"/>
        <v>899.99999999999989</v>
      </c>
      <c r="U26" s="55">
        <f t="shared" si="22"/>
        <v>900</v>
      </c>
      <c r="V26" s="55">
        <f t="shared" si="22"/>
        <v>900</v>
      </c>
      <c r="W26" s="55">
        <f t="shared" si="22"/>
        <v>900</v>
      </c>
      <c r="X26" s="55">
        <f t="shared" ref="X26:Y26" si="23">X9*1000/X8</f>
        <v>900</v>
      </c>
      <c r="Y26" s="55">
        <f t="shared" si="23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899.99999999999989</v>
      </c>
      <c r="D27" s="57">
        <f t="shared" ref="D27:W27" si="25">IF(SUM(D11)=0,"",D11*1000/D10)</f>
        <v>900</v>
      </c>
      <c r="E27" s="57">
        <f t="shared" si="25"/>
        <v>899.99999999999989</v>
      </c>
      <c r="F27" s="57">
        <f t="shared" si="25"/>
        <v>900.00000000000011</v>
      </c>
      <c r="G27" s="57">
        <f t="shared" si="25"/>
        <v>900.00000000000011</v>
      </c>
      <c r="H27" s="57">
        <f t="shared" si="25"/>
        <v>900</v>
      </c>
      <c r="I27" s="57">
        <f t="shared" si="25"/>
        <v>899.99999999999989</v>
      </c>
      <c r="J27" s="57">
        <f t="shared" si="25"/>
        <v>900</v>
      </c>
      <c r="K27" s="57">
        <f t="shared" si="25"/>
        <v>899.99999999999989</v>
      </c>
      <c r="L27" s="57">
        <f t="shared" si="25"/>
        <v>900</v>
      </c>
      <c r="M27" s="57">
        <f t="shared" si="25"/>
        <v>899.99999999999989</v>
      </c>
      <c r="N27" s="57">
        <f t="shared" si="25"/>
        <v>900.00000000000011</v>
      </c>
      <c r="O27" s="57">
        <f t="shared" si="25"/>
        <v>899.99999999999989</v>
      </c>
      <c r="P27" s="57">
        <f t="shared" si="25"/>
        <v>900.00000000000011</v>
      </c>
      <c r="Q27" s="57">
        <f t="shared" si="25"/>
        <v>900</v>
      </c>
      <c r="R27" s="57">
        <f t="shared" si="25"/>
        <v>900</v>
      </c>
      <c r="S27" s="57">
        <f t="shared" si="25"/>
        <v>899.99999999999989</v>
      </c>
      <c r="T27" s="57">
        <f t="shared" si="25"/>
        <v>899.99999999999977</v>
      </c>
      <c r="U27" s="57">
        <f t="shared" si="25"/>
        <v>900.00000000000011</v>
      </c>
      <c r="V27" s="57">
        <f t="shared" si="25"/>
        <v>900</v>
      </c>
      <c r="W27" s="57">
        <f t="shared" si="25"/>
        <v>900.00000000000011</v>
      </c>
      <c r="X27" s="57">
        <f t="shared" ref="X27:Y27" si="26">IF(SUM(X11)=0,"",X11*1000/X10)</f>
        <v>899.99999999999989</v>
      </c>
      <c r="Y27" s="57">
        <f t="shared" si="26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1435.4321582115217</v>
      </c>
      <c r="C31" s="80">
        <f t="shared" ref="C31:W31" si="27">SUM(C32:C33,C36:C37,C44:C45)</f>
        <v>1542.0375562949905</v>
      </c>
      <c r="D31" s="80">
        <f t="shared" si="27"/>
        <v>1622.5525558007525</v>
      </c>
      <c r="E31" s="80">
        <f t="shared" si="27"/>
        <v>1722.0678132600835</v>
      </c>
      <c r="F31" s="80">
        <f t="shared" si="27"/>
        <v>1888.8659501289762</v>
      </c>
      <c r="G31" s="80">
        <f t="shared" si="27"/>
        <v>2028.79260533104</v>
      </c>
      <c r="H31" s="80">
        <f t="shared" si="27"/>
        <v>2070.3423043852108</v>
      </c>
      <c r="I31" s="80">
        <f t="shared" si="27"/>
        <v>2065.2779019776435</v>
      </c>
      <c r="J31" s="80">
        <f t="shared" si="27"/>
        <v>1975.9819667333127</v>
      </c>
      <c r="K31" s="80">
        <f t="shared" si="27"/>
        <v>2072.000207629625</v>
      </c>
      <c r="L31" s="80">
        <f t="shared" si="27"/>
        <v>1912.7170721330072</v>
      </c>
      <c r="M31" s="80">
        <f t="shared" si="27"/>
        <v>1881.8566963477465</v>
      </c>
      <c r="N31" s="80">
        <f t="shared" si="27"/>
        <v>1863.6594125522249</v>
      </c>
      <c r="O31" s="80">
        <f t="shared" si="27"/>
        <v>1817.0684487393396</v>
      </c>
      <c r="P31" s="80">
        <f t="shared" si="27"/>
        <v>1928.2097870272689</v>
      </c>
      <c r="Q31" s="80">
        <f t="shared" si="27"/>
        <v>2003.1935100740848</v>
      </c>
      <c r="R31" s="80">
        <f t="shared" si="27"/>
        <v>1922.4202848137174</v>
      </c>
      <c r="S31" s="80">
        <f t="shared" si="27"/>
        <v>1920.3142097893592</v>
      </c>
      <c r="T31" s="80">
        <f t="shared" si="27"/>
        <v>1983.1528529441921</v>
      </c>
      <c r="U31" s="80">
        <f t="shared" si="27"/>
        <v>1937.6004911501059</v>
      </c>
      <c r="V31" s="80">
        <f t="shared" si="27"/>
        <v>1714.1080859460496</v>
      </c>
      <c r="W31" s="80">
        <f t="shared" si="27"/>
        <v>1715.7609055082085</v>
      </c>
      <c r="X31" s="80">
        <f t="shared" ref="X31:Y31" si="28">SUM(X32:X33,X36:X37,X44:X45)</f>
        <v>1850.527381789967</v>
      </c>
      <c r="Y31" s="80">
        <f t="shared" si="28"/>
        <v>1856.8781579796475</v>
      </c>
      <c r="DA31" s="103" t="s">
        <v>199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379.34634565778151</v>
      </c>
      <c r="C33" s="55">
        <f t="shared" ref="C33:W33" si="29">SUM(C34:C35)</f>
        <v>407.17556145406195</v>
      </c>
      <c r="D33" s="55">
        <f t="shared" si="29"/>
        <v>430.35565124357333</v>
      </c>
      <c r="E33" s="55">
        <f t="shared" si="29"/>
        <v>450.54537129963666</v>
      </c>
      <c r="F33" s="55">
        <f t="shared" si="29"/>
        <v>547.33301805674967</v>
      </c>
      <c r="G33" s="55">
        <f t="shared" si="29"/>
        <v>632.47085124677551</v>
      </c>
      <c r="H33" s="55">
        <f t="shared" si="29"/>
        <v>581.83078245915738</v>
      </c>
      <c r="I33" s="55">
        <f t="shared" si="29"/>
        <v>526.50593293207214</v>
      </c>
      <c r="J33" s="55">
        <f t="shared" si="29"/>
        <v>410.64763542562332</v>
      </c>
      <c r="K33" s="55">
        <f t="shared" si="29"/>
        <v>466.63319002579533</v>
      </c>
      <c r="L33" s="55">
        <f t="shared" si="29"/>
        <v>267.84170249355117</v>
      </c>
      <c r="M33" s="55">
        <f t="shared" si="29"/>
        <v>209.70670679277728</v>
      </c>
      <c r="N33" s="55">
        <f t="shared" si="29"/>
        <v>164.44548581255373</v>
      </c>
      <c r="O33" s="55">
        <f t="shared" si="29"/>
        <v>157.6858985382631</v>
      </c>
      <c r="P33" s="55">
        <f t="shared" si="29"/>
        <v>179.20610490111778</v>
      </c>
      <c r="Q33" s="55">
        <f t="shared" si="29"/>
        <v>198.2182287188306</v>
      </c>
      <c r="R33" s="55">
        <f t="shared" si="29"/>
        <v>167.76534823731728</v>
      </c>
      <c r="S33" s="55">
        <f t="shared" si="29"/>
        <v>163.06208082545143</v>
      </c>
      <c r="T33" s="55">
        <f t="shared" si="29"/>
        <v>188.83319002579535</v>
      </c>
      <c r="U33" s="55">
        <f t="shared" si="29"/>
        <v>191.39097162510748</v>
      </c>
      <c r="V33" s="55">
        <f t="shared" si="29"/>
        <v>143.62037833190027</v>
      </c>
      <c r="W33" s="55">
        <f t="shared" si="29"/>
        <v>135.07343078245913</v>
      </c>
      <c r="X33" s="55">
        <f t="shared" ref="X33:Y33" si="30">SUM(X34:X35)</f>
        <v>152.38830610490112</v>
      </c>
      <c r="Y33" s="55">
        <f t="shared" si="30"/>
        <v>144.1949269131556</v>
      </c>
      <c r="DA33" s="101"/>
    </row>
    <row r="34" spans="1:105" ht="12" customHeight="1" x14ac:dyDescent="0.25">
      <c r="A34" s="61" t="s">
        <v>52</v>
      </c>
      <c r="B34" s="55">
        <v>55.357351676698187</v>
      </c>
      <c r="C34" s="55">
        <v>41.80042992261393</v>
      </c>
      <c r="D34" s="55">
        <v>62.135769561478931</v>
      </c>
      <c r="E34" s="55">
        <v>67.784436801375747</v>
      </c>
      <c r="F34" s="55">
        <v>79.098624247635428</v>
      </c>
      <c r="G34" s="55">
        <v>114.1279449699054</v>
      </c>
      <c r="H34" s="55">
        <v>102.8282029234738</v>
      </c>
      <c r="I34" s="55">
        <v>108.7704213241616</v>
      </c>
      <c r="J34" s="55">
        <v>121.9546861564918</v>
      </c>
      <c r="K34" s="55">
        <v>114.2638865004299</v>
      </c>
      <c r="L34" s="55">
        <v>52.737145313843499</v>
      </c>
      <c r="M34" s="55">
        <v>51.638521066208092</v>
      </c>
      <c r="N34" s="55">
        <v>46.145055889939812</v>
      </c>
      <c r="O34" s="55">
        <v>47.243680137575232</v>
      </c>
      <c r="P34" s="55">
        <v>75.809716251074803</v>
      </c>
      <c r="Q34" s="55">
        <v>81.303181427343077</v>
      </c>
      <c r="R34" s="55">
        <v>75.809716251074803</v>
      </c>
      <c r="S34" s="55">
        <v>75.83499570077386</v>
      </c>
      <c r="T34" s="55">
        <v>98.319690455717975</v>
      </c>
      <c r="U34" s="55">
        <v>93.377730008598448</v>
      </c>
      <c r="V34" s="55">
        <v>62.651762682717113</v>
      </c>
      <c r="W34" s="55">
        <v>54.407222699914009</v>
      </c>
      <c r="X34" s="55">
        <v>75.759157351676691</v>
      </c>
      <c r="Y34" s="55">
        <v>76.087618228718824</v>
      </c>
      <c r="DA34" s="101" t="s">
        <v>201</v>
      </c>
    </row>
    <row r="35" spans="1:105" ht="12" customHeight="1" x14ac:dyDescent="0.25">
      <c r="A35" s="61" t="s">
        <v>163</v>
      </c>
      <c r="B35" s="55">
        <v>323.98899398108335</v>
      </c>
      <c r="C35" s="55">
        <v>365.37513153144801</v>
      </c>
      <c r="D35" s="55">
        <v>368.21988168209441</v>
      </c>
      <c r="E35" s="55">
        <v>382.76093449826089</v>
      </c>
      <c r="F35" s="55">
        <v>468.23439380911424</v>
      </c>
      <c r="G35" s="55">
        <v>518.34290627687005</v>
      </c>
      <c r="H35" s="55">
        <v>479.00257953568359</v>
      </c>
      <c r="I35" s="55">
        <v>417.73551160791055</v>
      </c>
      <c r="J35" s="55">
        <v>288.69294926913153</v>
      </c>
      <c r="K35" s="55">
        <v>352.36930352536541</v>
      </c>
      <c r="L35" s="55">
        <v>215.10455717970768</v>
      </c>
      <c r="M35" s="55">
        <v>158.0681857265692</v>
      </c>
      <c r="N35" s="55">
        <v>118.30042992261392</v>
      </c>
      <c r="O35" s="55">
        <v>110.44221840068786</v>
      </c>
      <c r="P35" s="55">
        <v>103.39638865004298</v>
      </c>
      <c r="Q35" s="55">
        <v>116.91504729148753</v>
      </c>
      <c r="R35" s="55">
        <v>91.95563198624248</v>
      </c>
      <c r="S35" s="55">
        <v>87.227085124677572</v>
      </c>
      <c r="T35" s="55">
        <v>90.513499570077371</v>
      </c>
      <c r="U35" s="55">
        <v>98.013241616509035</v>
      </c>
      <c r="V35" s="55">
        <v>80.968615649183164</v>
      </c>
      <c r="W35" s="55">
        <v>80.666208082545126</v>
      </c>
      <c r="X35" s="55">
        <v>76.629148753224428</v>
      </c>
      <c r="Y35" s="55">
        <v>68.107308684436774</v>
      </c>
      <c r="DA35" s="101" t="s">
        <v>202</v>
      </c>
    </row>
    <row r="36" spans="1:105" ht="12" customHeight="1" x14ac:dyDescent="0.25">
      <c r="A36" s="60" t="s">
        <v>149</v>
      </c>
      <c r="B36" s="55">
        <v>73.000859845227865</v>
      </c>
      <c r="C36" s="55">
        <v>86.500429922613932</v>
      </c>
      <c r="D36" s="55">
        <v>109.82373172828895</v>
      </c>
      <c r="E36" s="55">
        <v>117.56233877901978</v>
      </c>
      <c r="F36" s="55">
        <v>140.0902837489252</v>
      </c>
      <c r="G36" s="55">
        <v>136.28546861564919</v>
      </c>
      <c r="H36" s="55">
        <v>155.41702493551159</v>
      </c>
      <c r="I36" s="55">
        <v>168.3791917454858</v>
      </c>
      <c r="J36" s="55">
        <v>180.00859845227859</v>
      </c>
      <c r="K36" s="55">
        <v>201.4402407566638</v>
      </c>
      <c r="L36" s="55">
        <v>196.2811693895099</v>
      </c>
      <c r="M36" s="55">
        <v>217.58383490971619</v>
      </c>
      <c r="N36" s="55">
        <v>217.86328460877041</v>
      </c>
      <c r="O36" s="55">
        <v>218.8521066208082</v>
      </c>
      <c r="P36" s="55">
        <v>215.8856405846947</v>
      </c>
      <c r="Q36" s="55">
        <v>233.65141874462589</v>
      </c>
      <c r="R36" s="55">
        <v>252.69819432502149</v>
      </c>
      <c r="S36" s="55">
        <v>255.48899398108341</v>
      </c>
      <c r="T36" s="55">
        <v>262.60937231298362</v>
      </c>
      <c r="U36" s="55">
        <v>247.52218400687869</v>
      </c>
      <c r="V36" s="55">
        <v>202.6967325881341</v>
      </c>
      <c r="W36" s="55">
        <v>237.66758383490969</v>
      </c>
      <c r="X36" s="55">
        <v>225.47893379191751</v>
      </c>
      <c r="Y36" s="55">
        <v>223.6238177128117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8.3357695614789336</v>
      </c>
      <c r="C37" s="55">
        <f t="shared" ref="C37:W37" si="31">SUM(C38:C42)</f>
        <v>8.5746345657781582</v>
      </c>
      <c r="D37" s="55">
        <f t="shared" si="31"/>
        <v>8.8134135855545992</v>
      </c>
      <c r="E37" s="55">
        <f t="shared" si="31"/>
        <v>9.0761822871883044</v>
      </c>
      <c r="F37" s="55">
        <f t="shared" si="31"/>
        <v>9.3150472914875309</v>
      </c>
      <c r="G37" s="55">
        <f t="shared" si="31"/>
        <v>9.9121238177128106</v>
      </c>
      <c r="H37" s="55">
        <f t="shared" si="31"/>
        <v>10.365950128976783</v>
      </c>
      <c r="I37" s="55">
        <f t="shared" si="31"/>
        <v>15.572828890799657</v>
      </c>
      <c r="J37" s="55">
        <f t="shared" si="31"/>
        <v>17.507480653482368</v>
      </c>
      <c r="K37" s="55">
        <f t="shared" si="31"/>
        <v>19.370421324161647</v>
      </c>
      <c r="L37" s="55">
        <f t="shared" si="31"/>
        <v>21.997764402407562</v>
      </c>
      <c r="M37" s="55">
        <f t="shared" si="31"/>
        <v>39.194668959587268</v>
      </c>
      <c r="N37" s="55">
        <f t="shared" si="31"/>
        <v>80.74196044711951</v>
      </c>
      <c r="O37" s="55">
        <f t="shared" si="31"/>
        <v>64.78693035253653</v>
      </c>
      <c r="P37" s="55">
        <f t="shared" si="31"/>
        <v>66.936629406706828</v>
      </c>
      <c r="Q37" s="55">
        <f t="shared" si="31"/>
        <v>69.11014617368869</v>
      </c>
      <c r="R37" s="55">
        <f t="shared" si="31"/>
        <v>64.882545141874459</v>
      </c>
      <c r="S37" s="55">
        <f t="shared" si="31"/>
        <v>70.888048151332725</v>
      </c>
      <c r="T37" s="55">
        <f t="shared" si="31"/>
        <v>71.554084264832326</v>
      </c>
      <c r="U37" s="55">
        <f t="shared" si="31"/>
        <v>69.171625107480651</v>
      </c>
      <c r="V37" s="55">
        <f t="shared" si="31"/>
        <v>61.526827171109126</v>
      </c>
      <c r="W37" s="55">
        <f t="shared" si="31"/>
        <v>69.121582115219184</v>
      </c>
      <c r="X37" s="55">
        <f t="shared" ref="X37:Y37" si="32">SUM(X38:X42)</f>
        <v>77.913327601031781</v>
      </c>
      <c r="Y37" s="55">
        <f t="shared" si="32"/>
        <v>76.903267411865983</v>
      </c>
      <c r="DA37" s="101"/>
    </row>
    <row r="38" spans="1:105" ht="12" customHeight="1" x14ac:dyDescent="0.25">
      <c r="A38" s="61" t="s">
        <v>164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12.969303525365428</v>
      </c>
      <c r="N38" s="55">
        <v>51.363886500429921</v>
      </c>
      <c r="O38" s="55">
        <v>31.802321582115205</v>
      </c>
      <c r="P38" s="55">
        <v>33.115993121238205</v>
      </c>
      <c r="Q38" s="55">
        <v>32.829406706792724</v>
      </c>
      <c r="R38" s="55">
        <v>28.171883061049016</v>
      </c>
      <c r="S38" s="55">
        <v>32.760103181427326</v>
      </c>
      <c r="T38" s="55">
        <v>31.299054170249349</v>
      </c>
      <c r="U38" s="55">
        <v>27.544625967325885</v>
      </c>
      <c r="V38" s="55">
        <v>18.605417024935434</v>
      </c>
      <c r="W38" s="55">
        <v>23.858383490971562</v>
      </c>
      <c r="X38" s="55">
        <v>29.552192605331015</v>
      </c>
      <c r="Y38" s="55">
        <v>27.298796216681126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X39" s="55">
        <v>0</v>
      </c>
      <c r="Y39" s="55">
        <v>0.29337919174548582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4.4186586414445399</v>
      </c>
      <c r="J40" s="55">
        <v>4.4186586414445399</v>
      </c>
      <c r="K40" s="55">
        <v>4.4186586414445399</v>
      </c>
      <c r="L40" s="55">
        <v>1.7674978503869301</v>
      </c>
      <c r="M40" s="55">
        <v>0.88374892519346515</v>
      </c>
      <c r="N40" s="55">
        <v>0.88374892519346515</v>
      </c>
      <c r="O40" s="55">
        <v>2.651246775580395</v>
      </c>
      <c r="P40" s="55">
        <v>1.7674978503869301</v>
      </c>
      <c r="Q40" s="55">
        <v>2.651246775580395</v>
      </c>
      <c r="R40" s="55">
        <v>1.7674978503869303</v>
      </c>
      <c r="S40" s="55">
        <v>1.3883061049011176</v>
      </c>
      <c r="T40" s="55">
        <v>1.4838349097162511</v>
      </c>
      <c r="U40" s="55">
        <v>1.3750644883920891</v>
      </c>
      <c r="V40" s="55">
        <v>1.3309544282029229</v>
      </c>
      <c r="W40" s="55">
        <v>1.7098022355975924</v>
      </c>
      <c r="X40" s="55">
        <v>0.460963026655202</v>
      </c>
      <c r="Y40" s="55">
        <v>0.88030954428202923</v>
      </c>
      <c r="DA40" s="101" t="s">
        <v>206</v>
      </c>
    </row>
    <row r="41" spans="1:105" ht="12" customHeight="1" x14ac:dyDescent="0.25">
      <c r="A41" s="61" t="s">
        <v>26</v>
      </c>
      <c r="B41" s="55">
        <v>7.3325881341358556</v>
      </c>
      <c r="C41" s="55">
        <v>7.5714531384350812</v>
      </c>
      <c r="D41" s="55">
        <v>7.8102321582115213</v>
      </c>
      <c r="E41" s="55">
        <v>8.0730008598452265</v>
      </c>
      <c r="F41" s="55">
        <v>8.3118658641444529</v>
      </c>
      <c r="G41" s="55">
        <v>8.9089423903697327</v>
      </c>
      <c r="H41" s="55">
        <v>9.3627687016337049</v>
      </c>
      <c r="I41" s="55">
        <v>10.150988822012041</v>
      </c>
      <c r="J41" s="55">
        <v>12.085640584694749</v>
      </c>
      <c r="K41" s="55">
        <v>13.94858125537403</v>
      </c>
      <c r="L41" s="55">
        <v>19.227085124677551</v>
      </c>
      <c r="M41" s="55">
        <v>23.789079965606192</v>
      </c>
      <c r="N41" s="55">
        <v>26.941788478073949</v>
      </c>
      <c r="O41" s="55">
        <v>29.091401547721411</v>
      </c>
      <c r="P41" s="55">
        <v>30.739466895958721</v>
      </c>
      <c r="Q41" s="55">
        <v>32.100859845227859</v>
      </c>
      <c r="R41" s="55">
        <v>33.581771281169388</v>
      </c>
      <c r="S41" s="55">
        <v>35.18710232158211</v>
      </c>
      <c r="T41" s="55">
        <v>37.029234737747203</v>
      </c>
      <c r="U41" s="55">
        <v>38.532244196044708</v>
      </c>
      <c r="V41" s="55">
        <v>40.276784178847812</v>
      </c>
      <c r="W41" s="55">
        <v>42.192003439380898</v>
      </c>
      <c r="X41" s="55">
        <v>46.108856405846943</v>
      </c>
      <c r="Y41" s="55">
        <v>46.543938091143588</v>
      </c>
      <c r="DA41" s="101" t="s">
        <v>207</v>
      </c>
    </row>
    <row r="42" spans="1:105" ht="12" customHeight="1" x14ac:dyDescent="0.25">
      <c r="A42" s="61" t="s">
        <v>25</v>
      </c>
      <c r="B42" s="55">
        <v>1.0031814273430779</v>
      </c>
      <c r="C42" s="55">
        <v>1.0031814273430779</v>
      </c>
      <c r="D42" s="55">
        <v>1.0031814273430779</v>
      </c>
      <c r="E42" s="55">
        <v>1.0031814273430779</v>
      </c>
      <c r="F42" s="55">
        <v>1.0031814273430779</v>
      </c>
      <c r="G42" s="55">
        <v>1.0031814273430779</v>
      </c>
      <c r="H42" s="55">
        <v>1.0031814273430779</v>
      </c>
      <c r="I42" s="55">
        <v>1.0031814273430779</v>
      </c>
      <c r="J42" s="55">
        <v>1.0031814273430779</v>
      </c>
      <c r="K42" s="55">
        <v>1.0031814273430779</v>
      </c>
      <c r="L42" s="55">
        <v>1.0031814273430779</v>
      </c>
      <c r="M42" s="55">
        <v>1.5525365434221841</v>
      </c>
      <c r="N42" s="55">
        <v>1.5525365434221841</v>
      </c>
      <c r="O42" s="55">
        <v>1.241960447119518</v>
      </c>
      <c r="P42" s="55">
        <v>1.3136715391229581</v>
      </c>
      <c r="Q42" s="55">
        <v>1.5286328460877039</v>
      </c>
      <c r="R42" s="55">
        <v>1.361392949269131</v>
      </c>
      <c r="S42" s="55">
        <v>1.5525365434221841</v>
      </c>
      <c r="T42" s="55">
        <v>1.741960447119518</v>
      </c>
      <c r="U42" s="55">
        <v>1.7196904557179711</v>
      </c>
      <c r="V42" s="55">
        <v>1.3136715391229581</v>
      </c>
      <c r="W42" s="55">
        <v>1.361392949269131</v>
      </c>
      <c r="X42" s="55">
        <v>1.791315563198624</v>
      </c>
      <c r="Y42" s="55">
        <v>1.886844368013757</v>
      </c>
      <c r="DA42" s="101" t="s">
        <v>208</v>
      </c>
    </row>
    <row r="43" spans="1:105" ht="12" customHeight="1" x14ac:dyDescent="0.25">
      <c r="A43" s="61" t="s">
        <v>151</v>
      </c>
      <c r="B43" s="309">
        <v>3.5161376335562138</v>
      </c>
      <c r="C43" s="309">
        <v>5.1722220691093597</v>
      </c>
      <c r="D43" s="55">
        <v>8.697905058346052</v>
      </c>
      <c r="E43" s="55">
        <v>24.109918328216693</v>
      </c>
      <c r="F43" s="55">
        <v>30.375294475202558</v>
      </c>
      <c r="G43" s="55">
        <v>53.956054250460596</v>
      </c>
      <c r="H43" s="55">
        <v>80.127100179874702</v>
      </c>
      <c r="I43" s="55">
        <v>108.83012421030541</v>
      </c>
      <c r="J43" s="55">
        <v>150.4902450322526</v>
      </c>
      <c r="K43" s="55">
        <v>168.18707679437483</v>
      </c>
      <c r="L43" s="55">
        <v>213.70899076147194</v>
      </c>
      <c r="M43" s="55">
        <v>242.35762467356881</v>
      </c>
      <c r="N43" s="55">
        <v>293.21373614557518</v>
      </c>
      <c r="O43" s="55">
        <v>325.77028243076359</v>
      </c>
      <c r="P43" s="55">
        <v>383.79079965606195</v>
      </c>
      <c r="Q43" s="55">
        <v>387.55442820292359</v>
      </c>
      <c r="R43" s="55">
        <v>389.8416165090282</v>
      </c>
      <c r="S43" s="55">
        <v>402.71324161650892</v>
      </c>
      <c r="T43" s="55">
        <v>419.11229578675886</v>
      </c>
      <c r="U43" s="55">
        <v>439.36190885640622</v>
      </c>
      <c r="V43" s="55">
        <v>463.45657781599226</v>
      </c>
      <c r="W43" s="55">
        <v>486.81564918314723</v>
      </c>
      <c r="X43" s="55">
        <v>548.56758383491001</v>
      </c>
      <c r="Y43" s="55">
        <v>564.05700773860599</v>
      </c>
      <c r="DA43" s="101" t="s">
        <v>209</v>
      </c>
    </row>
    <row r="44" spans="1:105" ht="12" customHeight="1" x14ac:dyDescent="0.25">
      <c r="A44" s="60" t="s">
        <v>162</v>
      </c>
      <c r="B44" s="55">
        <v>4.1558899398108338</v>
      </c>
      <c r="C44" s="55">
        <v>6.8548581255374019</v>
      </c>
      <c r="D44" s="55">
        <v>10.533104041272569</v>
      </c>
      <c r="E44" s="55">
        <v>11.17798796216681</v>
      </c>
      <c r="F44" s="55">
        <v>13.7097162510748</v>
      </c>
      <c r="G44" s="55">
        <v>11.345141874462589</v>
      </c>
      <c r="H44" s="55">
        <v>12.32441960447119</v>
      </c>
      <c r="I44" s="55">
        <v>12.94548581255374</v>
      </c>
      <c r="J44" s="55">
        <v>11.416852966466029</v>
      </c>
      <c r="K44" s="55">
        <v>11.130180567497851</v>
      </c>
      <c r="L44" s="55">
        <v>16.958039552880479</v>
      </c>
      <c r="M44" s="55">
        <v>16.575924333619952</v>
      </c>
      <c r="N44" s="55">
        <v>24.553396388650039</v>
      </c>
      <c r="O44" s="55">
        <v>25.508770421324162</v>
      </c>
      <c r="P44" s="55">
        <v>25.771453138435081</v>
      </c>
      <c r="Q44" s="55">
        <v>24.29062768701634</v>
      </c>
      <c r="R44" s="55">
        <v>22.83370593293207</v>
      </c>
      <c r="S44" s="55">
        <v>25.351934651762679</v>
      </c>
      <c r="T44" s="55">
        <v>24.90223559759243</v>
      </c>
      <c r="U44" s="55">
        <v>23.8755803955288</v>
      </c>
      <c r="V44" s="55">
        <v>22.988478073946691</v>
      </c>
      <c r="W44" s="55">
        <v>24.269217540842639</v>
      </c>
      <c r="X44" s="55">
        <v>20.916251074806539</v>
      </c>
      <c r="Y44" s="55">
        <v>12.821582115219259</v>
      </c>
      <c r="DA44" s="101" t="s">
        <v>210</v>
      </c>
    </row>
    <row r="45" spans="1:105" ht="12" customHeight="1" x14ac:dyDescent="0.25">
      <c r="A45" s="62" t="s">
        <v>24</v>
      </c>
      <c r="B45" s="63">
        <v>970.59329320722259</v>
      </c>
      <c r="C45" s="63">
        <v>1032.932072226999</v>
      </c>
      <c r="D45" s="63">
        <v>1063.026655202063</v>
      </c>
      <c r="E45" s="63">
        <v>1133.7059329320721</v>
      </c>
      <c r="F45" s="63">
        <v>1178.4178847807391</v>
      </c>
      <c r="G45" s="63">
        <v>1238.77901977644</v>
      </c>
      <c r="H45" s="63">
        <v>1310.4041272570939</v>
      </c>
      <c r="I45" s="63">
        <v>1341.874462596732</v>
      </c>
      <c r="J45" s="63">
        <v>1356.4013992354623</v>
      </c>
      <c r="K45" s="63">
        <v>1373.4261749555067</v>
      </c>
      <c r="L45" s="63">
        <v>1409.6383962946579</v>
      </c>
      <c r="M45" s="63">
        <v>1398.7955613520458</v>
      </c>
      <c r="N45" s="63">
        <v>1376.0552852951312</v>
      </c>
      <c r="O45" s="63">
        <v>1350.2347428064077</v>
      </c>
      <c r="P45" s="63">
        <v>1440.4099589963146</v>
      </c>
      <c r="Q45" s="63">
        <v>1477.9230887499232</v>
      </c>
      <c r="R45" s="63">
        <v>1414.240491176572</v>
      </c>
      <c r="S45" s="63">
        <v>1405.5231521797291</v>
      </c>
      <c r="T45" s="63">
        <v>1435.2539707429883</v>
      </c>
      <c r="U45" s="63">
        <v>1405.6401300151103</v>
      </c>
      <c r="V45" s="63">
        <v>1283.2756697809596</v>
      </c>
      <c r="W45" s="63">
        <v>1249.6290912347777</v>
      </c>
      <c r="X45" s="63">
        <v>1373.8305632173101</v>
      </c>
      <c r="Y45" s="63">
        <v>1399.3345638265951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1435.4321582115219</v>
      </c>
      <c r="C47" s="82">
        <f t="shared" ref="C47:W47" si="34">SUM(C48,C53)</f>
        <v>1542.0375562949905</v>
      </c>
      <c r="D47" s="82">
        <f t="shared" si="34"/>
        <v>1622.5525558007525</v>
      </c>
      <c r="E47" s="82">
        <f t="shared" si="34"/>
        <v>1722.0678132600833</v>
      </c>
      <c r="F47" s="82">
        <f t="shared" si="34"/>
        <v>1888.8659501289762</v>
      </c>
      <c r="G47" s="82">
        <f t="shared" si="34"/>
        <v>2028.7926053310398</v>
      </c>
      <c r="H47" s="82">
        <f t="shared" si="34"/>
        <v>2070.3423043852108</v>
      </c>
      <c r="I47" s="82">
        <f t="shared" si="34"/>
        <v>2065.2779019776431</v>
      </c>
      <c r="J47" s="82">
        <f t="shared" si="34"/>
        <v>1975.9819667333127</v>
      </c>
      <c r="K47" s="82">
        <f t="shared" si="34"/>
        <v>2072.000207629625</v>
      </c>
      <c r="L47" s="82">
        <f t="shared" si="34"/>
        <v>1912.7170721330072</v>
      </c>
      <c r="M47" s="82">
        <f t="shared" si="34"/>
        <v>1881.8566963477467</v>
      </c>
      <c r="N47" s="82">
        <f t="shared" si="34"/>
        <v>1863.6594125522247</v>
      </c>
      <c r="O47" s="82">
        <f t="shared" si="34"/>
        <v>1817.0684487393396</v>
      </c>
      <c r="P47" s="82">
        <f t="shared" si="34"/>
        <v>1928.2097870272685</v>
      </c>
      <c r="Q47" s="82">
        <f t="shared" si="34"/>
        <v>2003.1935100740845</v>
      </c>
      <c r="R47" s="82">
        <f t="shared" si="34"/>
        <v>1922.4202848137179</v>
      </c>
      <c r="S47" s="82">
        <f t="shared" si="34"/>
        <v>1920.3142097893597</v>
      </c>
      <c r="T47" s="82">
        <f t="shared" si="34"/>
        <v>1983.1528529441921</v>
      </c>
      <c r="U47" s="82">
        <f t="shared" si="34"/>
        <v>1937.6004911501063</v>
      </c>
      <c r="V47" s="82">
        <f t="shared" si="34"/>
        <v>1714.1080859460499</v>
      </c>
      <c r="W47" s="82">
        <f t="shared" si="34"/>
        <v>1715.7609055082082</v>
      </c>
      <c r="X47" s="82">
        <f t="shared" ref="X47:Y47" si="35">SUM(X48,X53)</f>
        <v>1850.5273817899674</v>
      </c>
      <c r="Y47" s="82">
        <f t="shared" si="35"/>
        <v>1856.8781579796473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838.01716918297325</v>
      </c>
      <c r="C48" s="64">
        <f t="shared" ref="C48:W48" si="37">SUM(C49:C52)</f>
        <v>918.8359789346157</v>
      </c>
      <c r="D48" s="64">
        <f t="shared" si="37"/>
        <v>980.48181591774051</v>
      </c>
      <c r="E48" s="64">
        <f t="shared" si="37"/>
        <v>1063.8141926625876</v>
      </c>
      <c r="F48" s="64">
        <f t="shared" si="37"/>
        <v>1211.7731178542508</v>
      </c>
      <c r="G48" s="64">
        <f t="shared" si="37"/>
        <v>1332.7019463775807</v>
      </c>
      <c r="H48" s="64">
        <f t="shared" si="37"/>
        <v>1355.4296161248908</v>
      </c>
      <c r="I48" s="64">
        <f t="shared" si="37"/>
        <v>1334.7265501734073</v>
      </c>
      <c r="J48" s="64">
        <f t="shared" si="37"/>
        <v>1232.2959506851557</v>
      </c>
      <c r="K48" s="64">
        <f t="shared" si="37"/>
        <v>1320.1348828726609</v>
      </c>
      <c r="L48" s="64">
        <f t="shared" si="37"/>
        <v>1152.3549457392337</v>
      </c>
      <c r="M48" s="64">
        <f t="shared" si="37"/>
        <v>1114.6001728272672</v>
      </c>
      <c r="N48" s="64">
        <f t="shared" si="37"/>
        <v>1089.5624745956343</v>
      </c>
      <c r="O48" s="64">
        <f t="shared" si="37"/>
        <v>1036.5254881352589</v>
      </c>
      <c r="P48" s="64">
        <f t="shared" si="37"/>
        <v>1139.1139905371133</v>
      </c>
      <c r="Q48" s="64">
        <f t="shared" si="37"/>
        <v>1199.4952274620155</v>
      </c>
      <c r="R48" s="64">
        <f t="shared" si="37"/>
        <v>1130.7156611436585</v>
      </c>
      <c r="S48" s="64">
        <f t="shared" si="37"/>
        <v>1125.7849922213081</v>
      </c>
      <c r="T48" s="64">
        <f t="shared" si="37"/>
        <v>1203.9011360565728</v>
      </c>
      <c r="U48" s="64">
        <f t="shared" si="37"/>
        <v>1177.3891740705153</v>
      </c>
      <c r="V48" s="64">
        <f t="shared" si="37"/>
        <v>1005.0965041276429</v>
      </c>
      <c r="W48" s="64">
        <f t="shared" si="37"/>
        <v>1031.9917030065699</v>
      </c>
      <c r="X48" s="64">
        <f t="shared" ref="X48:Y48" si="38">SUM(X49:X52)</f>
        <v>1163.4602687048975</v>
      </c>
      <c r="Y48" s="64">
        <f t="shared" si="38"/>
        <v>1175.8402348619215</v>
      </c>
      <c r="DA48" s="108" t="s">
        <v>213</v>
      </c>
    </row>
    <row r="49" spans="1:105" ht="12" customHeight="1" x14ac:dyDescent="0.25">
      <c r="A49" s="61" t="s">
        <v>32</v>
      </c>
      <c r="B49" s="65">
        <v>407.8779106155576</v>
      </c>
      <c r="C49" s="65">
        <v>471.03940461360469</v>
      </c>
      <c r="D49" s="65">
        <v>512.32781286952513</v>
      </c>
      <c r="E49" s="65">
        <v>562.80076765057447</v>
      </c>
      <c r="F49" s="65">
        <v>714.03898345384493</v>
      </c>
      <c r="G49" s="65">
        <v>812.12311878768742</v>
      </c>
      <c r="H49" s="65">
        <v>811.57438864810149</v>
      </c>
      <c r="I49" s="65">
        <v>810.59146809942092</v>
      </c>
      <c r="J49" s="65">
        <v>697.80158745381846</v>
      </c>
      <c r="K49" s="65">
        <v>770.25314884492104</v>
      </c>
      <c r="L49" s="65">
        <v>583.52014832610985</v>
      </c>
      <c r="M49" s="65">
        <v>576.22540888742776</v>
      </c>
      <c r="N49" s="65">
        <v>547.62000150675897</v>
      </c>
      <c r="O49" s="65">
        <v>488.59527993524125</v>
      </c>
      <c r="P49" s="65">
        <v>597.99075934286554</v>
      </c>
      <c r="Q49" s="65">
        <v>641.81341905151146</v>
      </c>
      <c r="R49" s="65">
        <v>536.10217692813399</v>
      </c>
      <c r="S49" s="65">
        <v>535.2242762545402</v>
      </c>
      <c r="T49" s="65">
        <v>622.57962718131671</v>
      </c>
      <c r="U49" s="65">
        <v>618.37680402517276</v>
      </c>
      <c r="V49" s="65">
        <v>476.527937913122</v>
      </c>
      <c r="W49" s="65">
        <v>523.7764467214879</v>
      </c>
      <c r="X49" s="65">
        <v>585.36403102826068</v>
      </c>
      <c r="Y49" s="65">
        <v>614.05844372650142</v>
      </c>
      <c r="DA49" s="109" t="s">
        <v>214</v>
      </c>
    </row>
    <row r="50" spans="1:105" ht="12" customHeight="1" x14ac:dyDescent="0.25">
      <c r="A50" s="61" t="s">
        <v>31</v>
      </c>
      <c r="B50" s="65">
        <v>64.412096992897787</v>
      </c>
      <c r="C50" s="65">
        <v>65.193626989662533</v>
      </c>
      <c r="D50" s="65">
        <v>58.912798656495518</v>
      </c>
      <c r="E50" s="65">
        <v>83.21956276173718</v>
      </c>
      <c r="F50" s="65">
        <v>67.232458204985065</v>
      </c>
      <c r="G50" s="65">
        <v>73.646273756748329</v>
      </c>
      <c r="H50" s="65">
        <v>90.218919357105491</v>
      </c>
      <c r="I50" s="65">
        <v>59.998351145488023</v>
      </c>
      <c r="J50" s="65">
        <v>58.413062933709156</v>
      </c>
      <c r="K50" s="65">
        <v>73.990457136587025</v>
      </c>
      <c r="L50" s="65">
        <v>104.34380564755773</v>
      </c>
      <c r="M50" s="65">
        <v>68.674880278117215</v>
      </c>
      <c r="N50" s="65">
        <v>72.138067153621975</v>
      </c>
      <c r="O50" s="65">
        <v>92.085344499653473</v>
      </c>
      <c r="P50" s="65">
        <v>61.77549463375896</v>
      </c>
      <c r="Q50" s="65">
        <v>71.445184142864363</v>
      </c>
      <c r="R50" s="65">
        <v>105.44542366133031</v>
      </c>
      <c r="S50" s="65">
        <v>99.823098548489554</v>
      </c>
      <c r="T50" s="65">
        <v>85.464573585876622</v>
      </c>
      <c r="U50" s="65">
        <v>67.000295287691429</v>
      </c>
      <c r="V50" s="65">
        <v>95.520705100221264</v>
      </c>
      <c r="W50" s="65">
        <v>59.228123113668175</v>
      </c>
      <c r="X50" s="65">
        <v>107.80090481284513</v>
      </c>
      <c r="Y50" s="65">
        <v>88.268635152991294</v>
      </c>
      <c r="DA50" s="109" t="s">
        <v>215</v>
      </c>
    </row>
    <row r="51" spans="1:105" ht="12" customHeight="1" x14ac:dyDescent="0.25">
      <c r="A51" s="61" t="s">
        <v>35</v>
      </c>
      <c r="B51" s="65">
        <v>199.26924991875697</v>
      </c>
      <c r="C51" s="65">
        <v>207.19510882367086</v>
      </c>
      <c r="D51" s="65">
        <v>212.88348387955105</v>
      </c>
      <c r="E51" s="65">
        <v>212.47268810226041</v>
      </c>
      <c r="F51" s="65">
        <v>216.97731072414479</v>
      </c>
      <c r="G51" s="65">
        <v>221.22840066937857</v>
      </c>
      <c r="H51" s="65">
        <v>222.76373650919618</v>
      </c>
      <c r="I51" s="65">
        <v>228.88655737071221</v>
      </c>
      <c r="J51" s="65">
        <v>229.8479303294618</v>
      </c>
      <c r="K51" s="65">
        <v>232.44666586044679</v>
      </c>
      <c r="L51" s="65">
        <v>231.16374222572006</v>
      </c>
      <c r="M51" s="65">
        <v>237.16317860277078</v>
      </c>
      <c r="N51" s="65">
        <v>231.25768250117068</v>
      </c>
      <c r="O51" s="65">
        <v>231.25543371292349</v>
      </c>
      <c r="P51" s="65">
        <v>232.9546531007889</v>
      </c>
      <c r="Q51" s="65">
        <v>233.81066851912144</v>
      </c>
      <c r="R51" s="65">
        <v>233.47396519116631</v>
      </c>
      <c r="S51" s="65">
        <v>228.5389119831311</v>
      </c>
      <c r="T51" s="65">
        <v>225.11919690206011</v>
      </c>
      <c r="U51" s="65">
        <v>222.85342290696934</v>
      </c>
      <c r="V51" s="65">
        <v>190.09043640345757</v>
      </c>
      <c r="W51" s="65">
        <v>205.9595265606884</v>
      </c>
      <c r="X51" s="65">
        <v>212.08611014068035</v>
      </c>
      <c r="Y51" s="65">
        <v>211.69079830266244</v>
      </c>
      <c r="DA51" s="109" t="s">
        <v>216</v>
      </c>
    </row>
    <row r="52" spans="1:105" ht="12" customHeight="1" x14ac:dyDescent="0.25">
      <c r="A52" s="66" t="s">
        <v>34</v>
      </c>
      <c r="B52" s="67">
        <v>166.45791165576085</v>
      </c>
      <c r="C52" s="67">
        <v>175.40783850767758</v>
      </c>
      <c r="D52" s="67">
        <v>196.35772051216884</v>
      </c>
      <c r="E52" s="67">
        <v>205.32117414801573</v>
      </c>
      <c r="F52" s="67">
        <v>213.52436547127607</v>
      </c>
      <c r="G52" s="67">
        <v>225.70415316376639</v>
      </c>
      <c r="H52" s="67">
        <v>230.87257161048765</v>
      </c>
      <c r="I52" s="67">
        <v>235.25017355778607</v>
      </c>
      <c r="J52" s="67">
        <v>246.23336996816624</v>
      </c>
      <c r="K52" s="67">
        <v>243.44461103070608</v>
      </c>
      <c r="L52" s="67">
        <v>233.32724953984615</v>
      </c>
      <c r="M52" s="67">
        <v>232.53670505895138</v>
      </c>
      <c r="N52" s="67">
        <v>238.54672343408268</v>
      </c>
      <c r="O52" s="67">
        <v>224.58942998744064</v>
      </c>
      <c r="P52" s="67">
        <v>246.39308345969985</v>
      </c>
      <c r="Q52" s="67">
        <v>252.42595574851822</v>
      </c>
      <c r="R52" s="67">
        <v>255.69409536302771</v>
      </c>
      <c r="S52" s="67">
        <v>262.19870543514742</v>
      </c>
      <c r="T52" s="67">
        <v>270.73773838731927</v>
      </c>
      <c r="U52" s="67">
        <v>269.15865185068174</v>
      </c>
      <c r="V52" s="67">
        <v>242.95742471084199</v>
      </c>
      <c r="W52" s="67">
        <v>243.02760661072531</v>
      </c>
      <c r="X52" s="67">
        <v>258.20922272311134</v>
      </c>
      <c r="Y52" s="67">
        <v>261.8223576797663</v>
      </c>
      <c r="DA52" s="110" t="s">
        <v>217</v>
      </c>
    </row>
    <row r="53" spans="1:105" ht="12" customHeight="1" x14ac:dyDescent="0.25">
      <c r="A53" s="78" t="s">
        <v>33</v>
      </c>
      <c r="B53" s="68">
        <v>597.41498902854869</v>
      </c>
      <c r="C53" s="68">
        <v>623.20157736037481</v>
      </c>
      <c r="D53" s="68">
        <v>642.07073988301204</v>
      </c>
      <c r="E53" s="68">
        <v>658.2536205974958</v>
      </c>
      <c r="F53" s="68">
        <v>677.09283227472531</v>
      </c>
      <c r="G53" s="68">
        <v>696.09065895345918</v>
      </c>
      <c r="H53" s="68">
        <v>714.91268826032024</v>
      </c>
      <c r="I53" s="68">
        <v>730.55135180423588</v>
      </c>
      <c r="J53" s="68">
        <v>743.68601604815694</v>
      </c>
      <c r="K53" s="68">
        <v>751.86532475696401</v>
      </c>
      <c r="L53" s="68">
        <v>760.36212639377345</v>
      </c>
      <c r="M53" s="68">
        <v>767.2565235204795</v>
      </c>
      <c r="N53" s="68">
        <v>774.09693795659041</v>
      </c>
      <c r="O53" s="68">
        <v>780.54296060408058</v>
      </c>
      <c r="P53" s="68">
        <v>789.09579649015518</v>
      </c>
      <c r="Q53" s="68">
        <v>803.69828261206908</v>
      </c>
      <c r="R53" s="68">
        <v>791.70462367005939</v>
      </c>
      <c r="S53" s="68">
        <v>794.52921756805142</v>
      </c>
      <c r="T53" s="68">
        <v>779.2517168876193</v>
      </c>
      <c r="U53" s="68">
        <v>760.21131707959103</v>
      </c>
      <c r="V53" s="68">
        <v>709.01158181840697</v>
      </c>
      <c r="W53" s="68">
        <v>683.76920250163835</v>
      </c>
      <c r="X53" s="68">
        <v>687.06711308506976</v>
      </c>
      <c r="Y53" s="68">
        <v>681.03792311772577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0.58380827292256121</v>
      </c>
      <c r="C56" s="70">
        <f t="shared" ref="C56:W56" si="43">IF(C48=0,0,C48/C$47)</f>
        <v>0.59585836621403476</v>
      </c>
      <c r="D56" s="70">
        <f t="shared" si="43"/>
        <v>0.6042835484203215</v>
      </c>
      <c r="E56" s="70">
        <f t="shared" si="43"/>
        <v>0.61775394933411965</v>
      </c>
      <c r="F56" s="70">
        <f t="shared" si="43"/>
        <v>0.6415347355758666</v>
      </c>
      <c r="G56" s="70">
        <f t="shared" si="43"/>
        <v>0.65689412652414647</v>
      </c>
      <c r="H56" s="70">
        <f t="shared" si="43"/>
        <v>0.65468865378152352</v>
      </c>
      <c r="I56" s="70">
        <f t="shared" si="43"/>
        <v>0.64626970970604802</v>
      </c>
      <c r="J56" s="70">
        <f t="shared" si="43"/>
        <v>0.62363724539570753</v>
      </c>
      <c r="K56" s="70">
        <f t="shared" si="43"/>
        <v>0.63713067113197808</v>
      </c>
      <c r="L56" s="70">
        <f t="shared" si="43"/>
        <v>0.60247015229187062</v>
      </c>
      <c r="M56" s="70">
        <f t="shared" si="43"/>
        <v>0.59228748660323138</v>
      </c>
      <c r="N56" s="70">
        <f t="shared" si="43"/>
        <v>0.58463604844165795</v>
      </c>
      <c r="O56" s="70">
        <f t="shared" si="43"/>
        <v>0.57043832820628626</v>
      </c>
      <c r="P56" s="70">
        <f t="shared" si="43"/>
        <v>0.5907624772993666</v>
      </c>
      <c r="Q56" s="70">
        <f t="shared" si="43"/>
        <v>0.5987914904025694</v>
      </c>
      <c r="R56" s="70">
        <f t="shared" si="43"/>
        <v>0.58817297657323908</v>
      </c>
      <c r="S56" s="70">
        <f t="shared" si="43"/>
        <v>0.58625040968935815</v>
      </c>
      <c r="T56" s="70">
        <f t="shared" si="43"/>
        <v>0.60706421810565891</v>
      </c>
      <c r="U56" s="70">
        <f t="shared" si="43"/>
        <v>0.60765321821922613</v>
      </c>
      <c r="V56" s="70">
        <f t="shared" si="43"/>
        <v>0.58636705139449263</v>
      </c>
      <c r="W56" s="70">
        <f t="shared" si="43"/>
        <v>0.60147757166718641</v>
      </c>
      <c r="X56" s="70">
        <f t="shared" ref="X56:Y56" si="44">IF(X48=0,0,X48/X$47)</f>
        <v>0.62871821306394959</v>
      </c>
      <c r="Y56" s="70">
        <f t="shared" si="44"/>
        <v>0.63323499703463559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0.28414990446065624</v>
      </c>
      <c r="C57" s="71">
        <f t="shared" ref="C57:W57" si="46">IF(C49=0,0,C49/C$47)</f>
        <v>0.30546558525160539</v>
      </c>
      <c r="D57" s="71">
        <f t="shared" si="46"/>
        <v>0.31575421766026196</v>
      </c>
      <c r="E57" s="71">
        <f t="shared" si="46"/>
        <v>0.32681684386465848</v>
      </c>
      <c r="F57" s="71">
        <f t="shared" si="46"/>
        <v>0.37802522905613745</v>
      </c>
      <c r="G57" s="71">
        <f t="shared" si="46"/>
        <v>0.40029873761057633</v>
      </c>
      <c r="H57" s="71">
        <f t="shared" si="46"/>
        <v>0.39200009917640111</v>
      </c>
      <c r="I57" s="71">
        <f t="shared" si="46"/>
        <v>0.39248542160995614</v>
      </c>
      <c r="J57" s="71">
        <f t="shared" si="46"/>
        <v>0.35314167801208324</v>
      </c>
      <c r="K57" s="71">
        <f t="shared" si="46"/>
        <v>0.37174376045362134</v>
      </c>
      <c r="L57" s="71">
        <f t="shared" si="46"/>
        <v>0.30507394785543734</v>
      </c>
      <c r="M57" s="71">
        <f t="shared" si="46"/>
        <v>0.306200472121894</v>
      </c>
      <c r="N57" s="71">
        <f t="shared" si="46"/>
        <v>0.29384124471370554</v>
      </c>
      <c r="O57" s="71">
        <f t="shared" si="46"/>
        <v>0.26889206087653045</v>
      </c>
      <c r="P57" s="71">
        <f t="shared" si="46"/>
        <v>0.31012743704863732</v>
      </c>
      <c r="Q57" s="71">
        <f t="shared" si="46"/>
        <v>0.32039511700882811</v>
      </c>
      <c r="R57" s="71">
        <f t="shared" si="46"/>
        <v>0.2788683521304407</v>
      </c>
      <c r="S57" s="71">
        <f t="shared" si="46"/>
        <v>0.27871703158060224</v>
      </c>
      <c r="T57" s="71">
        <f t="shared" si="46"/>
        <v>0.31393426192894508</v>
      </c>
      <c r="U57" s="71">
        <f t="shared" si="46"/>
        <v>0.31914566849542925</v>
      </c>
      <c r="V57" s="71">
        <f t="shared" si="46"/>
        <v>0.27800343620111734</v>
      </c>
      <c r="W57" s="71">
        <f t="shared" si="46"/>
        <v>0.30527356407292972</v>
      </c>
      <c r="X57" s="71">
        <f t="shared" ref="X57:Y57" si="47">IF(X49=0,0,X49/X$47)</f>
        <v>0.31632281520852351</v>
      </c>
      <c r="Y57" s="71">
        <f t="shared" si="47"/>
        <v>0.33069398823378909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4.487296499832643E-2</v>
      </c>
      <c r="C58" s="72">
        <f t="shared" ref="C58:W58" si="49">IF(C50=0,0,C50/C$47)</f>
        <v>4.2277587029917345E-2</v>
      </c>
      <c r="D58" s="72">
        <f t="shared" si="49"/>
        <v>3.630871520671404E-2</v>
      </c>
      <c r="E58" s="72">
        <f t="shared" si="49"/>
        <v>4.8325369141063293E-2</v>
      </c>
      <c r="F58" s="72">
        <f t="shared" si="49"/>
        <v>3.5594086600160418E-2</v>
      </c>
      <c r="G58" s="72">
        <f t="shared" si="49"/>
        <v>3.6300543270528833E-2</v>
      </c>
      <c r="H58" s="72">
        <f t="shared" si="49"/>
        <v>4.3576812957940324E-2</v>
      </c>
      <c r="I58" s="72">
        <f t="shared" si="49"/>
        <v>2.9050981995224736E-2</v>
      </c>
      <c r="J58" s="72">
        <f t="shared" si="49"/>
        <v>2.9561536449787269E-2</v>
      </c>
      <c r="K58" s="72">
        <f t="shared" si="49"/>
        <v>3.5709676506853416E-2</v>
      </c>
      <c r="L58" s="72">
        <f t="shared" si="49"/>
        <v>5.4552660802675075E-2</v>
      </c>
      <c r="M58" s="72">
        <f t="shared" si="49"/>
        <v>3.6493150839487114E-2</v>
      </c>
      <c r="N58" s="72">
        <f t="shared" si="49"/>
        <v>3.8707752429308469E-2</v>
      </c>
      <c r="O58" s="72">
        <f t="shared" si="49"/>
        <v>5.0677972292976187E-2</v>
      </c>
      <c r="P58" s="72">
        <f t="shared" si="49"/>
        <v>3.2037745607026803E-2</v>
      </c>
      <c r="Q58" s="72">
        <f t="shared" si="49"/>
        <v>3.566564277667917E-2</v>
      </c>
      <c r="R58" s="72">
        <f t="shared" si="49"/>
        <v>5.4850349059621967E-2</v>
      </c>
      <c r="S58" s="72">
        <f t="shared" si="49"/>
        <v>5.1982690144983724E-2</v>
      </c>
      <c r="T58" s="72">
        <f t="shared" si="49"/>
        <v>4.3095303248559876E-2</v>
      </c>
      <c r="U58" s="72">
        <f t="shared" si="49"/>
        <v>3.4579004079381657E-2</v>
      </c>
      <c r="V58" s="72">
        <f t="shared" si="49"/>
        <v>5.5726185462512137E-2</v>
      </c>
      <c r="W58" s="72">
        <f t="shared" si="49"/>
        <v>3.4520033020640953E-2</v>
      </c>
      <c r="X58" s="72">
        <f t="shared" ref="X58:Y58" si="50">IF(X50=0,0,X50/X$47)</f>
        <v>5.8254152774854968E-2</v>
      </c>
      <c r="Y58" s="72">
        <f t="shared" si="50"/>
        <v>4.7536040409366903E-2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0.13882178184375965</v>
      </c>
      <c r="C59" s="72">
        <f t="shared" ref="C59:W59" si="52">IF(C51=0,0,C51/C$47)</f>
        <v>0.13436450232865443</v>
      </c>
      <c r="D59" s="72">
        <f t="shared" si="52"/>
        <v>0.13120282798759025</v>
      </c>
      <c r="E59" s="72">
        <f t="shared" si="52"/>
        <v>0.12338230031721215</v>
      </c>
      <c r="F59" s="72">
        <f t="shared" si="52"/>
        <v>0.1148717359796385</v>
      </c>
      <c r="G59" s="72">
        <f t="shared" si="52"/>
        <v>0.10904436465711612</v>
      </c>
      <c r="H59" s="72">
        <f t="shared" si="52"/>
        <v>0.10759753884048946</v>
      </c>
      <c r="I59" s="72">
        <f t="shared" si="52"/>
        <v>0.11082603321884085</v>
      </c>
      <c r="J59" s="72">
        <f t="shared" si="52"/>
        <v>0.11632086435963061</v>
      </c>
      <c r="K59" s="72">
        <f t="shared" si="52"/>
        <v>0.11218467305385385</v>
      </c>
      <c r="L59" s="72">
        <f t="shared" si="52"/>
        <v>0.12085621318156213</v>
      </c>
      <c r="M59" s="72">
        <f t="shared" si="52"/>
        <v>0.12602616291827654</v>
      </c>
      <c r="N59" s="72">
        <f t="shared" si="52"/>
        <v>0.12408795348741879</v>
      </c>
      <c r="O59" s="72">
        <f t="shared" si="52"/>
        <v>0.12726842176659098</v>
      </c>
      <c r="P59" s="72">
        <f t="shared" si="52"/>
        <v>0.1208139563796823</v>
      </c>
      <c r="Q59" s="72">
        <f t="shared" si="52"/>
        <v>0.11671896266800223</v>
      </c>
      <c r="R59" s="72">
        <f t="shared" si="52"/>
        <v>0.121447930525655</v>
      </c>
      <c r="S59" s="72">
        <f t="shared" si="52"/>
        <v>0.11901120702960359</v>
      </c>
      <c r="T59" s="72">
        <f t="shared" si="52"/>
        <v>0.11351580719955487</v>
      </c>
      <c r="U59" s="72">
        <f t="shared" si="52"/>
        <v>0.11501515607827374</v>
      </c>
      <c r="V59" s="72">
        <f t="shared" si="52"/>
        <v>0.11089757872447287</v>
      </c>
      <c r="W59" s="72">
        <f t="shared" si="52"/>
        <v>0.12003975956060335</v>
      </c>
      <c r="X59" s="72">
        <f t="shared" ref="X59:Y59" si="53">IF(X51=0,0,X51/X$47)</f>
        <v>0.1146084690384505</v>
      </c>
      <c r="Y59" s="72">
        <f t="shared" si="53"/>
        <v>0.11400360190190935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0.11596362161981884</v>
      </c>
      <c r="C60" s="73">
        <f t="shared" ref="C60:W60" si="55">IF(C52=0,0,C52/C$47)</f>
        <v>0.11375069160385755</v>
      </c>
      <c r="D60" s="73">
        <f t="shared" si="55"/>
        <v>0.12101778756575533</v>
      </c>
      <c r="E60" s="73">
        <f t="shared" si="55"/>
        <v>0.11922943601118578</v>
      </c>
      <c r="F60" s="73">
        <f t="shared" si="55"/>
        <v>0.11304368393993026</v>
      </c>
      <c r="G60" s="73">
        <f t="shared" si="55"/>
        <v>0.11125048098592515</v>
      </c>
      <c r="H60" s="73">
        <f t="shared" si="55"/>
        <v>0.11151420280669258</v>
      </c>
      <c r="I60" s="73">
        <f t="shared" si="55"/>
        <v>0.11390727288202626</v>
      </c>
      <c r="J60" s="73">
        <f t="shared" si="55"/>
        <v>0.12461316657420639</v>
      </c>
      <c r="K60" s="73">
        <f t="shared" si="55"/>
        <v>0.11749256111764945</v>
      </c>
      <c r="L60" s="73">
        <f t="shared" si="55"/>
        <v>0.1219873304521961</v>
      </c>
      <c r="M60" s="73">
        <f t="shared" si="55"/>
        <v>0.12356770072357365</v>
      </c>
      <c r="N60" s="73">
        <f t="shared" si="55"/>
        <v>0.12799909781122518</v>
      </c>
      <c r="O60" s="73">
        <f t="shared" si="55"/>
        <v>0.12359987327018863</v>
      </c>
      <c r="P60" s="73">
        <f t="shared" si="55"/>
        <v>0.12778333826402022</v>
      </c>
      <c r="Q60" s="73">
        <f t="shared" si="55"/>
        <v>0.12601176794905986</v>
      </c>
      <c r="R60" s="73">
        <f t="shared" si="55"/>
        <v>0.13300634485752133</v>
      </c>
      <c r="S60" s="73">
        <f t="shared" si="55"/>
        <v>0.13653948093416865</v>
      </c>
      <c r="T60" s="73">
        <f t="shared" si="55"/>
        <v>0.13651884572859907</v>
      </c>
      <c r="U60" s="73">
        <f t="shared" si="55"/>
        <v>0.13891338956614147</v>
      </c>
      <c r="V60" s="73">
        <f t="shared" si="55"/>
        <v>0.1417398510063903</v>
      </c>
      <c r="W60" s="73">
        <f t="shared" si="55"/>
        <v>0.1416442150130123</v>
      </c>
      <c r="X60" s="73">
        <f t="shared" ref="X60:Y60" si="56">IF(X52=0,0,X52/X$47)</f>
        <v>0.13953277604212061</v>
      </c>
      <c r="Y60" s="73">
        <f t="shared" si="56"/>
        <v>0.14100136648957021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0.41619172707743879</v>
      </c>
      <c r="C61" s="70">
        <f t="shared" ref="C61:W61" si="58">IF(C53=0,0,C53/C$47)</f>
        <v>0.40414163378596524</v>
      </c>
      <c r="D61" s="70">
        <f t="shared" si="58"/>
        <v>0.39571645157967844</v>
      </c>
      <c r="E61" s="70">
        <f t="shared" si="58"/>
        <v>0.38224605066588047</v>
      </c>
      <c r="F61" s="70">
        <f t="shared" si="58"/>
        <v>0.35846526442413335</v>
      </c>
      <c r="G61" s="70">
        <f t="shared" si="58"/>
        <v>0.34310587347585364</v>
      </c>
      <c r="H61" s="70">
        <f t="shared" si="58"/>
        <v>0.34531134621847664</v>
      </c>
      <c r="I61" s="70">
        <f t="shared" si="58"/>
        <v>0.35373029029395203</v>
      </c>
      <c r="J61" s="70">
        <f t="shared" si="58"/>
        <v>0.37636275460429247</v>
      </c>
      <c r="K61" s="70">
        <f t="shared" si="58"/>
        <v>0.36286932886802187</v>
      </c>
      <c r="L61" s="70">
        <f t="shared" si="58"/>
        <v>0.39752984770812938</v>
      </c>
      <c r="M61" s="70">
        <f t="shared" si="58"/>
        <v>0.40771251339676867</v>
      </c>
      <c r="N61" s="70">
        <f t="shared" si="58"/>
        <v>0.41536395155834205</v>
      </c>
      <c r="O61" s="70">
        <f t="shared" si="58"/>
        <v>0.42956167179371363</v>
      </c>
      <c r="P61" s="70">
        <f t="shared" si="58"/>
        <v>0.40923752270063335</v>
      </c>
      <c r="Q61" s="70">
        <f t="shared" si="58"/>
        <v>0.4012085095974306</v>
      </c>
      <c r="R61" s="70">
        <f t="shared" si="58"/>
        <v>0.41182702342676092</v>
      </c>
      <c r="S61" s="70">
        <f t="shared" si="58"/>
        <v>0.41374959031064179</v>
      </c>
      <c r="T61" s="70">
        <f t="shared" si="58"/>
        <v>0.39293578189434109</v>
      </c>
      <c r="U61" s="70">
        <f t="shared" si="58"/>
        <v>0.39234678178077387</v>
      </c>
      <c r="V61" s="70">
        <f t="shared" si="58"/>
        <v>0.41363294860550731</v>
      </c>
      <c r="W61" s="70">
        <f t="shared" si="58"/>
        <v>0.39852242833281365</v>
      </c>
      <c r="X61" s="70">
        <f t="shared" ref="X61:Y61" si="59">IF(X53=0,0,X53/X$47)</f>
        <v>0.37128178693605035</v>
      </c>
      <c r="Y61" s="70">
        <f t="shared" si="59"/>
        <v>0.36676500296536441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1311.0375902399999</v>
      </c>
      <c r="C65" s="80">
        <v>1443.8149843556371</v>
      </c>
      <c r="D65" s="80">
        <v>1562.6251958243054</v>
      </c>
      <c r="E65" s="80">
        <v>1640.6391438529731</v>
      </c>
      <c r="F65" s="80">
        <v>2003.69581668</v>
      </c>
      <c r="G65" s="80">
        <v>2251.4949338400002</v>
      </c>
      <c r="H65" s="80">
        <v>2143.5981544800002</v>
      </c>
      <c r="I65" s="80">
        <v>1988.2548237599999</v>
      </c>
      <c r="J65" s="80">
        <v>1645.3814184</v>
      </c>
      <c r="K65" s="80">
        <v>1870.89337836</v>
      </c>
      <c r="L65" s="80">
        <v>1275.3933451200003</v>
      </c>
      <c r="M65" s="80">
        <v>1139.4707889599999</v>
      </c>
      <c r="N65" s="80">
        <v>1002.6559022400002</v>
      </c>
      <c r="O65" s="80">
        <v>982.46300328000007</v>
      </c>
      <c r="P65" s="80">
        <v>1028.5562426399999</v>
      </c>
      <c r="Q65" s="80">
        <v>1128.0381746399999</v>
      </c>
      <c r="R65" s="80">
        <v>1080.5481597600001</v>
      </c>
      <c r="S65" s="80">
        <v>1072.0343199600002</v>
      </c>
      <c r="T65" s="80">
        <v>1157.5114452</v>
      </c>
      <c r="U65" s="80">
        <v>1132.27146036</v>
      </c>
      <c r="V65" s="80">
        <v>892.74212244</v>
      </c>
      <c r="W65" s="80">
        <v>951.13681092000002</v>
      </c>
      <c r="X65" s="80">
        <v>966.29294916000015</v>
      </c>
      <c r="Y65" s="80">
        <v>938.10934152000016</v>
      </c>
      <c r="DA65" s="103" t="s">
        <v>219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1147.2920402399998</v>
      </c>
      <c r="C67" s="55">
        <f t="shared" ref="C67:W67" si="60">SUM(C68:C69)</f>
        <v>1241.243434355637</v>
      </c>
      <c r="D67" s="55">
        <f t="shared" si="60"/>
        <v>1304.6717858243053</v>
      </c>
      <c r="E67" s="55">
        <f t="shared" si="60"/>
        <v>1364.5093338529732</v>
      </c>
      <c r="F67" s="55">
        <f t="shared" si="60"/>
        <v>1674.65248668</v>
      </c>
      <c r="G67" s="55">
        <f t="shared" si="60"/>
        <v>1931.3883338400001</v>
      </c>
      <c r="H67" s="55">
        <f t="shared" si="60"/>
        <v>1778.5554544800002</v>
      </c>
      <c r="I67" s="55">
        <f t="shared" si="60"/>
        <v>1592.7666537599998</v>
      </c>
      <c r="J67" s="55">
        <f t="shared" si="60"/>
        <v>1222.5781583999999</v>
      </c>
      <c r="K67" s="55">
        <f t="shared" si="60"/>
        <v>1397.7515883599999</v>
      </c>
      <c r="L67" s="55">
        <f t="shared" si="60"/>
        <v>814.36915512000019</v>
      </c>
      <c r="M67" s="55">
        <f t="shared" si="60"/>
        <v>628.41100895999989</v>
      </c>
      <c r="N67" s="55">
        <f t="shared" si="60"/>
        <v>490.93975224000008</v>
      </c>
      <c r="O67" s="55">
        <f t="shared" si="60"/>
        <v>468.42431328000004</v>
      </c>
      <c r="P67" s="55">
        <f t="shared" si="60"/>
        <v>521.48517264000009</v>
      </c>
      <c r="Q67" s="55">
        <f t="shared" si="60"/>
        <v>579.23893728000007</v>
      </c>
      <c r="R67" s="55">
        <f t="shared" si="60"/>
        <v>487.01195496000014</v>
      </c>
      <c r="S67" s="55">
        <f t="shared" si="60"/>
        <v>471.94309944000008</v>
      </c>
      <c r="T67" s="55">
        <f t="shared" si="60"/>
        <v>540.69591708000007</v>
      </c>
      <c r="U67" s="55">
        <f t="shared" si="60"/>
        <v>550.89264168000011</v>
      </c>
      <c r="V67" s="55">
        <f t="shared" si="60"/>
        <v>416.64909096000008</v>
      </c>
      <c r="W67" s="55">
        <f t="shared" si="60"/>
        <v>392.90442588000002</v>
      </c>
      <c r="X67" s="55">
        <f t="shared" ref="X67:Y67" si="61">SUM(X68:X69)</f>
        <v>436.68920195999999</v>
      </c>
      <c r="Y67" s="55">
        <f t="shared" si="61"/>
        <v>412.86288132000004</v>
      </c>
      <c r="DA67" s="101"/>
    </row>
    <row r="68" spans="1:105" ht="12" customHeight="1" x14ac:dyDescent="0.25">
      <c r="A68" s="61" t="s">
        <v>52</v>
      </c>
      <c r="B68" s="55">
        <v>146.24697096</v>
      </c>
      <c r="C68" s="55">
        <v>110.43133524000002</v>
      </c>
      <c r="D68" s="55">
        <v>164.15467524000002</v>
      </c>
      <c r="E68" s="55">
        <v>179.07772428000001</v>
      </c>
      <c r="F68" s="55">
        <v>208.96834572000003</v>
      </c>
      <c r="G68" s="55">
        <v>301.51128527999998</v>
      </c>
      <c r="H68" s="55">
        <v>271.65882672000009</v>
      </c>
      <c r="I68" s="55">
        <v>287.35739999999993</v>
      </c>
      <c r="J68" s="55">
        <v>322.18852427999997</v>
      </c>
      <c r="K68" s="55">
        <v>301.87042523999997</v>
      </c>
      <c r="L68" s="55">
        <v>139.32472428</v>
      </c>
      <c r="M68" s="55">
        <v>136.42230096000006</v>
      </c>
      <c r="N68" s="55">
        <v>121.90927572000002</v>
      </c>
      <c r="O68" s="55">
        <v>124.81169904000001</v>
      </c>
      <c r="P68" s="55">
        <v>200.27947572000002</v>
      </c>
      <c r="Q68" s="55">
        <v>214.79250096000004</v>
      </c>
      <c r="R68" s="55">
        <v>200.27947572000002</v>
      </c>
      <c r="S68" s="55">
        <v>200.34626076000004</v>
      </c>
      <c r="T68" s="55">
        <v>259.74791928000008</v>
      </c>
      <c r="U68" s="55">
        <v>246.69189828000003</v>
      </c>
      <c r="V68" s="55">
        <v>165.51786240000004</v>
      </c>
      <c r="W68" s="55">
        <v>143.73685295999999</v>
      </c>
      <c r="X68" s="55">
        <v>200.14590564000002</v>
      </c>
      <c r="Y68" s="55">
        <v>201.01365684000001</v>
      </c>
      <c r="DA68" s="101" t="s">
        <v>221</v>
      </c>
    </row>
    <row r="69" spans="1:105" ht="12" customHeight="1" x14ac:dyDescent="0.25">
      <c r="A69" s="61" t="s">
        <v>163</v>
      </c>
      <c r="B69" s="55">
        <v>1001.0450692799998</v>
      </c>
      <c r="C69" s="55">
        <v>1130.812099115637</v>
      </c>
      <c r="D69" s="55">
        <v>1140.5171105843053</v>
      </c>
      <c r="E69" s="55">
        <v>1185.4316095729732</v>
      </c>
      <c r="F69" s="55">
        <v>1465.6841409599999</v>
      </c>
      <c r="G69" s="55">
        <v>1629.87704856</v>
      </c>
      <c r="H69" s="55">
        <v>1506.8966277600002</v>
      </c>
      <c r="I69" s="55">
        <v>1305.40925376</v>
      </c>
      <c r="J69" s="55">
        <v>900.38963411999998</v>
      </c>
      <c r="K69" s="55">
        <v>1095.8811631199999</v>
      </c>
      <c r="L69" s="55">
        <v>675.04443084000013</v>
      </c>
      <c r="M69" s="55">
        <v>491.98870799999986</v>
      </c>
      <c r="N69" s="55">
        <v>369.03047652000004</v>
      </c>
      <c r="O69" s="55">
        <v>343.61261424000003</v>
      </c>
      <c r="P69" s="55">
        <v>321.20569692000004</v>
      </c>
      <c r="Q69" s="55">
        <v>364.44643632000003</v>
      </c>
      <c r="R69" s="55">
        <v>286.73247924000009</v>
      </c>
      <c r="S69" s="55">
        <v>271.59683868000002</v>
      </c>
      <c r="T69" s="55">
        <v>280.9479978</v>
      </c>
      <c r="U69" s="55">
        <v>304.20074340000008</v>
      </c>
      <c r="V69" s="55">
        <v>251.13122856000004</v>
      </c>
      <c r="W69" s="55">
        <v>249.16757292000003</v>
      </c>
      <c r="X69" s="55">
        <v>236.54329631999997</v>
      </c>
      <c r="Y69" s="55">
        <v>211.84922448000003</v>
      </c>
      <c r="DA69" s="101" t="s">
        <v>222</v>
      </c>
    </row>
    <row r="70" spans="1:105" ht="12" customHeight="1" x14ac:dyDescent="0.25">
      <c r="A70" s="60" t="s">
        <v>149</v>
      </c>
      <c r="B70" s="55">
        <v>163.74555000000001</v>
      </c>
      <c r="C70" s="55">
        <v>202.57155</v>
      </c>
      <c r="D70" s="55">
        <v>257.95341000000013</v>
      </c>
      <c r="E70" s="55">
        <v>276.12981000000002</v>
      </c>
      <c r="F70" s="55">
        <v>329.04333000000008</v>
      </c>
      <c r="G70" s="55">
        <v>320.10660000000007</v>
      </c>
      <c r="H70" s="55">
        <v>365.04270000000002</v>
      </c>
      <c r="I70" s="55">
        <v>395.48817000000003</v>
      </c>
      <c r="J70" s="55">
        <v>422.80326000000008</v>
      </c>
      <c r="K70" s="55">
        <v>473.14179000000007</v>
      </c>
      <c r="L70" s="55">
        <v>461.02419000000009</v>
      </c>
      <c r="M70" s="55">
        <v>511.05977999999993</v>
      </c>
      <c r="N70" s="55">
        <v>511.71615000000003</v>
      </c>
      <c r="O70" s="55">
        <v>514.03868999999997</v>
      </c>
      <c r="P70" s="55">
        <v>507.07106999999991</v>
      </c>
      <c r="Q70" s="55">
        <v>548.79923735999989</v>
      </c>
      <c r="R70" s="55">
        <v>593.53620480000006</v>
      </c>
      <c r="S70" s="55">
        <v>600.09122052000009</v>
      </c>
      <c r="T70" s="55">
        <v>616.81552811999995</v>
      </c>
      <c r="U70" s="55">
        <v>581.37881867999988</v>
      </c>
      <c r="V70" s="55">
        <v>476.09303147999998</v>
      </c>
      <c r="W70" s="55">
        <v>558.23238504000005</v>
      </c>
      <c r="X70" s="55">
        <v>529.60374720000016</v>
      </c>
      <c r="Y70" s="55">
        <v>525.24646020000012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1311.0375902399996</v>
      </c>
      <c r="C81" s="82">
        <f t="shared" ref="C81:W81" si="65">C82+C87</f>
        <v>1443.8149843556371</v>
      </c>
      <c r="D81" s="82">
        <f t="shared" si="65"/>
        <v>1562.6251958243056</v>
      </c>
      <c r="E81" s="82">
        <f t="shared" si="65"/>
        <v>1640.6391438529729</v>
      </c>
      <c r="F81" s="82">
        <f t="shared" si="65"/>
        <v>2003.69581668</v>
      </c>
      <c r="G81" s="82">
        <f t="shared" si="65"/>
        <v>2251.4949338400002</v>
      </c>
      <c r="H81" s="82">
        <f t="shared" si="65"/>
        <v>2143.5981544800006</v>
      </c>
      <c r="I81" s="82">
        <f t="shared" si="65"/>
        <v>1988.2548237599992</v>
      </c>
      <c r="J81" s="82">
        <f t="shared" si="65"/>
        <v>1645.3814184000003</v>
      </c>
      <c r="K81" s="82">
        <f t="shared" si="65"/>
        <v>1870.8933783599998</v>
      </c>
      <c r="L81" s="82">
        <f t="shared" si="65"/>
        <v>1275.3933451200003</v>
      </c>
      <c r="M81" s="82">
        <f t="shared" si="65"/>
        <v>1139.4707889599995</v>
      </c>
      <c r="N81" s="82">
        <f t="shared" si="65"/>
        <v>1002.6559022400004</v>
      </c>
      <c r="O81" s="82">
        <f t="shared" si="65"/>
        <v>982.46300327999984</v>
      </c>
      <c r="P81" s="82">
        <f t="shared" si="65"/>
        <v>1028.5562426399997</v>
      </c>
      <c r="Q81" s="82">
        <f t="shared" si="65"/>
        <v>1128.0381746399999</v>
      </c>
      <c r="R81" s="82">
        <f t="shared" si="65"/>
        <v>1080.5481597600001</v>
      </c>
      <c r="S81" s="82">
        <f t="shared" si="65"/>
        <v>1072.0343199600002</v>
      </c>
      <c r="T81" s="82">
        <f t="shared" si="65"/>
        <v>1157.5114452</v>
      </c>
      <c r="U81" s="82">
        <f t="shared" si="65"/>
        <v>1132.2714603599998</v>
      </c>
      <c r="V81" s="82">
        <f t="shared" si="65"/>
        <v>892.74212243999978</v>
      </c>
      <c r="W81" s="82">
        <f t="shared" si="65"/>
        <v>951.13681091999979</v>
      </c>
      <c r="X81" s="82">
        <f t="shared" ref="X81:Y81" si="66">X82+X87</f>
        <v>966.29294916000038</v>
      </c>
      <c r="Y81" s="82">
        <f t="shared" si="66"/>
        <v>938.1093415199997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1311.0375902399996</v>
      </c>
      <c r="C82" s="64">
        <f t="shared" ref="C82:W82" si="68">SUM(C83:C86)</f>
        <v>1443.8149843556371</v>
      </c>
      <c r="D82" s="64">
        <f t="shared" si="68"/>
        <v>1562.6251958243056</v>
      </c>
      <c r="E82" s="64">
        <f t="shared" si="68"/>
        <v>1640.6391438529729</v>
      </c>
      <c r="F82" s="64">
        <f t="shared" si="68"/>
        <v>2003.69581668</v>
      </c>
      <c r="G82" s="64">
        <f t="shared" si="68"/>
        <v>2251.4949338400002</v>
      </c>
      <c r="H82" s="64">
        <f t="shared" si="68"/>
        <v>2143.5981544800006</v>
      </c>
      <c r="I82" s="64">
        <f t="shared" si="68"/>
        <v>1988.2548237599992</v>
      </c>
      <c r="J82" s="64">
        <f t="shared" si="68"/>
        <v>1645.3814184000003</v>
      </c>
      <c r="K82" s="64">
        <f t="shared" si="68"/>
        <v>1870.8933783599998</v>
      </c>
      <c r="L82" s="64">
        <f t="shared" si="68"/>
        <v>1275.3933451200003</v>
      </c>
      <c r="M82" s="64">
        <f t="shared" si="68"/>
        <v>1139.4707889599995</v>
      </c>
      <c r="N82" s="64">
        <f t="shared" si="68"/>
        <v>1002.6559022400004</v>
      </c>
      <c r="O82" s="64">
        <f t="shared" si="68"/>
        <v>982.46300327999984</v>
      </c>
      <c r="P82" s="64">
        <f t="shared" si="68"/>
        <v>1028.5562426399997</v>
      </c>
      <c r="Q82" s="64">
        <f t="shared" si="68"/>
        <v>1128.0381746399999</v>
      </c>
      <c r="R82" s="64">
        <f t="shared" si="68"/>
        <v>1080.5481597600001</v>
      </c>
      <c r="S82" s="64">
        <f t="shared" si="68"/>
        <v>1072.0343199600002</v>
      </c>
      <c r="T82" s="64">
        <f t="shared" si="68"/>
        <v>1157.5114452</v>
      </c>
      <c r="U82" s="64">
        <f t="shared" si="68"/>
        <v>1132.2714603599998</v>
      </c>
      <c r="V82" s="64">
        <f t="shared" si="68"/>
        <v>892.74212243999978</v>
      </c>
      <c r="W82" s="64">
        <f t="shared" si="68"/>
        <v>951.13681091999979</v>
      </c>
      <c r="X82" s="64">
        <f t="shared" ref="X82:Y82" si="69">SUM(X83:X86)</f>
        <v>966.29294916000038</v>
      </c>
      <c r="Y82" s="64">
        <f t="shared" si="69"/>
        <v>938.1093415199997</v>
      </c>
      <c r="DA82" s="108" t="s">
        <v>233</v>
      </c>
    </row>
    <row r="83" spans="1:105" ht="12" customHeight="1" x14ac:dyDescent="0.25">
      <c r="A83" s="61" t="s">
        <v>32</v>
      </c>
      <c r="B83" s="65">
        <v>883.85368333945848</v>
      </c>
      <c r="C83" s="65">
        <v>1055.0927259279247</v>
      </c>
      <c r="D83" s="65">
        <v>1128.2413958168374</v>
      </c>
      <c r="E83" s="65">
        <v>1197.4522964672024</v>
      </c>
      <c r="F83" s="65">
        <v>1529.3398298639338</v>
      </c>
      <c r="G83" s="65">
        <v>1681.3921478281959</v>
      </c>
      <c r="H83" s="65">
        <v>1600.1451144190864</v>
      </c>
      <c r="I83" s="65">
        <v>1427.7699739105501</v>
      </c>
      <c r="J83" s="65">
        <v>1052.0962610128959</v>
      </c>
      <c r="K83" s="65">
        <v>1293.7396253073882</v>
      </c>
      <c r="L83" s="65">
        <v>838.071285237859</v>
      </c>
      <c r="M83" s="65">
        <v>696.14103400676368</v>
      </c>
      <c r="N83" s="65">
        <v>569.01923506899595</v>
      </c>
      <c r="O83" s="65">
        <v>519.66654909682507</v>
      </c>
      <c r="P83" s="65">
        <v>490.36485856329432</v>
      </c>
      <c r="Q83" s="65">
        <v>557.07581770355978</v>
      </c>
      <c r="R83" s="65">
        <v>511.42503121584355</v>
      </c>
      <c r="S83" s="65">
        <v>491.46444663734553</v>
      </c>
      <c r="T83" s="65">
        <v>509.09021521489638</v>
      </c>
      <c r="U83" s="65">
        <v>486.92699143973323</v>
      </c>
      <c r="V83" s="65">
        <v>362.70208644344166</v>
      </c>
      <c r="W83" s="65">
        <v>438.90775312471828</v>
      </c>
      <c r="X83" s="65">
        <v>400.5394969548932</v>
      </c>
      <c r="Y83" s="65">
        <v>371.11219372209291</v>
      </c>
      <c r="DA83" s="109" t="s">
        <v>234</v>
      </c>
    </row>
    <row r="84" spans="1:105" ht="12" customHeight="1" x14ac:dyDescent="0.25">
      <c r="A84" s="61" t="s">
        <v>31</v>
      </c>
      <c r="B84" s="65">
        <v>0.53562237543176661</v>
      </c>
      <c r="C84" s="65">
        <v>0.57564374082428482</v>
      </c>
      <c r="D84" s="65">
        <v>0.49288711766913063</v>
      </c>
      <c r="E84" s="65">
        <v>0.66076563386450604</v>
      </c>
      <c r="F84" s="65">
        <v>0.62786433101526784</v>
      </c>
      <c r="G84" s="65">
        <v>0.72318810157252789</v>
      </c>
      <c r="H84" s="65">
        <v>0.96767210756346156</v>
      </c>
      <c r="I84" s="65">
        <v>0.84725691507988798</v>
      </c>
      <c r="J84" s="65">
        <v>0.99245134219355191</v>
      </c>
      <c r="K84" s="65">
        <v>1.5268123069546193</v>
      </c>
      <c r="L84" s="65">
        <v>2.2454917522685167</v>
      </c>
      <c r="M84" s="65">
        <v>1.7401307877483236</v>
      </c>
      <c r="N84" s="65">
        <v>1.9817332739610274</v>
      </c>
      <c r="O84" s="65">
        <v>2.9170350230533098</v>
      </c>
      <c r="P84" s="65">
        <v>2.2367369690899461</v>
      </c>
      <c r="Q84" s="65">
        <v>3.0985632039082236</v>
      </c>
      <c r="R84" s="65">
        <v>5.6522505102833227</v>
      </c>
      <c r="S84" s="65">
        <v>6.1105910981942273</v>
      </c>
      <c r="T84" s="65">
        <v>5.8427386565132879</v>
      </c>
      <c r="U84" s="65">
        <v>5.1819391733505054</v>
      </c>
      <c r="V84" s="65">
        <v>7.4648389872430974</v>
      </c>
      <c r="W84" s="65">
        <v>4.9441599226549799</v>
      </c>
      <c r="X84" s="65">
        <v>9.2952066826146602</v>
      </c>
      <c r="Y84" s="65">
        <v>7.779300310746164</v>
      </c>
      <c r="DA84" s="109" t="s">
        <v>235</v>
      </c>
    </row>
    <row r="85" spans="1:105" ht="12" customHeight="1" x14ac:dyDescent="0.25">
      <c r="A85" s="61" t="s">
        <v>35</v>
      </c>
      <c r="B85" s="65">
        <v>281.7441739670486</v>
      </c>
      <c r="C85" s="65">
        <v>272.49911648400433</v>
      </c>
      <c r="D85" s="65">
        <v>259.05345691899038</v>
      </c>
      <c r="E85" s="65">
        <v>250.07041570438574</v>
      </c>
      <c r="F85" s="65">
        <v>245.06385981908412</v>
      </c>
      <c r="G85" s="65">
        <v>243.23308860670952</v>
      </c>
      <c r="H85" s="65">
        <v>242.84645867663352</v>
      </c>
      <c r="I85" s="65">
        <v>242.71993628011577</v>
      </c>
      <c r="J85" s="65">
        <v>238.6484278640919</v>
      </c>
      <c r="K85" s="65">
        <v>234.94980675414203</v>
      </c>
      <c r="L85" s="65">
        <v>238.04746277954931</v>
      </c>
      <c r="M85" s="65">
        <v>243.03656454366154</v>
      </c>
      <c r="N85" s="65">
        <v>243.5544118752259</v>
      </c>
      <c r="O85" s="65">
        <v>243.87595578040222</v>
      </c>
      <c r="P85" s="65">
        <v>244.85041886690945</v>
      </c>
      <c r="Q85" s="65">
        <v>247.65321251124996</v>
      </c>
      <c r="R85" s="65">
        <v>251.73740757223436</v>
      </c>
      <c r="S85" s="65">
        <v>258.06245900678977</v>
      </c>
      <c r="T85" s="65">
        <v>261.29875465796329</v>
      </c>
      <c r="U85" s="65">
        <v>263.55064296578718</v>
      </c>
      <c r="V85" s="65">
        <v>235.71065353405504</v>
      </c>
      <c r="W85" s="65">
        <v>250.67698893444376</v>
      </c>
      <c r="X85" s="65">
        <v>256.95993077013799</v>
      </c>
      <c r="Y85" s="65">
        <v>253.83994092165557</v>
      </c>
      <c r="DA85" s="109" t="s">
        <v>236</v>
      </c>
    </row>
    <row r="86" spans="1:105" ht="12" customHeight="1" x14ac:dyDescent="0.25">
      <c r="A86" s="66" t="s">
        <v>34</v>
      </c>
      <c r="B86" s="67">
        <v>144.90411055806084</v>
      </c>
      <c r="C86" s="67">
        <v>115.64749820288384</v>
      </c>
      <c r="D86" s="67">
        <v>174.83745597080866</v>
      </c>
      <c r="E86" s="67">
        <v>192.45566604752025</v>
      </c>
      <c r="F86" s="67">
        <v>228.6642626659667</v>
      </c>
      <c r="G86" s="67">
        <v>326.14650930352207</v>
      </c>
      <c r="H86" s="67">
        <v>299.63890927671713</v>
      </c>
      <c r="I86" s="67">
        <v>316.91765665425345</v>
      </c>
      <c r="J86" s="67">
        <v>353.64427818081901</v>
      </c>
      <c r="K86" s="67">
        <v>340.67713399151506</v>
      </c>
      <c r="L86" s="67">
        <v>197.02910535032339</v>
      </c>
      <c r="M86" s="67">
        <v>198.55305962182601</v>
      </c>
      <c r="N86" s="67">
        <v>188.10052202181751</v>
      </c>
      <c r="O86" s="67">
        <v>216.00346337971911</v>
      </c>
      <c r="P86" s="67">
        <v>291.10422824070599</v>
      </c>
      <c r="Q86" s="67">
        <v>320.2105812212817</v>
      </c>
      <c r="R86" s="67">
        <v>311.73347046163894</v>
      </c>
      <c r="S86" s="67">
        <v>316.39682321767077</v>
      </c>
      <c r="T86" s="67">
        <v>381.27973667062719</v>
      </c>
      <c r="U86" s="67">
        <v>376.61188678112899</v>
      </c>
      <c r="V86" s="67">
        <v>286.86454347526006</v>
      </c>
      <c r="W86" s="67">
        <v>256.60790893818273</v>
      </c>
      <c r="X86" s="67">
        <v>299.49831475235453</v>
      </c>
      <c r="Y86" s="67">
        <v>305.37790656550499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0.67416349456285196</v>
      </c>
      <c r="C91" s="71">
        <f t="shared" ref="C91:W91" si="77">IF(C83=0,0,C83/C$81)</f>
        <v>0.73076726406105563</v>
      </c>
      <c r="D91" s="71">
        <f t="shared" si="77"/>
        <v>0.72201664150287492</v>
      </c>
      <c r="E91" s="71">
        <f t="shared" si="77"/>
        <v>0.72986939325062994</v>
      </c>
      <c r="F91" s="71">
        <f t="shared" si="77"/>
        <v>0.76325948137075783</v>
      </c>
      <c r="G91" s="71">
        <f t="shared" si="77"/>
        <v>0.74678922104458179</v>
      </c>
      <c r="H91" s="71">
        <f t="shared" si="77"/>
        <v>0.74647625119235728</v>
      </c>
      <c r="I91" s="71">
        <f t="shared" si="77"/>
        <v>0.71810210484513592</v>
      </c>
      <c r="J91" s="71">
        <f t="shared" si="77"/>
        <v>0.63942393492930893</v>
      </c>
      <c r="K91" s="71">
        <f t="shared" si="77"/>
        <v>0.69150900862210707</v>
      </c>
      <c r="L91" s="71">
        <f t="shared" si="77"/>
        <v>0.65710809017825467</v>
      </c>
      <c r="M91" s="71">
        <f t="shared" si="77"/>
        <v>0.6109336375723462</v>
      </c>
      <c r="N91" s="71">
        <f t="shared" si="77"/>
        <v>0.56751197873345072</v>
      </c>
      <c r="O91" s="71">
        <f t="shared" si="77"/>
        <v>0.52894261398331888</v>
      </c>
      <c r="P91" s="71">
        <f t="shared" si="77"/>
        <v>0.4767506512863825</v>
      </c>
      <c r="Q91" s="71">
        <f t="shared" si="77"/>
        <v>0.49384482744242586</v>
      </c>
      <c r="R91" s="71">
        <f t="shared" si="77"/>
        <v>0.47330146888541819</v>
      </c>
      <c r="S91" s="71">
        <f t="shared" si="77"/>
        <v>0.45844096358378067</v>
      </c>
      <c r="T91" s="71">
        <f t="shared" si="77"/>
        <v>0.43981441162072782</v>
      </c>
      <c r="U91" s="71">
        <f t="shared" si="77"/>
        <v>0.43004439172644815</v>
      </c>
      <c r="V91" s="71">
        <f t="shared" si="77"/>
        <v>0.40627867480042479</v>
      </c>
      <c r="W91" s="71">
        <f t="shared" si="77"/>
        <v>0.46145596310185799</v>
      </c>
      <c r="X91" s="71">
        <f t="shared" ref="X91:Y91" si="78">IF(X83=0,0,X83/X$81)</f>
        <v>0.41451145566474706</v>
      </c>
      <c r="Y91" s="71">
        <f t="shared" si="78"/>
        <v>0.39559588344018332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4.0854845003621528E-4</v>
      </c>
      <c r="C92" s="72">
        <f t="shared" ref="C92:W92" si="80">IF(C84=0,0,C84/C$81)</f>
        <v>3.9869633371424659E-4</v>
      </c>
      <c r="D92" s="72">
        <f t="shared" si="80"/>
        <v>3.1542248197855666E-4</v>
      </c>
      <c r="E92" s="72">
        <f t="shared" si="80"/>
        <v>4.0274891425101889E-4</v>
      </c>
      <c r="F92" s="72">
        <f t="shared" si="80"/>
        <v>3.1335311766813001E-4</v>
      </c>
      <c r="G92" s="72">
        <f t="shared" si="80"/>
        <v>3.212035215815948E-4</v>
      </c>
      <c r="H92" s="72">
        <f t="shared" si="80"/>
        <v>4.5142421192194106E-4</v>
      </c>
      <c r="I92" s="72">
        <f t="shared" si="80"/>
        <v>4.2613094908912932E-4</v>
      </c>
      <c r="J92" s="72">
        <f t="shared" si="80"/>
        <v>6.0317403071114667E-4</v>
      </c>
      <c r="K92" s="72">
        <f t="shared" si="80"/>
        <v>8.160872899625112E-4</v>
      </c>
      <c r="L92" s="72">
        <f t="shared" si="80"/>
        <v>1.7606268378774087E-3</v>
      </c>
      <c r="M92" s="72">
        <f t="shared" si="80"/>
        <v>1.5271394445631639E-3</v>
      </c>
      <c r="N92" s="72">
        <f t="shared" si="80"/>
        <v>1.9764839258749711E-3</v>
      </c>
      <c r="O92" s="72">
        <f t="shared" si="80"/>
        <v>2.9691041935570586E-3</v>
      </c>
      <c r="P92" s="72">
        <f t="shared" si="80"/>
        <v>2.1746374931806392E-3</v>
      </c>
      <c r="Q92" s="72">
        <f t="shared" si="80"/>
        <v>2.7468602336060957E-3</v>
      </c>
      <c r="R92" s="72">
        <f t="shared" si="80"/>
        <v>5.2309103108729004E-3</v>
      </c>
      <c r="S92" s="72">
        <f t="shared" si="80"/>
        <v>5.6999957785140928E-3</v>
      </c>
      <c r="T92" s="72">
        <f t="shared" si="80"/>
        <v>5.0476724707493098E-3</v>
      </c>
      <c r="U92" s="72">
        <f t="shared" si="80"/>
        <v>4.5765872891496669E-3</v>
      </c>
      <c r="V92" s="72">
        <f t="shared" si="80"/>
        <v>8.3616968434743043E-3</v>
      </c>
      <c r="W92" s="72">
        <f t="shared" si="80"/>
        <v>5.1981585255570914E-3</v>
      </c>
      <c r="X92" s="72">
        <f t="shared" ref="X92:Y92" si="81">IF(X84=0,0,X84/X$81)</f>
        <v>9.619449971869292E-3</v>
      </c>
      <c r="Y92" s="72">
        <f t="shared" si="81"/>
        <v>8.2925304827916116E-3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0.21490167487529649</v>
      </c>
      <c r="C93" s="72">
        <f t="shared" ref="C93:W93" si="83">IF(C85=0,0,C85/C$81)</f>
        <v>0.18873548164872281</v>
      </c>
      <c r="D93" s="72">
        <f t="shared" si="83"/>
        <v>0.16578092917690107</v>
      </c>
      <c r="E93" s="72">
        <f t="shared" si="83"/>
        <v>0.15242255839215549</v>
      </c>
      <c r="F93" s="72">
        <f t="shared" si="83"/>
        <v>0.12230591978034858</v>
      </c>
      <c r="G93" s="72">
        <f t="shared" si="83"/>
        <v>0.10803181697232039</v>
      </c>
      <c r="H93" s="72">
        <f t="shared" si="83"/>
        <v>0.11328917137248787</v>
      </c>
      <c r="I93" s="72">
        <f t="shared" si="83"/>
        <v>0.12207687534795304</v>
      </c>
      <c r="J93" s="72">
        <f t="shared" si="83"/>
        <v>0.14504140206965391</v>
      </c>
      <c r="K93" s="72">
        <f t="shared" si="83"/>
        <v>0.12558161222426042</v>
      </c>
      <c r="L93" s="72">
        <f t="shared" si="83"/>
        <v>0.18664631087372632</v>
      </c>
      <c r="M93" s="72">
        <f t="shared" si="83"/>
        <v>0.21328898195405446</v>
      </c>
      <c r="N93" s="72">
        <f t="shared" si="83"/>
        <v>0.24290926860462203</v>
      </c>
      <c r="O93" s="72">
        <f t="shared" si="83"/>
        <v>0.24822914956208086</v>
      </c>
      <c r="P93" s="72">
        <f t="shared" si="83"/>
        <v>0.23805253297423079</v>
      </c>
      <c r="Q93" s="72">
        <f t="shared" si="83"/>
        <v>0.21954329035919867</v>
      </c>
      <c r="R93" s="72">
        <f t="shared" si="83"/>
        <v>0.23297194604278221</v>
      </c>
      <c r="S93" s="72">
        <f t="shared" si="83"/>
        <v>0.24072219909565826</v>
      </c>
      <c r="T93" s="72">
        <f t="shared" si="83"/>
        <v>0.22574183239528567</v>
      </c>
      <c r="U93" s="72">
        <f t="shared" si="83"/>
        <v>0.23276277128983949</v>
      </c>
      <c r="V93" s="72">
        <f t="shared" si="83"/>
        <v>0.26402994505269006</v>
      </c>
      <c r="W93" s="72">
        <f t="shared" si="83"/>
        <v>0.26355513324310631</v>
      </c>
      <c r="X93" s="72">
        <f t="shared" ref="X93:Y93" si="84">IF(X85=0,0,X85/X$81)</f>
        <v>0.26592342518230477</v>
      </c>
      <c r="Y93" s="72">
        <f t="shared" si="84"/>
        <v>0.27058673193720023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0.11052628211181539</v>
      </c>
      <c r="C94" s="73">
        <f t="shared" ref="C94:W94" si="86">IF(C86=0,0,C86/C$81)</f>
        <v>8.0098557956507416E-2</v>
      </c>
      <c r="D94" s="73">
        <f t="shared" si="86"/>
        <v>0.11188700683824541</v>
      </c>
      <c r="E94" s="73">
        <f t="shared" si="86"/>
        <v>0.1173052994429635</v>
      </c>
      <c r="F94" s="73">
        <f t="shared" si="86"/>
        <v>0.11412124573122542</v>
      </c>
      <c r="G94" s="73">
        <f t="shared" si="86"/>
        <v>0.14485775846151616</v>
      </c>
      <c r="H94" s="73">
        <f t="shared" si="86"/>
        <v>0.13978315322323287</v>
      </c>
      <c r="I94" s="73">
        <f t="shared" si="86"/>
        <v>0.15939488885782196</v>
      </c>
      <c r="J94" s="73">
        <f t="shared" si="86"/>
        <v>0.21493148897032602</v>
      </c>
      <c r="K94" s="73">
        <f t="shared" si="86"/>
        <v>0.18209329186367001</v>
      </c>
      <c r="L94" s="73">
        <f t="shared" si="86"/>
        <v>0.15448497211014156</v>
      </c>
      <c r="M94" s="73">
        <f t="shared" si="86"/>
        <v>0.17425024102903625</v>
      </c>
      <c r="N94" s="73">
        <f t="shared" si="86"/>
        <v>0.18760226873605226</v>
      </c>
      <c r="O94" s="73">
        <f t="shared" si="86"/>
        <v>0.21985913226104309</v>
      </c>
      <c r="P94" s="73">
        <f t="shared" si="86"/>
        <v>0.28302217824620607</v>
      </c>
      <c r="Q94" s="73">
        <f t="shared" si="86"/>
        <v>0.2838650219647692</v>
      </c>
      <c r="R94" s="73">
        <f t="shared" si="86"/>
        <v>0.2884956747609268</v>
      </c>
      <c r="S94" s="73">
        <f t="shared" si="86"/>
        <v>0.29513684154204706</v>
      </c>
      <c r="T94" s="73">
        <f t="shared" si="86"/>
        <v>0.32939608351323729</v>
      </c>
      <c r="U94" s="73">
        <f t="shared" si="86"/>
        <v>0.33261624969456283</v>
      </c>
      <c r="V94" s="73">
        <f t="shared" si="86"/>
        <v>0.32132968330341094</v>
      </c>
      <c r="W94" s="73">
        <f t="shared" si="86"/>
        <v>0.26979074512947859</v>
      </c>
      <c r="X94" s="73">
        <f t="shared" ref="X94:Y94" si="87">IF(X86=0,0,X86/X$81)</f>
        <v>0.30994566918107885</v>
      </c>
      <c r="Y94" s="73">
        <f t="shared" si="87"/>
        <v>0.32552485413982479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103927.05942139636</v>
      </c>
      <c r="C99" s="82">
        <f t="shared" ref="C99:W99" si="92">C47*11630*1000/C$8</f>
        <v>107861.9427491745</v>
      </c>
      <c r="D99" s="82">
        <f t="shared" si="92"/>
        <v>111813.13320420949</v>
      </c>
      <c r="E99" s="82">
        <f t="shared" si="92"/>
        <v>117517.05608581116</v>
      </c>
      <c r="F99" s="82">
        <f t="shared" si="92"/>
        <v>126707.34898279415</v>
      </c>
      <c r="G99" s="82">
        <f t="shared" si="92"/>
        <v>133485.10891299177</v>
      </c>
      <c r="H99" s="82">
        <f t="shared" si="92"/>
        <v>133022.14435055322</v>
      </c>
      <c r="I99" s="82">
        <f t="shared" si="92"/>
        <v>130078.08363952182</v>
      </c>
      <c r="J99" s="82">
        <f t="shared" si="92"/>
        <v>123065.83363353119</v>
      </c>
      <c r="K99" s="82">
        <f t="shared" si="92"/>
        <v>128457.3197770485</v>
      </c>
      <c r="L99" s="82">
        <f t="shared" si="92"/>
        <v>118108.60596330992</v>
      </c>
      <c r="M99" s="82">
        <f t="shared" si="92"/>
        <v>115731.64889958127</v>
      </c>
      <c r="N99" s="82">
        <f t="shared" si="92"/>
        <v>114477.24198171239</v>
      </c>
      <c r="O99" s="82">
        <f t="shared" si="92"/>
        <v>111115.69446972728</v>
      </c>
      <c r="P99" s="82">
        <f t="shared" si="92"/>
        <v>117062.50264566211</v>
      </c>
      <c r="Q99" s="82">
        <f t="shared" si="92"/>
        <v>120809.69075136558</v>
      </c>
      <c r="R99" s="82">
        <f t="shared" si="92"/>
        <v>115238.97072065595</v>
      </c>
      <c r="S99" s="82">
        <f t="shared" si="92"/>
        <v>114123.51139929409</v>
      </c>
      <c r="T99" s="82">
        <f t="shared" si="92"/>
        <v>116921.35489844925</v>
      </c>
      <c r="U99" s="82">
        <f t="shared" si="92"/>
        <v>113411.3068210162</v>
      </c>
      <c r="V99" s="82">
        <f t="shared" si="92"/>
        <v>99697.457107016773</v>
      </c>
      <c r="W99" s="82">
        <f t="shared" si="92"/>
        <v>99251.756938167819</v>
      </c>
      <c r="X99" s="82">
        <f t="shared" ref="X99:Y99" si="93">X47*11630*1000/X$8</f>
        <v>106516.78238998762</v>
      </c>
      <c r="Y99" s="82">
        <f t="shared" si="93"/>
        <v>106381.50687487119</v>
      </c>
      <c r="DA99" s="107"/>
    </row>
    <row r="100" spans="1:105" ht="12" customHeight="1" x14ac:dyDescent="0.25">
      <c r="A100" s="77" t="s">
        <v>36</v>
      </c>
      <c r="B100" s="64">
        <f t="shared" si="91"/>
        <v>60673.477070725807</v>
      </c>
      <c r="C100" s="64">
        <f t="shared" ref="C100:W100" si="94">C48*11630*1000/C$8</f>
        <v>64270.44098319488</v>
      </c>
      <c r="D100" s="64">
        <f t="shared" si="94"/>
        <v>67566.836892633801</v>
      </c>
      <c r="E100" s="64">
        <f t="shared" si="94"/>
        <v>72596.625511129081</v>
      </c>
      <c r="F100" s="64">
        <f t="shared" si="94"/>
        <v>81287.165625195892</v>
      </c>
      <c r="G100" s="64">
        <f t="shared" si="94"/>
        <v>87685.584023380288</v>
      </c>
      <c r="H100" s="64">
        <f t="shared" si="94"/>
        <v>87088.088607995174</v>
      </c>
      <c r="I100" s="64">
        <f t="shared" si="94"/>
        <v>84065.525352832803</v>
      </c>
      <c r="J100" s="64">
        <f t="shared" si="94"/>
        <v>76748.437489541815</v>
      </c>
      <c r="K100" s="64">
        <f t="shared" si="94"/>
        <v>81844.098361366036</v>
      </c>
      <c r="L100" s="64">
        <f t="shared" si="94"/>
        <v>71156.909821695866</v>
      </c>
      <c r="M100" s="64">
        <f t="shared" si="94"/>
        <v>68546.407447180609</v>
      </c>
      <c r="N100" s="64">
        <f t="shared" si="94"/>
        <v>66927.522388687808</v>
      </c>
      <c r="O100" s="64">
        <f t="shared" si="94"/>
        <v>63384.650990791721</v>
      </c>
      <c r="P100" s="64">
        <f t="shared" si="94"/>
        <v>69156.134061815013</v>
      </c>
      <c r="Q100" s="64">
        <f t="shared" si="94"/>
        <v>72339.814780083689</v>
      </c>
      <c r="R100" s="64">
        <f t="shared" si="94"/>
        <v>67780.448426004572</v>
      </c>
      <c r="S100" s="64">
        <f t="shared" si="94"/>
        <v>66904.955313024286</v>
      </c>
      <c r="T100" s="64">
        <f t="shared" si="94"/>
        <v>70978.77089128134</v>
      </c>
      <c r="U100" s="64">
        <f t="shared" si="94"/>
        <v>68914.745572238564</v>
      </c>
      <c r="V100" s="64">
        <f t="shared" si="94"/>
        <v>58459.303955370335</v>
      </c>
      <c r="W100" s="64">
        <f t="shared" si="94"/>
        <v>59697.705746870997</v>
      </c>
      <c r="X100" s="64">
        <f t="shared" ref="X100:Y100" si="95">X48*11630*1000/X$8</f>
        <v>66969.041085554592</v>
      </c>
      <c r="Y100" s="64">
        <f t="shared" si="95"/>
        <v>67364.493190449124</v>
      </c>
      <c r="DA100" s="108"/>
    </row>
    <row r="101" spans="1:105" ht="12" customHeight="1" x14ac:dyDescent="0.25">
      <c r="A101" s="61" t="s">
        <v>32</v>
      </c>
      <c r="B101" s="65">
        <f t="shared" si="91"/>
        <v>29530.864005466723</v>
      </c>
      <c r="C101" s="65">
        <f t="shared" ref="C101:W101" si="96">C49*11630*1000/C$8</f>
        <v>32948.111468251744</v>
      </c>
      <c r="D101" s="65">
        <f t="shared" si="96"/>
        <v>35305.468399037833</v>
      </c>
      <c r="E101" s="65">
        <f t="shared" si="96"/>
        <v>38406.55337023086</v>
      </c>
      <c r="F101" s="65">
        <f t="shared" si="96"/>
        <v>47898.574622316708</v>
      </c>
      <c r="G101" s="65">
        <f t="shared" si="96"/>
        <v>53433.920587680899</v>
      </c>
      <c r="H101" s="65">
        <f t="shared" si="96"/>
        <v>52144.693778074405</v>
      </c>
      <c r="I101" s="65">
        <f t="shared" si="96"/>
        <v>51053.751499472863</v>
      </c>
      <c r="J101" s="65">
        <f t="shared" si="96"/>
        <v>43459.674995301073</v>
      </c>
      <c r="K101" s="65">
        <f t="shared" si="96"/>
        <v>47753.207111713367</v>
      </c>
      <c r="L101" s="65">
        <f t="shared" si="96"/>
        <v>36031.858696929208</v>
      </c>
      <c r="M101" s="65">
        <f t="shared" si="96"/>
        <v>35437.085532497054</v>
      </c>
      <c r="N101" s="65">
        <f t="shared" si="96"/>
        <v>33638.135275298439</v>
      </c>
      <c r="O101" s="65">
        <f t="shared" si="96"/>
        <v>29878.12808169187</v>
      </c>
      <c r="P101" s="65">
        <f t="shared" si="96"/>
        <v>36304.293919998512</v>
      </c>
      <c r="Q101" s="65">
        <f t="shared" si="96"/>
        <v>38706.835004084118</v>
      </c>
      <c r="R101" s="65">
        <f t="shared" si="96"/>
        <v>32136.501866077429</v>
      </c>
      <c r="S101" s="65">
        <f t="shared" si="96"/>
        <v>31808.166330766271</v>
      </c>
      <c r="T101" s="65">
        <f t="shared" si="96"/>
        <v>36705.619253776909</v>
      </c>
      <c r="U101" s="65">
        <f t="shared" si="96"/>
        <v>36194.727330333451</v>
      </c>
      <c r="V101" s="65">
        <f t="shared" si="96"/>
        <v>27716.235656264169</v>
      </c>
      <c r="W101" s="65">
        <f t="shared" si="96"/>
        <v>30298.937581014616</v>
      </c>
      <c r="X101" s="65">
        <f t="shared" ref="X101:Y101" si="97">X49*11630*1000/X$8</f>
        <v>33693.688472554561</v>
      </c>
      <c r="Y101" s="65">
        <f t="shared" si="97"/>
        <v>35179.724782771402</v>
      </c>
      <c r="DA101" s="109"/>
    </row>
    <row r="102" spans="1:105" ht="12" customHeight="1" x14ac:dyDescent="0.25">
      <c r="A102" s="61" t="s">
        <v>31</v>
      </c>
      <c r="B102" s="65">
        <f t="shared" si="91"/>
        <v>4663.5152997953101</v>
      </c>
      <c r="C102" s="65">
        <f t="shared" ref="C102:W102" si="98">C50*11630*1000/C$8</f>
        <v>4560.1426717941877</v>
      </c>
      <c r="D102" s="65">
        <f t="shared" si="98"/>
        <v>4059.7912098820248</v>
      </c>
      <c r="E102" s="65">
        <f t="shared" si="98"/>
        <v>5679.0551157178634</v>
      </c>
      <c r="F102" s="65">
        <f t="shared" si="98"/>
        <v>4510.0323525703234</v>
      </c>
      <c r="G102" s="65">
        <f t="shared" si="98"/>
        <v>4845.5819720673117</v>
      </c>
      <c r="H102" s="65">
        <f t="shared" si="98"/>
        <v>5796.6811036281961</v>
      </c>
      <c r="I102" s="65">
        <f t="shared" si="98"/>
        <v>3778.8960657850853</v>
      </c>
      <c r="J102" s="65">
        <f t="shared" si="98"/>
        <v>3638.0151266810881</v>
      </c>
      <c r="K102" s="65">
        <f t="shared" si="98"/>
        <v>4587.1693341758264</v>
      </c>
      <c r="L102" s="65">
        <f t="shared" si="98"/>
        <v>6443.138718993253</v>
      </c>
      <c r="M102" s="65">
        <f t="shared" si="98"/>
        <v>4223.412520194981</v>
      </c>
      <c r="N102" s="65">
        <f t="shared" si="98"/>
        <v>4431.1567414181618</v>
      </c>
      <c r="O102" s="65">
        <f t="shared" si="98"/>
        <v>5631.1180856516467</v>
      </c>
      <c r="P102" s="65">
        <f t="shared" si="98"/>
        <v>3750.4186798836249</v>
      </c>
      <c r="Q102" s="65">
        <f t="shared" si="98"/>
        <v>4308.7552742992857</v>
      </c>
      <c r="R102" s="65">
        <f t="shared" si="98"/>
        <v>6320.8977692995359</v>
      </c>
      <c r="S102" s="65">
        <f t="shared" si="98"/>
        <v>5932.4471313270224</v>
      </c>
      <c r="T102" s="65">
        <f t="shared" si="98"/>
        <v>5038.7612455811613</v>
      </c>
      <c r="U102" s="65">
        <f t="shared" si="98"/>
        <v>3921.650041211924</v>
      </c>
      <c r="V102" s="65">
        <f t="shared" si="98"/>
        <v>5555.7589848864654</v>
      </c>
      <c r="W102" s="65">
        <f t="shared" si="98"/>
        <v>3426.1739268621836</v>
      </c>
      <c r="X102" s="65">
        <f t="shared" ref="X102:Y102" si="99">X50*11630*1000/X$8</f>
        <v>6205.0449144323202</v>
      </c>
      <c r="Y102" s="65">
        <f t="shared" si="99"/>
        <v>5056.9556096132201</v>
      </c>
      <c r="DA102" s="109"/>
    </row>
    <row r="103" spans="1:105" ht="12" customHeight="1" x14ac:dyDescent="0.25">
      <c r="A103" s="61" t="s">
        <v>35</v>
      </c>
      <c r="B103" s="65">
        <f t="shared" si="91"/>
        <v>14427.33957066053</v>
      </c>
      <c r="C103" s="65">
        <f t="shared" ref="C103:W103" si="100">C51*11630*1000/C$8</f>
        <v>14492.816257694649</v>
      </c>
      <c r="D103" s="65">
        <f t="shared" si="100"/>
        <v>14670.199282545416</v>
      </c>
      <c r="E103" s="65">
        <f t="shared" si="100"/>
        <v>14499.524706374214</v>
      </c>
      <c r="F103" s="65">
        <f t="shared" si="100"/>
        <v>14555.093139031449</v>
      </c>
      <c r="G103" s="65">
        <f t="shared" si="100"/>
        <v>14555.798892603134</v>
      </c>
      <c r="H103" s="65">
        <f t="shared" si="100"/>
        <v>14312.855343403846</v>
      </c>
      <c r="I103" s="65">
        <f t="shared" si="100"/>
        <v>14416.038018476802</v>
      </c>
      <c r="J103" s="65">
        <f t="shared" si="100"/>
        <v>14315.12414139085</v>
      </c>
      <c r="K103" s="65">
        <f t="shared" si="100"/>
        <v>14410.942420562542</v>
      </c>
      <c r="L103" s="65">
        <f t="shared" si="100"/>
        <v>14274.158860878904</v>
      </c>
      <c r="M103" s="65">
        <f t="shared" si="100"/>
        <v>14585.215639019409</v>
      </c>
      <c r="N103" s="65">
        <f t="shared" si="100"/>
        <v>14205.246678394713</v>
      </c>
      <c r="O103" s="65">
        <f t="shared" si="100"/>
        <v>14141.519068660913</v>
      </c>
      <c r="P103" s="65">
        <f t="shared" si="100"/>
        <v>14142.784088329465</v>
      </c>
      <c r="Q103" s="65">
        <f t="shared" si="100"/>
        <v>14100.781784741534</v>
      </c>
      <c r="R103" s="65">
        <f t="shared" si="100"/>
        <v>13995.534509930214</v>
      </c>
      <c r="S103" s="65">
        <f t="shared" si="100"/>
        <v>13581.976842086713</v>
      </c>
      <c r="T103" s="65">
        <f t="shared" si="100"/>
        <v>13272.421980163095</v>
      </c>
      <c r="U103" s="65">
        <f t="shared" si="100"/>
        <v>13044.019155060168</v>
      </c>
      <c r="V103" s="65">
        <f t="shared" si="100"/>
        <v>11056.20659815515</v>
      </c>
      <c r="W103" s="65">
        <f t="shared" si="100"/>
        <v>11914.157038825109</v>
      </c>
      <c r="X103" s="65">
        <f t="shared" ref="X103:Y103" si="101">X51*11630*1000/X$8</f>
        <v>12207.725356618264</v>
      </c>
      <c r="Y103" s="65">
        <f t="shared" si="101"/>
        <v>12127.874959488048</v>
      </c>
      <c r="DA103" s="109"/>
    </row>
    <row r="104" spans="1:105" ht="12" customHeight="1" x14ac:dyDescent="0.25">
      <c r="A104" s="66" t="s">
        <v>34</v>
      </c>
      <c r="B104" s="67">
        <f t="shared" si="91"/>
        <v>12051.758194803235</v>
      </c>
      <c r="C104" s="67">
        <f t="shared" ref="C104:W104" si="102">C52*11630*1000/C$8</f>
        <v>12269.370585454288</v>
      </c>
      <c r="D104" s="67">
        <f t="shared" si="102"/>
        <v>13531.37800116853</v>
      </c>
      <c r="E104" s="67">
        <f t="shared" si="102"/>
        <v>14011.492318806149</v>
      </c>
      <c r="F104" s="67">
        <f t="shared" si="102"/>
        <v>14323.465511277427</v>
      </c>
      <c r="G104" s="67">
        <f t="shared" si="102"/>
        <v>14850.282571028938</v>
      </c>
      <c r="H104" s="67">
        <f t="shared" si="102"/>
        <v>14833.858382888729</v>
      </c>
      <c r="I104" s="67">
        <f t="shared" si="102"/>
        <v>14816.839769098049</v>
      </c>
      <c r="J104" s="67">
        <f t="shared" si="102"/>
        <v>15335.623226168795</v>
      </c>
      <c r="K104" s="67">
        <f t="shared" si="102"/>
        <v>15092.779494914312</v>
      </c>
      <c r="L104" s="67">
        <f t="shared" si="102"/>
        <v>14407.753544894505</v>
      </c>
      <c r="M104" s="67">
        <f t="shared" si="102"/>
        <v>14300.693755469161</v>
      </c>
      <c r="N104" s="67">
        <f t="shared" si="102"/>
        <v>14652.983693576498</v>
      </c>
      <c r="O104" s="67">
        <f t="shared" si="102"/>
        <v>13733.885754787294</v>
      </c>
      <c r="P104" s="67">
        <f t="shared" si="102"/>
        <v>14958.637373603406</v>
      </c>
      <c r="Q104" s="67">
        <f t="shared" si="102"/>
        <v>15223.44271695876</v>
      </c>
      <c r="R104" s="67">
        <f t="shared" si="102"/>
        <v>15327.514280697367</v>
      </c>
      <c r="S104" s="67">
        <f t="shared" si="102"/>
        <v>15582.365008844292</v>
      </c>
      <c r="T104" s="67">
        <f t="shared" si="102"/>
        <v>15961.96841176017</v>
      </c>
      <c r="U104" s="67">
        <f t="shared" si="102"/>
        <v>15754.349045633018</v>
      </c>
      <c r="V104" s="67">
        <f t="shared" si="102"/>
        <v>14131.102716064548</v>
      </c>
      <c r="W104" s="67">
        <f t="shared" si="102"/>
        <v>14058.437200169075</v>
      </c>
      <c r="X104" s="67">
        <f t="shared" ref="X104:Y104" si="103">X52*11630*1000/X$8</f>
        <v>14862.582341949439</v>
      </c>
      <c r="Y104" s="67">
        <f t="shared" si="103"/>
        <v>14999.937838576445</v>
      </c>
      <c r="DA104" s="110"/>
    </row>
    <row r="105" spans="1:105" ht="12" customHeight="1" x14ac:dyDescent="0.25">
      <c r="A105" s="78" t="s">
        <v>33</v>
      </c>
      <c r="B105" s="68">
        <f t="shared" si="91"/>
        <v>43253.582350670556</v>
      </c>
      <c r="C105" s="68">
        <f t="shared" ref="C105:W105" si="104">C53*11630*1000/C$8</f>
        <v>43591.501765979629</v>
      </c>
      <c r="D105" s="68">
        <f t="shared" si="104"/>
        <v>44246.296311575708</v>
      </c>
      <c r="E105" s="68">
        <f t="shared" si="104"/>
        <v>44920.43057468209</v>
      </c>
      <c r="F105" s="68">
        <f t="shared" si="104"/>
        <v>45420.183357598245</v>
      </c>
      <c r="G105" s="68">
        <f t="shared" si="104"/>
        <v>45799.524889611494</v>
      </c>
      <c r="H105" s="68">
        <f t="shared" si="104"/>
        <v>45934.055742558055</v>
      </c>
      <c r="I105" s="68">
        <f t="shared" si="104"/>
        <v>46012.558286689033</v>
      </c>
      <c r="J105" s="68">
        <f t="shared" si="104"/>
        <v>46317.396143989376</v>
      </c>
      <c r="K105" s="68">
        <f t="shared" si="104"/>
        <v>46613.22141568247</v>
      </c>
      <c r="L105" s="68">
        <f t="shared" si="104"/>
        <v>46951.696141614048</v>
      </c>
      <c r="M105" s="68">
        <f t="shared" si="104"/>
        <v>47185.241452400653</v>
      </c>
      <c r="N105" s="68">
        <f t="shared" si="104"/>
        <v>47549.71959302458</v>
      </c>
      <c r="O105" s="68">
        <f t="shared" si="104"/>
        <v>47731.04347893555</v>
      </c>
      <c r="P105" s="68">
        <f t="shared" si="104"/>
        <v>47906.368583847106</v>
      </c>
      <c r="Q105" s="68">
        <f t="shared" si="104"/>
        <v>48469.875971281879</v>
      </c>
      <c r="R105" s="68">
        <f t="shared" si="104"/>
        <v>47458.522294651397</v>
      </c>
      <c r="S105" s="68">
        <f t="shared" si="104"/>
        <v>47218.556086269789</v>
      </c>
      <c r="T105" s="68">
        <f t="shared" si="104"/>
        <v>45942.584007167898</v>
      </c>
      <c r="U105" s="68">
        <f t="shared" si="104"/>
        <v>44496.561248777631</v>
      </c>
      <c r="V105" s="68">
        <f t="shared" si="104"/>
        <v>41238.153151646438</v>
      </c>
      <c r="W105" s="68">
        <f t="shared" si="104"/>
        <v>39554.051191296821</v>
      </c>
      <c r="X105" s="68">
        <f t="shared" ref="X105:Y105" si="105">X53*11630*1000/X$8</f>
        <v>39547.741304433024</v>
      </c>
      <c r="Y105" s="68">
        <f t="shared" si="105"/>
        <v>39017.013684422069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39266.944819100405</v>
      </c>
      <c r="C107" s="85">
        <f t="shared" ref="C107:W107" si="107">SUM(C108:C111)</f>
        <v>41752.243918042215</v>
      </c>
      <c r="D107" s="85">
        <f t="shared" si="107"/>
        <v>43658.700179303356</v>
      </c>
      <c r="E107" s="85">
        <f t="shared" si="107"/>
        <v>50779.972591720201</v>
      </c>
      <c r="F107" s="85">
        <f t="shared" si="107"/>
        <v>54539.44050095103</v>
      </c>
      <c r="G107" s="85">
        <f t="shared" si="107"/>
        <v>61123.59078285603</v>
      </c>
      <c r="H107" s="85">
        <f t="shared" si="107"/>
        <v>65899.395343323908</v>
      </c>
      <c r="I107" s="85">
        <f t="shared" si="107"/>
        <v>64261.3124908877</v>
      </c>
      <c r="J107" s="85">
        <f t="shared" si="107"/>
        <v>64637.200931754807</v>
      </c>
      <c r="K107" s="85">
        <f t="shared" si="107"/>
        <v>70640.553516377011</v>
      </c>
      <c r="L107" s="85">
        <f t="shared" si="107"/>
        <v>73926.746682656172</v>
      </c>
      <c r="M107" s="85">
        <f t="shared" si="107"/>
        <v>70679.043297004944</v>
      </c>
      <c r="N107" s="85">
        <f t="shared" si="107"/>
        <v>74769.540273643375</v>
      </c>
      <c r="O107" s="85">
        <f t="shared" si="107"/>
        <v>78403.630847254186</v>
      </c>
      <c r="P107" s="85">
        <f t="shared" si="107"/>
        <v>82343.573582735087</v>
      </c>
      <c r="Q107" s="85">
        <f t="shared" si="107"/>
        <v>86342.771330738076</v>
      </c>
      <c r="R107" s="85">
        <f t="shared" si="107"/>
        <v>89641.802758024278</v>
      </c>
      <c r="S107" s="85">
        <f t="shared" si="107"/>
        <v>89859.633859039168</v>
      </c>
      <c r="T107" s="85">
        <f t="shared" si="107"/>
        <v>91833.030736341025</v>
      </c>
      <c r="U107" s="85">
        <f t="shared" si="107"/>
        <v>88999.739985161941</v>
      </c>
      <c r="V107" s="85">
        <f t="shared" si="107"/>
        <v>89139.622761376406</v>
      </c>
      <c r="W107" s="85">
        <f t="shared" si="107"/>
        <v>85264.188851395898</v>
      </c>
      <c r="X107" s="85">
        <f t="shared" ref="X107:Y107" si="108">SUM(X108:X111)</f>
        <v>104024.4227336582</v>
      </c>
      <c r="Y107" s="85">
        <f t="shared" si="108"/>
        <v>102244.83584163459</v>
      </c>
      <c r="DA107" s="117"/>
    </row>
    <row r="108" spans="1:105" ht="12" customHeight="1" x14ac:dyDescent="0.25">
      <c r="A108" s="61" t="s">
        <v>32</v>
      </c>
      <c r="B108" s="65">
        <v>15241.366531687983</v>
      </c>
      <c r="C108" s="65">
        <v>17124.038201064413</v>
      </c>
      <c r="D108" s="65">
        <v>18810.915456884581</v>
      </c>
      <c r="E108" s="65">
        <v>22144.426785207692</v>
      </c>
      <c r="F108" s="65">
        <v>27670.743510928849</v>
      </c>
      <c r="G108" s="65">
        <v>32961.519773622691</v>
      </c>
      <c r="H108" s="65">
        <v>34796.921004883414</v>
      </c>
      <c r="I108" s="65">
        <v>37132.563612086742</v>
      </c>
      <c r="J108" s="65">
        <v>36940.73547068856</v>
      </c>
      <c r="K108" s="65">
        <v>40096.403866080516</v>
      </c>
      <c r="L108" s="65">
        <v>37651.220530341729</v>
      </c>
      <c r="M108" s="65">
        <v>39864.123478194357</v>
      </c>
      <c r="N108" s="65">
        <v>43000.037967255783</v>
      </c>
      <c r="O108" s="65">
        <v>43039.342141310583</v>
      </c>
      <c r="P108" s="65">
        <v>51668.278636890675</v>
      </c>
      <c r="Q108" s="65">
        <v>53175.778508209914</v>
      </c>
      <c r="R108" s="65">
        <v>48705.023398760117</v>
      </c>
      <c r="S108" s="65">
        <v>49327.349561063354</v>
      </c>
      <c r="T108" s="65">
        <v>53850.22606890474</v>
      </c>
      <c r="U108" s="65">
        <v>54762.99270265604</v>
      </c>
      <c r="V108" s="65">
        <v>50071.957107024355</v>
      </c>
      <c r="W108" s="65">
        <v>53125.31841212773</v>
      </c>
      <c r="X108" s="65">
        <v>59697.996462683703</v>
      </c>
      <c r="Y108" s="65">
        <v>61991.773971408453</v>
      </c>
      <c r="DA108" s="109"/>
    </row>
    <row r="109" spans="1:105" ht="12" customHeight="1" x14ac:dyDescent="0.25">
      <c r="A109" s="61" t="s">
        <v>31</v>
      </c>
      <c r="B109" s="65">
        <v>8214.6270266611864</v>
      </c>
      <c r="C109" s="65">
        <v>8354.6199479143324</v>
      </c>
      <c r="D109" s="65">
        <v>7749.0941327446635</v>
      </c>
      <c r="E109" s="65">
        <v>11296.264232281739</v>
      </c>
      <c r="F109" s="65">
        <v>9335.4705554206485</v>
      </c>
      <c r="G109" s="65">
        <v>10569.243591081391</v>
      </c>
      <c r="H109" s="65">
        <v>13443.418388481474</v>
      </c>
      <c r="I109" s="65">
        <v>9364.6249055074713</v>
      </c>
      <c r="J109" s="65">
        <v>9644.6934559246074</v>
      </c>
      <c r="K109" s="65">
        <v>12403.267396649766</v>
      </c>
      <c r="L109" s="65">
        <v>17904.854145086356</v>
      </c>
      <c r="M109" s="65">
        <v>12150.154074473285</v>
      </c>
      <c r="N109" s="65">
        <v>13188.64608294354</v>
      </c>
      <c r="O109" s="65">
        <v>17297.620101962166</v>
      </c>
      <c r="P109" s="65">
        <v>11945.989286460826</v>
      </c>
      <c r="Q109" s="65">
        <v>14258.46765937815</v>
      </c>
      <c r="R109" s="65">
        <v>21755.946014369627</v>
      </c>
      <c r="S109" s="65">
        <v>21210.213339375015</v>
      </c>
      <c r="T109" s="65">
        <v>18579.068237136653</v>
      </c>
      <c r="U109" s="65">
        <v>14784.392468878603</v>
      </c>
      <c r="V109" s="65">
        <v>21421.967542612019</v>
      </c>
      <c r="W109" s="65">
        <v>13451.11436043168</v>
      </c>
      <c r="X109" s="65">
        <v>24710.387381333658</v>
      </c>
      <c r="Y109" s="65">
        <v>20363.419312273272</v>
      </c>
      <c r="DA109" s="109"/>
    </row>
    <row r="110" spans="1:105" ht="12" customHeight="1" x14ac:dyDescent="0.25">
      <c r="A110" s="61" t="s">
        <v>35</v>
      </c>
      <c r="B110" s="65">
        <v>8282.8819945912946</v>
      </c>
      <c r="C110" s="65">
        <v>8422.3484222899206</v>
      </c>
      <c r="D110" s="65">
        <v>8621.9168119548176</v>
      </c>
      <c r="E110" s="65">
        <v>8587.5396007167601</v>
      </c>
      <c r="F110" s="65">
        <v>8692.2040178192801</v>
      </c>
      <c r="G110" s="65">
        <v>8759.3780006307734</v>
      </c>
      <c r="H110" s="65">
        <v>8674.1850434198514</v>
      </c>
      <c r="I110" s="65">
        <v>8810.445568430805</v>
      </c>
      <c r="J110" s="65">
        <v>8842.9691038593028</v>
      </c>
      <c r="K110" s="65">
        <v>9011.0320089476863</v>
      </c>
      <c r="L110" s="65">
        <v>9090.4391344123051</v>
      </c>
      <c r="M110" s="65">
        <v>9451.5488455070044</v>
      </c>
      <c r="N110" s="65">
        <v>9370.1647436381245</v>
      </c>
      <c r="O110" s="65">
        <v>9489.0198990142708</v>
      </c>
      <c r="P110" s="65">
        <v>9579.0548834737019</v>
      </c>
      <c r="Q110" s="65">
        <v>9662.0232108659129</v>
      </c>
      <c r="R110" s="65">
        <v>9734.0266643442028</v>
      </c>
      <c r="S110" s="65">
        <v>9631.0960937855325</v>
      </c>
      <c r="T110" s="65">
        <v>9611.0174697381444</v>
      </c>
      <c r="U110" s="65">
        <v>9640.4178989710981</v>
      </c>
      <c r="V110" s="65">
        <v>8384.8975323869872</v>
      </c>
      <c r="W110" s="65">
        <v>9199.6413909223484</v>
      </c>
      <c r="X110" s="65">
        <v>9608.28594847768</v>
      </c>
      <c r="Y110" s="65">
        <v>9731.0178479102251</v>
      </c>
      <c r="DA110" s="109"/>
    </row>
    <row r="111" spans="1:105" ht="12" customHeight="1" x14ac:dyDescent="0.25">
      <c r="A111" s="74" t="s">
        <v>34</v>
      </c>
      <c r="B111" s="68">
        <v>7528.0692661599387</v>
      </c>
      <c r="C111" s="68">
        <v>7851.2373467735551</v>
      </c>
      <c r="D111" s="68">
        <v>8476.7737777192979</v>
      </c>
      <c r="E111" s="68">
        <v>8751.7419735140174</v>
      </c>
      <c r="F111" s="68">
        <v>8841.0224167822507</v>
      </c>
      <c r="G111" s="68">
        <v>8833.4494175211767</v>
      </c>
      <c r="H111" s="68">
        <v>8984.8709065391722</v>
      </c>
      <c r="I111" s="68">
        <v>8953.6784048626814</v>
      </c>
      <c r="J111" s="68">
        <v>9208.802901282339</v>
      </c>
      <c r="K111" s="68">
        <v>9129.8502446990351</v>
      </c>
      <c r="L111" s="68">
        <v>9280.2328728157809</v>
      </c>
      <c r="M111" s="68">
        <v>9213.2168988303092</v>
      </c>
      <c r="N111" s="68">
        <v>9210.6914798059297</v>
      </c>
      <c r="O111" s="68">
        <v>8577.6487049671759</v>
      </c>
      <c r="P111" s="68">
        <v>9150.2507759098862</v>
      </c>
      <c r="Q111" s="68">
        <v>9246.5019522840994</v>
      </c>
      <c r="R111" s="68">
        <v>9446.8066805503295</v>
      </c>
      <c r="S111" s="68">
        <v>9690.974864815269</v>
      </c>
      <c r="T111" s="68">
        <v>9792.718960561484</v>
      </c>
      <c r="U111" s="68">
        <v>9811.936914656204</v>
      </c>
      <c r="V111" s="68">
        <v>9260.8005793530392</v>
      </c>
      <c r="W111" s="68">
        <v>9488.1146879141506</v>
      </c>
      <c r="X111" s="68">
        <v>10007.752941163159</v>
      </c>
      <c r="Y111" s="68">
        <v>10158.62471004263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8161.7144635352524</v>
      </c>
      <c r="C113" s="82">
        <f t="shared" ref="C113:W113" si="110">C81*1000000/C$8</f>
        <v>8683.7061178557688</v>
      </c>
      <c r="D113" s="82">
        <f t="shared" si="110"/>
        <v>9259.1080546029734</v>
      </c>
      <c r="E113" s="82">
        <f t="shared" si="110"/>
        <v>9626.8456411829575</v>
      </c>
      <c r="F113" s="82">
        <f t="shared" si="110"/>
        <v>11557.203048603804</v>
      </c>
      <c r="G113" s="82">
        <f t="shared" si="110"/>
        <v>12737.565382282941</v>
      </c>
      <c r="H113" s="82">
        <f t="shared" si="110"/>
        <v>11842.556021587357</v>
      </c>
      <c r="I113" s="82">
        <f t="shared" si="110"/>
        <v>10767.576400467595</v>
      </c>
      <c r="J113" s="82">
        <f t="shared" si="110"/>
        <v>8811.3285423823563</v>
      </c>
      <c r="K113" s="82">
        <f t="shared" si="110"/>
        <v>9973.288563142547</v>
      </c>
      <c r="L113" s="82">
        <f t="shared" si="110"/>
        <v>6771.6615090045725</v>
      </c>
      <c r="M113" s="82">
        <f t="shared" si="110"/>
        <v>6025.4442646705811</v>
      </c>
      <c r="N113" s="82">
        <f t="shared" si="110"/>
        <v>5295.7175118616888</v>
      </c>
      <c r="O113" s="82">
        <f t="shared" si="110"/>
        <v>5165.835921036577</v>
      </c>
      <c r="P113" s="82">
        <f t="shared" si="110"/>
        <v>5369.2280618364803</v>
      </c>
      <c r="Q113" s="82">
        <f t="shared" si="110"/>
        <v>5849.5566399815352</v>
      </c>
      <c r="R113" s="82">
        <f t="shared" si="110"/>
        <v>5569.4901934139489</v>
      </c>
      <c r="S113" s="82">
        <f t="shared" si="110"/>
        <v>5478.1233182991527</v>
      </c>
      <c r="T113" s="82">
        <f t="shared" si="110"/>
        <v>5867.9070995843585</v>
      </c>
      <c r="U113" s="82">
        <f t="shared" si="110"/>
        <v>5698.5316529691827</v>
      </c>
      <c r="V113" s="82">
        <f t="shared" si="110"/>
        <v>4464.6990469612292</v>
      </c>
      <c r="W113" s="82">
        <f t="shared" si="110"/>
        <v>4730.91026681311</v>
      </c>
      <c r="X113" s="82">
        <f t="shared" ref="X113:Y113" si="111">X81*1000000/X$8</f>
        <v>4782.4630053633682</v>
      </c>
      <c r="Y113" s="82">
        <f t="shared" si="111"/>
        <v>4621.2182083167609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8161.7144635352524</v>
      </c>
      <c r="C114" s="64">
        <f t="shared" ref="C114:W114" si="113">C82*1000000/C$8</f>
        <v>8683.7061178557688</v>
      </c>
      <c r="D114" s="64">
        <f t="shared" si="113"/>
        <v>9259.1080546029734</v>
      </c>
      <c r="E114" s="64">
        <f t="shared" si="113"/>
        <v>9626.8456411829575</v>
      </c>
      <c r="F114" s="64">
        <f t="shared" si="113"/>
        <v>11557.203048603804</v>
      </c>
      <c r="G114" s="64">
        <f t="shared" si="113"/>
        <v>12737.565382282941</v>
      </c>
      <c r="H114" s="64">
        <f t="shared" si="113"/>
        <v>11842.556021587357</v>
      </c>
      <c r="I114" s="64">
        <f t="shared" si="113"/>
        <v>10767.576400467595</v>
      </c>
      <c r="J114" s="64">
        <f t="shared" si="113"/>
        <v>8811.3285423823563</v>
      </c>
      <c r="K114" s="64">
        <f t="shared" si="113"/>
        <v>9973.288563142547</v>
      </c>
      <c r="L114" s="64">
        <f t="shared" si="113"/>
        <v>6771.6615090045725</v>
      </c>
      <c r="M114" s="64">
        <f t="shared" si="113"/>
        <v>6025.4442646705811</v>
      </c>
      <c r="N114" s="64">
        <f t="shared" si="113"/>
        <v>5295.7175118616888</v>
      </c>
      <c r="O114" s="64">
        <f t="shared" si="113"/>
        <v>5165.835921036577</v>
      </c>
      <c r="P114" s="64">
        <f t="shared" si="113"/>
        <v>5369.2280618364803</v>
      </c>
      <c r="Q114" s="64">
        <f t="shared" si="113"/>
        <v>5849.5566399815352</v>
      </c>
      <c r="R114" s="64">
        <f t="shared" si="113"/>
        <v>5569.4901934139489</v>
      </c>
      <c r="S114" s="64">
        <f t="shared" si="113"/>
        <v>5478.1233182991527</v>
      </c>
      <c r="T114" s="64">
        <f t="shared" si="113"/>
        <v>5867.9070995843585</v>
      </c>
      <c r="U114" s="64">
        <f t="shared" si="113"/>
        <v>5698.5316529691827</v>
      </c>
      <c r="V114" s="64">
        <f t="shared" si="113"/>
        <v>4464.6990469612292</v>
      </c>
      <c r="W114" s="64">
        <f t="shared" si="113"/>
        <v>4730.91026681311</v>
      </c>
      <c r="X114" s="64">
        <f t="shared" ref="X114:Y114" si="114">X82*1000000/X$8</f>
        <v>4782.4630053633682</v>
      </c>
      <c r="Y114" s="64">
        <f t="shared" si="114"/>
        <v>4621.2182083167609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5502.3299443610986</v>
      </c>
      <c r="C115" s="65">
        <f t="shared" ref="C115:W115" si="116">C83*1000000/C$8</f>
        <v>6345.7681616557102</v>
      </c>
      <c r="D115" s="65">
        <f t="shared" si="116"/>
        <v>6685.2301008966579</v>
      </c>
      <c r="E115" s="65">
        <f t="shared" si="116"/>
        <v>7026.3399870476778</v>
      </c>
      <c r="F115" s="65">
        <f t="shared" si="116"/>
        <v>8821.1448049738792</v>
      </c>
      <c r="G115" s="65">
        <f t="shared" si="116"/>
        <v>9512.2765298395079</v>
      </c>
      <c r="H115" s="65">
        <f t="shared" si="116"/>
        <v>8840.1868235300062</v>
      </c>
      <c r="I115" s="65">
        <f t="shared" si="116"/>
        <v>7732.2192772565913</v>
      </c>
      <c r="J115" s="65">
        <f t="shared" si="116"/>
        <v>5634.1743685250585</v>
      </c>
      <c r="K115" s="65">
        <f t="shared" si="116"/>
        <v>6896.6188870009028</v>
      </c>
      <c r="L115" s="65">
        <f t="shared" si="116"/>
        <v>4449.7135615155921</v>
      </c>
      <c r="M115" s="65">
        <f t="shared" si="116"/>
        <v>3681.1465826046287</v>
      </c>
      <c r="N115" s="65">
        <f t="shared" si="116"/>
        <v>3005.383123970013</v>
      </c>
      <c r="O115" s="65">
        <f t="shared" si="116"/>
        <v>2732.4307554820125</v>
      </c>
      <c r="P115" s="65">
        <f t="shared" si="116"/>
        <v>2559.7829753856627</v>
      </c>
      <c r="Q115" s="65">
        <f t="shared" si="116"/>
        <v>2888.7732894863775</v>
      </c>
      <c r="R115" s="65">
        <f t="shared" si="116"/>
        <v>2636.0478894857542</v>
      </c>
      <c r="S115" s="65">
        <f t="shared" si="116"/>
        <v>2511.3961326718418</v>
      </c>
      <c r="T115" s="65">
        <f t="shared" si="116"/>
        <v>2580.7901084487862</v>
      </c>
      <c r="U115" s="65">
        <f t="shared" si="116"/>
        <v>2450.6215784350429</v>
      </c>
      <c r="V115" s="65">
        <f t="shared" si="116"/>
        <v>1813.9120121821275</v>
      </c>
      <c r="W115" s="65">
        <f t="shared" si="116"/>
        <v>2183.1067535207112</v>
      </c>
      <c r="X115" s="65">
        <f t="shared" ref="X115:Y115" si="117">X83*1000000/X$8</f>
        <v>1982.3857020159708</v>
      </c>
      <c r="Y115" s="65">
        <f t="shared" si="117"/>
        <v>1828.1348996889301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3.3344557937154882</v>
      </c>
      <c r="C116" s="65">
        <f t="shared" ref="C116:W116" si="119">C84*1000000/C$8</f>
        <v>3.4621617922410683</v>
      </c>
      <c r="D116" s="65">
        <f t="shared" si="119"/>
        <v>2.9205308434905155</v>
      </c>
      <c r="E116" s="65">
        <f t="shared" si="119"/>
        <v>3.8772016296485901</v>
      </c>
      <c r="F116" s="65">
        <f t="shared" si="119"/>
        <v>3.6214856068036183</v>
      </c>
      <c r="G116" s="65">
        <f t="shared" si="119"/>
        <v>4.0913508571650938</v>
      </c>
      <c r="H116" s="65">
        <f t="shared" si="119"/>
        <v>5.3460165191865094</v>
      </c>
      <c r="I116" s="65">
        <f t="shared" si="119"/>
        <v>4.5883975509209662</v>
      </c>
      <c r="J116" s="65">
        <f t="shared" si="119"/>
        <v>5.3147645528289393</v>
      </c>
      <c r="K116" s="65">
        <f t="shared" si="119"/>
        <v>8.1390740355091076</v>
      </c>
      <c r="L116" s="65">
        <f t="shared" si="119"/>
        <v>11.922368989774883</v>
      </c>
      <c r="M116" s="65">
        <f t="shared" si="119"/>
        <v>9.2016936075953328</v>
      </c>
      <c r="N116" s="65">
        <f t="shared" si="119"/>
        <v>10.466900538169225</v>
      </c>
      <c r="O116" s="65">
        <f t="shared" si="119"/>
        <v>15.337905096377392</v>
      </c>
      <c r="P116" s="65">
        <f t="shared" si="119"/>
        <v>11.676124652707225</v>
      </c>
      <c r="Q116" s="65">
        <f t="shared" si="119"/>
        <v>16.067914518591767</v>
      </c>
      <c r="R116" s="65">
        <f t="shared" si="119"/>
        <v>29.133503679034536</v>
      </c>
      <c r="S116" s="65">
        <f t="shared" si="119"/>
        <v>31.225279788484787</v>
      </c>
      <c r="T116" s="65">
        <f t="shared" si="119"/>
        <v>29.619273127486391</v>
      </c>
      <c r="U116" s="65">
        <f t="shared" si="119"/>
        <v>26.0798275297958</v>
      </c>
      <c r="V116" s="65">
        <f t="shared" si="119"/>
        <v>37.332459928038446</v>
      </c>
      <c r="W116" s="65">
        <f t="shared" si="119"/>
        <v>24.592021537080136</v>
      </c>
      <c r="X116" s="65">
        <f t="shared" ref="X116:Y116" si="120">X84*1000000/X$8</f>
        <v>46.004663622408579</v>
      </c>
      <c r="Y116" s="65">
        <f t="shared" si="120"/>
        <v>38.32159286009837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1753.9661080676578</v>
      </c>
      <c r="C117" s="65">
        <f t="shared" ref="C117:W117" si="122">C85*1000000/C$8</f>
        <v>1638.9234566494692</v>
      </c>
      <c r="D117" s="65">
        <f t="shared" si="122"/>
        <v>1534.9835366414097</v>
      </c>
      <c r="E117" s="65">
        <f t="shared" si="122"/>
        <v>1467.3484418754767</v>
      </c>
      <c r="F117" s="65">
        <f t="shared" si="122"/>
        <v>1413.5143489477368</v>
      </c>
      <c r="G117" s="65">
        <f t="shared" si="122"/>
        <v>1376.062332051755</v>
      </c>
      <c r="H117" s="65">
        <f t="shared" si="122"/>
        <v>1341.633358617898</v>
      </c>
      <c r="I117" s="65">
        <f t="shared" si="122"/>
        <v>1314.4720820394434</v>
      </c>
      <c r="J117" s="65">
        <f t="shared" si="122"/>
        <v>1278.007445883497</v>
      </c>
      <c r="K117" s="65">
        <f t="shared" si="122"/>
        <v>1252.4616569372188</v>
      </c>
      <c r="L117" s="65">
        <f t="shared" si="122"/>
        <v>1263.9056391413142</v>
      </c>
      <c r="M117" s="65">
        <f t="shared" si="122"/>
        <v>1285.1608730324845</v>
      </c>
      <c r="N117" s="65">
        <f t="shared" si="122"/>
        <v>1286.3788675430114</v>
      </c>
      <c r="O117" s="65">
        <f t="shared" si="122"/>
        <v>1282.3110574561583</v>
      </c>
      <c r="P117" s="65">
        <f t="shared" si="122"/>
        <v>1278.1583402364938</v>
      </c>
      <c r="Q117" s="65">
        <f t="shared" si="122"/>
        <v>1284.2309118840449</v>
      </c>
      <c r="R117" s="65">
        <f t="shared" si="122"/>
        <v>1297.5349688258393</v>
      </c>
      <c r="S117" s="65">
        <f t="shared" si="122"/>
        <v>1318.7058920981767</v>
      </c>
      <c r="T117" s="65">
        <f t="shared" si="122"/>
        <v>1324.6321009854789</v>
      </c>
      <c r="U117" s="65">
        <f t="shared" si="122"/>
        <v>1326.4060198279767</v>
      </c>
      <c r="V117" s="65">
        <f t="shared" si="122"/>
        <v>1178.814244045971</v>
      </c>
      <c r="W117" s="65">
        <f t="shared" si="122"/>
        <v>1246.8556857311087</v>
      </c>
      <c r="X117" s="65">
        <f t="shared" ref="X117:Y117" si="123">X85*1000000/X$8</f>
        <v>1271.7689431938861</v>
      </c>
      <c r="Y117" s="65">
        <f t="shared" si="123"/>
        <v>1250.4403325571159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902.08395531278131</v>
      </c>
      <c r="C118" s="67">
        <f t="shared" ref="C118:W118" si="125">C86*1000000/C$8</f>
        <v>695.55233775834824</v>
      </c>
      <c r="D118" s="67">
        <f t="shared" si="125"/>
        <v>1035.973886221416</v>
      </c>
      <c r="E118" s="67">
        <f t="shared" si="125"/>
        <v>1129.2800106301547</v>
      </c>
      <c r="F118" s="67">
        <f t="shared" si="125"/>
        <v>1318.9224090753823</v>
      </c>
      <c r="G118" s="67">
        <f t="shared" si="125"/>
        <v>1845.135169534512</v>
      </c>
      <c r="H118" s="67">
        <f t="shared" si="125"/>
        <v>1655.3898229202644</v>
      </c>
      <c r="I118" s="67">
        <f t="shared" si="125"/>
        <v>1716.2966436206386</v>
      </c>
      <c r="J118" s="67">
        <f t="shared" si="125"/>
        <v>1893.8319634209722</v>
      </c>
      <c r="K118" s="67">
        <f t="shared" si="125"/>
        <v>1816.0689451689179</v>
      </c>
      <c r="L118" s="67">
        <f t="shared" si="125"/>
        <v>1046.1199393578904</v>
      </c>
      <c r="M118" s="67">
        <f t="shared" si="125"/>
        <v>1049.9351154258729</v>
      </c>
      <c r="N118" s="67">
        <f t="shared" si="125"/>
        <v>993.48861981049458</v>
      </c>
      <c r="O118" s="67">
        <f t="shared" si="125"/>
        <v>1135.7562030020283</v>
      </c>
      <c r="P118" s="67">
        <f t="shared" si="125"/>
        <v>1519.6106215616157</v>
      </c>
      <c r="Q118" s="67">
        <f t="shared" si="125"/>
        <v>1660.4845240925199</v>
      </c>
      <c r="R118" s="67">
        <f t="shared" si="125"/>
        <v>1606.773831423322</v>
      </c>
      <c r="S118" s="67">
        <f t="shared" si="125"/>
        <v>1616.7960137406503</v>
      </c>
      <c r="T118" s="67">
        <f t="shared" si="125"/>
        <v>1932.8656170226072</v>
      </c>
      <c r="U118" s="67">
        <f t="shared" si="125"/>
        <v>1895.4242271763676</v>
      </c>
      <c r="V118" s="67">
        <f t="shared" si="125"/>
        <v>1434.6403308050926</v>
      </c>
      <c r="W118" s="67">
        <f t="shared" si="125"/>
        <v>1276.3558060242092</v>
      </c>
      <c r="X118" s="67">
        <f t="shared" ref="X118:Y118" si="126">X86*1000000/X$8</f>
        <v>1482.3036965311026</v>
      </c>
      <c r="Y118" s="67">
        <f t="shared" si="126"/>
        <v>1504.3213832106157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0.64718467961425297</v>
      </c>
      <c r="C121" s="86">
        <f t="shared" ref="C121:W121" si="131">IF(C107=0,"",C107/C100)</f>
        <v>0.64963369286604689</v>
      </c>
      <c r="D121" s="86">
        <f t="shared" si="131"/>
        <v>0.64615575017487714</v>
      </c>
      <c r="E121" s="86">
        <f t="shared" si="131"/>
        <v>0.69948117056674508</v>
      </c>
      <c r="F121" s="86">
        <f t="shared" si="131"/>
        <v>0.6709477453356536</v>
      </c>
      <c r="G121" s="86">
        <f t="shared" si="131"/>
        <v>0.69707685092863347</v>
      </c>
      <c r="H121" s="86">
        <f t="shared" si="131"/>
        <v>0.75669814777946542</v>
      </c>
      <c r="I121" s="86">
        <f t="shared" si="131"/>
        <v>0.76441932910280985</v>
      </c>
      <c r="J121" s="86">
        <f t="shared" si="131"/>
        <v>0.84219565956066067</v>
      </c>
      <c r="K121" s="86">
        <f t="shared" si="131"/>
        <v>0.86311114583336179</v>
      </c>
      <c r="L121" s="86">
        <f t="shared" si="131"/>
        <v>1.0389257609401663</v>
      </c>
      <c r="M121" s="86">
        <f t="shared" si="131"/>
        <v>1.0311122920842739</v>
      </c>
      <c r="N121" s="86">
        <f t="shared" si="131"/>
        <v>1.1171717942793746</v>
      </c>
      <c r="O121" s="86">
        <f t="shared" si="131"/>
        <v>1.236949791813863</v>
      </c>
      <c r="P121" s="86">
        <f t="shared" si="131"/>
        <v>1.1906908143409596</v>
      </c>
      <c r="Q121" s="86">
        <f t="shared" si="131"/>
        <v>1.1935719160081348</v>
      </c>
      <c r="R121" s="86">
        <f t="shared" si="131"/>
        <v>1.3225318633866163</v>
      </c>
      <c r="S121" s="86">
        <f t="shared" si="131"/>
        <v>1.3430938476622274</v>
      </c>
      <c r="T121" s="86">
        <f t="shared" si="131"/>
        <v>1.2938098192345751</v>
      </c>
      <c r="U121" s="86">
        <f t="shared" si="131"/>
        <v>1.2914469791065204</v>
      </c>
      <c r="V121" s="86">
        <f t="shared" si="131"/>
        <v>1.5248149863266998</v>
      </c>
      <c r="W121" s="86">
        <f t="shared" si="131"/>
        <v>1.4282657563580647</v>
      </c>
      <c r="X121" s="86">
        <f t="shared" ref="X121:Y121" si="132">IF(X107=0,"",X107/X100)</f>
        <v>1.5533210726545188</v>
      </c>
      <c r="Y121" s="86">
        <f t="shared" si="132"/>
        <v>1.5177852752869929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0.51611651216390142</v>
      </c>
      <c r="C122" s="75">
        <f t="shared" ref="C122:W122" si="134">IF(C108=0,"",C108/C101)</f>
        <v>0.51972745744668414</v>
      </c>
      <c r="D122" s="75">
        <f t="shared" si="134"/>
        <v>0.53280458551846399</v>
      </c>
      <c r="E122" s="75">
        <f t="shared" si="134"/>
        <v>0.57657938143368948</v>
      </c>
      <c r="F122" s="75">
        <f t="shared" si="134"/>
        <v>0.57769450822105695</v>
      </c>
      <c r="G122" s="75">
        <f t="shared" si="134"/>
        <v>0.6168650814146307</v>
      </c>
      <c r="H122" s="75">
        <f t="shared" si="134"/>
        <v>0.66731470613247101</v>
      </c>
      <c r="I122" s="75">
        <f t="shared" si="134"/>
        <v>0.72732291989297082</v>
      </c>
      <c r="J122" s="75">
        <f t="shared" si="134"/>
        <v>0.85000026978302645</v>
      </c>
      <c r="K122" s="75">
        <f t="shared" si="134"/>
        <v>0.83965886882276608</v>
      </c>
      <c r="L122" s="75">
        <f t="shared" si="134"/>
        <v>1.0449425006640174</v>
      </c>
      <c r="M122" s="75">
        <f t="shared" si="134"/>
        <v>1.1249266941446849</v>
      </c>
      <c r="N122" s="75">
        <f t="shared" si="134"/>
        <v>1.2783121779890128</v>
      </c>
      <c r="O122" s="75">
        <f t="shared" si="134"/>
        <v>1.4404966075395929</v>
      </c>
      <c r="P122" s="75">
        <f t="shared" si="134"/>
        <v>1.4232002074120711</v>
      </c>
      <c r="Q122" s="75">
        <f t="shared" si="134"/>
        <v>1.3738084889296456</v>
      </c>
      <c r="R122" s="75">
        <f t="shared" si="134"/>
        <v>1.5155670521243647</v>
      </c>
      <c r="S122" s="75">
        <f t="shared" si="134"/>
        <v>1.5507762707261672</v>
      </c>
      <c r="T122" s="75">
        <f t="shared" si="134"/>
        <v>1.4670839823350399</v>
      </c>
      <c r="U122" s="75">
        <f t="shared" si="134"/>
        <v>1.5130102294419336</v>
      </c>
      <c r="V122" s="75">
        <f t="shared" si="134"/>
        <v>1.8065929922091548</v>
      </c>
      <c r="W122" s="75">
        <f t="shared" si="134"/>
        <v>1.7533723177612728</v>
      </c>
      <c r="X122" s="75">
        <f t="shared" ref="X122:Y122" si="135">IF(X108=0,"",X108/X101)</f>
        <v>1.7717857310668477</v>
      </c>
      <c r="Y122" s="75">
        <f t="shared" si="135"/>
        <v>1.7621449387167389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1.7614667259742325</v>
      </c>
      <c r="C123" s="76">
        <f t="shared" ref="C123:W123" si="137">IF(C109=0,"",C109/C102)</f>
        <v>1.8320961753214637</v>
      </c>
      <c r="D123" s="76">
        <f t="shared" si="137"/>
        <v>1.9087420342904402</v>
      </c>
      <c r="E123" s="76">
        <f t="shared" si="137"/>
        <v>1.9891098082526411</v>
      </c>
      <c r="F123" s="76">
        <f t="shared" si="137"/>
        <v>2.069934276657738</v>
      </c>
      <c r="G123" s="76">
        <f t="shared" si="137"/>
        <v>2.1812124223691844</v>
      </c>
      <c r="H123" s="76">
        <f t="shared" si="137"/>
        <v>2.3191578332758573</v>
      </c>
      <c r="I123" s="76">
        <f t="shared" si="137"/>
        <v>2.4781377265960667</v>
      </c>
      <c r="J123" s="76">
        <f t="shared" si="137"/>
        <v>2.6510866832825215</v>
      </c>
      <c r="K123" s="76">
        <f t="shared" si="137"/>
        <v>2.7039044109929837</v>
      </c>
      <c r="L123" s="76">
        <f t="shared" si="137"/>
        <v>2.7789024768791579</v>
      </c>
      <c r="M123" s="76">
        <f t="shared" si="137"/>
        <v>2.8768570477961153</v>
      </c>
      <c r="N123" s="76">
        <f t="shared" si="137"/>
        <v>2.9763438426063447</v>
      </c>
      <c r="O123" s="76">
        <f t="shared" si="137"/>
        <v>3.0717913989474512</v>
      </c>
      <c r="P123" s="76">
        <f t="shared" si="137"/>
        <v>3.1852415173101445</v>
      </c>
      <c r="Q123" s="76">
        <f t="shared" si="137"/>
        <v>3.3091848461263429</v>
      </c>
      <c r="R123" s="76">
        <f t="shared" si="137"/>
        <v>3.441907591044707</v>
      </c>
      <c r="S123" s="76">
        <f t="shared" si="137"/>
        <v>3.5752890619744178</v>
      </c>
      <c r="T123" s="76">
        <f t="shared" si="137"/>
        <v>3.687229327134705</v>
      </c>
      <c r="U123" s="76">
        <f t="shared" si="137"/>
        <v>3.769941813652939</v>
      </c>
      <c r="V123" s="76">
        <f t="shared" si="137"/>
        <v>3.8558129682887579</v>
      </c>
      <c r="W123" s="76">
        <f t="shared" si="137"/>
        <v>3.9259870186306354</v>
      </c>
      <c r="X123" s="76">
        <f t="shared" ref="X123:Y123" si="138">IF(X109=0,"",X109/X102)</f>
        <v>3.9823059658858782</v>
      </c>
      <c r="Y123" s="76">
        <f t="shared" si="138"/>
        <v>4.0268139339729663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0.57411014373262426</v>
      </c>
      <c r="C124" s="76">
        <f t="shared" ref="C124:W124" si="140">IF(C110=0,"",C110/C103)</f>
        <v>0.58113952958026749</v>
      </c>
      <c r="D124" s="76">
        <f t="shared" si="140"/>
        <v>0.58771640697568184</v>
      </c>
      <c r="E124" s="76">
        <f t="shared" si="140"/>
        <v>0.59226352412376293</v>
      </c>
      <c r="F124" s="76">
        <f t="shared" si="140"/>
        <v>0.59719329411297006</v>
      </c>
      <c r="G124" s="76">
        <f t="shared" si="140"/>
        <v>0.60177926785468672</v>
      </c>
      <c r="H124" s="76">
        <f t="shared" si="140"/>
        <v>0.60604155043161212</v>
      </c>
      <c r="I124" s="76">
        <f t="shared" si="140"/>
        <v>0.6111558222265091</v>
      </c>
      <c r="J124" s="76">
        <f t="shared" si="140"/>
        <v>0.61773611018088759</v>
      </c>
      <c r="K124" s="76">
        <f t="shared" si="140"/>
        <v>0.62529095918738209</v>
      </c>
      <c r="L124" s="76">
        <f t="shared" si="140"/>
        <v>0.63684587113055136</v>
      </c>
      <c r="M124" s="76">
        <f t="shared" si="140"/>
        <v>0.64802256472791164</v>
      </c>
      <c r="N124" s="76">
        <f t="shared" si="140"/>
        <v>0.65962703469905637</v>
      </c>
      <c r="O124" s="76">
        <f t="shared" si="140"/>
        <v>0.6710042855327284</v>
      </c>
      <c r="P124" s="76">
        <f t="shared" si="140"/>
        <v>0.67731040958040767</v>
      </c>
      <c r="Q124" s="76">
        <f t="shared" si="140"/>
        <v>0.68521188104060982</v>
      </c>
      <c r="R124" s="76">
        <f t="shared" si="140"/>
        <v>0.69550946106685996</v>
      </c>
      <c r="S124" s="76">
        <f t="shared" si="140"/>
        <v>0.70910856392726895</v>
      </c>
      <c r="T124" s="76">
        <f t="shared" si="140"/>
        <v>0.72413441074302265</v>
      </c>
      <c r="U124" s="76">
        <f t="shared" si="140"/>
        <v>0.73906805750367899</v>
      </c>
      <c r="V124" s="76">
        <f t="shared" si="140"/>
        <v>0.75838828244997702</v>
      </c>
      <c r="W124" s="76">
        <f t="shared" si="140"/>
        <v>0.77216049452287161</v>
      </c>
      <c r="X124" s="76">
        <f t="shared" ref="X124:Y124" si="141">IF(X110=0,"",X110/X103)</f>
        <v>0.78706603136911735</v>
      </c>
      <c r="Y124" s="76">
        <f t="shared" si="141"/>
        <v>0.80236792351633868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0.62464489782130472</v>
      </c>
      <c r="C125" s="56">
        <f t="shared" ref="C125:W125" si="143">IF(C111=0,"",C111/C104)</f>
        <v>0.63990546964825046</v>
      </c>
      <c r="D125" s="56">
        <f t="shared" si="143"/>
        <v>0.62645310603157112</v>
      </c>
      <c r="E125" s="56">
        <f t="shared" si="143"/>
        <v>0.62461169548424733</v>
      </c>
      <c r="F125" s="56">
        <f t="shared" si="143"/>
        <v>0.61724045831096996</v>
      </c>
      <c r="G125" s="56">
        <f t="shared" si="143"/>
        <v>0.59483375991471987</v>
      </c>
      <c r="H125" s="56">
        <f t="shared" si="143"/>
        <v>0.60570019442166656</v>
      </c>
      <c r="I125" s="56">
        <f t="shared" si="143"/>
        <v>0.60429069520859924</v>
      </c>
      <c r="J125" s="56">
        <f t="shared" si="143"/>
        <v>0.60048442541079028</v>
      </c>
      <c r="K125" s="56">
        <f t="shared" si="143"/>
        <v>0.60491510180583008</v>
      </c>
      <c r="L125" s="56">
        <f t="shared" si="143"/>
        <v>0.6441137991359035</v>
      </c>
      <c r="M125" s="56">
        <f t="shared" si="143"/>
        <v>0.64424964665135942</v>
      </c>
      <c r="N125" s="56">
        <f t="shared" si="143"/>
        <v>0.62858812050979529</v>
      </c>
      <c r="O125" s="56">
        <f t="shared" si="143"/>
        <v>0.62456094787137861</v>
      </c>
      <c r="P125" s="56">
        <f t="shared" si="143"/>
        <v>0.61170349593852547</v>
      </c>
      <c r="Q125" s="56">
        <f t="shared" si="143"/>
        <v>0.60738573555268094</v>
      </c>
      <c r="R125" s="56">
        <f t="shared" si="143"/>
        <v>0.61632998720784893</v>
      </c>
      <c r="S125" s="56">
        <f t="shared" si="143"/>
        <v>0.62191938510712796</v>
      </c>
      <c r="T125" s="56">
        <f t="shared" si="143"/>
        <v>0.61350321639194461</v>
      </c>
      <c r="U125" s="56">
        <f t="shared" si="143"/>
        <v>0.62280814562604836</v>
      </c>
      <c r="V125" s="56">
        <f t="shared" si="143"/>
        <v>0.6553487555380344</v>
      </c>
      <c r="W125" s="56">
        <f t="shared" si="143"/>
        <v>0.67490536485805408</v>
      </c>
      <c r="X125" s="56">
        <f t="shared" ref="X125:Y125" si="144">IF(X111=0,"",X111/X104)</f>
        <v>0.67335222849641752</v>
      </c>
      <c r="Y125" s="56">
        <f t="shared" si="144"/>
        <v>0.67724445390146526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115.47451046821818</v>
      </c>
      <c r="C129" s="82">
        <f t="shared" ref="C129:W129" si="146">IF(C99=0,0,C99/C$26)</f>
        <v>119.84660305463834</v>
      </c>
      <c r="D129" s="82">
        <f t="shared" si="146"/>
        <v>124.23681467134388</v>
      </c>
      <c r="E129" s="82">
        <f t="shared" si="146"/>
        <v>130.57450676201239</v>
      </c>
      <c r="F129" s="82">
        <f t="shared" si="146"/>
        <v>140.7859433142157</v>
      </c>
      <c r="G129" s="82">
        <f t="shared" si="146"/>
        <v>148.31678768110197</v>
      </c>
      <c r="H129" s="82">
        <f t="shared" si="146"/>
        <v>147.80238261172579</v>
      </c>
      <c r="I129" s="82">
        <f t="shared" si="146"/>
        <v>144.53120404391316</v>
      </c>
      <c r="J129" s="82">
        <f t="shared" si="146"/>
        <v>136.739815148368</v>
      </c>
      <c r="K129" s="82">
        <f t="shared" si="146"/>
        <v>142.73035530783167</v>
      </c>
      <c r="L129" s="82">
        <f t="shared" si="146"/>
        <v>131.23178440367769</v>
      </c>
      <c r="M129" s="82">
        <f t="shared" si="146"/>
        <v>128.59072099953474</v>
      </c>
      <c r="N129" s="82">
        <f t="shared" si="146"/>
        <v>127.19693553523598</v>
      </c>
      <c r="O129" s="82">
        <f t="shared" si="146"/>
        <v>123.46188274414143</v>
      </c>
      <c r="P129" s="82">
        <f t="shared" si="146"/>
        <v>130.06944738406901</v>
      </c>
      <c r="Q129" s="82">
        <f t="shared" si="146"/>
        <v>134.23298972373951</v>
      </c>
      <c r="R129" s="82">
        <f t="shared" si="146"/>
        <v>128.04330080072884</v>
      </c>
      <c r="S129" s="82">
        <f t="shared" si="146"/>
        <v>126.8039015547712</v>
      </c>
      <c r="T129" s="82">
        <f t="shared" si="146"/>
        <v>129.91261655383252</v>
      </c>
      <c r="U129" s="82">
        <f t="shared" si="146"/>
        <v>126.01256313446244</v>
      </c>
      <c r="V129" s="82">
        <f t="shared" si="146"/>
        <v>110.77495234112975</v>
      </c>
      <c r="W129" s="82">
        <f t="shared" si="146"/>
        <v>110.27972993129758</v>
      </c>
      <c r="X129" s="82">
        <f t="shared" ref="X129:Y129" si="147">IF(X99=0,0,X99/X$26)</f>
        <v>118.35198043331958</v>
      </c>
      <c r="Y129" s="82">
        <f t="shared" si="147"/>
        <v>118.20167430541245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67.414974523028675</v>
      </c>
      <c r="C130" s="64">
        <f t="shared" ref="C130:W130" si="149">IF(C100=0,0,C100/C$26)</f>
        <v>71.411601092438758</v>
      </c>
      <c r="D130" s="64">
        <f t="shared" si="149"/>
        <v>75.074263214037558</v>
      </c>
      <c r="E130" s="64">
        <f t="shared" si="149"/>
        <v>80.662917234587866</v>
      </c>
      <c r="F130" s="64">
        <f t="shared" si="149"/>
        <v>90.319072916884309</v>
      </c>
      <c r="G130" s="64">
        <f t="shared" si="149"/>
        <v>97.428426692644763</v>
      </c>
      <c r="H130" s="64">
        <f t="shared" si="149"/>
        <v>96.764542897772415</v>
      </c>
      <c r="I130" s="64">
        <f t="shared" si="149"/>
        <v>93.406139280925345</v>
      </c>
      <c r="J130" s="64">
        <f t="shared" si="149"/>
        <v>85.276041655046456</v>
      </c>
      <c r="K130" s="64">
        <f t="shared" si="149"/>
        <v>90.937887068184494</v>
      </c>
      <c r="L130" s="64">
        <f t="shared" si="149"/>
        <v>79.063233135217644</v>
      </c>
      <c r="M130" s="64">
        <f t="shared" si="149"/>
        <v>76.162674941311792</v>
      </c>
      <c r="N130" s="64">
        <f t="shared" si="149"/>
        <v>74.363913765208679</v>
      </c>
      <c r="O130" s="64">
        <f t="shared" si="149"/>
        <v>70.427389989768585</v>
      </c>
      <c r="P130" s="64">
        <f t="shared" si="149"/>
        <v>76.840148957572239</v>
      </c>
      <c r="Q130" s="64">
        <f t="shared" si="149"/>
        <v>80.377571977870758</v>
      </c>
      <c r="R130" s="64">
        <f t="shared" si="149"/>
        <v>75.311609362227301</v>
      </c>
      <c r="S130" s="64">
        <f t="shared" si="149"/>
        <v>74.338839236693644</v>
      </c>
      <c r="T130" s="64">
        <f t="shared" si="149"/>
        <v>78.865300990312605</v>
      </c>
      <c r="U130" s="64">
        <f t="shared" si="149"/>
        <v>76.571939524709521</v>
      </c>
      <c r="V130" s="64">
        <f t="shared" si="149"/>
        <v>64.954782172633699</v>
      </c>
      <c r="W130" s="64">
        <f t="shared" si="149"/>
        <v>66.330784163190003</v>
      </c>
      <c r="X130" s="64">
        <f t="shared" ref="X130:Y130" si="150">IF(X100=0,0,X100/X$26)</f>
        <v>74.410045650616212</v>
      </c>
      <c r="Y130" s="64">
        <f t="shared" si="150"/>
        <v>74.849436878276819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32.812071117185248</v>
      </c>
      <c r="C131" s="65">
        <f t="shared" ref="C131:W131" si="152">IF(C101=0,0,C101/C$26)</f>
        <v>36.609012742501939</v>
      </c>
      <c r="D131" s="65">
        <f t="shared" si="152"/>
        <v>39.228298221153146</v>
      </c>
      <c r="E131" s="65">
        <f t="shared" si="152"/>
        <v>42.673948189145399</v>
      </c>
      <c r="F131" s="65">
        <f t="shared" si="152"/>
        <v>53.220638469240782</v>
      </c>
      <c r="G131" s="65">
        <f t="shared" si="152"/>
        <v>59.371022875201</v>
      </c>
      <c r="H131" s="65">
        <f t="shared" si="152"/>
        <v>57.938548642304895</v>
      </c>
      <c r="I131" s="65">
        <f t="shared" si="152"/>
        <v>56.726390554969853</v>
      </c>
      <c r="J131" s="65">
        <f t="shared" si="152"/>
        <v>48.288527772556748</v>
      </c>
      <c r="K131" s="65">
        <f t="shared" si="152"/>
        <v>53.059119013014858</v>
      </c>
      <c r="L131" s="65">
        <f t="shared" si="152"/>
        <v>40.035398552143569</v>
      </c>
      <c r="M131" s="65">
        <f t="shared" si="152"/>
        <v>39.374539480552279</v>
      </c>
      <c r="N131" s="65">
        <f t="shared" si="152"/>
        <v>37.375705861442711</v>
      </c>
      <c r="O131" s="65">
        <f t="shared" si="152"/>
        <v>33.197920090768747</v>
      </c>
      <c r="P131" s="65">
        <f t="shared" si="152"/>
        <v>40.338104355553902</v>
      </c>
      <c r="Q131" s="65">
        <f t="shared" si="152"/>
        <v>43.007594448982346</v>
      </c>
      <c r="R131" s="65">
        <f t="shared" si="152"/>
        <v>35.707224295641588</v>
      </c>
      <c r="S131" s="65">
        <f t="shared" si="152"/>
        <v>35.342407034184738</v>
      </c>
      <c r="T131" s="65">
        <f t="shared" si="152"/>
        <v>40.78402139308546</v>
      </c>
      <c r="U131" s="65">
        <f t="shared" si="152"/>
        <v>40.216363700370501</v>
      </c>
      <c r="V131" s="65">
        <f t="shared" si="152"/>
        <v>30.795817395849078</v>
      </c>
      <c r="W131" s="65">
        <f t="shared" si="152"/>
        <v>33.665486201127351</v>
      </c>
      <c r="X131" s="65">
        <f t="shared" ref="X131:Y131" si="153">IF(X101=0,0,X101/X$26)</f>
        <v>37.437431636171731</v>
      </c>
      <c r="Y131" s="65">
        <f t="shared" si="153"/>
        <v>39.088583091968232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5.1816836664392332</v>
      </c>
      <c r="C132" s="65">
        <f t="shared" ref="C132:W132" si="155">IF(C102=0,0,C102/C$26)</f>
        <v>5.0668251908824304</v>
      </c>
      <c r="D132" s="65">
        <f t="shared" si="155"/>
        <v>4.5108791220911391</v>
      </c>
      <c r="E132" s="65">
        <f t="shared" si="155"/>
        <v>6.3100612396865152</v>
      </c>
      <c r="F132" s="65">
        <f t="shared" si="155"/>
        <v>5.0111470584114697</v>
      </c>
      <c r="G132" s="65">
        <f t="shared" si="155"/>
        <v>5.38397996896368</v>
      </c>
      <c r="H132" s="65">
        <f t="shared" si="155"/>
        <v>6.4407567818091067</v>
      </c>
      <c r="I132" s="65">
        <f t="shared" si="155"/>
        <v>4.1987734064278728</v>
      </c>
      <c r="J132" s="65">
        <f t="shared" si="155"/>
        <v>4.0422390296456534</v>
      </c>
      <c r="K132" s="65">
        <f t="shared" si="155"/>
        <v>5.0968548157509188</v>
      </c>
      <c r="L132" s="65">
        <f t="shared" si="155"/>
        <v>7.1590430211036153</v>
      </c>
      <c r="M132" s="65">
        <f t="shared" si="155"/>
        <v>4.6926805779944232</v>
      </c>
      <c r="N132" s="65">
        <f t="shared" si="155"/>
        <v>4.9235074904646243</v>
      </c>
      <c r="O132" s="65">
        <f t="shared" si="155"/>
        <v>6.2567978729462741</v>
      </c>
      <c r="P132" s="65">
        <f t="shared" si="155"/>
        <v>4.1671318665373613</v>
      </c>
      <c r="Q132" s="65">
        <f t="shared" si="155"/>
        <v>4.7875058603325389</v>
      </c>
      <c r="R132" s="65">
        <f t="shared" si="155"/>
        <v>7.023219743666151</v>
      </c>
      <c r="S132" s="65">
        <f t="shared" si="155"/>
        <v>6.5916079236966905</v>
      </c>
      <c r="T132" s="65">
        <f t="shared" si="155"/>
        <v>5.5986236062012908</v>
      </c>
      <c r="U132" s="65">
        <f t="shared" si="155"/>
        <v>4.3573889346799159</v>
      </c>
      <c r="V132" s="65">
        <f t="shared" si="155"/>
        <v>6.1730655387627396</v>
      </c>
      <c r="W132" s="65">
        <f t="shared" si="155"/>
        <v>3.8068599187357597</v>
      </c>
      <c r="X132" s="65">
        <f t="shared" ref="X132:Y132" si="156">IF(X102=0,0,X102/X$26)</f>
        <v>6.8944943493692445</v>
      </c>
      <c r="Y132" s="65">
        <f t="shared" si="156"/>
        <v>5.6188395662369119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16.030377300733921</v>
      </c>
      <c r="C133" s="65">
        <f t="shared" ref="C133:W133" si="158">IF(C103=0,0,C103/C$26)</f>
        <v>16.103129175216278</v>
      </c>
      <c r="D133" s="65">
        <f t="shared" si="158"/>
        <v>16.300221425050463</v>
      </c>
      <c r="E133" s="65">
        <f t="shared" si="158"/>
        <v>16.110583007082461</v>
      </c>
      <c r="F133" s="65">
        <f t="shared" si="158"/>
        <v>16.17232571003494</v>
      </c>
      <c r="G133" s="65">
        <f t="shared" si="158"/>
        <v>16.17310988067015</v>
      </c>
      <c r="H133" s="65">
        <f t="shared" si="158"/>
        <v>15.903172603782052</v>
      </c>
      <c r="I133" s="65">
        <f t="shared" si="158"/>
        <v>16.017820020529783</v>
      </c>
      <c r="J133" s="65">
        <f t="shared" si="158"/>
        <v>15.905693490434277</v>
      </c>
      <c r="K133" s="65">
        <f t="shared" si="158"/>
        <v>16.012158245069493</v>
      </c>
      <c r="L133" s="65">
        <f t="shared" si="158"/>
        <v>15.860176512087673</v>
      </c>
      <c r="M133" s="65">
        <f t="shared" si="158"/>
        <v>16.20579515446601</v>
      </c>
      <c r="N133" s="65">
        <f t="shared" si="158"/>
        <v>15.783607420438569</v>
      </c>
      <c r="O133" s="65">
        <f t="shared" si="158"/>
        <v>15.712798965178791</v>
      </c>
      <c r="P133" s="65">
        <f t="shared" si="158"/>
        <v>15.714204542588295</v>
      </c>
      <c r="Q133" s="65">
        <f t="shared" si="158"/>
        <v>15.66753531637948</v>
      </c>
      <c r="R133" s="65">
        <f t="shared" si="158"/>
        <v>15.550593899922459</v>
      </c>
      <c r="S133" s="65">
        <f t="shared" si="158"/>
        <v>15.091085380096345</v>
      </c>
      <c r="T133" s="65">
        <f t="shared" si="158"/>
        <v>14.747135533514552</v>
      </c>
      <c r="U133" s="65">
        <f t="shared" si="158"/>
        <v>14.493354616733521</v>
      </c>
      <c r="V133" s="65">
        <f t="shared" si="158"/>
        <v>12.284673997950167</v>
      </c>
      <c r="W133" s="65">
        <f t="shared" si="158"/>
        <v>13.237952265361233</v>
      </c>
      <c r="X133" s="65">
        <f t="shared" ref="X133:Y133" si="159">IF(X103=0,0,X103/X$26)</f>
        <v>13.564139285131406</v>
      </c>
      <c r="Y133" s="65">
        <f t="shared" si="159"/>
        <v>13.475416621653389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13.39084243867026</v>
      </c>
      <c r="C134" s="67">
        <f t="shared" ref="C134:W134" si="161">IF(C104=0,0,C104/C$26)</f>
        <v>13.632633983838097</v>
      </c>
      <c r="D134" s="67">
        <f t="shared" si="161"/>
        <v>15.034864445742812</v>
      </c>
      <c r="E134" s="67">
        <f t="shared" si="161"/>
        <v>15.568324798673499</v>
      </c>
      <c r="F134" s="67">
        <f t="shared" si="161"/>
        <v>15.914961679197139</v>
      </c>
      <c r="G134" s="67">
        <f t="shared" si="161"/>
        <v>16.50031396780993</v>
      </c>
      <c r="H134" s="67">
        <f t="shared" si="161"/>
        <v>16.482064869876368</v>
      </c>
      <c r="I134" s="67">
        <f t="shared" si="161"/>
        <v>16.463155298997833</v>
      </c>
      <c r="J134" s="67">
        <f t="shared" si="161"/>
        <v>17.039581362409773</v>
      </c>
      <c r="K134" s="67">
        <f t="shared" si="161"/>
        <v>16.769754994349238</v>
      </c>
      <c r="L134" s="67">
        <f t="shared" si="161"/>
        <v>16.008615049882785</v>
      </c>
      <c r="M134" s="67">
        <f t="shared" si="161"/>
        <v>15.889659728299067</v>
      </c>
      <c r="N134" s="67">
        <f t="shared" si="161"/>
        <v>16.281092992862774</v>
      </c>
      <c r="O134" s="67">
        <f t="shared" si="161"/>
        <v>15.259873060874771</v>
      </c>
      <c r="P134" s="67">
        <f t="shared" si="161"/>
        <v>16.620708192892671</v>
      </c>
      <c r="Q134" s="67">
        <f t="shared" si="161"/>
        <v>16.914936352176397</v>
      </c>
      <c r="R134" s="67">
        <f t="shared" si="161"/>
        <v>17.030571422997074</v>
      </c>
      <c r="S134" s="67">
        <f t="shared" si="161"/>
        <v>17.313738898715879</v>
      </c>
      <c r="T134" s="67">
        <f t="shared" si="161"/>
        <v>17.735520457511303</v>
      </c>
      <c r="U134" s="67">
        <f t="shared" si="161"/>
        <v>17.504832272925576</v>
      </c>
      <c r="V134" s="67">
        <f t="shared" si="161"/>
        <v>15.70122524007172</v>
      </c>
      <c r="W134" s="67">
        <f t="shared" si="161"/>
        <v>15.620485777965639</v>
      </c>
      <c r="X134" s="67">
        <f t="shared" ref="X134:Y134" si="162">IF(X104=0,0,X104/X$26)</f>
        <v>16.513980379943821</v>
      </c>
      <c r="Y134" s="67">
        <f t="shared" si="162"/>
        <v>16.666597598418274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48.059535945189509</v>
      </c>
      <c r="C135" s="68">
        <f t="shared" ref="C135:W135" si="164">IF(C105=0,0,C105/C$26)</f>
        <v>48.435001962199586</v>
      </c>
      <c r="D135" s="68">
        <f t="shared" si="164"/>
        <v>49.162551457306343</v>
      </c>
      <c r="E135" s="68">
        <f t="shared" si="164"/>
        <v>49.911589527424546</v>
      </c>
      <c r="F135" s="68">
        <f t="shared" si="164"/>
        <v>50.466870397331377</v>
      </c>
      <c r="G135" s="68">
        <f t="shared" si="164"/>
        <v>50.888360988457215</v>
      </c>
      <c r="H135" s="68">
        <f t="shared" si="164"/>
        <v>51.037839713953396</v>
      </c>
      <c r="I135" s="68">
        <f t="shared" si="164"/>
        <v>51.125064762987819</v>
      </c>
      <c r="J135" s="68">
        <f t="shared" si="164"/>
        <v>51.463773493321526</v>
      </c>
      <c r="K135" s="68">
        <f t="shared" si="164"/>
        <v>51.792468239647192</v>
      </c>
      <c r="L135" s="68">
        <f t="shared" si="164"/>
        <v>52.168551268460057</v>
      </c>
      <c r="M135" s="68">
        <f t="shared" si="164"/>
        <v>52.428046058222947</v>
      </c>
      <c r="N135" s="68">
        <f t="shared" si="164"/>
        <v>52.833021770027308</v>
      </c>
      <c r="O135" s="68">
        <f t="shared" si="164"/>
        <v>53.034492754372835</v>
      </c>
      <c r="P135" s="68">
        <f t="shared" si="164"/>
        <v>53.229298426496783</v>
      </c>
      <c r="Q135" s="68">
        <f t="shared" si="164"/>
        <v>53.855417745868749</v>
      </c>
      <c r="R135" s="68">
        <f t="shared" si="164"/>
        <v>52.731691438501549</v>
      </c>
      <c r="S135" s="68">
        <f t="shared" si="164"/>
        <v>52.465062318077536</v>
      </c>
      <c r="T135" s="68">
        <f t="shared" si="164"/>
        <v>51.047315563519895</v>
      </c>
      <c r="U135" s="68">
        <f t="shared" si="164"/>
        <v>49.440623609752926</v>
      </c>
      <c r="V135" s="68">
        <f t="shared" si="164"/>
        <v>45.820170168496041</v>
      </c>
      <c r="W135" s="68">
        <f t="shared" si="164"/>
        <v>43.948945768107578</v>
      </c>
      <c r="X135" s="68">
        <f t="shared" ref="X135:Y135" si="165">IF(X105=0,0,X105/X$26)</f>
        <v>43.941934782703363</v>
      </c>
      <c r="Y135" s="68">
        <f t="shared" si="165"/>
        <v>43.352237427135634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43.629938687889336</v>
      </c>
      <c r="C137" s="85">
        <f t="shared" ref="C137:W137" si="167">IF(C107=0,0,C107/C$26)</f>
        <v>46.391382131158018</v>
      </c>
      <c r="D137" s="85">
        <f t="shared" si="167"/>
        <v>48.509666865892619</v>
      </c>
      <c r="E137" s="85">
        <f t="shared" si="167"/>
        <v>56.422191768578003</v>
      </c>
      <c r="F137" s="85">
        <f t="shared" si="167"/>
        <v>60.599378334390025</v>
      </c>
      <c r="G137" s="85">
        <f t="shared" si="167"/>
        <v>67.915100869840032</v>
      </c>
      <c r="H137" s="85">
        <f t="shared" si="167"/>
        <v>73.221550381471005</v>
      </c>
      <c r="I137" s="85">
        <f t="shared" si="167"/>
        <v>71.401458323208558</v>
      </c>
      <c r="J137" s="85">
        <f t="shared" si="167"/>
        <v>71.819112146394232</v>
      </c>
      <c r="K137" s="85">
        <f t="shared" si="167"/>
        <v>78.489503907085577</v>
      </c>
      <c r="L137" s="85">
        <f t="shared" si="167"/>
        <v>82.140829647395762</v>
      </c>
      <c r="M137" s="85">
        <f t="shared" si="167"/>
        <v>78.532270330005488</v>
      </c>
      <c r="N137" s="85">
        <f t="shared" si="167"/>
        <v>83.077266970714859</v>
      </c>
      <c r="O137" s="85">
        <f t="shared" si="167"/>
        <v>87.115145385837991</v>
      </c>
      <c r="P137" s="85">
        <f t="shared" si="167"/>
        <v>91.492859536372322</v>
      </c>
      <c r="Q137" s="85">
        <f t="shared" si="167"/>
        <v>95.936412589708965</v>
      </c>
      <c r="R137" s="85">
        <f t="shared" si="167"/>
        <v>99.602003064471418</v>
      </c>
      <c r="S137" s="85">
        <f t="shared" si="167"/>
        <v>99.844037621154612</v>
      </c>
      <c r="T137" s="85">
        <f t="shared" si="167"/>
        <v>102.0367008181567</v>
      </c>
      <c r="U137" s="85">
        <f t="shared" si="167"/>
        <v>98.888599983513274</v>
      </c>
      <c r="V137" s="85">
        <f t="shared" si="167"/>
        <v>99.044025290418233</v>
      </c>
      <c r="W137" s="85">
        <f t="shared" si="167"/>
        <v>94.73798761266211</v>
      </c>
      <c r="X137" s="85">
        <f t="shared" ref="X137:Y137" si="168">IF(X107=0,0,X107/X$26)</f>
        <v>115.58269192628688</v>
      </c>
      <c r="Y137" s="85">
        <f t="shared" si="168"/>
        <v>113.60537315737177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16.934851701875537</v>
      </c>
      <c r="C138" s="65">
        <f t="shared" ref="C138:W138" si="170">IF(C108=0,0,C108/C$26)</f>
        <v>19.026709112293794</v>
      </c>
      <c r="D138" s="65">
        <f t="shared" si="170"/>
        <v>20.901017174316202</v>
      </c>
      <c r="E138" s="65">
        <f t="shared" si="170"/>
        <v>24.604918650230768</v>
      </c>
      <c r="F138" s="65">
        <f t="shared" si="170"/>
        <v>30.745270567698718</v>
      </c>
      <c r="G138" s="65">
        <f t="shared" si="170"/>
        <v>36.623910859580768</v>
      </c>
      <c r="H138" s="65">
        <f t="shared" si="170"/>
        <v>38.663245560981572</v>
      </c>
      <c r="I138" s="65">
        <f t="shared" si="170"/>
        <v>41.258404013429718</v>
      </c>
      <c r="J138" s="65">
        <f t="shared" si="170"/>
        <v>41.045261634098402</v>
      </c>
      <c r="K138" s="65">
        <f t="shared" si="170"/>
        <v>44.551559851200579</v>
      </c>
      <c r="L138" s="65">
        <f t="shared" si="170"/>
        <v>41.834689478157479</v>
      </c>
      <c r="M138" s="65">
        <f t="shared" si="170"/>
        <v>44.29347053132706</v>
      </c>
      <c r="N138" s="65">
        <f t="shared" si="170"/>
        <v>47.777819963617539</v>
      </c>
      <c r="O138" s="65">
        <f t="shared" si="170"/>
        <v>47.82149126812287</v>
      </c>
      <c r="P138" s="65">
        <f t="shared" si="170"/>
        <v>57.409198485434082</v>
      </c>
      <c r="Q138" s="65">
        <f t="shared" si="170"/>
        <v>59.084198342455451</v>
      </c>
      <c r="R138" s="65">
        <f t="shared" si="170"/>
        <v>54.116692665289015</v>
      </c>
      <c r="S138" s="65">
        <f t="shared" si="170"/>
        <v>54.808166178959276</v>
      </c>
      <c r="T138" s="65">
        <f t="shared" si="170"/>
        <v>59.833584521005271</v>
      </c>
      <c r="U138" s="65">
        <f t="shared" si="170"/>
        <v>60.847769669617826</v>
      </c>
      <c r="V138" s="65">
        <f t="shared" si="170"/>
        <v>55.635507896693724</v>
      </c>
      <c r="W138" s="65">
        <f t="shared" si="170"/>
        <v>59.028131569030812</v>
      </c>
      <c r="X138" s="65">
        <f t="shared" ref="X138:Y138" si="171">IF(X108=0,0,X108/X$26)</f>
        <v>66.331107180759673</v>
      </c>
      <c r="Y138" s="65">
        <f t="shared" si="171"/>
        <v>68.879748857120518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9.1273633629568742</v>
      </c>
      <c r="C139" s="65">
        <f t="shared" ref="C139:W139" si="173">IF(C109=0,0,C109/C$26)</f>
        <v>9.2829110532381467</v>
      </c>
      <c r="D139" s="65">
        <f t="shared" si="173"/>
        <v>8.6101045919385157</v>
      </c>
      <c r="E139" s="65">
        <f t="shared" si="173"/>
        <v>12.551404702535265</v>
      </c>
      <c r="F139" s="65">
        <f t="shared" si="173"/>
        <v>10.372745061578497</v>
      </c>
      <c r="G139" s="65">
        <f t="shared" si="173"/>
        <v>11.743603990090435</v>
      </c>
      <c r="H139" s="65">
        <f t="shared" si="173"/>
        <v>14.937131542757193</v>
      </c>
      <c r="I139" s="65">
        <f t="shared" si="173"/>
        <v>10.405138783897192</v>
      </c>
      <c r="J139" s="65">
        <f t="shared" si="173"/>
        <v>10.716326062138453</v>
      </c>
      <c r="K139" s="65">
        <f t="shared" si="173"/>
        <v>13.781408218499742</v>
      </c>
      <c r="L139" s="65">
        <f t="shared" si="173"/>
        <v>19.894282383429285</v>
      </c>
      <c r="M139" s="65">
        <f t="shared" si="173"/>
        <v>13.500171193859206</v>
      </c>
      <c r="N139" s="65">
        <f t="shared" si="173"/>
        <v>14.654051203270599</v>
      </c>
      <c r="O139" s="65">
        <f t="shared" si="173"/>
        <v>19.219577891069072</v>
      </c>
      <c r="P139" s="65">
        <f t="shared" si="173"/>
        <v>13.273321429400918</v>
      </c>
      <c r="Q139" s="65">
        <f t="shared" si="173"/>
        <v>15.842741843753497</v>
      </c>
      <c r="R139" s="65">
        <f t="shared" si="173"/>
        <v>24.173273349299585</v>
      </c>
      <c r="S139" s="65">
        <f t="shared" si="173"/>
        <v>23.566903710416682</v>
      </c>
      <c r="T139" s="65">
        <f t="shared" si="173"/>
        <v>20.643409152374062</v>
      </c>
      <c r="U139" s="65">
        <f t="shared" si="173"/>
        <v>16.427102743198446</v>
      </c>
      <c r="V139" s="65">
        <f t="shared" si="173"/>
        <v>23.802186158457801</v>
      </c>
      <c r="W139" s="65">
        <f t="shared" si="173"/>
        <v>14.945682622701867</v>
      </c>
      <c r="X139" s="65">
        <f t="shared" ref="X139:Y139" si="174">IF(X109=0,0,X109/X$26)</f>
        <v>27.455985979259619</v>
      </c>
      <c r="Y139" s="65">
        <f t="shared" si="174"/>
        <v>22.626021458081418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9.2032022162125493</v>
      </c>
      <c r="C140" s="65">
        <f t="shared" ref="C140:W140" si="176">IF(C110=0,0,C110/C$26)</f>
        <v>9.3581649136554681</v>
      </c>
      <c r="D140" s="65">
        <f t="shared" si="176"/>
        <v>9.5799075688386868</v>
      </c>
      <c r="E140" s="65">
        <f t="shared" si="176"/>
        <v>9.5417106674630663</v>
      </c>
      <c r="F140" s="65">
        <f t="shared" si="176"/>
        <v>9.6580044642436427</v>
      </c>
      <c r="G140" s="65">
        <f t="shared" si="176"/>
        <v>9.7326422229230811</v>
      </c>
      <c r="H140" s="65">
        <f t="shared" si="176"/>
        <v>9.6379833815776124</v>
      </c>
      <c r="I140" s="65">
        <f t="shared" si="176"/>
        <v>9.7893839649231182</v>
      </c>
      <c r="J140" s="65">
        <f t="shared" si="176"/>
        <v>9.825521226510336</v>
      </c>
      <c r="K140" s="65">
        <f t="shared" si="176"/>
        <v>10.012257787719653</v>
      </c>
      <c r="L140" s="65">
        <f t="shared" si="176"/>
        <v>10.100487927124785</v>
      </c>
      <c r="M140" s="65">
        <f t="shared" si="176"/>
        <v>10.501720939452227</v>
      </c>
      <c r="N140" s="65">
        <f t="shared" si="176"/>
        <v>10.411294159597917</v>
      </c>
      <c r="O140" s="65">
        <f t="shared" si="176"/>
        <v>10.54335544334919</v>
      </c>
      <c r="P140" s="65">
        <f t="shared" si="176"/>
        <v>10.643394314970779</v>
      </c>
      <c r="Q140" s="65">
        <f t="shared" si="176"/>
        <v>10.735581345406569</v>
      </c>
      <c r="R140" s="65">
        <f t="shared" si="176"/>
        <v>10.81558518260467</v>
      </c>
      <c r="S140" s="65">
        <f t="shared" si="176"/>
        <v>10.701217881983924</v>
      </c>
      <c r="T140" s="65">
        <f t="shared" si="176"/>
        <v>10.67890829970905</v>
      </c>
      <c r="U140" s="65">
        <f t="shared" si="176"/>
        <v>10.71157544330122</v>
      </c>
      <c r="V140" s="65">
        <f t="shared" si="176"/>
        <v>9.3165528137633196</v>
      </c>
      <c r="W140" s="65">
        <f t="shared" si="176"/>
        <v>10.221823767691498</v>
      </c>
      <c r="X140" s="65">
        <f t="shared" ref="X140:Y140" si="177">IF(X110=0,0,X110/X$26)</f>
        <v>10.67587327608631</v>
      </c>
      <c r="Y140" s="65">
        <f t="shared" si="177"/>
        <v>10.812242053233584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8.3645214068443767</v>
      </c>
      <c r="C141" s="68">
        <f t="shared" ref="C141:W141" si="179">IF(C111=0,0,C111/C$26)</f>
        <v>8.7235970519706161</v>
      </c>
      <c r="D141" s="68">
        <f t="shared" si="179"/>
        <v>9.4186375307992201</v>
      </c>
      <c r="E141" s="68">
        <f t="shared" si="179"/>
        <v>9.7241577483489081</v>
      </c>
      <c r="F141" s="68">
        <f t="shared" si="179"/>
        <v>9.8233582408691671</v>
      </c>
      <c r="G141" s="68">
        <f t="shared" si="179"/>
        <v>9.8149437972457516</v>
      </c>
      <c r="H141" s="68">
        <f t="shared" si="179"/>
        <v>9.9831898961546361</v>
      </c>
      <c r="I141" s="68">
        <f t="shared" si="179"/>
        <v>9.9485315609585356</v>
      </c>
      <c r="J141" s="68">
        <f t="shared" si="179"/>
        <v>10.232003223647043</v>
      </c>
      <c r="K141" s="68">
        <f t="shared" si="179"/>
        <v>10.144278049665596</v>
      </c>
      <c r="L141" s="68">
        <f t="shared" si="179"/>
        <v>10.311369858684202</v>
      </c>
      <c r="M141" s="68">
        <f t="shared" si="179"/>
        <v>10.23690766536701</v>
      </c>
      <c r="N141" s="68">
        <f t="shared" si="179"/>
        <v>10.234101644228812</v>
      </c>
      <c r="O141" s="68">
        <f t="shared" si="179"/>
        <v>9.5307207832968626</v>
      </c>
      <c r="P141" s="68">
        <f t="shared" si="179"/>
        <v>10.166945306566539</v>
      </c>
      <c r="Q141" s="68">
        <f t="shared" si="179"/>
        <v>10.273891058093442</v>
      </c>
      <c r="R141" s="68">
        <f t="shared" si="179"/>
        <v>10.496451867278143</v>
      </c>
      <c r="S141" s="68">
        <f t="shared" si="179"/>
        <v>10.767749849794741</v>
      </c>
      <c r="T141" s="68">
        <f t="shared" si="179"/>
        <v>10.880798845068316</v>
      </c>
      <c r="U141" s="68">
        <f t="shared" si="179"/>
        <v>10.902152127395782</v>
      </c>
      <c r="V141" s="68">
        <f t="shared" si="179"/>
        <v>10.289778421503376</v>
      </c>
      <c r="W141" s="68">
        <f t="shared" si="179"/>
        <v>10.542349653237945</v>
      </c>
      <c r="X141" s="68">
        <f t="shared" ref="X141:Y141" si="180">IF(X111=0,0,X111/X$26)</f>
        <v>11.119725490181287</v>
      </c>
      <c r="Y141" s="68">
        <f t="shared" si="180"/>
        <v>11.287360788936256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9.0685716261502805</v>
      </c>
      <c r="C143" s="82">
        <f t="shared" ref="C143:W143" si="182">IF(C113=0,0,C113/C$26)</f>
        <v>9.6485623531730766</v>
      </c>
      <c r="D143" s="82">
        <f t="shared" si="182"/>
        <v>10.287897838447748</v>
      </c>
      <c r="E143" s="82">
        <f t="shared" si="182"/>
        <v>10.696495156869952</v>
      </c>
      <c r="F143" s="82">
        <f t="shared" si="182"/>
        <v>12.841336720670892</v>
      </c>
      <c r="G143" s="82">
        <f t="shared" si="182"/>
        <v>14.152850424758823</v>
      </c>
      <c r="H143" s="82">
        <f t="shared" si="182"/>
        <v>13.158395579541509</v>
      </c>
      <c r="I143" s="82">
        <f t="shared" si="182"/>
        <v>11.96397377829733</v>
      </c>
      <c r="J143" s="82">
        <f t="shared" si="182"/>
        <v>9.7903650470915071</v>
      </c>
      <c r="K143" s="82">
        <f t="shared" si="182"/>
        <v>11.081431736825053</v>
      </c>
      <c r="L143" s="82">
        <f t="shared" si="182"/>
        <v>7.5240683433384152</v>
      </c>
      <c r="M143" s="82">
        <f t="shared" si="182"/>
        <v>6.6949380718562015</v>
      </c>
      <c r="N143" s="82">
        <f t="shared" si="182"/>
        <v>5.8841305687352099</v>
      </c>
      <c r="O143" s="82">
        <f t="shared" si="182"/>
        <v>5.739817690040641</v>
      </c>
      <c r="P143" s="82">
        <f t="shared" si="182"/>
        <v>5.9658089575960895</v>
      </c>
      <c r="Q143" s="82">
        <f t="shared" si="182"/>
        <v>6.4995073777572605</v>
      </c>
      <c r="R143" s="82">
        <f t="shared" si="182"/>
        <v>6.1883224371266099</v>
      </c>
      <c r="S143" s="82">
        <f t="shared" si="182"/>
        <v>6.0868036869990583</v>
      </c>
      <c r="T143" s="82">
        <f t="shared" si="182"/>
        <v>6.5198967773159548</v>
      </c>
      <c r="U143" s="82">
        <f t="shared" si="182"/>
        <v>6.3317018366324254</v>
      </c>
      <c r="V143" s="82">
        <f t="shared" si="182"/>
        <v>4.9607767188458105</v>
      </c>
      <c r="W143" s="82">
        <f t="shared" si="182"/>
        <v>5.2565669631256782</v>
      </c>
      <c r="X143" s="82">
        <f t="shared" ref="X143:Y143" si="183">IF(X113=0,0,X113/X$26)</f>
        <v>5.3138477837370761</v>
      </c>
      <c r="Y143" s="82">
        <f t="shared" si="183"/>
        <v>5.1346868981297353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9.0685716261502805</v>
      </c>
      <c r="C144" s="64">
        <f t="shared" ref="C144:W144" si="185">IF(C114=0,0,C114/C$26)</f>
        <v>9.6485623531730766</v>
      </c>
      <c r="D144" s="64">
        <f t="shared" si="185"/>
        <v>10.287897838447748</v>
      </c>
      <c r="E144" s="64">
        <f t="shared" si="185"/>
        <v>10.696495156869952</v>
      </c>
      <c r="F144" s="64">
        <f t="shared" si="185"/>
        <v>12.841336720670892</v>
      </c>
      <c r="G144" s="64">
        <f t="shared" si="185"/>
        <v>14.152850424758823</v>
      </c>
      <c r="H144" s="64">
        <f t="shared" si="185"/>
        <v>13.158395579541509</v>
      </c>
      <c r="I144" s="64">
        <f t="shared" si="185"/>
        <v>11.96397377829733</v>
      </c>
      <c r="J144" s="64">
        <f t="shared" si="185"/>
        <v>9.7903650470915071</v>
      </c>
      <c r="K144" s="64">
        <f t="shared" si="185"/>
        <v>11.081431736825053</v>
      </c>
      <c r="L144" s="64">
        <f t="shared" si="185"/>
        <v>7.5240683433384152</v>
      </c>
      <c r="M144" s="64">
        <f t="shared" si="185"/>
        <v>6.6949380718562015</v>
      </c>
      <c r="N144" s="64">
        <f t="shared" si="185"/>
        <v>5.8841305687352099</v>
      </c>
      <c r="O144" s="64">
        <f t="shared" si="185"/>
        <v>5.739817690040641</v>
      </c>
      <c r="P144" s="64">
        <f t="shared" si="185"/>
        <v>5.9658089575960895</v>
      </c>
      <c r="Q144" s="64">
        <f t="shared" si="185"/>
        <v>6.4995073777572605</v>
      </c>
      <c r="R144" s="64">
        <f t="shared" si="185"/>
        <v>6.1883224371266099</v>
      </c>
      <c r="S144" s="64">
        <f t="shared" si="185"/>
        <v>6.0868036869990583</v>
      </c>
      <c r="T144" s="64">
        <f t="shared" si="185"/>
        <v>6.5198967773159548</v>
      </c>
      <c r="U144" s="64">
        <f t="shared" si="185"/>
        <v>6.3317018366324254</v>
      </c>
      <c r="V144" s="64">
        <f t="shared" si="185"/>
        <v>4.9607767188458105</v>
      </c>
      <c r="W144" s="64">
        <f t="shared" si="185"/>
        <v>5.2565669631256782</v>
      </c>
      <c r="X144" s="64">
        <f t="shared" ref="X144:Y144" si="186">IF(X114=0,0,X114/X$26)</f>
        <v>5.3138477837370761</v>
      </c>
      <c r="Y144" s="64">
        <f t="shared" si="186"/>
        <v>5.1346868981297353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6.113699938178998</v>
      </c>
      <c r="C145" s="65">
        <f t="shared" ref="C145:W145" si="188">IF(C115=0,0,C115/C$26)</f>
        <v>7.0508535129507894</v>
      </c>
      <c r="D145" s="65">
        <f t="shared" si="188"/>
        <v>7.4280334454407306</v>
      </c>
      <c r="E145" s="65">
        <f t="shared" si="188"/>
        <v>7.8070444300529758</v>
      </c>
      <c r="F145" s="65">
        <f t="shared" si="188"/>
        <v>9.8012720055265312</v>
      </c>
      <c r="G145" s="65">
        <f t="shared" si="188"/>
        <v>10.569196144266121</v>
      </c>
      <c r="H145" s="65">
        <f t="shared" si="188"/>
        <v>9.8224298039222298</v>
      </c>
      <c r="I145" s="65">
        <f t="shared" si="188"/>
        <v>8.5913547525073248</v>
      </c>
      <c r="J145" s="65">
        <f t="shared" si="188"/>
        <v>6.2601937428056207</v>
      </c>
      <c r="K145" s="65">
        <f t="shared" si="188"/>
        <v>7.6629098744454485</v>
      </c>
      <c r="L145" s="65">
        <f t="shared" si="188"/>
        <v>4.9441261794617697</v>
      </c>
      <c r="M145" s="65">
        <f t="shared" si="188"/>
        <v>4.0901628695606984</v>
      </c>
      <c r="N145" s="65">
        <f t="shared" si="188"/>
        <v>3.3393145821889032</v>
      </c>
      <c r="O145" s="65">
        <f t="shared" si="188"/>
        <v>3.0360341727577915</v>
      </c>
      <c r="P145" s="65">
        <f t="shared" si="188"/>
        <v>2.8442033059840695</v>
      </c>
      <c r="Q145" s="65">
        <f t="shared" si="188"/>
        <v>3.2097480994293077</v>
      </c>
      <c r="R145" s="65">
        <f t="shared" si="188"/>
        <v>2.9289420994286157</v>
      </c>
      <c r="S145" s="65">
        <f t="shared" si="188"/>
        <v>2.790440147413157</v>
      </c>
      <c r="T145" s="65">
        <f t="shared" si="188"/>
        <v>2.867544564943096</v>
      </c>
      <c r="U145" s="65">
        <f t="shared" si="188"/>
        <v>2.7229128649278254</v>
      </c>
      <c r="V145" s="65">
        <f t="shared" si="188"/>
        <v>2.0154577913134748</v>
      </c>
      <c r="W145" s="65">
        <f t="shared" si="188"/>
        <v>2.425674170578568</v>
      </c>
      <c r="X145" s="65">
        <f t="shared" ref="X145:Y145" si="189">IF(X115=0,0,X115/X$26)</f>
        <v>2.2026507800177453</v>
      </c>
      <c r="Y145" s="65">
        <f t="shared" si="189"/>
        <v>2.0312609996543669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3.7049508819060979E-3</v>
      </c>
      <c r="C146" s="65">
        <f t="shared" ref="C146:W146" si="191">IF(C116=0,0,C116/C$26)</f>
        <v>3.8468464358234092E-3</v>
      </c>
      <c r="D146" s="65">
        <f t="shared" si="191"/>
        <v>3.2450342705450173E-3</v>
      </c>
      <c r="E146" s="65">
        <f t="shared" si="191"/>
        <v>4.3080018107206552E-3</v>
      </c>
      <c r="F146" s="65">
        <f t="shared" si="191"/>
        <v>4.0238728964484645E-3</v>
      </c>
      <c r="G146" s="65">
        <f t="shared" si="191"/>
        <v>4.545945396850104E-3</v>
      </c>
      <c r="H146" s="65">
        <f t="shared" si="191"/>
        <v>5.940018354651677E-3</v>
      </c>
      <c r="I146" s="65">
        <f t="shared" si="191"/>
        <v>5.0982195010232968E-3</v>
      </c>
      <c r="J146" s="65">
        <f t="shared" si="191"/>
        <v>5.9052939475877104E-3</v>
      </c>
      <c r="K146" s="65">
        <f t="shared" si="191"/>
        <v>9.0434155950101201E-3</v>
      </c>
      <c r="L146" s="65">
        <f t="shared" si="191"/>
        <v>1.3247076655305428E-2</v>
      </c>
      <c r="M146" s="65">
        <f t="shared" si="191"/>
        <v>1.0224104008439259E-2</v>
      </c>
      <c r="N146" s="65">
        <f t="shared" si="191"/>
        <v>1.1629889486854695E-2</v>
      </c>
      <c r="O146" s="65">
        <f t="shared" si="191"/>
        <v>1.7042116773752659E-2</v>
      </c>
      <c r="P146" s="65">
        <f t="shared" si="191"/>
        <v>1.2973471836341361E-2</v>
      </c>
      <c r="Q146" s="65">
        <f t="shared" si="191"/>
        <v>1.7853238353990851E-2</v>
      </c>
      <c r="R146" s="65">
        <f t="shared" si="191"/>
        <v>3.237055964337171E-2</v>
      </c>
      <c r="S146" s="65">
        <f t="shared" si="191"/>
        <v>3.4694755320538645E-2</v>
      </c>
      <c r="T146" s="65">
        <f t="shared" si="191"/>
        <v>3.291030347498488E-2</v>
      </c>
      <c r="U146" s="65">
        <f t="shared" si="191"/>
        <v>2.8977586144217554E-2</v>
      </c>
      <c r="V146" s="65">
        <f t="shared" si="191"/>
        <v>4.1480511031153827E-2</v>
      </c>
      <c r="W146" s="65">
        <f t="shared" si="191"/>
        <v>2.7324468374533485E-2</v>
      </c>
      <c r="X146" s="65">
        <f t="shared" ref="X146:Y146" si="192">IF(X116=0,0,X116/X$26)</f>
        <v>5.111629291378731E-2</v>
      </c>
      <c r="Y146" s="65">
        <f t="shared" si="192"/>
        <v>4.2579547622331529E-2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1.9488512311862864</v>
      </c>
      <c r="C147" s="65">
        <f t="shared" ref="C147:W147" si="194">IF(C117=0,0,C117/C$26)</f>
        <v>1.8210260629438546</v>
      </c>
      <c r="D147" s="65">
        <f t="shared" si="194"/>
        <v>1.7055372629348997</v>
      </c>
      <c r="E147" s="65">
        <f t="shared" si="194"/>
        <v>1.6303871576394187</v>
      </c>
      <c r="F147" s="65">
        <f t="shared" si="194"/>
        <v>1.5705714988308186</v>
      </c>
      <c r="G147" s="65">
        <f t="shared" si="194"/>
        <v>1.5289581467241722</v>
      </c>
      <c r="H147" s="65">
        <f t="shared" si="194"/>
        <v>1.4907037317976644</v>
      </c>
      <c r="I147" s="65">
        <f t="shared" si="194"/>
        <v>1.4605245355993817</v>
      </c>
      <c r="J147" s="65">
        <f t="shared" si="194"/>
        <v>1.4200082732038855</v>
      </c>
      <c r="K147" s="65">
        <f t="shared" si="194"/>
        <v>1.3916240632635766</v>
      </c>
      <c r="L147" s="65">
        <f t="shared" si="194"/>
        <v>1.4043395990459049</v>
      </c>
      <c r="M147" s="65">
        <f t="shared" si="194"/>
        <v>1.4279565255916493</v>
      </c>
      <c r="N147" s="65">
        <f t="shared" si="194"/>
        <v>1.4293098528255683</v>
      </c>
      <c r="O147" s="65">
        <f t="shared" si="194"/>
        <v>1.4247900638401758</v>
      </c>
      <c r="P147" s="65">
        <f t="shared" si="194"/>
        <v>1.4201759335961042</v>
      </c>
      <c r="Q147" s="65">
        <f t="shared" si="194"/>
        <v>1.4269232354267163</v>
      </c>
      <c r="R147" s="65">
        <f t="shared" si="194"/>
        <v>1.4417055209175993</v>
      </c>
      <c r="S147" s="65">
        <f t="shared" si="194"/>
        <v>1.4652287689979739</v>
      </c>
      <c r="T147" s="65">
        <f t="shared" si="194"/>
        <v>1.4718134455394212</v>
      </c>
      <c r="U147" s="65">
        <f t="shared" si="194"/>
        <v>1.4737844664755297</v>
      </c>
      <c r="V147" s="65">
        <f t="shared" si="194"/>
        <v>1.3097936044955234</v>
      </c>
      <c r="W147" s="65">
        <f t="shared" si="194"/>
        <v>1.3853952063678985</v>
      </c>
      <c r="X147" s="65">
        <f t="shared" ref="X147:Y147" si="195">IF(X117=0,0,X117/X$26)</f>
        <v>1.4130766035487623</v>
      </c>
      <c r="Y147" s="65">
        <f t="shared" si="195"/>
        <v>1.3893781472856845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1.0023155059030904</v>
      </c>
      <c r="C148" s="67">
        <f t="shared" ref="C148:W148" si="197">IF(C118=0,0,C118/C$26)</f>
        <v>0.77283593084260915</v>
      </c>
      <c r="D148" s="67">
        <f t="shared" si="197"/>
        <v>1.1510820958015733</v>
      </c>
      <c r="E148" s="67">
        <f t="shared" si="197"/>
        <v>1.2547555673668387</v>
      </c>
      <c r="F148" s="67">
        <f t="shared" si="197"/>
        <v>1.4654693434170913</v>
      </c>
      <c r="G148" s="67">
        <f t="shared" si="197"/>
        <v>2.0501501883716799</v>
      </c>
      <c r="H148" s="67">
        <f t="shared" si="197"/>
        <v>1.8393220254669604</v>
      </c>
      <c r="I148" s="67">
        <f t="shared" si="197"/>
        <v>1.9069962706895986</v>
      </c>
      <c r="J148" s="67">
        <f t="shared" si="197"/>
        <v>2.1042577371344136</v>
      </c>
      <c r="K148" s="67">
        <f t="shared" si="197"/>
        <v>2.0178543835210201</v>
      </c>
      <c r="L148" s="67">
        <f t="shared" si="197"/>
        <v>1.1623554881754339</v>
      </c>
      <c r="M148" s="67">
        <f t="shared" si="197"/>
        <v>1.1665945726954143</v>
      </c>
      <c r="N148" s="67">
        <f t="shared" si="197"/>
        <v>1.103876244233883</v>
      </c>
      <c r="O148" s="67">
        <f t="shared" si="197"/>
        <v>1.2619513366689203</v>
      </c>
      <c r="P148" s="67">
        <f t="shared" si="197"/>
        <v>1.6884562461795731</v>
      </c>
      <c r="Q148" s="67">
        <f t="shared" si="197"/>
        <v>1.8449828045472441</v>
      </c>
      <c r="R148" s="67">
        <f t="shared" si="197"/>
        <v>1.7853042571370246</v>
      </c>
      <c r="S148" s="67">
        <f t="shared" si="197"/>
        <v>1.7964400152673889</v>
      </c>
      <c r="T148" s="67">
        <f t="shared" si="197"/>
        <v>2.1476284633584526</v>
      </c>
      <c r="U148" s="67">
        <f t="shared" si="197"/>
        <v>2.1060269190848531</v>
      </c>
      <c r="V148" s="67">
        <f t="shared" si="197"/>
        <v>1.5940448120056585</v>
      </c>
      <c r="W148" s="67">
        <f t="shared" si="197"/>
        <v>1.4181731178046768</v>
      </c>
      <c r="X148" s="67">
        <f t="shared" ref="X148:Y148" si="198">IF(X118=0,0,X118/X$26)</f>
        <v>1.6470041072567807</v>
      </c>
      <c r="Y148" s="67">
        <f t="shared" si="198"/>
        <v>1.6714682035673512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5977.0699815969801</v>
      </c>
      <c r="C153" s="82">
        <f t="shared" ref="C153:W153" si="203">IF(C99=0,0,C99/C$23)</f>
        <v>6220.2225265717962</v>
      </c>
      <c r="D153" s="82">
        <f t="shared" si="203"/>
        <v>6447.7867800038775</v>
      </c>
      <c r="E153" s="82">
        <f t="shared" si="203"/>
        <v>6799.1284239700863</v>
      </c>
      <c r="F153" s="82">
        <f t="shared" si="203"/>
        <v>7321.3566541241826</v>
      </c>
      <c r="G153" s="82">
        <f t="shared" si="203"/>
        <v>7752.7955576000504</v>
      </c>
      <c r="H153" s="82">
        <f t="shared" si="203"/>
        <v>7794.5799396584098</v>
      </c>
      <c r="I153" s="82">
        <f t="shared" si="203"/>
        <v>7710.0702982056282</v>
      </c>
      <c r="J153" s="82">
        <f t="shared" si="203"/>
        <v>7227.2849640717013</v>
      </c>
      <c r="K153" s="82">
        <f t="shared" si="203"/>
        <v>7610.3823340005119</v>
      </c>
      <c r="L153" s="82">
        <f t="shared" si="203"/>
        <v>7033.0930095282711</v>
      </c>
      <c r="M153" s="82">
        <f t="shared" si="203"/>
        <v>6934.154150331181</v>
      </c>
      <c r="N153" s="82">
        <f t="shared" si="203"/>
        <v>7047.4260991651354</v>
      </c>
      <c r="O153" s="82">
        <f t="shared" si="203"/>
        <v>6982.9053301827053</v>
      </c>
      <c r="P153" s="82">
        <f t="shared" si="203"/>
        <v>7177.2428037802038</v>
      </c>
      <c r="Q153" s="82">
        <f t="shared" si="203"/>
        <v>7283.520192259014</v>
      </c>
      <c r="R153" s="82">
        <f t="shared" si="203"/>
        <v>6792.1584325374542</v>
      </c>
      <c r="S153" s="82">
        <f t="shared" si="203"/>
        <v>6521.2293806319531</v>
      </c>
      <c r="T153" s="82">
        <f t="shared" si="203"/>
        <v>6549.0360416670555</v>
      </c>
      <c r="U153" s="82">
        <f t="shared" si="203"/>
        <v>6278.1512130642395</v>
      </c>
      <c r="V153" s="82">
        <f t="shared" si="203"/>
        <v>5674.9497667266078</v>
      </c>
      <c r="W153" s="82">
        <f t="shared" si="203"/>
        <v>5583.1995419854165</v>
      </c>
      <c r="X153" s="82">
        <f t="shared" ref="X153:Y153" si="204">IF(X99=0,0,X99/X$23)</f>
        <v>5759.9764078934913</v>
      </c>
      <c r="Y153" s="82">
        <f t="shared" si="204"/>
        <v>5660.8101082993089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3489.4629030934179</v>
      </c>
      <c r="C154" s="64">
        <f t="shared" ref="C154:W154" si="206">IF(C100=0,0,C100/C$23)</f>
        <v>3706.3716321708062</v>
      </c>
      <c r="D154" s="64">
        <f t="shared" si="206"/>
        <v>3896.2914748783833</v>
      </c>
      <c r="E154" s="64">
        <f t="shared" si="206"/>
        <v>4200.1884359373889</v>
      </c>
      <c r="F154" s="64">
        <f t="shared" si="206"/>
        <v>4696.904605160169</v>
      </c>
      <c r="G154" s="64">
        <f t="shared" si="206"/>
        <v>5092.7658659299686</v>
      </c>
      <c r="H154" s="64">
        <f t="shared" si="206"/>
        <v>5103.0230474874324</v>
      </c>
      <c r="I154" s="64">
        <f t="shared" si="206"/>
        <v>4982.7848934345748</v>
      </c>
      <c r="J154" s="64">
        <f t="shared" si="206"/>
        <v>4507.2040866834914</v>
      </c>
      <c r="K154" s="64">
        <f t="shared" si="206"/>
        <v>4848.8080040326959</v>
      </c>
      <c r="L154" s="64">
        <f t="shared" si="206"/>
        <v>4237.228616533388</v>
      </c>
      <c r="M154" s="64">
        <f t="shared" si="206"/>
        <v>4107.0127334190202</v>
      </c>
      <c r="N154" s="64">
        <f t="shared" si="206"/>
        <v>4120.1793463005133</v>
      </c>
      <c r="O154" s="64">
        <f t="shared" si="206"/>
        <v>3983.3168425721879</v>
      </c>
      <c r="P154" s="64">
        <f t="shared" si="206"/>
        <v>4240.0457389402454</v>
      </c>
      <c r="Q154" s="64">
        <f t="shared" si="206"/>
        <v>4361.3099112999835</v>
      </c>
      <c r="R154" s="64">
        <f t="shared" si="206"/>
        <v>3994.964042622581</v>
      </c>
      <c r="S154" s="64">
        <f t="shared" si="206"/>
        <v>3823.0733960737616</v>
      </c>
      <c r="T154" s="64">
        <f t="shared" si="206"/>
        <v>3975.6854439803901</v>
      </c>
      <c r="U154" s="64">
        <f t="shared" si="206"/>
        <v>3814.9387890854232</v>
      </c>
      <c r="V154" s="64">
        <f t="shared" si="206"/>
        <v>3327.6035615273449</v>
      </c>
      <c r="W154" s="64">
        <f t="shared" si="206"/>
        <v>3358.1693026467356</v>
      </c>
      <c r="X154" s="64">
        <f t="shared" ref="X154:Y154" si="207">IF(X100=0,0,X100/X$23)</f>
        <v>3621.4020744613031</v>
      </c>
      <c r="Y154" s="64">
        <f t="shared" si="207"/>
        <v>3584.6230721425482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1698.3838642254384</v>
      </c>
      <c r="C155" s="65">
        <f t="shared" ref="C155:W155" si="209">IF(C101=0,0,C101/C$23)</f>
        <v>1900.0639144744732</v>
      </c>
      <c r="D155" s="65">
        <f t="shared" si="209"/>
        <v>2035.9158703603043</v>
      </c>
      <c r="E155" s="65">
        <f t="shared" si="209"/>
        <v>2222.0696925523935</v>
      </c>
      <c r="F155" s="65">
        <f t="shared" si="209"/>
        <v>2767.6575261769704</v>
      </c>
      <c r="G155" s="65">
        <f t="shared" si="209"/>
        <v>3103.4342746601847</v>
      </c>
      <c r="H155" s="65">
        <f t="shared" si="209"/>
        <v>3055.4761093844832</v>
      </c>
      <c r="I155" s="65">
        <f t="shared" si="209"/>
        <v>3026.0901916336366</v>
      </c>
      <c r="J155" s="65">
        <f t="shared" si="209"/>
        <v>2552.2555396837793</v>
      </c>
      <c r="K155" s="65">
        <f t="shared" si="209"/>
        <v>2829.1121473311587</v>
      </c>
      <c r="L155" s="65">
        <f t="shared" si="209"/>
        <v>2145.613450051269</v>
      </c>
      <c r="M155" s="65">
        <f t="shared" si="209"/>
        <v>2123.2412745973984</v>
      </c>
      <c r="N155" s="65">
        <f t="shared" si="209"/>
        <v>2070.8244570065381</v>
      </c>
      <c r="O155" s="65">
        <f t="shared" si="209"/>
        <v>1877.647805138537</v>
      </c>
      <c r="P155" s="65">
        <f t="shared" si="209"/>
        <v>2225.8599158121301</v>
      </c>
      <c r="Q155" s="65">
        <f t="shared" si="209"/>
        <v>2333.6043042349893</v>
      </c>
      <c r="R155" s="65">
        <f t="shared" si="209"/>
        <v>1894.1180294905969</v>
      </c>
      <c r="S155" s="65">
        <f t="shared" si="209"/>
        <v>1817.5776952259473</v>
      </c>
      <c r="T155" s="65">
        <f t="shared" si="209"/>
        <v>2055.9667960868069</v>
      </c>
      <c r="U155" s="65">
        <f t="shared" si="209"/>
        <v>2003.6447658087768</v>
      </c>
      <c r="V155" s="65">
        <f t="shared" si="209"/>
        <v>1577.6555354187262</v>
      </c>
      <c r="W155" s="65">
        <f t="shared" si="209"/>
        <v>1704.4032231122367</v>
      </c>
      <c r="X155" s="65">
        <f t="shared" ref="X155:Y155" si="210">IF(X101=0,0,X101/X$23)</f>
        <v>1822.0119528795476</v>
      </c>
      <c r="Y155" s="65">
        <f t="shared" si="210"/>
        <v>1871.9958713476458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268.20885207674888</v>
      </c>
      <c r="C156" s="65">
        <f t="shared" ref="C156:W156" si="212">IF(C102=0,0,C102/C$23)</f>
        <v>262.97599921259149</v>
      </c>
      <c r="D156" s="65">
        <f t="shared" si="212"/>
        <v>234.11085390877662</v>
      </c>
      <c r="E156" s="65">
        <f t="shared" si="212"/>
        <v>328.57039092585035</v>
      </c>
      <c r="F156" s="65">
        <f t="shared" si="212"/>
        <v>260.5970027775569</v>
      </c>
      <c r="G156" s="65">
        <f t="shared" si="212"/>
        <v>281.43069060622435</v>
      </c>
      <c r="H156" s="65">
        <f t="shared" si="212"/>
        <v>339.66295211620832</v>
      </c>
      <c r="I156" s="65">
        <f t="shared" si="212"/>
        <v>223.98511341508868</v>
      </c>
      <c r="J156" s="65">
        <f t="shared" si="212"/>
        <v>213.64964789840505</v>
      </c>
      <c r="K156" s="65">
        <f t="shared" si="212"/>
        <v>271.76429124063037</v>
      </c>
      <c r="L156" s="65">
        <f t="shared" si="212"/>
        <v>383.67393734246099</v>
      </c>
      <c r="M156" s="65">
        <f t="shared" si="212"/>
        <v>253.04913335229134</v>
      </c>
      <c r="N156" s="65">
        <f t="shared" si="212"/>
        <v>272.79002471033124</v>
      </c>
      <c r="O156" s="65">
        <f t="shared" si="212"/>
        <v>353.87948284747489</v>
      </c>
      <c r="P156" s="65">
        <f t="shared" si="212"/>
        <v>229.94267910737398</v>
      </c>
      <c r="Q156" s="65">
        <f t="shared" si="212"/>
        <v>259.77142933383959</v>
      </c>
      <c r="R156" s="65">
        <f t="shared" si="212"/>
        <v>372.55226089293421</v>
      </c>
      <c r="S156" s="65">
        <f t="shared" si="212"/>
        <v>338.99104625775493</v>
      </c>
      <c r="T156" s="65">
        <f t="shared" si="212"/>
        <v>282.23269420138996</v>
      </c>
      <c r="U156" s="65">
        <f t="shared" si="212"/>
        <v>217.09221640752324</v>
      </c>
      <c r="V156" s="65">
        <f t="shared" si="212"/>
        <v>316.24330319104695</v>
      </c>
      <c r="W156" s="65">
        <f t="shared" si="212"/>
        <v>192.73223255016407</v>
      </c>
      <c r="X156" s="65">
        <f t="shared" ref="X156:Y156" si="213">IF(X102=0,0,X102/X$23)</f>
        <v>335.5425456449878</v>
      </c>
      <c r="Y156" s="65">
        <f t="shared" si="213"/>
        <v>269.09249805786857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829.74750505014038</v>
      </c>
      <c r="C157" s="65">
        <f t="shared" ref="C157:W157" si="215">IF(C103=0,0,C103/C$23)</f>
        <v>835.77710415630486</v>
      </c>
      <c r="D157" s="65">
        <f t="shared" si="215"/>
        <v>845.96785979750734</v>
      </c>
      <c r="E157" s="65">
        <f t="shared" si="215"/>
        <v>838.89210510157034</v>
      </c>
      <c r="F157" s="65">
        <f t="shared" si="215"/>
        <v>841.01694858532278</v>
      </c>
      <c r="G157" s="65">
        <f t="shared" si="215"/>
        <v>845.39866589500969</v>
      </c>
      <c r="H157" s="65">
        <f t="shared" si="215"/>
        <v>838.67761780269575</v>
      </c>
      <c r="I157" s="65">
        <f t="shared" si="215"/>
        <v>854.47650698853499</v>
      </c>
      <c r="J157" s="65">
        <f t="shared" si="215"/>
        <v>840.68403399418219</v>
      </c>
      <c r="K157" s="65">
        <f t="shared" si="215"/>
        <v>853.76825395467267</v>
      </c>
      <c r="L157" s="65">
        <f t="shared" si="215"/>
        <v>849.99298808530318</v>
      </c>
      <c r="M157" s="65">
        <f t="shared" si="215"/>
        <v>873.88484065008083</v>
      </c>
      <c r="N157" s="65">
        <f t="shared" si="215"/>
        <v>874.50068199922464</v>
      </c>
      <c r="O157" s="65">
        <f t="shared" si="215"/>
        <v>888.70334071786874</v>
      </c>
      <c r="P157" s="65">
        <f t="shared" si="215"/>
        <v>867.1110990222902</v>
      </c>
      <c r="Q157" s="65">
        <f t="shared" si="215"/>
        <v>850.12492141192035</v>
      </c>
      <c r="R157" s="65">
        <f t="shared" si="215"/>
        <v>824.89358543405046</v>
      </c>
      <c r="S157" s="65">
        <f t="shared" si="215"/>
        <v>776.09937990592289</v>
      </c>
      <c r="T157" s="65">
        <f t="shared" si="215"/>
        <v>743.41911264881344</v>
      </c>
      <c r="U157" s="65">
        <f t="shared" si="215"/>
        <v>722.0825416535871</v>
      </c>
      <c r="V157" s="65">
        <f t="shared" si="215"/>
        <v>629.33818851299293</v>
      </c>
      <c r="W157" s="65">
        <f t="shared" si="215"/>
        <v>670.20593059880014</v>
      </c>
      <c r="X157" s="65">
        <f t="shared" ref="X157:Y157" si="216">IF(X103=0,0,X103/X$23)</f>
        <v>660.14207780626646</v>
      </c>
      <c r="Y157" s="65">
        <f t="shared" si="216"/>
        <v>645.35274202885876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693.12268174108965</v>
      </c>
      <c r="C158" s="67">
        <f t="shared" ref="C158:W158" si="218">IF(C104=0,0,C104/C$23)</f>
        <v>707.55461432743596</v>
      </c>
      <c r="D158" s="67">
        <f t="shared" si="218"/>
        <v>780.29689081179504</v>
      </c>
      <c r="E158" s="67">
        <f t="shared" si="218"/>
        <v>810.65624735757569</v>
      </c>
      <c r="F158" s="67">
        <f t="shared" si="218"/>
        <v>827.63312762031944</v>
      </c>
      <c r="G158" s="67">
        <f t="shared" si="218"/>
        <v>862.50223476854933</v>
      </c>
      <c r="H158" s="67">
        <f t="shared" si="218"/>
        <v>869.20636818404569</v>
      </c>
      <c r="I158" s="67">
        <f t="shared" si="218"/>
        <v>878.23308139731409</v>
      </c>
      <c r="J158" s="67">
        <f t="shared" si="218"/>
        <v>900.61486510712416</v>
      </c>
      <c r="K158" s="67">
        <f t="shared" si="218"/>
        <v>894.16331150623489</v>
      </c>
      <c r="L158" s="67">
        <f t="shared" si="218"/>
        <v>857.94824105435555</v>
      </c>
      <c r="M158" s="67">
        <f t="shared" si="218"/>
        <v>856.83748481924965</v>
      </c>
      <c r="N158" s="67">
        <f t="shared" si="218"/>
        <v>902.06418258441931</v>
      </c>
      <c r="O158" s="67">
        <f t="shared" si="218"/>
        <v>863.08621386830714</v>
      </c>
      <c r="P158" s="67">
        <f t="shared" si="218"/>
        <v>917.13204499845085</v>
      </c>
      <c r="Q158" s="67">
        <f t="shared" si="218"/>
        <v>917.80925631923458</v>
      </c>
      <c r="R158" s="67">
        <f t="shared" si="218"/>
        <v>903.40016680499809</v>
      </c>
      <c r="S158" s="67">
        <f t="shared" si="218"/>
        <v>890.40527468413688</v>
      </c>
      <c r="T158" s="67">
        <f t="shared" si="218"/>
        <v>894.06684104337967</v>
      </c>
      <c r="U158" s="67">
        <f t="shared" si="218"/>
        <v>872.11926521553619</v>
      </c>
      <c r="V158" s="67">
        <f t="shared" si="218"/>
        <v>804.36653440457894</v>
      </c>
      <c r="W158" s="67">
        <f t="shared" si="218"/>
        <v>790.82791638553408</v>
      </c>
      <c r="X158" s="67">
        <f t="shared" ref="X158:Y158" si="219">IF(X104=0,0,X104/X$23)</f>
        <v>803.70549813050093</v>
      </c>
      <c r="Y158" s="67">
        <f t="shared" si="219"/>
        <v>798.18196070817442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2487.6070785035622</v>
      </c>
      <c r="C159" s="68">
        <f t="shared" ref="C159:W159" si="221">IF(C105=0,0,C105/C$23)</f>
        <v>2513.85089440099</v>
      </c>
      <c r="D159" s="68">
        <f t="shared" si="221"/>
        <v>2551.4953051254956</v>
      </c>
      <c r="E159" s="68">
        <f t="shared" si="221"/>
        <v>2598.9399880326978</v>
      </c>
      <c r="F159" s="68">
        <f t="shared" si="221"/>
        <v>2624.4520489640131</v>
      </c>
      <c r="G159" s="68">
        <f t="shared" si="221"/>
        <v>2660.0296916700827</v>
      </c>
      <c r="H159" s="68">
        <f t="shared" si="221"/>
        <v>2691.5568921709778</v>
      </c>
      <c r="I159" s="68">
        <f t="shared" si="221"/>
        <v>2727.2854047710543</v>
      </c>
      <c r="J159" s="68">
        <f t="shared" si="221"/>
        <v>2720.08087738821</v>
      </c>
      <c r="K159" s="68">
        <f t="shared" si="221"/>
        <v>2761.5743299678161</v>
      </c>
      <c r="L159" s="68">
        <f t="shared" si="221"/>
        <v>2795.8643929948826</v>
      </c>
      <c r="M159" s="68">
        <f t="shared" si="221"/>
        <v>2827.1414169121608</v>
      </c>
      <c r="N159" s="68">
        <f t="shared" si="221"/>
        <v>2927.2467528646225</v>
      </c>
      <c r="O159" s="68">
        <f t="shared" si="221"/>
        <v>2999.5884876105165</v>
      </c>
      <c r="P159" s="68">
        <f t="shared" si="221"/>
        <v>2937.1970648399592</v>
      </c>
      <c r="Q159" s="68">
        <f t="shared" si="221"/>
        <v>2922.2102809590301</v>
      </c>
      <c r="R159" s="68">
        <f t="shared" si="221"/>
        <v>2797.1943899148741</v>
      </c>
      <c r="S159" s="68">
        <f t="shared" si="221"/>
        <v>2698.155984558191</v>
      </c>
      <c r="T159" s="68">
        <f t="shared" si="221"/>
        <v>2573.350597686665</v>
      </c>
      <c r="U159" s="68">
        <f t="shared" si="221"/>
        <v>2463.2124239788159</v>
      </c>
      <c r="V159" s="68">
        <f t="shared" si="221"/>
        <v>2347.3462051992628</v>
      </c>
      <c r="W159" s="68">
        <f t="shared" si="221"/>
        <v>2225.030239338681</v>
      </c>
      <c r="X159" s="68">
        <f t="shared" ref="X159:Y159" si="222">IF(X105=0,0,X105/X$23)</f>
        <v>2138.5743334321878</v>
      </c>
      <c r="Y159" s="68">
        <f t="shared" si="222"/>
        <v>2076.1870361567608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2258.3269309643347</v>
      </c>
      <c r="C161" s="85">
        <f t="shared" ref="C161:W161" si="224">IF(C107=0,0,C107/C$23)</f>
        <v>2407.7838905410786</v>
      </c>
      <c r="D161" s="85">
        <f t="shared" si="224"/>
        <v>2517.6111408500201</v>
      </c>
      <c r="E161" s="85">
        <f t="shared" si="224"/>
        <v>2937.9527237703915</v>
      </c>
      <c r="F161" s="85">
        <f t="shared" si="224"/>
        <v>3151.3775548888639</v>
      </c>
      <c r="G161" s="85">
        <f t="shared" si="224"/>
        <v>3550.0491923392979</v>
      </c>
      <c r="H161" s="85">
        <f t="shared" si="224"/>
        <v>3861.4480881096633</v>
      </c>
      <c r="I161" s="85">
        <f t="shared" si="224"/>
        <v>3808.9370853028731</v>
      </c>
      <c r="J161" s="85">
        <f t="shared" si="224"/>
        <v>3795.947718558908</v>
      </c>
      <c r="K161" s="85">
        <f t="shared" si="224"/>
        <v>4185.0602322866362</v>
      </c>
      <c r="L161" s="85">
        <f t="shared" si="224"/>
        <v>4402.1659647093984</v>
      </c>
      <c r="M161" s="85">
        <f t="shared" si="224"/>
        <v>4234.7913131749856</v>
      </c>
      <c r="N161" s="85">
        <f t="shared" si="224"/>
        <v>4602.9481530593648</v>
      </c>
      <c r="O161" s="85">
        <f t="shared" si="224"/>
        <v>4927.162939148322</v>
      </c>
      <c r="P161" s="85">
        <f t="shared" si="224"/>
        <v>5048.5835137416761</v>
      </c>
      <c r="Q161" s="85">
        <f t="shared" si="224"/>
        <v>5205.5370271355896</v>
      </c>
      <c r="R161" s="85">
        <f t="shared" si="224"/>
        <v>5283.4672394521722</v>
      </c>
      <c r="S161" s="85">
        <f t="shared" si="224"/>
        <v>5134.7463574278063</v>
      </c>
      <c r="T161" s="85">
        <f t="shared" si="224"/>
        <v>5143.7808656097995</v>
      </c>
      <c r="U161" s="85">
        <f t="shared" si="224"/>
        <v>4926.7911746406571</v>
      </c>
      <c r="V161" s="85">
        <f t="shared" si="224"/>
        <v>5073.9797791709962</v>
      </c>
      <c r="W161" s="85">
        <f t="shared" si="224"/>
        <v>4796.3582190231755</v>
      </c>
      <c r="X161" s="85">
        <f t="shared" ref="X161:Y161" si="225">IF(X107=0,0,X107/X$23)</f>
        <v>5625.2001548155313</v>
      </c>
      <c r="Y161" s="85">
        <f t="shared" si="225"/>
        <v>5440.6881163519838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876.56395631948226</v>
      </c>
      <c r="C162" s="65">
        <f t="shared" ref="C162:W162" si="227">IF(C108=0,0,C108/C$23)</f>
        <v>987.51538725601188</v>
      </c>
      <c r="D162" s="65">
        <f t="shared" si="227"/>
        <v>1084.7453114577847</v>
      </c>
      <c r="E162" s="65">
        <f t="shared" si="227"/>
        <v>1281.1995688344075</v>
      </c>
      <c r="F162" s="65">
        <f t="shared" si="227"/>
        <v>1598.8605535091122</v>
      </c>
      <c r="G162" s="65">
        <f t="shared" si="227"/>
        <v>1914.4002365032102</v>
      </c>
      <c r="H162" s="65">
        <f t="shared" si="227"/>
        <v>2038.9641420286923</v>
      </c>
      <c r="I162" s="65">
        <f t="shared" si="227"/>
        <v>2200.9447540384563</v>
      </c>
      <c r="J162" s="65">
        <f t="shared" si="227"/>
        <v>2169.4178972864361</v>
      </c>
      <c r="K162" s="65">
        <f t="shared" si="227"/>
        <v>2375.4891054008276</v>
      </c>
      <c r="L162" s="65">
        <f t="shared" si="227"/>
        <v>2242.0426839549227</v>
      </c>
      <c r="M162" s="65">
        <f t="shared" si="227"/>
        <v>2388.4907879043985</v>
      </c>
      <c r="N162" s="65">
        <f t="shared" si="227"/>
        <v>2647.160121868942</v>
      </c>
      <c r="O162" s="65">
        <f t="shared" si="227"/>
        <v>2704.7452934562252</v>
      </c>
      <c r="P162" s="65">
        <f t="shared" si="227"/>
        <v>3167.8442938540388</v>
      </c>
      <c r="Q162" s="65">
        <f t="shared" si="227"/>
        <v>3205.9254029607878</v>
      </c>
      <c r="R162" s="65">
        <f t="shared" si="227"/>
        <v>2870.6628783306746</v>
      </c>
      <c r="S162" s="65">
        <f t="shared" si="227"/>
        <v>2818.656359957557</v>
      </c>
      <c r="T162" s="65">
        <f t="shared" si="227"/>
        <v>3016.2759547516453</v>
      </c>
      <c r="U162" s="65">
        <f t="shared" si="227"/>
        <v>3031.5350268364668</v>
      </c>
      <c r="V162" s="65">
        <f t="shared" si="227"/>
        <v>2850.1814344074528</v>
      </c>
      <c r="W162" s="65">
        <f t="shared" si="227"/>
        <v>2988.4534297080863</v>
      </c>
      <c r="X162" s="65">
        <f t="shared" ref="X162:Y162" si="228">IF(X108=0,0,X108/X$23)</f>
        <v>3228.2147799452246</v>
      </c>
      <c r="Y162" s="65">
        <f t="shared" si="228"/>
        <v>3298.7280499938852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472.44096854493807</v>
      </c>
      <c r="C163" s="65">
        <f t="shared" ref="C163:W163" si="230">IF(C109=0,0,C109/C$23)</f>
        <v>481.79732235872916</v>
      </c>
      <c r="D163" s="65">
        <f t="shared" si="230"/>
        <v>446.85722753931032</v>
      </c>
      <c r="E163" s="65">
        <f t="shared" si="230"/>
        <v>653.56258729201352</v>
      </c>
      <c r="F163" s="65">
        <f t="shared" si="230"/>
        <v>539.41866844353683</v>
      </c>
      <c r="G163" s="65">
        <f t="shared" si="230"/>
        <v>613.86011838623506</v>
      </c>
      <c r="H163" s="65">
        <f t="shared" si="230"/>
        <v>787.731996073907</v>
      </c>
      <c r="I163" s="65">
        <f t="shared" si="230"/>
        <v>555.06595974982997</v>
      </c>
      <c r="J163" s="65">
        <f t="shared" si="230"/>
        <v>566.4037364314612</v>
      </c>
      <c r="K163" s="65">
        <f t="shared" si="230"/>
        <v>734.82466583592247</v>
      </c>
      <c r="L163" s="65">
        <f t="shared" si="230"/>
        <v>1066.1924547949438</v>
      </c>
      <c r="M163" s="65">
        <f t="shared" si="230"/>
        <v>727.98618272323836</v>
      </c>
      <c r="N163" s="65">
        <f t="shared" si="230"/>
        <v>811.91691037102692</v>
      </c>
      <c r="O163" s="65">
        <f t="shared" si="230"/>
        <v>1087.0439516748454</v>
      </c>
      <c r="P163" s="65">
        <f t="shared" si="230"/>
        <v>732.42296809433151</v>
      </c>
      <c r="Q163" s="65">
        <f t="shared" si="230"/>
        <v>859.63167740812207</v>
      </c>
      <c r="R163" s="65">
        <f t="shared" si="230"/>
        <v>1282.2904548282584</v>
      </c>
      <c r="S163" s="65">
        <f t="shared" si="230"/>
        <v>1211.9909797926152</v>
      </c>
      <c r="T163" s="65">
        <f t="shared" si="230"/>
        <v>1040.6566671356059</v>
      </c>
      <c r="U163" s="65">
        <f t="shared" si="230"/>
        <v>818.42502405331447</v>
      </c>
      <c r="V163" s="65">
        <f t="shared" si="230"/>
        <v>1219.3750295785123</v>
      </c>
      <c r="W163" s="65">
        <f t="shared" si="230"/>
        <v>756.6642430636449</v>
      </c>
      <c r="X163" s="65">
        <f t="shared" ref="X163:Y163" si="231">IF(X109=0,0,X109/X$23)</f>
        <v>1336.2330813305696</v>
      </c>
      <c r="Y163" s="65">
        <f t="shared" si="231"/>
        <v>1083.5854207070186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476.36645938612247</v>
      </c>
      <c r="C164" s="65">
        <f t="shared" ref="C164:W164" si="233">IF(C110=0,0,C110/C$23)</f>
        <v>485.70311314335322</v>
      </c>
      <c r="D164" s="65">
        <f t="shared" si="233"/>
        <v>497.18919097709841</v>
      </c>
      <c r="E164" s="65">
        <f t="shared" si="233"/>
        <v>496.84519452705814</v>
      </c>
      <c r="F164" s="65">
        <f t="shared" si="233"/>
        <v>502.24968193050722</v>
      </c>
      <c r="G164" s="65">
        <f t="shared" si="233"/>
        <v>508.74339020762784</v>
      </c>
      <c r="H164" s="65">
        <f t="shared" si="233"/>
        <v>508.2734838054368</v>
      </c>
      <c r="I164" s="65">
        <f t="shared" si="233"/>
        <v>522.2182922018136</v>
      </c>
      <c r="J164" s="65">
        <f t="shared" si="233"/>
        <v>519.3208850507433</v>
      </c>
      <c r="K164" s="65">
        <f t="shared" si="233"/>
        <v>533.85357043905378</v>
      </c>
      <c r="L164" s="65">
        <f t="shared" si="233"/>
        <v>541.3145249520453</v>
      </c>
      <c r="M164" s="65">
        <f t="shared" si="233"/>
        <v>566.29709571490787</v>
      </c>
      <c r="N164" s="65">
        <f t="shared" si="233"/>
        <v>576.844291709451</v>
      </c>
      <c r="O164" s="65">
        <f t="shared" si="233"/>
        <v>596.32375018894243</v>
      </c>
      <c r="P164" s="65">
        <f t="shared" si="233"/>
        <v>587.30337363050478</v>
      </c>
      <c r="Q164" s="65">
        <f t="shared" si="233"/>
        <v>582.51569652016246</v>
      </c>
      <c r="R164" s="65">
        <f t="shared" si="233"/>
        <v>573.7212930427462</v>
      </c>
      <c r="S164" s="65">
        <f t="shared" si="233"/>
        <v>550.33871674993293</v>
      </c>
      <c r="T164" s="65">
        <f t="shared" si="233"/>
        <v>538.33536107304928</v>
      </c>
      <c r="U164" s="65">
        <f t="shared" si="233"/>
        <v>533.66814141723592</v>
      </c>
      <c r="V164" s="65">
        <f t="shared" si="233"/>
        <v>477.28270786654855</v>
      </c>
      <c r="W164" s="65">
        <f t="shared" si="233"/>
        <v>517.50654280333094</v>
      </c>
      <c r="X164" s="65">
        <f t="shared" ref="X164:Y164" si="234">IF(X110=0,0,X110/X$23)</f>
        <v>519.57540531874122</v>
      </c>
      <c r="Y164" s="65">
        <f t="shared" si="234"/>
        <v>517.81033955727082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432.95554671379165</v>
      </c>
      <c r="C165" s="68">
        <f t="shared" ref="C165:W165" si="236">IF(C111=0,0,C111/C$23)</f>
        <v>452.76806778298459</v>
      </c>
      <c r="D165" s="68">
        <f t="shared" si="236"/>
        <v>488.81941087582669</v>
      </c>
      <c r="E165" s="68">
        <f t="shared" si="236"/>
        <v>506.34537311691275</v>
      </c>
      <c r="F165" s="68">
        <f t="shared" si="236"/>
        <v>510.8486510057075</v>
      </c>
      <c r="G165" s="68">
        <f t="shared" si="236"/>
        <v>513.04544724222467</v>
      </c>
      <c r="H165" s="68">
        <f t="shared" si="236"/>
        <v>526.47846620162716</v>
      </c>
      <c r="I165" s="68">
        <f t="shared" si="236"/>
        <v>530.70807931277329</v>
      </c>
      <c r="J165" s="68">
        <f t="shared" si="236"/>
        <v>540.80519979026792</v>
      </c>
      <c r="K165" s="68">
        <f t="shared" si="236"/>
        <v>540.89289061083218</v>
      </c>
      <c r="L165" s="68">
        <f t="shared" si="236"/>
        <v>552.61630100748687</v>
      </c>
      <c r="M165" s="68">
        <f t="shared" si="236"/>
        <v>552.01724683244106</v>
      </c>
      <c r="N165" s="68">
        <f t="shared" si="236"/>
        <v>567.02682910994497</v>
      </c>
      <c r="O165" s="68">
        <f t="shared" si="236"/>
        <v>539.04994382830932</v>
      </c>
      <c r="P165" s="68">
        <f t="shared" si="236"/>
        <v>561.01287816280148</v>
      </c>
      <c r="Q165" s="68">
        <f t="shared" si="236"/>
        <v>557.46425024651739</v>
      </c>
      <c r="R165" s="68">
        <f t="shared" si="236"/>
        <v>556.79261325049299</v>
      </c>
      <c r="S165" s="68">
        <f t="shared" si="236"/>
        <v>553.76030092770179</v>
      </c>
      <c r="T165" s="68">
        <f t="shared" si="236"/>
        <v>548.51288264949892</v>
      </c>
      <c r="U165" s="68">
        <f t="shared" si="236"/>
        <v>543.16298233363989</v>
      </c>
      <c r="V165" s="68">
        <f t="shared" si="236"/>
        <v>527.14060731848235</v>
      </c>
      <c r="W165" s="68">
        <f t="shared" si="236"/>
        <v>533.73400344811353</v>
      </c>
      <c r="X165" s="68">
        <f t="shared" ref="X165:Y165" si="237">IF(X111=0,0,X111/X$23)</f>
        <v>541.17688822099603</v>
      </c>
      <c r="Y165" s="68">
        <f t="shared" si="237"/>
        <v>540.56430609380845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469.39785258966975</v>
      </c>
      <c r="C167" s="82">
        <f t="shared" ref="C167:W167" si="239">IF(C113=0,0,C113/C$23)</f>
        <v>500.7751856836378</v>
      </c>
      <c r="D167" s="82">
        <f t="shared" si="239"/>
        <v>533.93329386506173</v>
      </c>
      <c r="E167" s="82">
        <f t="shared" si="239"/>
        <v>556.97582982630911</v>
      </c>
      <c r="F167" s="82">
        <f t="shared" si="239"/>
        <v>667.79398450242786</v>
      </c>
      <c r="G167" s="82">
        <f t="shared" si="239"/>
        <v>739.79593015706121</v>
      </c>
      <c r="H167" s="82">
        <f t="shared" si="239"/>
        <v>693.92769189532191</v>
      </c>
      <c r="I167" s="82">
        <f t="shared" si="239"/>
        <v>638.2225865117324</v>
      </c>
      <c r="J167" s="82">
        <f t="shared" si="239"/>
        <v>517.46273037478272</v>
      </c>
      <c r="K167" s="82">
        <f t="shared" si="239"/>
        <v>590.86192382468312</v>
      </c>
      <c r="L167" s="82">
        <f t="shared" si="239"/>
        <v>403.23670602518592</v>
      </c>
      <c r="M167" s="82">
        <f t="shared" si="239"/>
        <v>361.0193041637886</v>
      </c>
      <c r="N167" s="82">
        <f t="shared" si="239"/>
        <v>326.01394967972703</v>
      </c>
      <c r="O167" s="82">
        <f t="shared" si="239"/>
        <v>324.63949723756906</v>
      </c>
      <c r="P167" s="82">
        <f t="shared" si="239"/>
        <v>329.19382891818447</v>
      </c>
      <c r="Q167" s="82">
        <f t="shared" si="239"/>
        <v>352.6651184858423</v>
      </c>
      <c r="R167" s="82">
        <f t="shared" si="239"/>
        <v>328.26447117295015</v>
      </c>
      <c r="S167" s="82">
        <f t="shared" si="239"/>
        <v>313.0301398545858</v>
      </c>
      <c r="T167" s="82">
        <f t="shared" si="239"/>
        <v>328.67507494853407</v>
      </c>
      <c r="U167" s="82">
        <f t="shared" si="239"/>
        <v>315.45570201598065</v>
      </c>
      <c r="V167" s="82">
        <f t="shared" si="239"/>
        <v>254.13830553230736</v>
      </c>
      <c r="W167" s="82">
        <f t="shared" si="239"/>
        <v>266.12744045730398</v>
      </c>
      <c r="X167" s="82">
        <f t="shared" ref="X167:Y167" si="240">IF(X113=0,0,X113/X$23)</f>
        <v>258.61534177459117</v>
      </c>
      <c r="Y167" s="82">
        <f t="shared" si="240"/>
        <v>245.90588641563662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469.39785258966975</v>
      </c>
      <c r="C168" s="64">
        <f t="shared" ref="C168:W168" si="242">IF(C114=0,0,C114/C$23)</f>
        <v>500.7751856836378</v>
      </c>
      <c r="D168" s="64">
        <f t="shared" si="242"/>
        <v>533.93329386506173</v>
      </c>
      <c r="E168" s="64">
        <f t="shared" si="242"/>
        <v>556.97582982630911</v>
      </c>
      <c r="F168" s="64">
        <f t="shared" si="242"/>
        <v>667.79398450242786</v>
      </c>
      <c r="G168" s="64">
        <f t="shared" si="242"/>
        <v>739.79593015706121</v>
      </c>
      <c r="H168" s="64">
        <f t="shared" si="242"/>
        <v>693.92769189532191</v>
      </c>
      <c r="I168" s="64">
        <f t="shared" si="242"/>
        <v>638.2225865117324</v>
      </c>
      <c r="J168" s="64">
        <f t="shared" si="242"/>
        <v>517.46273037478272</v>
      </c>
      <c r="K168" s="64">
        <f t="shared" si="242"/>
        <v>590.86192382468312</v>
      </c>
      <c r="L168" s="64">
        <f t="shared" si="242"/>
        <v>403.23670602518592</v>
      </c>
      <c r="M168" s="64">
        <f t="shared" si="242"/>
        <v>361.0193041637886</v>
      </c>
      <c r="N168" s="64">
        <f t="shared" si="242"/>
        <v>326.01394967972703</v>
      </c>
      <c r="O168" s="64">
        <f t="shared" si="242"/>
        <v>324.63949723756906</v>
      </c>
      <c r="P168" s="64">
        <f t="shared" si="242"/>
        <v>329.19382891818447</v>
      </c>
      <c r="Q168" s="64">
        <f t="shared" si="242"/>
        <v>352.6651184858423</v>
      </c>
      <c r="R168" s="64">
        <f t="shared" si="242"/>
        <v>328.26447117295015</v>
      </c>
      <c r="S168" s="64">
        <f t="shared" si="242"/>
        <v>313.0301398545858</v>
      </c>
      <c r="T168" s="64">
        <f t="shared" si="242"/>
        <v>328.67507494853407</v>
      </c>
      <c r="U168" s="64">
        <f t="shared" si="242"/>
        <v>315.45570201598065</v>
      </c>
      <c r="V168" s="64">
        <f t="shared" si="242"/>
        <v>254.13830553230736</v>
      </c>
      <c r="W168" s="64">
        <f t="shared" si="242"/>
        <v>266.12744045730398</v>
      </c>
      <c r="X168" s="64">
        <f t="shared" ref="X168:Y168" si="243">IF(X114=0,0,X114/X$23)</f>
        <v>258.61534177459117</v>
      </c>
      <c r="Y168" s="64">
        <f t="shared" si="243"/>
        <v>245.90588641563662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316.45089664215021</v>
      </c>
      <c r="C169" s="65">
        <f t="shared" ref="C169:W169" si="245">IF(C115=0,0,C115/C$23)</f>
        <v>365.95011235169909</v>
      </c>
      <c r="D169" s="65">
        <f t="shared" si="245"/>
        <v>385.50872362301948</v>
      </c>
      <c r="E169" s="65">
        <f t="shared" si="245"/>
        <v>406.51961097059439</v>
      </c>
      <c r="F169" s="65">
        <f t="shared" si="245"/>
        <v>509.70009027383486</v>
      </c>
      <c r="G169" s="65">
        <f t="shared" si="245"/>
        <v>552.47162641394357</v>
      </c>
      <c r="H169" s="65">
        <f t="shared" si="245"/>
        <v>518.0005420445849</v>
      </c>
      <c r="I169" s="65">
        <f t="shared" si="245"/>
        <v>458.30898273378182</v>
      </c>
      <c r="J169" s="65">
        <f t="shared" si="245"/>
        <v>330.87805523550765</v>
      </c>
      <c r="K169" s="65">
        <f t="shared" si="245"/>
        <v>408.58634317655765</v>
      </c>
      <c r="L169" s="65">
        <f t="shared" si="245"/>
        <v>264.97010178598021</v>
      </c>
      <c r="M169" s="65">
        <f t="shared" si="245"/>
        <v>220.55883672662065</v>
      </c>
      <c r="N169" s="65">
        <f t="shared" si="245"/>
        <v>185.01682167744951</v>
      </c>
      <c r="O169" s="65">
        <f t="shared" si="245"/>
        <v>171.71566427107018</v>
      </c>
      <c r="P169" s="65">
        <f t="shared" si="245"/>
        <v>156.9433723362024</v>
      </c>
      <c r="Q169" s="65">
        <f t="shared" si="245"/>
        <v>174.16184458360343</v>
      </c>
      <c r="R169" s="65">
        <f t="shared" si="245"/>
        <v>155.36805638905233</v>
      </c>
      <c r="S169" s="65">
        <f t="shared" si="245"/>
        <v>143.50583894570195</v>
      </c>
      <c r="T169" s="65">
        <f t="shared" si="245"/>
        <v>144.55603470288816</v>
      </c>
      <c r="U169" s="65">
        <f t="shared" si="245"/>
        <v>135.65995549010205</v>
      </c>
      <c r="V169" s="65">
        <f t="shared" si="245"/>
        <v>103.25097398769128</v>
      </c>
      <c r="W169" s="65">
        <f t="shared" si="245"/>
        <v>122.80609434405754</v>
      </c>
      <c r="X169" s="65">
        <f t="shared" ref="X169:Y169" si="246">IF(X115=0,0,X115/X$23)</f>
        <v>107.19902177622187</v>
      </c>
      <c r="Y169" s="65">
        <f t="shared" si="246"/>
        <v>97.279356379735134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0.19177176512583746</v>
      </c>
      <c r="C170" s="65">
        <f t="shared" ref="C170:W170" si="248">IF(C116=0,0,C116/C$23)</f>
        <v>0.19965723054713747</v>
      </c>
      <c r="D170" s="65">
        <f t="shared" si="248"/>
        <v>0.16841456476190383</v>
      </c>
      <c r="E170" s="65">
        <f t="shared" si="248"/>
        <v>0.22432141072660625</v>
      </c>
      <c r="F170" s="65">
        <f t="shared" si="248"/>
        <v>0.20925532700385863</v>
      </c>
      <c r="G170" s="65">
        <f t="shared" si="248"/>
        <v>0.23762505801817965</v>
      </c>
      <c r="H170" s="65">
        <f t="shared" si="248"/>
        <v>0.31325576144465717</v>
      </c>
      <c r="I170" s="65">
        <f t="shared" si="248"/>
        <v>0.27196639652036342</v>
      </c>
      <c r="J170" s="65">
        <f t="shared" si="248"/>
        <v>0.31212008082295306</v>
      </c>
      <c r="K170" s="65">
        <f t="shared" si="248"/>
        <v>0.48219490615612132</v>
      </c>
      <c r="L170" s="65">
        <f t="shared" si="248"/>
        <v>0.70994936664522534</v>
      </c>
      <c r="M170" s="65">
        <f t="shared" si="248"/>
        <v>0.55132681963726804</v>
      </c>
      <c r="N170" s="65">
        <f t="shared" si="248"/>
        <v>0.64436133115299221</v>
      </c>
      <c r="O170" s="65">
        <f t="shared" si="248"/>
        <v>0.96388849264232146</v>
      </c>
      <c r="P170" s="65">
        <f t="shared" si="248"/>
        <v>0.71587724288917687</v>
      </c>
      <c r="Q170" s="65">
        <f t="shared" si="248"/>
        <v>0.96872178974874201</v>
      </c>
      <c r="R170" s="65">
        <f t="shared" si="248"/>
        <v>1.7171220069518252</v>
      </c>
      <c r="S170" s="65">
        <f t="shared" si="248"/>
        <v>1.7842704757188153</v>
      </c>
      <c r="T170" s="65">
        <f t="shared" si="248"/>
        <v>1.6590441276391814</v>
      </c>
      <c r="U170" s="65">
        <f t="shared" si="248"/>
        <v>1.4437105561361219</v>
      </c>
      <c r="V170" s="65">
        <f t="shared" si="248"/>
        <v>2.1250274671754026</v>
      </c>
      <c r="W170" s="65">
        <f t="shared" si="248"/>
        <v>1.3833726234978214</v>
      </c>
      <c r="X170" s="65">
        <f t="shared" ref="X170:Y170" si="249">IF(X116=0,0,X116/X$23)</f>
        <v>2.4877373421585585</v>
      </c>
      <c r="Y170" s="65">
        <f t="shared" si="249"/>
        <v>2.039182058999558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100.87438470438755</v>
      </c>
      <c r="C171" s="65">
        <f t="shared" ref="C171:W171" si="251">IF(C117=0,0,C117/C$23)</f>
        <v>94.514045867729976</v>
      </c>
      <c r="D171" s="65">
        <f t="shared" si="251"/>
        <v>88.515957575433305</v>
      </c>
      <c r="E171" s="65">
        <f t="shared" si="251"/>
        <v>84.895680944719842</v>
      </c>
      <c r="F171" s="65">
        <f t="shared" si="251"/>
        <v>81.675157498353272</v>
      </c>
      <c r="G171" s="65">
        <f t="shared" si="251"/>
        <v>79.921498523595162</v>
      </c>
      <c r="H171" s="65">
        <f t="shared" si="251"/>
        <v>78.614493207244067</v>
      </c>
      <c r="I171" s="65">
        <f t="shared" si="251"/>
        <v>77.912219137840921</v>
      </c>
      <c r="J171" s="65">
        <f t="shared" si="251"/>
        <v>75.053519932349786</v>
      </c>
      <c r="K171" s="65">
        <f t="shared" si="251"/>
        <v>74.201392995831853</v>
      </c>
      <c r="L171" s="65">
        <f t="shared" si="251"/>
        <v>75.262643588474248</v>
      </c>
      <c r="M171" s="65">
        <f t="shared" si="251"/>
        <v>77.001439850855604</v>
      </c>
      <c r="N171" s="65">
        <f t="shared" si="251"/>
        <v>79.19181007160654</v>
      </c>
      <c r="O171" s="65">
        <f t="shared" si="251"/>
        <v>80.584986313543268</v>
      </c>
      <c r="P171" s="65">
        <f t="shared" si="251"/>
        <v>78.365424813459384</v>
      </c>
      <c r="Q171" s="65">
        <f t="shared" si="251"/>
        <v>77.425260507298475</v>
      </c>
      <c r="R171" s="65">
        <f t="shared" si="251"/>
        <v>76.476412665866988</v>
      </c>
      <c r="S171" s="65">
        <f t="shared" si="251"/>
        <v>75.353303649017349</v>
      </c>
      <c r="T171" s="65">
        <f t="shared" si="251"/>
        <v>74.195713681539928</v>
      </c>
      <c r="U171" s="65">
        <f t="shared" si="251"/>
        <v>73.426343420421446</v>
      </c>
      <c r="V171" s="65">
        <f t="shared" si="251"/>
        <v>67.100122845478865</v>
      </c>
      <c r="W171" s="65">
        <f t="shared" si="251"/>
        <v>70.139253029371574</v>
      </c>
      <c r="X171" s="65">
        <f t="shared" ref="X171:Y171" si="252">IF(X117=0,0,X117/X$23)</f>
        <v>68.771877489391684</v>
      </c>
      <c r="Y171" s="65">
        <f t="shared" si="252"/>
        <v>66.538870169327467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51.880799478006168</v>
      </c>
      <c r="C172" s="67">
        <f t="shared" ref="C172:W172" si="254">IF(C118=0,0,C118/C$23)</f>
        <v>40.111370233661624</v>
      </c>
      <c r="D172" s="67">
        <f t="shared" si="254"/>
        <v>59.740198101847056</v>
      </c>
      <c r="E172" s="67">
        <f t="shared" si="254"/>
        <v>65.336216500268264</v>
      </c>
      <c r="F172" s="67">
        <f t="shared" si="254"/>
        <v>76.209481403235714</v>
      </c>
      <c r="G172" s="67">
        <f t="shared" si="254"/>
        <v>107.16518016150425</v>
      </c>
      <c r="H172" s="67">
        <f t="shared" si="254"/>
        <v>96.999400882048093</v>
      </c>
      <c r="I172" s="67">
        <f t="shared" si="254"/>
        <v>101.72941824358922</v>
      </c>
      <c r="J172" s="67">
        <f t="shared" si="254"/>
        <v>111.21903512610241</v>
      </c>
      <c r="K172" s="67">
        <f t="shared" si="254"/>
        <v>107.59199274613758</v>
      </c>
      <c r="L172" s="67">
        <f t="shared" si="254"/>
        <v>62.294011284086196</v>
      </c>
      <c r="M172" s="67">
        <f t="shared" si="254"/>
        <v>62.90770076667512</v>
      </c>
      <c r="N172" s="67">
        <f t="shared" si="254"/>
        <v>61.160956599517974</v>
      </c>
      <c r="O172" s="67">
        <f t="shared" si="254"/>
        <v>71.374958160313241</v>
      </c>
      <c r="P172" s="67">
        <f t="shared" si="254"/>
        <v>93.169154525633459</v>
      </c>
      <c r="Q172" s="67">
        <f t="shared" si="254"/>
        <v>100.10929160519154</v>
      </c>
      <c r="R172" s="67">
        <f t="shared" si="254"/>
        <v>94.702880111079054</v>
      </c>
      <c r="S172" s="67">
        <f t="shared" si="254"/>
        <v>92.386726784147726</v>
      </c>
      <c r="T172" s="67">
        <f t="shared" si="254"/>
        <v>108.26428243646686</v>
      </c>
      <c r="U172" s="67">
        <f t="shared" si="254"/>
        <v>104.92569254932103</v>
      </c>
      <c r="V172" s="67">
        <f t="shared" si="254"/>
        <v>81.662181231961824</v>
      </c>
      <c r="W172" s="67">
        <f t="shared" si="254"/>
        <v>71.798720460376984</v>
      </c>
      <c r="X172" s="67">
        <f t="shared" ref="X172:Y172" si="255">IF(X118=0,0,X118/X$23)</f>
        <v>80.15670516681908</v>
      </c>
      <c r="Y172" s="67">
        <f t="shared" si="255"/>
        <v>80.048477807574415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160632.62150341424</v>
      </c>
      <c r="C3" s="124">
        <f t="shared" si="0"/>
        <v>166267.1404075743</v>
      </c>
      <c r="D3" s="124">
        <f t="shared" si="0"/>
        <v>168766.27711969288</v>
      </c>
      <c r="E3" s="124">
        <f t="shared" si="0"/>
        <v>170423.33543133133</v>
      </c>
      <c r="F3" s="124">
        <f t="shared" si="0"/>
        <v>173372.03545299498</v>
      </c>
      <c r="G3" s="124">
        <f t="shared" si="0"/>
        <v>176760.22585694998</v>
      </c>
      <c r="H3" s="124">
        <f t="shared" si="0"/>
        <v>181008.06536802661</v>
      </c>
      <c r="I3" s="124">
        <f t="shared" si="0"/>
        <v>184652.02844287755</v>
      </c>
      <c r="J3" s="124">
        <f t="shared" si="0"/>
        <v>186734.77109447692</v>
      </c>
      <c r="K3" s="124">
        <f t="shared" si="0"/>
        <v>187590.41879868039</v>
      </c>
      <c r="L3" s="124">
        <f t="shared" si="0"/>
        <v>188342.74917965912</v>
      </c>
      <c r="M3" s="124">
        <f t="shared" si="0"/>
        <v>189109.83803155232</v>
      </c>
      <c r="N3" s="124">
        <f t="shared" si="0"/>
        <v>189333.34340326634</v>
      </c>
      <c r="O3" s="124">
        <f t="shared" si="0"/>
        <v>190184.70936700955</v>
      </c>
      <c r="P3" s="124">
        <f t="shared" si="0"/>
        <v>191565.01284622165</v>
      </c>
      <c r="Q3" s="124">
        <f t="shared" si="0"/>
        <v>192841.65349043632</v>
      </c>
      <c r="R3" s="124">
        <f t="shared" si="0"/>
        <v>194012.04100112681</v>
      </c>
      <c r="S3" s="124">
        <f t="shared" si="0"/>
        <v>195693.71802547239</v>
      </c>
      <c r="T3" s="124">
        <f t="shared" si="0"/>
        <v>197261.37881119331</v>
      </c>
      <c r="U3" s="124">
        <f t="shared" si="0"/>
        <v>198695.30070435556</v>
      </c>
      <c r="V3" s="124">
        <f t="shared" si="0"/>
        <v>199955.72222222231</v>
      </c>
      <c r="W3" s="124">
        <f t="shared" si="0"/>
        <v>201047.31590284756</v>
      </c>
      <c r="X3" s="124">
        <f t="shared" si="0"/>
        <v>202049.22611556764</v>
      </c>
      <c r="Y3" s="124">
        <f t="shared" si="0"/>
        <v>203000.44257414486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160632.62150341424</v>
      </c>
      <c r="C4" s="139">
        <f t="shared" si="1"/>
        <v>166267.1404075743</v>
      </c>
      <c r="D4" s="139">
        <f t="shared" si="1"/>
        <v>168766.27711969288</v>
      </c>
      <c r="E4" s="139">
        <f t="shared" si="1"/>
        <v>170423.33543133133</v>
      </c>
      <c r="F4" s="139">
        <f t="shared" si="1"/>
        <v>173372.03545299498</v>
      </c>
      <c r="G4" s="139">
        <f t="shared" si="1"/>
        <v>176760.22585694998</v>
      </c>
      <c r="H4" s="139">
        <f t="shared" si="1"/>
        <v>181008.06536802661</v>
      </c>
      <c r="I4" s="139">
        <f t="shared" si="1"/>
        <v>184652.02844287755</v>
      </c>
      <c r="J4" s="139">
        <f t="shared" si="1"/>
        <v>186734.77109447692</v>
      </c>
      <c r="K4" s="139">
        <f t="shared" si="1"/>
        <v>187590.41879868039</v>
      </c>
      <c r="L4" s="139">
        <f t="shared" si="1"/>
        <v>188342.74917965912</v>
      </c>
      <c r="M4" s="139">
        <f t="shared" si="1"/>
        <v>189109.83803155232</v>
      </c>
      <c r="N4" s="139">
        <f t="shared" si="1"/>
        <v>189333.34340326634</v>
      </c>
      <c r="O4" s="139">
        <f t="shared" si="1"/>
        <v>190184.70936700955</v>
      </c>
      <c r="P4" s="139">
        <f t="shared" si="1"/>
        <v>191565.01284622165</v>
      </c>
      <c r="Q4" s="139">
        <f t="shared" si="1"/>
        <v>192841.65349043632</v>
      </c>
      <c r="R4" s="139">
        <f t="shared" ref="R4:W4" si="2">SUM(R5:R14)</f>
        <v>194012.04100112681</v>
      </c>
      <c r="S4" s="139">
        <f t="shared" si="2"/>
        <v>195693.71802547239</v>
      </c>
      <c r="T4" s="139">
        <f t="shared" si="2"/>
        <v>197261.37881119331</v>
      </c>
      <c r="U4" s="139">
        <f t="shared" si="2"/>
        <v>198695.30070435556</v>
      </c>
      <c r="V4" s="139">
        <f t="shared" si="2"/>
        <v>199955.72222222231</v>
      </c>
      <c r="W4" s="139">
        <f t="shared" si="2"/>
        <v>201047.31590284756</v>
      </c>
      <c r="X4" s="139">
        <f t="shared" ref="X4:Y4" si="3">SUM(X5:X14)</f>
        <v>202049.22611556764</v>
      </c>
      <c r="Y4" s="139">
        <f t="shared" si="3"/>
        <v>203000.44257414486</v>
      </c>
      <c r="DA4" s="169" t="s">
        <v>246</v>
      </c>
    </row>
    <row r="5" spans="1:105" ht="12" customHeight="1" x14ac:dyDescent="0.25">
      <c r="A5" s="131" t="s">
        <v>29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86367.63336623233</v>
      </c>
      <c r="C7" s="140">
        <v>89643.319054648804</v>
      </c>
      <c r="D7" s="140">
        <v>85073.318736074114</v>
      </c>
      <c r="E7" s="140">
        <v>79915.242700666422</v>
      </c>
      <c r="F7" s="140">
        <v>76638.881424038802</v>
      </c>
      <c r="G7" s="140">
        <v>71482.739854930143</v>
      </c>
      <c r="H7" s="140">
        <v>63492.667862464688</v>
      </c>
      <c r="I7" s="140">
        <v>53133.577108386329</v>
      </c>
      <c r="J7" s="140">
        <v>42155.171536215676</v>
      </c>
      <c r="K7" s="140">
        <v>35517.521902885535</v>
      </c>
      <c r="L7" s="140">
        <v>25762.017099419987</v>
      </c>
      <c r="M7" s="140">
        <v>18174.136790947316</v>
      </c>
      <c r="N7" s="140">
        <v>12074.93763173076</v>
      </c>
      <c r="O7" s="140">
        <v>9654.7910016022615</v>
      </c>
      <c r="P7" s="140">
        <v>8144.772843896616</v>
      </c>
      <c r="Q7" s="140">
        <v>7766.3764764534217</v>
      </c>
      <c r="R7" s="140">
        <v>6893.8407687533854</v>
      </c>
      <c r="S7" s="140">
        <v>6640.0689130829742</v>
      </c>
      <c r="T7" s="140">
        <v>6513.798786512536</v>
      </c>
      <c r="U7" s="140">
        <v>7683.1469102013989</v>
      </c>
      <c r="V7" s="140">
        <v>6179.6527385839308</v>
      </c>
      <c r="W7" s="140">
        <v>5420.3537547403757</v>
      </c>
      <c r="X7" s="140">
        <v>4427.7322029855977</v>
      </c>
      <c r="Y7" s="140">
        <v>3568.4696503130967</v>
      </c>
      <c r="DA7" s="170" t="s">
        <v>249</v>
      </c>
    </row>
    <row r="8" spans="1:105" ht="12" customHeight="1" x14ac:dyDescent="0.25">
      <c r="A8" s="131" t="s">
        <v>73</v>
      </c>
      <c r="B8" s="140">
        <v>152.61551619294366</v>
      </c>
      <c r="C8" s="140">
        <v>171.86577110923835</v>
      </c>
      <c r="D8" s="140">
        <v>198.05038362636688</v>
      </c>
      <c r="E8" s="140">
        <v>207.44667731715586</v>
      </c>
      <c r="F8" s="140">
        <v>203.59667235034817</v>
      </c>
      <c r="G8" s="140">
        <v>203.25247082403479</v>
      </c>
      <c r="H8" s="140">
        <v>231.35261967282665</v>
      </c>
      <c r="I8" s="140">
        <v>277.15830332701358</v>
      </c>
      <c r="J8" s="140">
        <v>347.35415665524204</v>
      </c>
      <c r="K8" s="140">
        <v>418.54337504264566</v>
      </c>
      <c r="L8" s="140">
        <v>511.33125138935776</v>
      </c>
      <c r="M8" s="140">
        <v>601.06171902615142</v>
      </c>
      <c r="N8" s="140">
        <v>668.59025010727521</v>
      </c>
      <c r="O8" s="140">
        <v>725.32362733507262</v>
      </c>
      <c r="P8" s="140">
        <v>742.85987960323371</v>
      </c>
      <c r="Q8" s="140">
        <v>757.86685857112889</v>
      </c>
      <c r="R8" s="140">
        <v>752.70571719674115</v>
      </c>
      <c r="S8" s="140">
        <v>723.64511212097375</v>
      </c>
      <c r="T8" s="140">
        <v>688.81156904179932</v>
      </c>
      <c r="U8" s="140">
        <v>682.38570682783939</v>
      </c>
      <c r="V8" s="140">
        <v>704.82733128197458</v>
      </c>
      <c r="W8" s="140">
        <v>732.02520065565625</v>
      </c>
      <c r="X8" s="140">
        <v>747.73117113182855</v>
      </c>
      <c r="Y8" s="140">
        <v>750.66087132345808</v>
      </c>
      <c r="DA8" s="170" t="s">
        <v>250</v>
      </c>
    </row>
    <row r="9" spans="1:105" ht="12" customHeight="1" x14ac:dyDescent="0.25">
      <c r="A9" s="131" t="s">
        <v>78</v>
      </c>
      <c r="B9" s="140">
        <v>15614.574909817255</v>
      </c>
      <c r="C9" s="140">
        <v>17859.681887085466</v>
      </c>
      <c r="D9" s="140">
        <v>20052.744237648949</v>
      </c>
      <c r="E9" s="140">
        <v>20250.513149911174</v>
      </c>
      <c r="F9" s="140">
        <v>19750.295077654457</v>
      </c>
      <c r="G9" s="140">
        <v>18245.033903924948</v>
      </c>
      <c r="H9" s="140">
        <v>18444.388179061345</v>
      </c>
      <c r="I9" s="140">
        <v>19115.707415889763</v>
      </c>
      <c r="J9" s="140">
        <v>20329.060038289175</v>
      </c>
      <c r="K9" s="140">
        <v>21250.090071351602</v>
      </c>
      <c r="L9" s="140">
        <v>21529.972591181704</v>
      </c>
      <c r="M9" s="140">
        <v>21719.140033022184</v>
      </c>
      <c r="N9" s="140">
        <v>20626.698167115042</v>
      </c>
      <c r="O9" s="140">
        <v>19256.423377738654</v>
      </c>
      <c r="P9" s="140">
        <v>17966.224815803438</v>
      </c>
      <c r="Q9" s="140">
        <v>18392.227565971847</v>
      </c>
      <c r="R9" s="140">
        <v>19871.595590489418</v>
      </c>
      <c r="S9" s="140">
        <v>20470.512169722468</v>
      </c>
      <c r="T9" s="140">
        <v>19731.680745291353</v>
      </c>
      <c r="U9" s="140">
        <v>18333.924231564732</v>
      </c>
      <c r="V9" s="140">
        <v>18104.192224123646</v>
      </c>
      <c r="W9" s="140">
        <v>17402.60647470798</v>
      </c>
      <c r="X9" s="140">
        <v>17063.610206469013</v>
      </c>
      <c r="Y9" s="140">
        <v>16051.524848727506</v>
      </c>
      <c r="DA9" s="170" t="s">
        <v>251</v>
      </c>
    </row>
    <row r="10" spans="1:105" ht="12" customHeight="1" x14ac:dyDescent="0.25">
      <c r="A10" s="131" t="s">
        <v>128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1352.9561055305473</v>
      </c>
      <c r="N10" s="140">
        <v>1633.5204341683011</v>
      </c>
      <c r="O10" s="140">
        <v>1578.218822535523</v>
      </c>
      <c r="P10" s="140">
        <v>1421.062900466985</v>
      </c>
      <c r="Q10" s="140">
        <v>1373.9680381370865</v>
      </c>
      <c r="R10" s="140">
        <v>1422.9650565491163</v>
      </c>
      <c r="S10" s="140">
        <v>1490.5434104479093</v>
      </c>
      <c r="T10" s="140">
        <v>1329.8570610653812</v>
      </c>
      <c r="U10" s="140">
        <v>1134.2711198192083</v>
      </c>
      <c r="V10" s="140">
        <v>1001.8192601995788</v>
      </c>
      <c r="W10" s="140">
        <v>1045.4224792393611</v>
      </c>
      <c r="X10" s="140">
        <v>1124.7587140705696</v>
      </c>
      <c r="Y10" s="140">
        <v>1196.640601197503</v>
      </c>
      <c r="DA10" s="170" t="s">
        <v>252</v>
      </c>
    </row>
    <row r="11" spans="1:105" ht="12" customHeight="1" x14ac:dyDescent="0.25">
      <c r="A11" s="131" t="s">
        <v>25</v>
      </c>
      <c r="B11" s="140">
        <v>529.81067357420693</v>
      </c>
      <c r="C11" s="140">
        <v>493.76019043111495</v>
      </c>
      <c r="D11" s="140">
        <v>437.26717050735493</v>
      </c>
      <c r="E11" s="140">
        <v>375.62248353957187</v>
      </c>
      <c r="F11" s="140">
        <v>316.47318168023952</v>
      </c>
      <c r="G11" s="140">
        <v>270.96623626656816</v>
      </c>
      <c r="H11" s="140">
        <v>245.64290085191544</v>
      </c>
      <c r="I11" s="140">
        <v>231.45686056381498</v>
      </c>
      <c r="J11" s="140">
        <v>227.96259224491033</v>
      </c>
      <c r="K11" s="140">
        <v>237.71415437374634</v>
      </c>
      <c r="L11" s="140">
        <v>265.0851280976625</v>
      </c>
      <c r="M11" s="140">
        <v>304.61721873954389</v>
      </c>
      <c r="N11" s="140">
        <v>306.38968072058964</v>
      </c>
      <c r="O11" s="140">
        <v>285.57401589475478</v>
      </c>
      <c r="P11" s="140">
        <v>263.58477551967809</v>
      </c>
      <c r="Q11" s="140">
        <v>265.27384431893125</v>
      </c>
      <c r="R11" s="140">
        <v>273.07332599748105</v>
      </c>
      <c r="S11" s="140">
        <v>289.18086629416604</v>
      </c>
      <c r="T11" s="140">
        <v>292.10936815341125</v>
      </c>
      <c r="U11" s="140">
        <v>283.53880341593259</v>
      </c>
      <c r="V11" s="140">
        <v>266.56493119899847</v>
      </c>
      <c r="W11" s="140">
        <v>263.32333754285497</v>
      </c>
      <c r="X11" s="140">
        <v>277.506252411856</v>
      </c>
      <c r="Y11" s="140">
        <v>291.01197122004413</v>
      </c>
      <c r="DA11" s="170" t="s">
        <v>253</v>
      </c>
    </row>
    <row r="12" spans="1:105" ht="12" customHeight="1" x14ac:dyDescent="0.25">
      <c r="A12" s="131" t="s">
        <v>162</v>
      </c>
      <c r="B12" s="140">
        <v>1930.4218582491021</v>
      </c>
      <c r="C12" s="140">
        <v>2603.6632201150751</v>
      </c>
      <c r="D12" s="140">
        <v>3197.4525462183601</v>
      </c>
      <c r="E12" s="140">
        <v>3294.8542321458258</v>
      </c>
      <c r="F12" s="140">
        <v>3204.3425396615021</v>
      </c>
      <c r="G12" s="140">
        <v>2778.8389501228876</v>
      </c>
      <c r="H12" s="140">
        <v>2599.6933248606942</v>
      </c>
      <c r="I12" s="140">
        <v>2434.2278052809415</v>
      </c>
      <c r="J12" s="140">
        <v>2485.6400962043886</v>
      </c>
      <c r="K12" s="140">
        <v>2626.9284222094107</v>
      </c>
      <c r="L12" s="140">
        <v>3259.8877280820147</v>
      </c>
      <c r="M12" s="140">
        <v>3704.1203012649007</v>
      </c>
      <c r="N12" s="140">
        <v>4276.07924555304</v>
      </c>
      <c r="O12" s="140">
        <v>4356.1856854741463</v>
      </c>
      <c r="P12" s="140">
        <v>4132.0967438855669</v>
      </c>
      <c r="Q12" s="140">
        <v>3892.7336577955075</v>
      </c>
      <c r="R12" s="140">
        <v>3826.7514901798777</v>
      </c>
      <c r="S12" s="140">
        <v>3893.5220638214828</v>
      </c>
      <c r="T12" s="140">
        <v>3844.6461481476572</v>
      </c>
      <c r="U12" s="140">
        <v>3821.5163542023524</v>
      </c>
      <c r="V12" s="140">
        <v>3777.5564778064727</v>
      </c>
      <c r="W12" s="140">
        <v>3510.7256328092926</v>
      </c>
      <c r="X12" s="140">
        <v>2939.693377847203</v>
      </c>
      <c r="Y12" s="140">
        <v>2199.6380852125926</v>
      </c>
      <c r="DA12" s="170" t="s">
        <v>254</v>
      </c>
    </row>
    <row r="13" spans="1:105" ht="12" customHeight="1" x14ac:dyDescent="0.25">
      <c r="A13" s="131" t="s">
        <v>77</v>
      </c>
      <c r="B13" s="140">
        <v>9240.594630548323</v>
      </c>
      <c r="C13" s="140">
        <v>10898.670394495553</v>
      </c>
      <c r="D13" s="140">
        <v>17494.965740172043</v>
      </c>
      <c r="E13" s="140">
        <v>25808.221163823408</v>
      </c>
      <c r="F13" s="140">
        <v>32667.361935531731</v>
      </c>
      <c r="G13" s="140">
        <v>42810.323250352005</v>
      </c>
      <c r="H13" s="140">
        <v>55355.203923641166</v>
      </c>
      <c r="I13" s="140">
        <v>69602.023957879603</v>
      </c>
      <c r="J13" s="140">
        <v>85302.139954480968</v>
      </c>
      <c r="K13" s="140">
        <v>97143.852729024104</v>
      </c>
      <c r="L13" s="140">
        <v>113445.41039011102</v>
      </c>
      <c r="M13" s="140">
        <v>124517.67409909915</v>
      </c>
      <c r="N13" s="140">
        <v>134875.67052004111</v>
      </c>
      <c r="O13" s="140">
        <v>141312.84994169124</v>
      </c>
      <c r="P13" s="140">
        <v>143497.66879665235</v>
      </c>
      <c r="Q13" s="140">
        <v>144041.03571302662</v>
      </c>
      <c r="R13" s="140">
        <v>145712.11846419636</v>
      </c>
      <c r="S13" s="140">
        <v>145594.3799125184</v>
      </c>
      <c r="T13" s="140">
        <v>144598.09591472716</v>
      </c>
      <c r="U13" s="140">
        <v>145937.98764548713</v>
      </c>
      <c r="V13" s="140">
        <v>150879.78671765348</v>
      </c>
      <c r="W13" s="140">
        <v>151589.7406989015</v>
      </c>
      <c r="X13" s="140">
        <v>150138.44675402428</v>
      </c>
      <c r="Y13" s="140">
        <v>148180.59986662568</v>
      </c>
      <c r="DA13" s="170" t="s">
        <v>255</v>
      </c>
    </row>
    <row r="14" spans="1:105" ht="12" customHeight="1" x14ac:dyDescent="0.25">
      <c r="A14" s="60" t="s">
        <v>76</v>
      </c>
      <c r="B14" s="141">
        <v>46796.970548800062</v>
      </c>
      <c r="C14" s="141">
        <v>44596.179889689069</v>
      </c>
      <c r="D14" s="141">
        <v>42312.478305445664</v>
      </c>
      <c r="E14" s="141">
        <v>40571.435023927777</v>
      </c>
      <c r="F14" s="141">
        <v>40591.084622077891</v>
      </c>
      <c r="G14" s="141">
        <v>40969.071190529401</v>
      </c>
      <c r="H14" s="141">
        <v>40639.116557473964</v>
      </c>
      <c r="I14" s="141">
        <v>39857.876991550052</v>
      </c>
      <c r="J14" s="141">
        <v>35887.442720386563</v>
      </c>
      <c r="K14" s="141">
        <v>30395.768143793346</v>
      </c>
      <c r="L14" s="141">
        <v>23569.044991377377</v>
      </c>
      <c r="M14" s="141">
        <v>18736.131763922516</v>
      </c>
      <c r="N14" s="141">
        <v>14871.45747383022</v>
      </c>
      <c r="O14" s="141">
        <v>13015.342894737891</v>
      </c>
      <c r="P14" s="141">
        <v>15396.742090393789</v>
      </c>
      <c r="Q14" s="141">
        <v>16352.171336161802</v>
      </c>
      <c r="R14" s="141">
        <v>15258.990587764425</v>
      </c>
      <c r="S14" s="141">
        <v>16591.86557746401</v>
      </c>
      <c r="T14" s="141">
        <v>20262.379218253995</v>
      </c>
      <c r="U14" s="141">
        <v>20818.529932836969</v>
      </c>
      <c r="V14" s="141">
        <v>19041.322541374211</v>
      </c>
      <c r="W14" s="141">
        <v>21083.118324250536</v>
      </c>
      <c r="X14" s="141">
        <v>25329.747436627309</v>
      </c>
      <c r="Y14" s="141">
        <v>30761.896679525005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104595.05632406584</v>
      </c>
      <c r="C15" s="143">
        <f t="shared" si="4"/>
        <v>110772.2901233897</v>
      </c>
      <c r="D15" s="143">
        <f t="shared" si="4"/>
        <v>108958.83307407516</v>
      </c>
      <c r="E15" s="143">
        <f t="shared" si="4"/>
        <v>104043.67924358015</v>
      </c>
      <c r="F15" s="143">
        <f t="shared" si="4"/>
        <v>100113.58889538536</v>
      </c>
      <c r="G15" s="143">
        <f t="shared" si="4"/>
        <v>92980.831416068584</v>
      </c>
      <c r="H15" s="143">
        <f t="shared" si="4"/>
        <v>85013.744886911474</v>
      </c>
      <c r="I15" s="143">
        <f t="shared" si="4"/>
        <v>75192.127493447872</v>
      </c>
      <c r="J15" s="143">
        <f t="shared" si="4"/>
        <v>65545.188419609403</v>
      </c>
      <c r="K15" s="143">
        <f t="shared" si="4"/>
        <v>60050.797925862942</v>
      </c>
      <c r="L15" s="143">
        <f t="shared" si="4"/>
        <v>51328.293798170729</v>
      </c>
      <c r="M15" s="143">
        <f t="shared" si="4"/>
        <v>45856.032168530641</v>
      </c>
      <c r="N15" s="143">
        <f t="shared" si="4"/>
        <v>39586.215409395001</v>
      </c>
      <c r="O15" s="143">
        <f t="shared" si="4"/>
        <v>35856.516530580418</v>
      </c>
      <c r="P15" s="143">
        <f t="shared" si="4"/>
        <v>32670.601959175518</v>
      </c>
      <c r="Q15" s="143">
        <f t="shared" si="4"/>
        <v>32448.446441247921</v>
      </c>
      <c r="R15" s="143">
        <f t="shared" ref="R15:W15" si="5">SUM(R5:R12)</f>
        <v>33040.931949166021</v>
      </c>
      <c r="S15" s="143">
        <f t="shared" si="5"/>
        <v>33507.472535489971</v>
      </c>
      <c r="T15" s="143">
        <f t="shared" si="5"/>
        <v>32400.903678212137</v>
      </c>
      <c r="U15" s="143">
        <f t="shared" si="5"/>
        <v>31938.783126031463</v>
      </c>
      <c r="V15" s="143">
        <f t="shared" si="5"/>
        <v>30034.612963194602</v>
      </c>
      <c r="W15" s="143">
        <f t="shared" si="5"/>
        <v>28374.456879695517</v>
      </c>
      <c r="X15" s="143">
        <f t="shared" ref="X15:Y15" si="6">SUM(X5:X12)</f>
        <v>26581.031924916068</v>
      </c>
      <c r="Y15" s="143">
        <f t="shared" si="6"/>
        <v>24057.946027994196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56865.050778386838</v>
      </c>
      <c r="C16" s="139">
        <f t="shared" si="7"/>
        <v>60214.729417124559</v>
      </c>
      <c r="D16" s="139">
        <f t="shared" si="7"/>
        <v>63144.493810705353</v>
      </c>
      <c r="E16" s="139">
        <f t="shared" si="7"/>
        <v>65134.814983462798</v>
      </c>
      <c r="F16" s="139">
        <f t="shared" si="7"/>
        <v>65477.876686766431</v>
      </c>
      <c r="G16" s="139">
        <f t="shared" si="7"/>
        <v>68333.246007244263</v>
      </c>
      <c r="H16" s="139">
        <f t="shared" si="7"/>
        <v>73362.408916992063</v>
      </c>
      <c r="I16" s="139">
        <f t="shared" si="7"/>
        <v>79916.065466759101</v>
      </c>
      <c r="J16" s="139">
        <f t="shared" si="7"/>
        <v>85028.023351543976</v>
      </c>
      <c r="K16" s="139">
        <f t="shared" si="7"/>
        <v>89722.085478981884</v>
      </c>
      <c r="L16" s="139">
        <f t="shared" si="7"/>
        <v>94215.164032737084</v>
      </c>
      <c r="M16" s="139">
        <f t="shared" si="7"/>
        <v>97156.313370650358</v>
      </c>
      <c r="N16" s="139">
        <f t="shared" si="7"/>
        <v>99938.756910328972</v>
      </c>
      <c r="O16" s="139">
        <f t="shared" si="7"/>
        <v>101188.88334796038</v>
      </c>
      <c r="P16" s="139">
        <f t="shared" si="7"/>
        <v>104093.85843729143</v>
      </c>
      <c r="Q16" s="139">
        <f t="shared" si="7"/>
        <v>106076.54187837218</v>
      </c>
      <c r="R16" s="139">
        <f t="shared" ref="R16:W16" si="8">SUM(R17:R18)</f>
        <v>108317.25291312844</v>
      </c>
      <c r="S16" s="139">
        <f t="shared" si="8"/>
        <v>111574.20759910095</v>
      </c>
      <c r="T16" s="139">
        <f t="shared" si="8"/>
        <v>114448.21312077077</v>
      </c>
      <c r="U16" s="139">
        <f t="shared" si="8"/>
        <v>116211.31660018962</v>
      </c>
      <c r="V16" s="139">
        <f t="shared" si="8"/>
        <v>117774.55533075423</v>
      </c>
      <c r="W16" s="139">
        <f t="shared" si="8"/>
        <v>119375.36896760028</v>
      </c>
      <c r="X16" s="139">
        <f t="shared" ref="X16:Y16" si="9">SUM(X17:X18)</f>
        <v>119829.69841607435</v>
      </c>
      <c r="Y16" s="139">
        <f t="shared" si="9"/>
        <v>121080.91252390761</v>
      </c>
      <c r="DA16" s="169" t="s">
        <v>257</v>
      </c>
    </row>
    <row r="17" spans="1:105" ht="12.95" customHeight="1" x14ac:dyDescent="0.25">
      <c r="A17" s="131" t="s">
        <v>73</v>
      </c>
      <c r="B17" s="140">
        <v>128.82717139827108</v>
      </c>
      <c r="C17" s="140">
        <v>135.1027915127134</v>
      </c>
      <c r="D17" s="140">
        <v>129.50945514644579</v>
      </c>
      <c r="E17" s="140">
        <v>122.81045244416849</v>
      </c>
      <c r="F17" s="140">
        <v>143.34471867680634</v>
      </c>
      <c r="G17" s="140">
        <v>152.25203005822877</v>
      </c>
      <c r="H17" s="140">
        <v>171.97353284936878</v>
      </c>
      <c r="I17" s="140">
        <v>238.07585730711935</v>
      </c>
      <c r="J17" s="140">
        <v>290.97428851166472</v>
      </c>
      <c r="K17" s="140">
        <v>369.63868253122195</v>
      </c>
      <c r="L17" s="140">
        <v>396.46796397152616</v>
      </c>
      <c r="M17" s="140">
        <v>471.09483741031471</v>
      </c>
      <c r="N17" s="140">
        <v>512.63783682586416</v>
      </c>
      <c r="O17" s="140">
        <v>588.22892645210402</v>
      </c>
      <c r="P17" s="140">
        <v>678.19900448490489</v>
      </c>
      <c r="Q17" s="140">
        <v>811.07275940416105</v>
      </c>
      <c r="R17" s="140">
        <v>1003.7044048836068</v>
      </c>
      <c r="S17" s="140">
        <v>1156.1115980372533</v>
      </c>
      <c r="T17" s="140">
        <v>1316.3073337423989</v>
      </c>
      <c r="U17" s="140">
        <v>1489.1189515212836</v>
      </c>
      <c r="V17" s="140">
        <v>1568.054150763485</v>
      </c>
      <c r="W17" s="140">
        <v>1602.8041206630025</v>
      </c>
      <c r="X17" s="140">
        <v>1660.0474805961721</v>
      </c>
      <c r="Y17" s="140">
        <v>1721.3820588329997</v>
      </c>
      <c r="DA17" s="170" t="s">
        <v>258</v>
      </c>
    </row>
    <row r="18" spans="1:105" ht="12" customHeight="1" x14ac:dyDescent="0.25">
      <c r="A18" s="131" t="s">
        <v>72</v>
      </c>
      <c r="B18" s="140">
        <v>56736.223606988569</v>
      </c>
      <c r="C18" s="140">
        <v>60079.626625611847</v>
      </c>
      <c r="D18" s="140">
        <v>63014.98435555891</v>
      </c>
      <c r="E18" s="140">
        <v>65012.004531018632</v>
      </c>
      <c r="F18" s="140">
        <v>65334.531968089621</v>
      </c>
      <c r="G18" s="140">
        <v>68180.993977186037</v>
      </c>
      <c r="H18" s="140">
        <v>73190.435384142693</v>
      </c>
      <c r="I18" s="140">
        <v>79677.989609451979</v>
      </c>
      <c r="J18" s="140">
        <v>84737.049063032318</v>
      </c>
      <c r="K18" s="140">
        <v>89352.446796450662</v>
      </c>
      <c r="L18" s="140">
        <v>93818.696068765552</v>
      </c>
      <c r="M18" s="140">
        <v>96685.21853324004</v>
      </c>
      <c r="N18" s="140">
        <v>99426.119073503112</v>
      </c>
      <c r="O18" s="140">
        <v>100600.65442150827</v>
      </c>
      <c r="P18" s="140">
        <v>103415.65943280653</v>
      </c>
      <c r="Q18" s="140">
        <v>105265.46911896802</v>
      </c>
      <c r="R18" s="140">
        <v>107313.54850824483</v>
      </c>
      <c r="S18" s="140">
        <v>110418.09600106369</v>
      </c>
      <c r="T18" s="140">
        <v>113131.90578702837</v>
      </c>
      <c r="U18" s="140">
        <v>114722.19764866833</v>
      </c>
      <c r="V18" s="140">
        <v>116206.50117999074</v>
      </c>
      <c r="W18" s="140">
        <v>117772.56484693728</v>
      </c>
      <c r="X18" s="140">
        <v>118169.65093547817</v>
      </c>
      <c r="Y18" s="140">
        <v>119359.53046507461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160632.62150341421</v>
      </c>
      <c r="C19" s="139">
        <f t="shared" si="10"/>
        <v>166267.1404075743</v>
      </c>
      <c r="D19" s="139">
        <f t="shared" si="10"/>
        <v>168766.27711969288</v>
      </c>
      <c r="E19" s="139">
        <f t="shared" si="10"/>
        <v>170423.3354313313</v>
      </c>
      <c r="F19" s="139">
        <f t="shared" si="10"/>
        <v>173372.03545299493</v>
      </c>
      <c r="G19" s="139">
        <f t="shared" si="10"/>
        <v>176760.22585694995</v>
      </c>
      <c r="H19" s="139">
        <f t="shared" si="10"/>
        <v>181008.06536802652</v>
      </c>
      <c r="I19" s="139">
        <f t="shared" si="10"/>
        <v>184652.02844287752</v>
      </c>
      <c r="J19" s="139">
        <f t="shared" si="10"/>
        <v>186734.77109447692</v>
      </c>
      <c r="K19" s="139">
        <f t="shared" si="10"/>
        <v>187590.41879868042</v>
      </c>
      <c r="L19" s="139">
        <f t="shared" si="10"/>
        <v>188342.74917965912</v>
      </c>
      <c r="M19" s="139">
        <f t="shared" si="10"/>
        <v>189109.83803155238</v>
      </c>
      <c r="N19" s="139">
        <f t="shared" si="10"/>
        <v>189333.34340326636</v>
      </c>
      <c r="O19" s="139">
        <f t="shared" si="10"/>
        <v>190184.70936700958</v>
      </c>
      <c r="P19" s="139">
        <f t="shared" si="10"/>
        <v>191565.01284622174</v>
      </c>
      <c r="Q19" s="139">
        <f t="shared" si="10"/>
        <v>192841.65349043626</v>
      </c>
      <c r="R19" s="139">
        <f t="shared" ref="R19:W19" si="11">SUM(R20:R26)</f>
        <v>194012.04100112669</v>
      </c>
      <c r="S19" s="139">
        <f t="shared" si="11"/>
        <v>195693.71802547257</v>
      </c>
      <c r="T19" s="139">
        <f t="shared" si="11"/>
        <v>197261.37881119322</v>
      </c>
      <c r="U19" s="139">
        <f t="shared" si="11"/>
        <v>198695.3007043555</v>
      </c>
      <c r="V19" s="139">
        <f t="shared" si="11"/>
        <v>199955.72222222219</v>
      </c>
      <c r="W19" s="139">
        <f t="shared" si="11"/>
        <v>201047.31590284745</v>
      </c>
      <c r="X19" s="139">
        <f t="shared" ref="X19:Y19" si="12">SUM(X20:X26)</f>
        <v>202049.22611556758</v>
      </c>
      <c r="Y19" s="139">
        <f t="shared" si="12"/>
        <v>203000.44257414498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9191.7187376755555</v>
      </c>
      <c r="C21" s="140">
        <v>8685.49402881489</v>
      </c>
      <c r="D21" s="140">
        <v>8237.5901851485032</v>
      </c>
      <c r="E21" s="140">
        <v>7929.3105482339633</v>
      </c>
      <c r="F21" s="140">
        <v>7782.0562823165537</v>
      </c>
      <c r="G21" s="140">
        <v>7718.8031106985563</v>
      </c>
      <c r="H21" s="140">
        <v>7719.0312521719352</v>
      </c>
      <c r="I21" s="140">
        <v>7744.3773563436525</v>
      </c>
      <c r="J21" s="140">
        <v>7735.4109252679555</v>
      </c>
      <c r="K21" s="140">
        <v>7679.3491583614559</v>
      </c>
      <c r="L21" s="140">
        <v>7565.2340710274375</v>
      </c>
      <c r="M21" s="140">
        <v>7465.5919410476308</v>
      </c>
      <c r="N21" s="140">
        <v>7425.5711725351175</v>
      </c>
      <c r="O21" s="140">
        <v>7405.0503730871551</v>
      </c>
      <c r="P21" s="140">
        <v>7431.8485092250594</v>
      </c>
      <c r="Q21" s="140">
        <v>7506.0855743421143</v>
      </c>
      <c r="R21" s="140">
        <v>7614.6276042430964</v>
      </c>
      <c r="S21" s="140">
        <v>7768.2274420191015</v>
      </c>
      <c r="T21" s="140">
        <v>8033.538641492898</v>
      </c>
      <c r="U21" s="140">
        <v>8295.3818304301421</v>
      </c>
      <c r="V21" s="140">
        <v>8302.3452771623797</v>
      </c>
      <c r="W21" s="140">
        <v>8391.9834626600914</v>
      </c>
      <c r="X21" s="140">
        <v>8189.0930414762852</v>
      </c>
      <c r="Y21" s="140">
        <v>8035.7134982054604</v>
      </c>
      <c r="DA21" s="170" t="s">
        <v>262</v>
      </c>
    </row>
    <row r="22" spans="1:105" ht="12" customHeight="1" x14ac:dyDescent="0.25">
      <c r="A22" s="131" t="s">
        <v>161</v>
      </c>
      <c r="B22" s="140">
        <v>45906.129996707154</v>
      </c>
      <c r="C22" s="140">
        <v>43552.06276201181</v>
      </c>
      <c r="D22" s="140">
        <v>40566.813867857934</v>
      </c>
      <c r="E22" s="140">
        <v>38245.145046168342</v>
      </c>
      <c r="F22" s="140">
        <v>36412.170835608456</v>
      </c>
      <c r="G22" s="140">
        <v>35183.030029893671</v>
      </c>
      <c r="H22" s="140">
        <v>34278.848024970983</v>
      </c>
      <c r="I22" s="140">
        <v>33205.682330906508</v>
      </c>
      <c r="J22" s="140">
        <v>32023.77318680604</v>
      </c>
      <c r="K22" s="140">
        <v>30799.437022218608</v>
      </c>
      <c r="L22" s="140">
        <v>30123.268909764945</v>
      </c>
      <c r="M22" s="140">
        <v>29874.438676194106</v>
      </c>
      <c r="N22" s="140">
        <v>30064.067425995781</v>
      </c>
      <c r="O22" s="140">
        <v>30336.764414860481</v>
      </c>
      <c r="P22" s="140">
        <v>30412.027290254853</v>
      </c>
      <c r="Q22" s="140">
        <v>30566.56614331323</v>
      </c>
      <c r="R22" s="140">
        <v>30918.959595487926</v>
      </c>
      <c r="S22" s="140">
        <v>31889.490054216705</v>
      </c>
      <c r="T22" s="140">
        <v>33436.265903213294</v>
      </c>
      <c r="U22" s="140">
        <v>35209.894531721613</v>
      </c>
      <c r="V22" s="140">
        <v>37368.882739907269</v>
      </c>
      <c r="W22" s="140">
        <v>38230.503236887467</v>
      </c>
      <c r="X22" s="140">
        <v>38501.060104670032</v>
      </c>
      <c r="Y22" s="140">
        <v>38135.85425719164</v>
      </c>
      <c r="DA22" s="170" t="s">
        <v>263</v>
      </c>
    </row>
    <row r="23" spans="1:105" ht="12" customHeight="1" x14ac:dyDescent="0.25">
      <c r="A23" s="131" t="s">
        <v>149</v>
      </c>
      <c r="B23" s="140">
        <v>12580.361609553629</v>
      </c>
      <c r="C23" s="140">
        <v>12932.752839012472</v>
      </c>
      <c r="D23" s="140">
        <v>13308.314707678366</v>
      </c>
      <c r="E23" s="140">
        <v>13771.707334936291</v>
      </c>
      <c r="F23" s="140">
        <v>14390.86140938399</v>
      </c>
      <c r="G23" s="140">
        <v>15396.793732260503</v>
      </c>
      <c r="H23" s="140">
        <v>16757.800790885442</v>
      </c>
      <c r="I23" s="140">
        <v>18303.854435364123</v>
      </c>
      <c r="J23" s="140">
        <v>19803.069940570676</v>
      </c>
      <c r="K23" s="140">
        <v>21163.922772213973</v>
      </c>
      <c r="L23" s="140">
        <v>22693.743270619074</v>
      </c>
      <c r="M23" s="140">
        <v>24152.764697955627</v>
      </c>
      <c r="N23" s="140">
        <v>25662.469035209811</v>
      </c>
      <c r="O23" s="140">
        <v>26879.404040779478</v>
      </c>
      <c r="P23" s="140">
        <v>28009.568126430873</v>
      </c>
      <c r="Q23" s="140">
        <v>29546.299088183601</v>
      </c>
      <c r="R23" s="140">
        <v>31695.651835328463</v>
      </c>
      <c r="S23" s="140">
        <v>34166.184748472362</v>
      </c>
      <c r="T23" s="140">
        <v>36164.496893013405</v>
      </c>
      <c r="U23" s="140">
        <v>37533.841461527205</v>
      </c>
      <c r="V23" s="140">
        <v>38058.079595554744</v>
      </c>
      <c r="W23" s="140">
        <v>38579.267877059916</v>
      </c>
      <c r="X23" s="140">
        <v>38869.406958627289</v>
      </c>
      <c r="Y23" s="140">
        <v>39341.037716252053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1587.7913187687936</v>
      </c>
      <c r="C25" s="140">
        <v>2018.1436148181731</v>
      </c>
      <c r="D25" s="140">
        <v>2432.6793375795655</v>
      </c>
      <c r="E25" s="140">
        <v>2665.642702055231</v>
      </c>
      <c r="F25" s="140">
        <v>2637.1678728491252</v>
      </c>
      <c r="G25" s="140">
        <v>2495.9995135913591</v>
      </c>
      <c r="H25" s="140">
        <v>2359.5187125835882</v>
      </c>
      <c r="I25" s="140">
        <v>2234.7616743744061</v>
      </c>
      <c r="J25" s="140">
        <v>1914.4668534343323</v>
      </c>
      <c r="K25" s="140">
        <v>1791.3940961777394</v>
      </c>
      <c r="L25" s="140">
        <v>1770.2674229822317</v>
      </c>
      <c r="M25" s="140">
        <v>1980.7206451952895</v>
      </c>
      <c r="N25" s="140">
        <v>2380.0844577650964</v>
      </c>
      <c r="O25" s="140">
        <v>2794.6741268797009</v>
      </c>
      <c r="P25" s="140">
        <v>3034.6286694911159</v>
      </c>
      <c r="Q25" s="140">
        <v>3169.4096414602027</v>
      </c>
      <c r="R25" s="140">
        <v>3163.3601874040701</v>
      </c>
      <c r="S25" s="140">
        <v>3109.6364157538883</v>
      </c>
      <c r="T25" s="140">
        <v>2898.7832968265379</v>
      </c>
      <c r="U25" s="140">
        <v>2556.5396648557289</v>
      </c>
      <c r="V25" s="140">
        <v>2278.5451828528685</v>
      </c>
      <c r="W25" s="140">
        <v>1985.3667945872794</v>
      </c>
      <c r="X25" s="140">
        <v>1659.1206178913428</v>
      </c>
      <c r="Y25" s="140">
        <v>1260.9038505978965</v>
      </c>
      <c r="DA25" s="170" t="s">
        <v>266</v>
      </c>
    </row>
    <row r="26" spans="1:105" ht="12" customHeight="1" x14ac:dyDescent="0.25">
      <c r="A26" s="131" t="s">
        <v>24</v>
      </c>
      <c r="B26" s="141">
        <v>91366.619840709071</v>
      </c>
      <c r="C26" s="141">
        <v>99078.687162916962</v>
      </c>
      <c r="D26" s="141">
        <v>104220.87902142853</v>
      </c>
      <c r="E26" s="141">
        <v>107811.52979993749</v>
      </c>
      <c r="F26" s="141">
        <v>112149.77905283682</v>
      </c>
      <c r="G26" s="141">
        <v>115965.59947050585</v>
      </c>
      <c r="H26" s="141">
        <v>119892.86658741458</v>
      </c>
      <c r="I26" s="141">
        <v>123163.35264588884</v>
      </c>
      <c r="J26" s="141">
        <v>125258.05018839792</v>
      </c>
      <c r="K26" s="141">
        <v>126156.31574970862</v>
      </c>
      <c r="L26" s="141">
        <v>126190.23550526545</v>
      </c>
      <c r="M26" s="141">
        <v>125636.32207115972</v>
      </c>
      <c r="N26" s="141">
        <v>123801.15131176056</v>
      </c>
      <c r="O26" s="141">
        <v>122768.81641140275</v>
      </c>
      <c r="P26" s="141">
        <v>122676.94025081987</v>
      </c>
      <c r="Q26" s="141">
        <v>122053.29304313714</v>
      </c>
      <c r="R26" s="141">
        <v>120619.44177866311</v>
      </c>
      <c r="S26" s="141">
        <v>118760.17936501051</v>
      </c>
      <c r="T26" s="141">
        <v>116728.2940766471</v>
      </c>
      <c r="U26" s="141">
        <v>115099.6432158208</v>
      </c>
      <c r="V26" s="141">
        <v>113947.86942674492</v>
      </c>
      <c r="W26" s="141">
        <v>113860.19453165268</v>
      </c>
      <c r="X26" s="141">
        <v>114830.54539290263</v>
      </c>
      <c r="Y26" s="141">
        <v>116226.93325189794</v>
      </c>
      <c r="DA26" s="171" t="s">
        <v>267</v>
      </c>
    </row>
    <row r="27" spans="1:105" ht="12" customHeight="1" x14ac:dyDescent="0.25">
      <c r="A27" s="144" t="s">
        <v>26</v>
      </c>
      <c r="B27" s="150">
        <v>12386.690015738039</v>
      </c>
      <c r="C27" s="150">
        <v>12896.410714067128</v>
      </c>
      <c r="D27" s="150">
        <v>13206.579951209909</v>
      </c>
      <c r="E27" s="150">
        <v>12910.019521568007</v>
      </c>
      <c r="F27" s="150">
        <v>13155.043365754003</v>
      </c>
      <c r="G27" s="150">
        <v>14844.136816544858</v>
      </c>
      <c r="H27" s="150">
        <v>15225.291856251284</v>
      </c>
      <c r="I27" s="150">
        <v>16369.755352812299</v>
      </c>
      <c r="J27" s="150">
        <v>19278.922266185244</v>
      </c>
      <c r="K27" s="150">
        <v>22169.804237486838</v>
      </c>
      <c r="L27" s="150">
        <v>28461.057237044555</v>
      </c>
      <c r="M27" s="150">
        <v>32525.973818812538</v>
      </c>
      <c r="N27" s="150">
        <v>37071.760150950955</v>
      </c>
      <c r="O27" s="150">
        <v>38938.560978772824</v>
      </c>
      <c r="P27" s="150">
        <v>41025.989279360998</v>
      </c>
      <c r="Q27" s="150">
        <v>42703.553279979446</v>
      </c>
      <c r="R27" s="150">
        <v>44816.803406989944</v>
      </c>
      <c r="S27" s="150">
        <v>47254.67994518052</v>
      </c>
      <c r="T27" s="150">
        <v>48310.716847006137</v>
      </c>
      <c r="U27" s="150">
        <v>50246.292643799294</v>
      </c>
      <c r="V27" s="150">
        <v>58311.891236242773</v>
      </c>
      <c r="W27" s="150">
        <v>57773.12221065988</v>
      </c>
      <c r="X27" s="150">
        <v>65040.807013132508</v>
      </c>
      <c r="Y27" s="150">
        <v>64354.922082572928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160632.62150341421</v>
      </c>
      <c r="C29" s="139">
        <f t="shared" si="13"/>
        <v>166267.14040757433</v>
      </c>
      <c r="D29" s="139">
        <f t="shared" si="13"/>
        <v>168766.27711969285</v>
      </c>
      <c r="E29" s="139">
        <f t="shared" si="13"/>
        <v>170423.3354313313</v>
      </c>
      <c r="F29" s="139">
        <f t="shared" si="13"/>
        <v>173372.03545299495</v>
      </c>
      <c r="G29" s="139">
        <f t="shared" si="13"/>
        <v>176760.22585694998</v>
      </c>
      <c r="H29" s="139">
        <f t="shared" si="13"/>
        <v>181008.06536802655</v>
      </c>
      <c r="I29" s="139">
        <f t="shared" si="13"/>
        <v>184652.02844287752</v>
      </c>
      <c r="J29" s="139">
        <f t="shared" si="13"/>
        <v>186734.77109447692</v>
      </c>
      <c r="K29" s="139">
        <f t="shared" si="13"/>
        <v>187590.41879868036</v>
      </c>
      <c r="L29" s="139">
        <f t="shared" si="13"/>
        <v>188342.74917965912</v>
      </c>
      <c r="M29" s="139">
        <f t="shared" si="13"/>
        <v>189109.8380315523</v>
      </c>
      <c r="N29" s="139">
        <f t="shared" si="13"/>
        <v>189333.34340326634</v>
      </c>
      <c r="O29" s="139">
        <f t="shared" si="13"/>
        <v>190184.70936700961</v>
      </c>
      <c r="P29" s="139">
        <f t="shared" si="13"/>
        <v>191565.0128462218</v>
      </c>
      <c r="Q29" s="139">
        <f t="shared" si="13"/>
        <v>192841.65349043632</v>
      </c>
      <c r="R29" s="139">
        <f t="shared" ref="R29:W29" si="14">SUM(R30:R33)</f>
        <v>194012.04100112666</v>
      </c>
      <c r="S29" s="139">
        <f t="shared" si="14"/>
        <v>195693.71802547254</v>
      </c>
      <c r="T29" s="139">
        <f t="shared" si="14"/>
        <v>197261.37881119322</v>
      </c>
      <c r="U29" s="139">
        <f t="shared" si="14"/>
        <v>198695.30070435553</v>
      </c>
      <c r="V29" s="139">
        <f t="shared" si="14"/>
        <v>199955.72222222213</v>
      </c>
      <c r="W29" s="139">
        <f t="shared" si="14"/>
        <v>201047.31590284756</v>
      </c>
      <c r="X29" s="139">
        <f t="shared" ref="X29:Y29" si="15">SUM(X30:X33)</f>
        <v>202049.22611556778</v>
      </c>
      <c r="Y29" s="139">
        <f t="shared" si="15"/>
        <v>203000.44257414495</v>
      </c>
      <c r="DA29" s="169" t="s">
        <v>269</v>
      </c>
    </row>
    <row r="30" spans="1:105" ht="12" customHeight="1" x14ac:dyDescent="0.25">
      <c r="A30" s="131" t="s">
        <v>52</v>
      </c>
      <c r="B30" s="140">
        <v>29150.725763879349</v>
      </c>
      <c r="C30" s="140">
        <v>28884.099198753454</v>
      </c>
      <c r="D30" s="140">
        <v>34840.127959630408</v>
      </c>
      <c r="E30" s="140">
        <v>41535.938230719185</v>
      </c>
      <c r="F30" s="140">
        <v>50439.496901338483</v>
      </c>
      <c r="G30" s="140">
        <v>60628.619303456842</v>
      </c>
      <c r="H30" s="140">
        <v>64301.028576460267</v>
      </c>
      <c r="I30" s="140">
        <v>67619.96179158373</v>
      </c>
      <c r="J30" s="140">
        <v>65366.556331076485</v>
      </c>
      <c r="K30" s="140">
        <v>57091.716497767644</v>
      </c>
      <c r="L30" s="140">
        <v>39959.599634184051</v>
      </c>
      <c r="M30" s="140">
        <v>32633.129773789115</v>
      </c>
      <c r="N30" s="140">
        <v>32309.63729916263</v>
      </c>
      <c r="O30" s="140">
        <v>33474.219362441087</v>
      </c>
      <c r="P30" s="140">
        <v>38885.354170516737</v>
      </c>
      <c r="Q30" s="140">
        <v>43013.627816692395</v>
      </c>
      <c r="R30" s="140">
        <v>44942.925592385793</v>
      </c>
      <c r="S30" s="140">
        <v>46635.278522029024</v>
      </c>
      <c r="T30" s="140">
        <v>49398.352510259494</v>
      </c>
      <c r="U30" s="140">
        <v>46872.08471754643</v>
      </c>
      <c r="V30" s="140">
        <v>40770.058038897958</v>
      </c>
      <c r="W30" s="140">
        <v>37017.602553993587</v>
      </c>
      <c r="X30" s="140">
        <v>38833.660860369382</v>
      </c>
      <c r="Y30" s="140">
        <v>41903.197216607201</v>
      </c>
      <c r="DA30" s="170" t="s">
        <v>270</v>
      </c>
    </row>
    <row r="31" spans="1:105" ht="12" customHeight="1" x14ac:dyDescent="0.25">
      <c r="A31" s="131" t="s">
        <v>149</v>
      </c>
      <c r="B31" s="140">
        <v>11825.546284813287</v>
      </c>
      <c r="C31" s="140">
        <v>12059.618933648508</v>
      </c>
      <c r="D31" s="140">
        <v>12493.0688322363</v>
      </c>
      <c r="E31" s="140">
        <v>13145.609862553973</v>
      </c>
      <c r="F31" s="140">
        <v>14250.724451222799</v>
      </c>
      <c r="G31" s="140">
        <v>15374.717304692196</v>
      </c>
      <c r="H31" s="140">
        <v>16232.720157191874</v>
      </c>
      <c r="I31" s="140">
        <v>17030.742402311011</v>
      </c>
      <c r="J31" s="140">
        <v>18209.416352108648</v>
      </c>
      <c r="K31" s="140">
        <v>20347.851443267406</v>
      </c>
      <c r="L31" s="140">
        <v>23147.022258231042</v>
      </c>
      <c r="M31" s="140">
        <v>26098.141834325495</v>
      </c>
      <c r="N31" s="140">
        <v>28961.268632284082</v>
      </c>
      <c r="O31" s="140">
        <v>33058.761199193985</v>
      </c>
      <c r="P31" s="140">
        <v>35024.49860395398</v>
      </c>
      <c r="Q31" s="140">
        <v>37317.058425616124</v>
      </c>
      <c r="R31" s="140">
        <v>38441.763659679731</v>
      </c>
      <c r="S31" s="140">
        <v>39637.502221718503</v>
      </c>
      <c r="T31" s="140">
        <v>40752.209122024484</v>
      </c>
      <c r="U31" s="140">
        <v>41630.160421797329</v>
      </c>
      <c r="V31" s="140">
        <v>40946.292991208946</v>
      </c>
      <c r="W31" s="140">
        <v>38728.731168877152</v>
      </c>
      <c r="X31" s="140">
        <v>35357.765808231023</v>
      </c>
      <c r="Y31" s="140">
        <v>34333.682987447799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15810.6752075648</v>
      </c>
      <c r="O32" s="140">
        <v>16967.27688041182</v>
      </c>
      <c r="P32" s="140">
        <v>16869.76012415018</v>
      </c>
      <c r="Q32" s="140">
        <v>14960.284214672762</v>
      </c>
      <c r="R32" s="140">
        <v>13617.727654024406</v>
      </c>
      <c r="S32" s="140">
        <v>13089.73366450408</v>
      </c>
      <c r="T32" s="140">
        <v>12478.301685322474</v>
      </c>
      <c r="U32" s="140">
        <v>11742.373361529053</v>
      </c>
      <c r="V32" s="140">
        <v>10619.363285822714</v>
      </c>
      <c r="W32" s="140">
        <v>10693.537382595307</v>
      </c>
      <c r="X32" s="140">
        <v>10968.634219791518</v>
      </c>
      <c r="Y32" s="140">
        <v>11072.004892730529</v>
      </c>
      <c r="DA32" s="170" t="s">
        <v>272</v>
      </c>
    </row>
    <row r="33" spans="1:105" ht="12" customHeight="1" x14ac:dyDescent="0.25">
      <c r="A33" s="62" t="s">
        <v>24</v>
      </c>
      <c r="B33" s="152">
        <v>119656.34945472158</v>
      </c>
      <c r="C33" s="152">
        <v>125323.42227517237</v>
      </c>
      <c r="D33" s="152">
        <v>121433.08032782614</v>
      </c>
      <c r="E33" s="152">
        <v>115741.78733805813</v>
      </c>
      <c r="F33" s="152">
        <v>108681.81410043366</v>
      </c>
      <c r="G33" s="152">
        <v>100756.88924880094</v>
      </c>
      <c r="H33" s="152">
        <v>100474.31663437442</v>
      </c>
      <c r="I33" s="152">
        <v>100001.3242489828</v>
      </c>
      <c r="J33" s="152">
        <v>103158.79841129179</v>
      </c>
      <c r="K33" s="152">
        <v>110150.8508576453</v>
      </c>
      <c r="L33" s="152">
        <v>125236.12728724403</v>
      </c>
      <c r="M33" s="152">
        <v>130378.56642343769</v>
      </c>
      <c r="N33" s="152">
        <v>112251.76226425482</v>
      </c>
      <c r="O33" s="152">
        <v>106684.4519249627</v>
      </c>
      <c r="P33" s="152">
        <v>100785.39994760088</v>
      </c>
      <c r="Q33" s="152">
        <v>97550.683033455032</v>
      </c>
      <c r="R33" s="152">
        <v>97009.624095036736</v>
      </c>
      <c r="S33" s="152">
        <v>96331.203617220934</v>
      </c>
      <c r="T33" s="152">
        <v>94632.515493586761</v>
      </c>
      <c r="U33" s="152">
        <v>98450.682203482706</v>
      </c>
      <c r="V33" s="152">
        <v>107620.00790629252</v>
      </c>
      <c r="W33" s="152">
        <v>114607.44479738154</v>
      </c>
      <c r="X33" s="152">
        <v>116889.16522717584</v>
      </c>
      <c r="Y33" s="152">
        <v>115691.55747735943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838.01716918297302</v>
      </c>
      <c r="C3" s="125">
        <f t="shared" si="0"/>
        <v>918.8359789346157</v>
      </c>
      <c r="D3" s="125">
        <f t="shared" si="0"/>
        <v>980.48181591774051</v>
      </c>
      <c r="E3" s="125">
        <f t="shared" si="0"/>
        <v>1063.8141926625876</v>
      </c>
      <c r="F3" s="125">
        <f t="shared" si="0"/>
        <v>1211.7731178542508</v>
      </c>
      <c r="G3" s="125">
        <f t="shared" si="0"/>
        <v>1332.7019463775807</v>
      </c>
      <c r="H3" s="125">
        <f t="shared" si="0"/>
        <v>1355.4296161248908</v>
      </c>
      <c r="I3" s="125">
        <f t="shared" si="0"/>
        <v>1334.7265501734073</v>
      </c>
      <c r="J3" s="125">
        <f t="shared" si="0"/>
        <v>1232.2959506851557</v>
      </c>
      <c r="K3" s="125">
        <f t="shared" si="0"/>
        <v>1320.1348828726609</v>
      </c>
      <c r="L3" s="125">
        <f t="shared" si="0"/>
        <v>1152.3549457392337</v>
      </c>
      <c r="M3" s="125">
        <f t="shared" si="0"/>
        <v>1114.6001728272672</v>
      </c>
      <c r="N3" s="125">
        <f t="shared" si="0"/>
        <v>1089.5624745956343</v>
      </c>
      <c r="O3" s="125">
        <f t="shared" si="0"/>
        <v>1036.5254881352589</v>
      </c>
      <c r="P3" s="125">
        <f t="shared" si="0"/>
        <v>1139.1139905371135</v>
      </c>
      <c r="Q3" s="125">
        <f t="shared" si="0"/>
        <v>1199.4952274620155</v>
      </c>
      <c r="R3" s="125">
        <f t="shared" ref="R3:W3" si="1">SUM(R4,R16,R19,R29)</f>
        <v>1130.7156611436581</v>
      </c>
      <c r="S3" s="125">
        <f t="shared" si="1"/>
        <v>1125.7849922213081</v>
      </c>
      <c r="T3" s="125">
        <f t="shared" si="1"/>
        <v>1203.9011360565728</v>
      </c>
      <c r="U3" s="125">
        <f t="shared" si="1"/>
        <v>1177.3891740705151</v>
      </c>
      <c r="V3" s="125">
        <f t="shared" si="1"/>
        <v>1005.0965041276429</v>
      </c>
      <c r="W3" s="125">
        <f t="shared" si="1"/>
        <v>1031.9917030065699</v>
      </c>
      <c r="X3" s="125">
        <f t="shared" ref="X3:Y3" si="2">SUM(X4,X16,X19,X29)</f>
        <v>1163.4602687048975</v>
      </c>
      <c r="Y3" s="125">
        <f t="shared" si="2"/>
        <v>1175.8402348619215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407.87791061555748</v>
      </c>
      <c r="C4" s="130">
        <f t="shared" si="3"/>
        <v>471.03940461360469</v>
      </c>
      <c r="D4" s="130">
        <f t="shared" si="3"/>
        <v>512.32781286952513</v>
      </c>
      <c r="E4" s="130">
        <f t="shared" si="3"/>
        <v>562.80076765057436</v>
      </c>
      <c r="F4" s="130">
        <f t="shared" si="3"/>
        <v>714.03898345384493</v>
      </c>
      <c r="G4" s="130">
        <f t="shared" si="3"/>
        <v>812.12311878768742</v>
      </c>
      <c r="H4" s="130">
        <f t="shared" si="3"/>
        <v>811.57438864810138</v>
      </c>
      <c r="I4" s="130">
        <f t="shared" si="3"/>
        <v>810.59146809942092</v>
      </c>
      <c r="J4" s="130">
        <f t="shared" si="3"/>
        <v>697.80158745381868</v>
      </c>
      <c r="K4" s="130">
        <f t="shared" si="3"/>
        <v>770.25314884492104</v>
      </c>
      <c r="L4" s="130">
        <f t="shared" si="3"/>
        <v>583.52014832610985</v>
      </c>
      <c r="M4" s="130">
        <f t="shared" si="3"/>
        <v>576.22540888742776</v>
      </c>
      <c r="N4" s="130">
        <f t="shared" si="3"/>
        <v>547.62000150675897</v>
      </c>
      <c r="O4" s="130">
        <f t="shared" si="3"/>
        <v>488.59527993524125</v>
      </c>
      <c r="P4" s="130">
        <f t="shared" si="3"/>
        <v>597.99075934286566</v>
      </c>
      <c r="Q4" s="130">
        <f t="shared" si="3"/>
        <v>641.81341905151146</v>
      </c>
      <c r="R4" s="130">
        <f t="shared" ref="R4:W4" si="4">SUM(R5:R15)</f>
        <v>536.10217692813387</v>
      </c>
      <c r="S4" s="130">
        <f t="shared" si="4"/>
        <v>535.2242762545402</v>
      </c>
      <c r="T4" s="130">
        <f t="shared" si="4"/>
        <v>622.57962718131671</v>
      </c>
      <c r="U4" s="130">
        <f t="shared" si="4"/>
        <v>618.37680402517265</v>
      </c>
      <c r="V4" s="130">
        <f t="shared" si="4"/>
        <v>476.527937913122</v>
      </c>
      <c r="W4" s="130">
        <f t="shared" si="4"/>
        <v>523.7764467214879</v>
      </c>
      <c r="X4" s="130">
        <f t="shared" ref="X4:Y4" si="5">SUM(X5:X15)</f>
        <v>585.36403102826068</v>
      </c>
      <c r="Y4" s="130">
        <f t="shared" si="5"/>
        <v>614.05844372650142</v>
      </c>
      <c r="DA4" s="155" t="s">
        <v>214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256.40479747641319</v>
      </c>
      <c r="C7" s="132">
        <v>301.4396220861114</v>
      </c>
      <c r="D7" s="132">
        <v>308.74459501176608</v>
      </c>
      <c r="E7" s="132">
        <v>326.07850502293564</v>
      </c>
      <c r="F7" s="132">
        <v>414.16794617002813</v>
      </c>
      <c r="G7" s="132">
        <v>465.92599072481539</v>
      </c>
      <c r="H7" s="132">
        <v>427.73364930634813</v>
      </c>
      <c r="I7" s="132">
        <v>372.15686202451241</v>
      </c>
      <c r="J7" s="132">
        <v>245.31556268601059</v>
      </c>
      <c r="K7" s="132">
        <v>311.31008716475162</v>
      </c>
      <c r="L7" s="132">
        <v>172.33982901388069</v>
      </c>
      <c r="M7" s="132">
        <v>114.17311119751513</v>
      </c>
      <c r="N7" s="132">
        <v>75.254225245986717</v>
      </c>
      <c r="O7" s="132">
        <v>68.988267378265789</v>
      </c>
      <c r="P7" s="132">
        <v>61.335618083444821</v>
      </c>
      <c r="Q7" s="132">
        <v>75.761466094362703</v>
      </c>
      <c r="R7" s="132">
        <v>50.683133344056813</v>
      </c>
      <c r="S7" s="132">
        <v>45.153302465285456</v>
      </c>
      <c r="T7" s="132">
        <v>48.107617329919961</v>
      </c>
      <c r="U7" s="132">
        <v>55.542190491119158</v>
      </c>
      <c r="V7" s="132">
        <v>41.228107298810642</v>
      </c>
      <c r="W7" s="132">
        <v>38.594866249649314</v>
      </c>
      <c r="X7" s="132">
        <v>32.654615576068146</v>
      </c>
      <c r="Y7" s="132">
        <v>25.971277855363898</v>
      </c>
      <c r="DA7" s="156" t="s">
        <v>277</v>
      </c>
    </row>
    <row r="8" spans="1:105" ht="12" customHeight="1" x14ac:dyDescent="0.25">
      <c r="A8" s="131" t="s">
        <v>73</v>
      </c>
      <c r="B8" s="132">
        <v>0.1903984856289285</v>
      </c>
      <c r="C8" s="132">
        <v>0.230205022598165</v>
      </c>
      <c r="D8" s="132">
        <v>0.31568482184989283</v>
      </c>
      <c r="E8" s="132">
        <v>0.38701893449294311</v>
      </c>
      <c r="F8" s="132">
        <v>0.41635629866234009</v>
      </c>
      <c r="G8" s="132">
        <v>0.43052138701368331</v>
      </c>
      <c r="H8" s="132">
        <v>0.53373514467218641</v>
      </c>
      <c r="I8" s="132">
        <v>0.64103715240720383</v>
      </c>
      <c r="J8" s="132">
        <v>0.81226273598734777</v>
      </c>
      <c r="K8" s="132">
        <v>0.89259443047475484</v>
      </c>
      <c r="L8" s="132">
        <v>1.0639039252620166</v>
      </c>
      <c r="M8" s="132">
        <v>1.2865922596684551</v>
      </c>
      <c r="N8" s="132">
        <v>1.413964318010378</v>
      </c>
      <c r="O8" s="132">
        <v>1.5894785924988191</v>
      </c>
      <c r="P8" s="132">
        <v>1.7686629444502497</v>
      </c>
      <c r="Q8" s="132">
        <v>1.8562835963536384</v>
      </c>
      <c r="R8" s="132">
        <v>1.7349441883989125</v>
      </c>
      <c r="S8" s="132">
        <v>1.6088056829579185</v>
      </c>
      <c r="T8" s="132">
        <v>1.5374802379403421</v>
      </c>
      <c r="U8" s="132">
        <v>1.5210582277304101</v>
      </c>
      <c r="V8" s="132">
        <v>1.4601163337276974</v>
      </c>
      <c r="W8" s="132">
        <v>1.5649737348331587</v>
      </c>
      <c r="X8" s="132">
        <v>1.6590573977988257</v>
      </c>
      <c r="Y8" s="132">
        <v>1.6756626014438862</v>
      </c>
      <c r="DA8" s="156" t="s">
        <v>278</v>
      </c>
    </row>
    <row r="9" spans="1:105" ht="12" customHeight="1" x14ac:dyDescent="0.25">
      <c r="A9" s="131" t="s">
        <v>78</v>
      </c>
      <c r="B9" s="132">
        <v>40.658605040182252</v>
      </c>
      <c r="C9" s="132">
        <v>51.932199969125001</v>
      </c>
      <c r="D9" s="132">
        <v>72.888616864164675</v>
      </c>
      <c r="E9" s="132">
        <v>79.470651117338392</v>
      </c>
      <c r="F9" s="132">
        <v>98.739358779664514</v>
      </c>
      <c r="G9" s="132">
        <v>91.67408030172426</v>
      </c>
      <c r="H9" s="132">
        <v>107.8348939564589</v>
      </c>
      <c r="I9" s="132">
        <v>117.27699224475515</v>
      </c>
      <c r="J9" s="132">
        <v>126.28613296865282</v>
      </c>
      <c r="K9" s="132">
        <v>142.81712406868965</v>
      </c>
      <c r="L9" s="132">
        <v>127.35923495343064</v>
      </c>
      <c r="M9" s="132">
        <v>144.64013232665576</v>
      </c>
      <c r="N9" s="132">
        <v>141.6420657321697</v>
      </c>
      <c r="O9" s="132">
        <v>130.41824107987634</v>
      </c>
      <c r="P9" s="132">
        <v>127.24446251335685</v>
      </c>
      <c r="Q9" s="132">
        <v>137.00197862733631</v>
      </c>
      <c r="R9" s="132">
        <v>149.98850601316622</v>
      </c>
      <c r="S9" s="132">
        <v>148.71268318589378</v>
      </c>
      <c r="T9" s="132">
        <v>152.65894196889437</v>
      </c>
      <c r="U9" s="132">
        <v>133.41084714081376</v>
      </c>
      <c r="V9" s="132">
        <v>99.399046591289263</v>
      </c>
      <c r="W9" s="132">
        <v>135.59796052431648</v>
      </c>
      <c r="X9" s="132">
        <v>126.21165981015636</v>
      </c>
      <c r="Y9" s="132">
        <v>122.5331725761377</v>
      </c>
      <c r="DA9" s="156" t="s">
        <v>279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12.969303525365426</v>
      </c>
      <c r="N10" s="132">
        <v>14.020292347377481</v>
      </c>
      <c r="O10" s="132">
        <v>9.9598452278589793</v>
      </c>
      <c r="P10" s="132">
        <v>11.273516766981968</v>
      </c>
      <c r="Q10" s="132">
        <v>10.986930352536493</v>
      </c>
      <c r="R10" s="132">
        <v>10.557007738607057</v>
      </c>
      <c r="S10" s="132">
        <v>14.115821152192595</v>
      </c>
      <c r="T10" s="132">
        <v>11.785984522785899</v>
      </c>
      <c r="U10" s="132">
        <v>9.4232575474417999</v>
      </c>
      <c r="V10" s="132">
        <v>6.3244186554033428</v>
      </c>
      <c r="W10" s="132">
        <v>8.2271709921637584</v>
      </c>
      <c r="X10" s="132">
        <v>13.448062550213082</v>
      </c>
      <c r="Y10" s="132">
        <v>10.554711012544184</v>
      </c>
      <c r="DA10" s="156" t="s">
        <v>280</v>
      </c>
    </row>
    <row r="11" spans="1:105" ht="12" customHeight="1" x14ac:dyDescent="0.25">
      <c r="A11" s="131" t="s">
        <v>25</v>
      </c>
      <c r="B11" s="132">
        <v>1.0031814273430779</v>
      </c>
      <c r="C11" s="132">
        <v>1.0031814273430781</v>
      </c>
      <c r="D11" s="132">
        <v>1.0031814273430779</v>
      </c>
      <c r="E11" s="132">
        <v>1.0031814273430777</v>
      </c>
      <c r="F11" s="132">
        <v>1.0031814273430781</v>
      </c>
      <c r="G11" s="132">
        <v>1.0031814273430779</v>
      </c>
      <c r="H11" s="132">
        <v>1.0031814273430779</v>
      </c>
      <c r="I11" s="132">
        <v>1.0031814273430779</v>
      </c>
      <c r="J11" s="132">
        <v>1.0031814273430775</v>
      </c>
      <c r="K11" s="132">
        <v>1.0031814273430777</v>
      </c>
      <c r="L11" s="132">
        <v>1.0031814273430781</v>
      </c>
      <c r="M11" s="132">
        <v>1.5525365434221854</v>
      </c>
      <c r="N11" s="132">
        <v>1.5525365434221827</v>
      </c>
      <c r="O11" s="132">
        <v>1.241960447119518</v>
      </c>
      <c r="P11" s="132">
        <v>1.3136715391229576</v>
      </c>
      <c r="Q11" s="132">
        <v>1.5286328460877023</v>
      </c>
      <c r="R11" s="132">
        <v>1.3613929492691299</v>
      </c>
      <c r="S11" s="132">
        <v>1.5525365434221832</v>
      </c>
      <c r="T11" s="132">
        <v>1.7419604471195185</v>
      </c>
      <c r="U11" s="132">
        <v>1.7196904557179709</v>
      </c>
      <c r="V11" s="132">
        <v>1.3136715391229568</v>
      </c>
      <c r="W11" s="132">
        <v>1.3613929492691315</v>
      </c>
      <c r="X11" s="132">
        <v>1.7913155631986233</v>
      </c>
      <c r="Y11" s="132">
        <v>1.8868443680137563</v>
      </c>
      <c r="DA11" s="156" t="s">
        <v>281</v>
      </c>
    </row>
    <row r="12" spans="1:105" ht="12" customHeight="1" x14ac:dyDescent="0.25">
      <c r="A12" s="131" t="s">
        <v>162</v>
      </c>
      <c r="B12" s="132">
        <v>2.894169009286129</v>
      </c>
      <c r="C12" s="132">
        <v>4.8713346855459676</v>
      </c>
      <c r="D12" s="132">
        <v>8.0543224181981454</v>
      </c>
      <c r="E12" s="132">
        <v>8.3864719065971141</v>
      </c>
      <c r="F12" s="132">
        <v>11.036703333763947</v>
      </c>
      <c r="G12" s="132">
        <v>9.0914361153770908</v>
      </c>
      <c r="H12" s="132">
        <v>10.044195385903896</v>
      </c>
      <c r="I12" s="132">
        <v>10.409886131823553</v>
      </c>
      <c r="J12" s="132">
        <v>9.8495757209200772</v>
      </c>
      <c r="K12" s="132">
        <v>9.3817271538403197</v>
      </c>
      <c r="L12" s="132">
        <v>15.27988295014212</v>
      </c>
      <c r="M12" s="132">
        <v>14.822445809796346</v>
      </c>
      <c r="N12" s="132">
        <v>22.165999164621088</v>
      </c>
      <c r="O12" s="132">
        <v>22.520367040375312</v>
      </c>
      <c r="P12" s="132">
        <v>22.700388800035732</v>
      </c>
      <c r="Q12" s="132">
        <v>21.023492023728341</v>
      </c>
      <c r="R12" s="132">
        <v>19.734138422231588</v>
      </c>
      <c r="S12" s="132">
        <v>22.152102317460592</v>
      </c>
      <c r="T12" s="132">
        <v>21.906083935401799</v>
      </c>
      <c r="U12" s="132">
        <v>21.567890233992774</v>
      </c>
      <c r="V12" s="132">
        <v>21.14472808103497</v>
      </c>
      <c r="W12" s="132">
        <v>22.336160686807879</v>
      </c>
      <c r="X12" s="132">
        <v>19.258307022517279</v>
      </c>
      <c r="Y12" s="132">
        <v>11.843724467275246</v>
      </c>
      <c r="DA12" s="156" t="s">
        <v>282</v>
      </c>
    </row>
    <row r="13" spans="1:105" ht="12" customHeight="1" x14ac:dyDescent="0.25">
      <c r="A13" s="131" t="s">
        <v>77</v>
      </c>
      <c r="B13" s="132">
        <v>7.7759840271977669</v>
      </c>
      <c r="C13" s="132">
        <v>10.284223971072585</v>
      </c>
      <c r="D13" s="132">
        <v>13.969444569155035</v>
      </c>
      <c r="E13" s="132">
        <v>33.475084534188213</v>
      </c>
      <c r="F13" s="132">
        <v>38.495001931490442</v>
      </c>
      <c r="G13" s="132">
        <v>61.94838270572113</v>
      </c>
      <c r="H13" s="132">
        <v>83.95754293121378</v>
      </c>
      <c r="I13" s="132">
        <v>105.12022016508335</v>
      </c>
      <c r="J13" s="132">
        <v>135.01393184508197</v>
      </c>
      <c r="K13" s="132">
        <v>142.91441005094876</v>
      </c>
      <c r="L13" s="132">
        <v>170.20583586682571</v>
      </c>
      <c r="M13" s="132">
        <v>183.68046003848002</v>
      </c>
      <c r="N13" s="132">
        <v>211.10746614456227</v>
      </c>
      <c r="O13" s="132">
        <v>224.28810292919115</v>
      </c>
      <c r="P13" s="132">
        <v>255.92510327845346</v>
      </c>
      <c r="Q13" s="132">
        <v>249.34678998124471</v>
      </c>
      <c r="R13" s="132">
        <v>238.58799036392224</v>
      </c>
      <c r="S13" s="132">
        <v>233.16272124568334</v>
      </c>
      <c r="T13" s="132">
        <v>228.09066020025415</v>
      </c>
      <c r="U13" s="132">
        <v>222.87565508637292</v>
      </c>
      <c r="V13" s="132">
        <v>217.71744479096949</v>
      </c>
      <c r="W13" s="132">
        <v>213.64563636466664</v>
      </c>
      <c r="X13" s="132">
        <v>226.17438915242769</v>
      </c>
      <c r="Y13" s="132">
        <v>219.37862146795311</v>
      </c>
      <c r="DA13" s="156" t="s">
        <v>283</v>
      </c>
    </row>
    <row r="14" spans="1:105" ht="12" customHeight="1" x14ac:dyDescent="0.25">
      <c r="A14" s="60" t="s">
        <v>76</v>
      </c>
      <c r="B14" s="65">
        <v>96.329660068742214</v>
      </c>
      <c r="C14" s="65">
        <v>98.179953243769077</v>
      </c>
      <c r="D14" s="65">
        <v>104.02948685434171</v>
      </c>
      <c r="E14" s="65">
        <v>110.51972576330081</v>
      </c>
      <c r="F14" s="65">
        <v>145.83094635644099</v>
      </c>
      <c r="G14" s="65">
        <v>177.40279054203137</v>
      </c>
      <c r="H14" s="65">
        <v>176.03451477761652</v>
      </c>
      <c r="I14" s="65">
        <v>199.9478913766784</v>
      </c>
      <c r="J14" s="65">
        <v>176.43306987160798</v>
      </c>
      <c r="K14" s="65">
        <v>158.20720639690222</v>
      </c>
      <c r="L14" s="65">
        <v>93.744837671349885</v>
      </c>
      <c r="M14" s="65">
        <v>100.81074581201851</v>
      </c>
      <c r="N14" s="65">
        <v>78.461097025456866</v>
      </c>
      <c r="O14" s="65">
        <v>27.700735001699289</v>
      </c>
      <c r="P14" s="65">
        <v>114.62821696064357</v>
      </c>
      <c r="Q14" s="65">
        <v>142.28667717284529</v>
      </c>
      <c r="R14" s="65">
        <v>61.476437109173254</v>
      </c>
      <c r="S14" s="65">
        <v>66.748848555615069</v>
      </c>
      <c r="T14" s="65">
        <v>154.64785633365688</v>
      </c>
      <c r="U14" s="65">
        <v>170.31179056184726</v>
      </c>
      <c r="V14" s="65">
        <v>86.405636228290675</v>
      </c>
      <c r="W14" s="65">
        <v>100.5383108662414</v>
      </c>
      <c r="X14" s="65">
        <v>162.36588879717826</v>
      </c>
      <c r="Y14" s="65">
        <v>218.52401479084151</v>
      </c>
      <c r="DA14" s="109" t="s">
        <v>284</v>
      </c>
    </row>
    <row r="15" spans="1:105" ht="12" customHeight="1" x14ac:dyDescent="0.25">
      <c r="A15" s="133" t="s">
        <v>80</v>
      </c>
      <c r="B15" s="134">
        <v>2.6211150807639658</v>
      </c>
      <c r="C15" s="134">
        <v>3.0986842080393764</v>
      </c>
      <c r="D15" s="134">
        <v>3.3224809027065305</v>
      </c>
      <c r="E15" s="134">
        <v>3.4801289443782113</v>
      </c>
      <c r="F15" s="134">
        <v>4.3494891564514777</v>
      </c>
      <c r="G15" s="134">
        <v>4.6467355836614077</v>
      </c>
      <c r="H15" s="134">
        <v>4.4326757185449548</v>
      </c>
      <c r="I15" s="134">
        <v>4.0353975768177719</v>
      </c>
      <c r="J15" s="134">
        <v>3.0878701982146763</v>
      </c>
      <c r="K15" s="134">
        <v>3.7268181519707158</v>
      </c>
      <c r="L15" s="134">
        <v>2.5234425178757189</v>
      </c>
      <c r="M15" s="134">
        <v>2.290081374505895</v>
      </c>
      <c r="N15" s="134">
        <v>2.0023549851523423</v>
      </c>
      <c r="O15" s="134">
        <v>1.8882822383560387</v>
      </c>
      <c r="P15" s="134">
        <v>1.8011184563759624</v>
      </c>
      <c r="Q15" s="134">
        <v>2.0211683570162573</v>
      </c>
      <c r="R15" s="134">
        <v>1.9786267993087387</v>
      </c>
      <c r="S15" s="134">
        <v>2.0174551060292321</v>
      </c>
      <c r="T15" s="134">
        <v>2.1030422053438129</v>
      </c>
      <c r="U15" s="134">
        <v>2.0044242801366372</v>
      </c>
      <c r="V15" s="134">
        <v>1.534768394472976</v>
      </c>
      <c r="W15" s="134">
        <v>1.9099743535401073</v>
      </c>
      <c r="X15" s="134">
        <v>1.8007351587024314</v>
      </c>
      <c r="Y15" s="134">
        <v>1.6904145869281078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64.412096992897787</v>
      </c>
      <c r="C16" s="130">
        <f t="shared" si="6"/>
        <v>65.193626989662533</v>
      </c>
      <c r="D16" s="130">
        <f t="shared" si="6"/>
        <v>58.912798656495518</v>
      </c>
      <c r="E16" s="130">
        <f t="shared" si="6"/>
        <v>83.21956276173718</v>
      </c>
      <c r="F16" s="130">
        <f t="shared" si="6"/>
        <v>67.232458204985065</v>
      </c>
      <c r="G16" s="130">
        <f t="shared" si="6"/>
        <v>73.646273756748329</v>
      </c>
      <c r="H16" s="130">
        <f t="shared" si="6"/>
        <v>90.218919357105491</v>
      </c>
      <c r="I16" s="130">
        <f t="shared" si="6"/>
        <v>59.998351145488023</v>
      </c>
      <c r="J16" s="130">
        <f t="shared" si="6"/>
        <v>58.413062933709156</v>
      </c>
      <c r="K16" s="130">
        <f t="shared" si="6"/>
        <v>73.990457136587025</v>
      </c>
      <c r="L16" s="130">
        <f t="shared" si="6"/>
        <v>104.34380564755773</v>
      </c>
      <c r="M16" s="130">
        <f t="shared" si="6"/>
        <v>68.674880278117215</v>
      </c>
      <c r="N16" s="130">
        <f t="shared" si="6"/>
        <v>72.138067153621975</v>
      </c>
      <c r="O16" s="130">
        <f t="shared" si="6"/>
        <v>92.085344499653473</v>
      </c>
      <c r="P16" s="130">
        <f t="shared" si="6"/>
        <v>61.77549463375896</v>
      </c>
      <c r="Q16" s="130">
        <f t="shared" si="6"/>
        <v>71.445184142864363</v>
      </c>
      <c r="R16" s="130">
        <f t="shared" ref="R16:W16" si="7">SUM(R17:R18)</f>
        <v>105.44542366133031</v>
      </c>
      <c r="S16" s="130">
        <f t="shared" si="7"/>
        <v>99.823098548489554</v>
      </c>
      <c r="T16" s="130">
        <f t="shared" si="7"/>
        <v>85.464573585876622</v>
      </c>
      <c r="U16" s="130">
        <f t="shared" si="7"/>
        <v>67.000295287691429</v>
      </c>
      <c r="V16" s="130">
        <f t="shared" si="7"/>
        <v>95.520705100221264</v>
      </c>
      <c r="W16" s="130">
        <f t="shared" si="7"/>
        <v>59.228123113668175</v>
      </c>
      <c r="X16" s="130">
        <f t="shared" ref="X16:Y16" si="8">SUM(X17:X18)</f>
        <v>107.80090481284513</v>
      </c>
      <c r="Y16" s="130">
        <f t="shared" si="8"/>
        <v>88.268635152991294</v>
      </c>
      <c r="DA16" s="155" t="s">
        <v>215</v>
      </c>
    </row>
    <row r="17" spans="1:105" ht="12.95" customHeight="1" x14ac:dyDescent="0.25">
      <c r="A17" s="131" t="s">
        <v>73</v>
      </c>
      <c r="B17" s="132">
        <v>0.23879057451553592</v>
      </c>
      <c r="C17" s="132">
        <v>0.24580663505592162</v>
      </c>
      <c r="D17" s="132">
        <v>0.20984681917259462</v>
      </c>
      <c r="E17" s="132">
        <v>0.28132114132086211</v>
      </c>
      <c r="F17" s="132">
        <v>0.26731340303344836</v>
      </c>
      <c r="G17" s="132">
        <v>0.30789752326279324</v>
      </c>
      <c r="H17" s="132">
        <v>0.41198665271374979</v>
      </c>
      <c r="I17" s="132">
        <v>0.36071985304118004</v>
      </c>
      <c r="J17" s="132">
        <v>0.4225364183340119</v>
      </c>
      <c r="K17" s="132">
        <v>0.6500407387459386</v>
      </c>
      <c r="L17" s="132">
        <v>0.95601870042820114</v>
      </c>
      <c r="M17" s="132">
        <v>0.74086113769850115</v>
      </c>
      <c r="N17" s="132">
        <v>0.843723459350739</v>
      </c>
      <c r="O17" s="132">
        <v>1.2419284234848056</v>
      </c>
      <c r="P17" s="132">
        <v>0.95229134920170366</v>
      </c>
      <c r="Q17" s="132">
        <v>1.3192140939294583</v>
      </c>
      <c r="R17" s="132">
        <v>2.4064471320710186</v>
      </c>
      <c r="S17" s="132">
        <v>2.6015857571696883</v>
      </c>
      <c r="T17" s="132">
        <v>2.4875475101159483</v>
      </c>
      <c r="U17" s="132">
        <v>2.2062119574474979</v>
      </c>
      <c r="V17" s="132">
        <v>3.1781571498894228</v>
      </c>
      <c r="W17" s="132">
        <v>2.1049773793159705</v>
      </c>
      <c r="X17" s="132">
        <v>3.9574366745935659</v>
      </c>
      <c r="Y17" s="132">
        <v>3.3163843099442394</v>
      </c>
      <c r="DA17" s="156" t="s">
        <v>286</v>
      </c>
    </row>
    <row r="18" spans="1:105" ht="12" customHeight="1" x14ac:dyDescent="0.25">
      <c r="A18" s="131" t="s">
        <v>72</v>
      </c>
      <c r="B18" s="132">
        <v>64.173306418382253</v>
      </c>
      <c r="C18" s="132">
        <v>64.947820354606606</v>
      </c>
      <c r="D18" s="132">
        <v>58.702951837322921</v>
      </c>
      <c r="E18" s="132">
        <v>82.938241620416321</v>
      </c>
      <c r="F18" s="132">
        <v>66.96514480195161</v>
      </c>
      <c r="G18" s="132">
        <v>73.338376233485533</v>
      </c>
      <c r="H18" s="132">
        <v>89.806932704391741</v>
      </c>
      <c r="I18" s="132">
        <v>59.637631292446841</v>
      </c>
      <c r="J18" s="132">
        <v>57.990526515375144</v>
      </c>
      <c r="K18" s="132">
        <v>73.340416397841082</v>
      </c>
      <c r="L18" s="132">
        <v>103.38778694712953</v>
      </c>
      <c r="M18" s="132">
        <v>67.934019140418712</v>
      </c>
      <c r="N18" s="132">
        <v>71.294343694271234</v>
      </c>
      <c r="O18" s="132">
        <v>90.843416076168666</v>
      </c>
      <c r="P18" s="132">
        <v>60.823203284557259</v>
      </c>
      <c r="Q18" s="132">
        <v>70.125970048934903</v>
      </c>
      <c r="R18" s="132">
        <v>103.03897652925929</v>
      </c>
      <c r="S18" s="132">
        <v>97.221512791319867</v>
      </c>
      <c r="T18" s="132">
        <v>82.977026075760676</v>
      </c>
      <c r="U18" s="132">
        <v>64.794083330243936</v>
      </c>
      <c r="V18" s="132">
        <v>92.342547950331834</v>
      </c>
      <c r="W18" s="132">
        <v>57.123145734352207</v>
      </c>
      <c r="X18" s="132">
        <v>103.84346813825157</v>
      </c>
      <c r="Y18" s="132">
        <v>84.952250843047054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199.26924991875694</v>
      </c>
      <c r="C19" s="130">
        <f t="shared" si="9"/>
        <v>207.19510882367089</v>
      </c>
      <c r="D19" s="130">
        <f t="shared" si="9"/>
        <v>212.88348387955102</v>
      </c>
      <c r="E19" s="130">
        <f t="shared" si="9"/>
        <v>212.47268810226043</v>
      </c>
      <c r="F19" s="130">
        <f t="shared" si="9"/>
        <v>216.97731072414479</v>
      </c>
      <c r="G19" s="130">
        <f t="shared" si="9"/>
        <v>221.22840066937857</v>
      </c>
      <c r="H19" s="130">
        <f t="shared" si="9"/>
        <v>222.76373650919621</v>
      </c>
      <c r="I19" s="130">
        <f t="shared" si="9"/>
        <v>228.88655737071221</v>
      </c>
      <c r="J19" s="130">
        <f t="shared" si="9"/>
        <v>229.84793032946178</v>
      </c>
      <c r="K19" s="130">
        <f t="shared" si="9"/>
        <v>232.44666586044679</v>
      </c>
      <c r="L19" s="130">
        <f t="shared" si="9"/>
        <v>231.16374222572</v>
      </c>
      <c r="M19" s="130">
        <f t="shared" si="9"/>
        <v>237.16317860277078</v>
      </c>
      <c r="N19" s="130">
        <f t="shared" si="9"/>
        <v>231.25768250117073</v>
      </c>
      <c r="O19" s="130">
        <f t="shared" si="9"/>
        <v>231.25543371292349</v>
      </c>
      <c r="P19" s="130">
        <f t="shared" si="9"/>
        <v>232.9546531007889</v>
      </c>
      <c r="Q19" s="130">
        <f t="shared" si="9"/>
        <v>233.81066851912144</v>
      </c>
      <c r="R19" s="130">
        <f t="shared" ref="R19:W19" si="10">SUM(R20:R27)</f>
        <v>233.47396519116626</v>
      </c>
      <c r="S19" s="130">
        <f t="shared" si="10"/>
        <v>228.5389119831311</v>
      </c>
      <c r="T19" s="130">
        <f t="shared" si="10"/>
        <v>225.11919690206014</v>
      </c>
      <c r="U19" s="130">
        <f t="shared" si="10"/>
        <v>222.85342290696931</v>
      </c>
      <c r="V19" s="130">
        <f t="shared" si="10"/>
        <v>190.0904364034576</v>
      </c>
      <c r="W19" s="130">
        <f t="shared" si="10"/>
        <v>205.95952656068843</v>
      </c>
      <c r="X19" s="130">
        <f t="shared" ref="X19:Y19" si="11">SUM(X20:X27)</f>
        <v>212.08611014068038</v>
      </c>
      <c r="Y19" s="130">
        <f t="shared" si="11"/>
        <v>211.69079830266242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12.860667286292008</v>
      </c>
      <c r="C21" s="132">
        <v>11.84659766240312</v>
      </c>
      <c r="D21" s="132">
        <v>11.356555397918042</v>
      </c>
      <c r="E21" s="132">
        <v>10.987472967927973</v>
      </c>
      <c r="F21" s="132">
        <v>10.955967231100809</v>
      </c>
      <c r="G21" s="132">
        <v>10.842300689335881</v>
      </c>
      <c r="H21" s="132">
        <v>10.720321709602544</v>
      </c>
      <c r="I21" s="132">
        <v>10.918744592241501</v>
      </c>
      <c r="J21" s="132">
        <v>10.844443886046214</v>
      </c>
      <c r="K21" s="132">
        <v>10.939996929311533</v>
      </c>
      <c r="L21" s="132">
        <v>10.56348398791272</v>
      </c>
      <c r="M21" s="132">
        <v>10.586817878267507</v>
      </c>
      <c r="N21" s="132">
        <v>10.366286051771835</v>
      </c>
      <c r="O21" s="132">
        <v>10.154002916823504</v>
      </c>
      <c r="P21" s="132">
        <v>10.181554931088172</v>
      </c>
      <c r="Q21" s="132">
        <v>10.288900433874954</v>
      </c>
      <c r="R21" s="132">
        <v>10.303331012530585</v>
      </c>
      <c r="S21" s="132">
        <v>10.156088230414086</v>
      </c>
      <c r="T21" s="132">
        <v>9.9924899958882545</v>
      </c>
      <c r="U21" s="132">
        <v>10.033218732378593</v>
      </c>
      <c r="V21" s="132">
        <v>9.4818995325125641</v>
      </c>
      <c r="W21" s="132">
        <v>8.9203000940584385</v>
      </c>
      <c r="X21" s="132">
        <v>9.3309458589508836</v>
      </c>
      <c r="Y21" s="132">
        <v>8.680654072958836</v>
      </c>
      <c r="DA21" s="156" t="s">
        <v>289</v>
      </c>
    </row>
    <row r="22" spans="1:105" ht="12" customHeight="1" x14ac:dyDescent="0.25">
      <c r="A22" s="131" t="s">
        <v>161</v>
      </c>
      <c r="B22" s="132">
        <v>67.58419650467016</v>
      </c>
      <c r="C22" s="132">
        <v>63.935509445336628</v>
      </c>
      <c r="D22" s="132">
        <v>59.475286670328366</v>
      </c>
      <c r="E22" s="132">
        <v>56.682429475325151</v>
      </c>
      <c r="F22" s="132">
        <v>54.066447639086057</v>
      </c>
      <c r="G22" s="132">
        <v>52.416915552054725</v>
      </c>
      <c r="H22" s="132">
        <v>51.268930229335588</v>
      </c>
      <c r="I22" s="132">
        <v>49.997308224842442</v>
      </c>
      <c r="J22" s="132">
        <v>47.796045224565574</v>
      </c>
      <c r="K22" s="132">
        <v>45.477875002058298</v>
      </c>
      <c r="L22" s="132">
        <v>44.532226016213862</v>
      </c>
      <c r="M22" s="132">
        <v>44.778823454247451</v>
      </c>
      <c r="N22" s="132">
        <v>43.92995360182065</v>
      </c>
      <c r="O22" s="132">
        <v>44.105197798002479</v>
      </c>
      <c r="P22" s="132">
        <v>43.82826841698504</v>
      </c>
      <c r="Q22" s="132">
        <v>43.804827972705198</v>
      </c>
      <c r="R22" s="132">
        <v>43.03999649257257</v>
      </c>
      <c r="S22" s="132">
        <v>43.462088764293227</v>
      </c>
      <c r="T22" s="132">
        <v>43.88971714987359</v>
      </c>
      <c r="U22" s="132">
        <v>43.846115613781926</v>
      </c>
      <c r="V22" s="132">
        <v>41.071462778575409</v>
      </c>
      <c r="W22" s="132">
        <v>43.781144068493361</v>
      </c>
      <c r="X22" s="132">
        <v>44.435496203811425</v>
      </c>
      <c r="Y22" s="132">
        <v>43.016340373354907</v>
      </c>
      <c r="DA22" s="156" t="s">
        <v>290</v>
      </c>
    </row>
    <row r="23" spans="1:105" ht="12" customHeight="1" x14ac:dyDescent="0.25">
      <c r="A23" s="131" t="s">
        <v>149</v>
      </c>
      <c r="B23" s="132">
        <v>17.364496880180511</v>
      </c>
      <c r="C23" s="132">
        <v>18.50059201575105</v>
      </c>
      <c r="D23" s="132">
        <v>19.087792138946337</v>
      </c>
      <c r="E23" s="132">
        <v>19.369226482023819</v>
      </c>
      <c r="F23" s="132">
        <v>19.95869151411625</v>
      </c>
      <c r="G23" s="132">
        <v>21.189343903669272</v>
      </c>
      <c r="H23" s="132">
        <v>22.665908460223562</v>
      </c>
      <c r="I23" s="132">
        <v>25.234000707709281</v>
      </c>
      <c r="J23" s="132">
        <v>26.897787832637473</v>
      </c>
      <c r="K23" s="132">
        <v>28.253456190209285</v>
      </c>
      <c r="L23" s="132">
        <v>30.452790718679619</v>
      </c>
      <c r="M23" s="132">
        <v>32.556251250012245</v>
      </c>
      <c r="N23" s="132">
        <v>34.122828656250363</v>
      </c>
      <c r="O23" s="132">
        <v>35.356550219637683</v>
      </c>
      <c r="P23" s="132">
        <v>35.799580973238264</v>
      </c>
      <c r="Q23" s="132">
        <v>37.019446750481855</v>
      </c>
      <c r="R23" s="132">
        <v>39.527777961635358</v>
      </c>
      <c r="S23" s="132">
        <v>41.734025740589949</v>
      </c>
      <c r="T23" s="132">
        <v>42.943874822701694</v>
      </c>
      <c r="U23" s="132">
        <v>43.785462111338028</v>
      </c>
      <c r="V23" s="132">
        <v>36.331007077921626</v>
      </c>
      <c r="W23" s="132">
        <v>40.311440596172709</v>
      </c>
      <c r="X23" s="132">
        <v>40.856230758673547</v>
      </c>
      <c r="Y23" s="132">
        <v>42.123966532981143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1.2617209305247046</v>
      </c>
      <c r="C25" s="132">
        <v>1.9835234399914332</v>
      </c>
      <c r="D25" s="132">
        <v>2.4787816230744255</v>
      </c>
      <c r="E25" s="132">
        <v>2.7915160555696974</v>
      </c>
      <c r="F25" s="132">
        <v>2.6730129173108521</v>
      </c>
      <c r="G25" s="132">
        <v>2.253705759085499</v>
      </c>
      <c r="H25" s="132">
        <v>2.2802242185672967</v>
      </c>
      <c r="I25" s="132">
        <v>2.5355996807301864</v>
      </c>
      <c r="J25" s="132">
        <v>1.5672772455459518</v>
      </c>
      <c r="K25" s="132">
        <v>1.7484534136575289</v>
      </c>
      <c r="L25" s="132">
        <v>1.6781566027383594</v>
      </c>
      <c r="M25" s="132">
        <v>1.7534785238235968</v>
      </c>
      <c r="N25" s="132">
        <v>2.3873972240289576</v>
      </c>
      <c r="O25" s="132">
        <v>2.9884033809488493</v>
      </c>
      <c r="P25" s="132">
        <v>3.0710643383993652</v>
      </c>
      <c r="Q25" s="132">
        <v>3.2671356632880117</v>
      </c>
      <c r="R25" s="132">
        <v>3.0995675107004708</v>
      </c>
      <c r="S25" s="132">
        <v>3.1998323343021009</v>
      </c>
      <c r="T25" s="132">
        <v>2.9961516621906359</v>
      </c>
      <c r="U25" s="132">
        <v>2.3076901615360321</v>
      </c>
      <c r="V25" s="132">
        <v>1.8437499929117394</v>
      </c>
      <c r="W25" s="132">
        <v>1.9330568540347592</v>
      </c>
      <c r="X25" s="132">
        <v>1.6579440522892581</v>
      </c>
      <c r="Y25" s="132">
        <v>0.97785764794401453</v>
      </c>
      <c r="DA25" s="156" t="s">
        <v>293</v>
      </c>
    </row>
    <row r="26" spans="1:105" ht="12" customHeight="1" x14ac:dyDescent="0.25">
      <c r="A26" s="131" t="s">
        <v>24</v>
      </c>
      <c r="B26" s="65">
        <v>92.865580182953721</v>
      </c>
      <c r="C26" s="65">
        <v>103.35743312175357</v>
      </c>
      <c r="D26" s="65">
        <v>112.67483589107233</v>
      </c>
      <c r="E26" s="65">
        <v>114.56904226156855</v>
      </c>
      <c r="F26" s="65">
        <v>121.01132555838633</v>
      </c>
      <c r="G26" s="65">
        <v>125.61719237486346</v>
      </c>
      <c r="H26" s="65">
        <v>126.46558318983348</v>
      </c>
      <c r="I26" s="65">
        <v>130.04991534317676</v>
      </c>
      <c r="J26" s="65">
        <v>130.65673555597181</v>
      </c>
      <c r="K26" s="65">
        <v>132.07830306983612</v>
      </c>
      <c r="L26" s="65">
        <v>124.70999977549789</v>
      </c>
      <c r="M26" s="65">
        <v>123.69872753081378</v>
      </c>
      <c r="N26" s="65">
        <v>113.50942848922497</v>
      </c>
      <c r="O26" s="65">
        <v>109.55987784978957</v>
      </c>
      <c r="P26" s="65">
        <v>109.33471754511932</v>
      </c>
      <c r="Q26" s="65">
        <v>107.32949785354356</v>
      </c>
      <c r="R26" s="65">
        <v>103.9215209325579</v>
      </c>
      <c r="S26" s="65">
        <v>94.799774591949671</v>
      </c>
      <c r="T26" s="65">
        <v>88.267728533658754</v>
      </c>
      <c r="U26" s="65">
        <v>84.348692091889944</v>
      </c>
      <c r="V26" s="65">
        <v>61.085532842688494</v>
      </c>
      <c r="W26" s="65">
        <v>68.821581508548235</v>
      </c>
      <c r="X26" s="65">
        <v>69.696636861108317</v>
      </c>
      <c r="Y26" s="65">
        <v>70.34804158427994</v>
      </c>
      <c r="DA26" s="109" t="s">
        <v>294</v>
      </c>
    </row>
    <row r="27" spans="1:105" ht="12" customHeight="1" x14ac:dyDescent="0.25">
      <c r="A27" s="144" t="s">
        <v>26</v>
      </c>
      <c r="B27" s="145">
        <v>7.3325881341358565</v>
      </c>
      <c r="C27" s="145">
        <v>7.5714531384350803</v>
      </c>
      <c r="D27" s="145">
        <v>7.8102321582115231</v>
      </c>
      <c r="E27" s="145">
        <v>8.0730008598452265</v>
      </c>
      <c r="F27" s="145">
        <v>8.3118658641444512</v>
      </c>
      <c r="G27" s="145">
        <v>8.9089423903697273</v>
      </c>
      <c r="H27" s="145">
        <v>9.3627687016337031</v>
      </c>
      <c r="I27" s="145">
        <v>10.150988822012044</v>
      </c>
      <c r="J27" s="145">
        <v>12.085640584694749</v>
      </c>
      <c r="K27" s="145">
        <v>13.948581255374032</v>
      </c>
      <c r="L27" s="145">
        <v>19.227085124677547</v>
      </c>
      <c r="M27" s="145">
        <v>23.789079965606188</v>
      </c>
      <c r="N27" s="145">
        <v>26.941788478073939</v>
      </c>
      <c r="O27" s="145">
        <v>29.091401547721404</v>
      </c>
      <c r="P27" s="145">
        <v>30.739466895958735</v>
      </c>
      <c r="Q27" s="145">
        <v>32.100859845227859</v>
      </c>
      <c r="R27" s="145">
        <v>33.581771281169381</v>
      </c>
      <c r="S27" s="145">
        <v>35.187102321582081</v>
      </c>
      <c r="T27" s="145">
        <v>37.029234737747196</v>
      </c>
      <c r="U27" s="145">
        <v>38.532244196044793</v>
      </c>
      <c r="V27" s="145">
        <v>40.276784178847784</v>
      </c>
      <c r="W27" s="145">
        <v>42.192003439380926</v>
      </c>
      <c r="X27" s="145">
        <v>46.108856405846943</v>
      </c>
      <c r="Y27" s="145">
        <v>46.543938091143566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166.45791165576085</v>
      </c>
      <c r="C29" s="130">
        <f t="shared" si="12"/>
        <v>175.40783850767758</v>
      </c>
      <c r="D29" s="130">
        <f t="shared" si="12"/>
        <v>196.35772051216884</v>
      </c>
      <c r="E29" s="130">
        <f t="shared" si="12"/>
        <v>205.32117414801573</v>
      </c>
      <c r="F29" s="130">
        <f t="shared" si="12"/>
        <v>213.52436547127607</v>
      </c>
      <c r="G29" s="130">
        <f t="shared" si="12"/>
        <v>225.70415316376639</v>
      </c>
      <c r="H29" s="130">
        <f t="shared" si="12"/>
        <v>230.87257161048765</v>
      </c>
      <c r="I29" s="130">
        <f t="shared" si="12"/>
        <v>235.25017355778607</v>
      </c>
      <c r="J29" s="130">
        <f t="shared" si="12"/>
        <v>246.23336996816624</v>
      </c>
      <c r="K29" s="130">
        <f t="shared" si="12"/>
        <v>243.44461103070608</v>
      </c>
      <c r="L29" s="130">
        <f t="shared" si="12"/>
        <v>233.32724953984615</v>
      </c>
      <c r="M29" s="130">
        <f t="shared" si="12"/>
        <v>232.53670505895138</v>
      </c>
      <c r="N29" s="130">
        <f t="shared" si="12"/>
        <v>238.54672343408268</v>
      </c>
      <c r="O29" s="130">
        <f t="shared" si="12"/>
        <v>224.58942998744064</v>
      </c>
      <c r="P29" s="130">
        <f t="shared" si="12"/>
        <v>246.39308345969985</v>
      </c>
      <c r="Q29" s="130">
        <f t="shared" si="12"/>
        <v>252.42595574851822</v>
      </c>
      <c r="R29" s="130">
        <f t="shared" ref="R29:W29" si="13">SUM(R30:R33)</f>
        <v>255.69409536302771</v>
      </c>
      <c r="S29" s="130">
        <f t="shared" si="13"/>
        <v>262.19870543514742</v>
      </c>
      <c r="T29" s="130">
        <f t="shared" si="13"/>
        <v>270.73773838731927</v>
      </c>
      <c r="U29" s="130">
        <f t="shared" si="13"/>
        <v>269.15865185068174</v>
      </c>
      <c r="V29" s="130">
        <f t="shared" si="13"/>
        <v>242.95742471084199</v>
      </c>
      <c r="W29" s="130">
        <f t="shared" si="13"/>
        <v>243.02760661072531</v>
      </c>
      <c r="X29" s="130">
        <f t="shared" ref="X29:Y29" si="14">SUM(X30:X33)</f>
        <v>258.20922272311134</v>
      </c>
      <c r="Y29" s="130">
        <f t="shared" si="14"/>
        <v>261.8223576797663</v>
      </c>
      <c r="DA29" s="155" t="s">
        <v>217</v>
      </c>
    </row>
    <row r="30" spans="1:105" ht="12" customHeight="1" x14ac:dyDescent="0.25">
      <c r="A30" s="131" t="s">
        <v>52</v>
      </c>
      <c r="B30" s="132">
        <v>42.49668439040618</v>
      </c>
      <c r="C30" s="132">
        <v>29.953832260210813</v>
      </c>
      <c r="D30" s="132">
        <v>50.779214163560873</v>
      </c>
      <c r="E30" s="132">
        <v>56.796963833447784</v>
      </c>
      <c r="F30" s="132">
        <v>68.142657016534628</v>
      </c>
      <c r="G30" s="132">
        <v>103.28564428056949</v>
      </c>
      <c r="H30" s="132">
        <v>92.107881213871238</v>
      </c>
      <c r="I30" s="132">
        <v>97.85167673192008</v>
      </c>
      <c r="J30" s="132">
        <v>111.1102422704456</v>
      </c>
      <c r="K30" s="132">
        <v>103.32388957111839</v>
      </c>
      <c r="L30" s="132">
        <v>42.173661325930759</v>
      </c>
      <c r="M30" s="132">
        <v>41.051703187940596</v>
      </c>
      <c r="N30" s="132">
        <v>35.778769838167989</v>
      </c>
      <c r="O30" s="132">
        <v>37.089677220751724</v>
      </c>
      <c r="P30" s="132">
        <v>65.628161319986589</v>
      </c>
      <c r="Q30" s="132">
        <v>71.01428099346812</v>
      </c>
      <c r="R30" s="132">
        <v>65.506385238544212</v>
      </c>
      <c r="S30" s="132">
        <v>65.678907470359803</v>
      </c>
      <c r="T30" s="132">
        <v>88.327200459829768</v>
      </c>
      <c r="U30" s="132">
        <v>83.344511276219833</v>
      </c>
      <c r="V30" s="132">
        <v>53.169863150204485</v>
      </c>
      <c r="W30" s="132">
        <v>45.486922605855554</v>
      </c>
      <c r="X30" s="132">
        <v>66.428211492725808</v>
      </c>
      <c r="Y30" s="132">
        <v>67.406964155759951</v>
      </c>
      <c r="DA30" s="156" t="s">
        <v>296</v>
      </c>
    </row>
    <row r="31" spans="1:105" ht="12" customHeight="1" x14ac:dyDescent="0.25">
      <c r="A31" s="131" t="s">
        <v>149</v>
      </c>
      <c r="B31" s="132">
        <v>14.548568864720645</v>
      </c>
      <c r="C31" s="132">
        <v>15.591626280083785</v>
      </c>
      <c r="D31" s="132">
        <v>17.321791084155471</v>
      </c>
      <c r="E31" s="132">
        <v>18.054121103843762</v>
      </c>
      <c r="F31" s="132">
        <v>20.708563753448676</v>
      </c>
      <c r="G31" s="132">
        <v>22.683625499979183</v>
      </c>
      <c r="H31" s="132">
        <v>23.970500721443237</v>
      </c>
      <c r="I31" s="132">
        <v>24.866441787573059</v>
      </c>
      <c r="J31" s="132">
        <v>25.589878496666913</v>
      </c>
      <c r="K31" s="132">
        <v>28.827025328544167</v>
      </c>
      <c r="L31" s="132">
        <v>36.449221091709511</v>
      </c>
      <c r="M31" s="132">
        <v>38.359997935681228</v>
      </c>
      <c r="N31" s="132">
        <v>39.840702442989382</v>
      </c>
      <c r="O31" s="132">
        <v>50.245908305310429</v>
      </c>
      <c r="P31" s="132">
        <v>50.120642804447591</v>
      </c>
      <c r="Q31" s="132">
        <v>56.454495676524516</v>
      </c>
      <c r="R31" s="132">
        <v>59.040519029750044</v>
      </c>
      <c r="S31" s="132">
        <v>60.831893614472129</v>
      </c>
      <c r="T31" s="132">
        <v>62.981527773331351</v>
      </c>
      <c r="U31" s="132">
        <v>66.598604569549039</v>
      </c>
      <c r="V31" s="132">
        <v>62.328405435306138</v>
      </c>
      <c r="W31" s="132">
        <v>58.088231600271328</v>
      </c>
      <c r="X31" s="132">
        <v>52.794549150695381</v>
      </c>
      <c r="Y31" s="132">
        <v>54.26801088405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37.343594153052457</v>
      </c>
      <c r="O32" s="132">
        <v>21.842476354256231</v>
      </c>
      <c r="P32" s="132">
        <v>21.842476354256231</v>
      </c>
      <c r="Q32" s="132">
        <v>21.842476354256238</v>
      </c>
      <c r="R32" s="132">
        <v>17.614875322441964</v>
      </c>
      <c r="S32" s="132">
        <v>18.644282029234745</v>
      </c>
      <c r="T32" s="132">
        <v>19.513069647463468</v>
      </c>
      <c r="U32" s="132">
        <v>18.121368419884096</v>
      </c>
      <c r="V32" s="132">
        <v>12.280998369532089</v>
      </c>
      <c r="W32" s="132">
        <v>15.631212498807811</v>
      </c>
      <c r="X32" s="132">
        <v>16.104130055117942</v>
      </c>
      <c r="Y32" s="132">
        <v>16.744085204136947</v>
      </c>
      <c r="DA32" s="156" t="s">
        <v>298</v>
      </c>
    </row>
    <row r="33" spans="1:105" ht="12" customHeight="1" x14ac:dyDescent="0.25">
      <c r="A33" s="62" t="s">
        <v>24</v>
      </c>
      <c r="B33" s="68">
        <v>109.41265840063403</v>
      </c>
      <c r="C33" s="68">
        <v>129.86237996738299</v>
      </c>
      <c r="D33" s="68">
        <v>128.25671526445251</v>
      </c>
      <c r="E33" s="68">
        <v>130.47008921072418</v>
      </c>
      <c r="F33" s="68">
        <v>124.67314470129277</v>
      </c>
      <c r="G33" s="68">
        <v>99.734883383217721</v>
      </c>
      <c r="H33" s="68">
        <v>114.79418967517319</v>
      </c>
      <c r="I33" s="68">
        <v>112.53205503829294</v>
      </c>
      <c r="J33" s="68">
        <v>109.53324920105374</v>
      </c>
      <c r="K33" s="68">
        <v>111.29369613104355</v>
      </c>
      <c r="L33" s="68">
        <v>154.70436712220589</v>
      </c>
      <c r="M33" s="68">
        <v>153.12500393532957</v>
      </c>
      <c r="N33" s="68">
        <v>125.58365699987286</v>
      </c>
      <c r="O33" s="68">
        <v>115.41136810712226</v>
      </c>
      <c r="P33" s="68">
        <v>108.80180298100944</v>
      </c>
      <c r="Q33" s="68">
        <v>103.11470272426934</v>
      </c>
      <c r="R33" s="68">
        <v>113.53231577229148</v>
      </c>
      <c r="S33" s="68">
        <v>117.04362232108076</v>
      </c>
      <c r="T33" s="68">
        <v>99.915940506694724</v>
      </c>
      <c r="U33" s="68">
        <v>101.09416758502876</v>
      </c>
      <c r="V33" s="68">
        <v>115.17815775579928</v>
      </c>
      <c r="W33" s="68">
        <v>123.82123990579062</v>
      </c>
      <c r="X33" s="68">
        <v>122.88233202457219</v>
      </c>
      <c r="Y33" s="68">
        <v>123.40329743581943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542.35187314892573</v>
      </c>
      <c r="C3" s="125">
        <f t="shared" si="0"/>
        <v>596.90681013348399</v>
      </c>
      <c r="D3" s="125">
        <f t="shared" si="0"/>
        <v>633.5439632971536</v>
      </c>
      <c r="E3" s="125">
        <f t="shared" si="0"/>
        <v>744.11799674914403</v>
      </c>
      <c r="F3" s="125">
        <f t="shared" si="0"/>
        <v>813.03644128266478</v>
      </c>
      <c r="G3" s="125">
        <f t="shared" si="0"/>
        <v>928.99567600734463</v>
      </c>
      <c r="H3" s="125">
        <f t="shared" si="0"/>
        <v>1025.6510799671366</v>
      </c>
      <c r="I3" s="125">
        <f t="shared" si="0"/>
        <v>1020.2907740192638</v>
      </c>
      <c r="J3" s="125">
        <f t="shared" si="0"/>
        <v>1037.8343009612163</v>
      </c>
      <c r="K3" s="125">
        <f t="shared" si="0"/>
        <v>1139.4231314108131</v>
      </c>
      <c r="L3" s="125">
        <f t="shared" si="0"/>
        <v>1197.2112388752973</v>
      </c>
      <c r="M3" s="125">
        <f t="shared" si="0"/>
        <v>1149.2779389614518</v>
      </c>
      <c r="N3" s="125">
        <f t="shared" si="0"/>
        <v>1217.2284647234801</v>
      </c>
      <c r="O3" s="125">
        <f t="shared" si="0"/>
        <v>1282.1299867586711</v>
      </c>
      <c r="P3" s="125">
        <f t="shared" si="0"/>
        <v>1356.3325650198149</v>
      </c>
      <c r="Q3" s="125">
        <f t="shared" si="0"/>
        <v>1431.6838168844515</v>
      </c>
      <c r="R3" s="125">
        <f t="shared" ref="R3:W3" si="1">SUM(R4,R16,R19,R29)</f>
        <v>1495.4074902927534</v>
      </c>
      <c r="S3" s="125">
        <f t="shared" si="1"/>
        <v>1512.0348968429068</v>
      </c>
      <c r="T3" s="125">
        <f t="shared" si="1"/>
        <v>1557.6191112176548</v>
      </c>
      <c r="U3" s="125">
        <f t="shared" si="1"/>
        <v>1520.5356920860886</v>
      </c>
      <c r="V3" s="125">
        <f t="shared" si="1"/>
        <v>1532.5862121984055</v>
      </c>
      <c r="W3" s="125">
        <f t="shared" si="1"/>
        <v>1473.9584102499261</v>
      </c>
      <c r="X3" s="125">
        <f t="shared" ref="X3:Y3" si="2">SUM(X4,X16,X19,X29)</f>
        <v>1807.2273525756066</v>
      </c>
      <c r="Y3" s="125">
        <f t="shared" si="2"/>
        <v>1784.6729945634233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210.51252461560111</v>
      </c>
      <c r="C4" s="130">
        <f t="shared" si="3"/>
        <v>244.8121121170287</v>
      </c>
      <c r="D4" s="130">
        <f t="shared" si="3"/>
        <v>272.97060798552855</v>
      </c>
      <c r="E4" s="130">
        <f t="shared" si="3"/>
        <v>324.49931848237401</v>
      </c>
      <c r="F4" s="130">
        <f t="shared" si="3"/>
        <v>412.49639939703241</v>
      </c>
      <c r="G4" s="130">
        <f t="shared" si="3"/>
        <v>500.97039378967065</v>
      </c>
      <c r="H4" s="130">
        <f t="shared" si="3"/>
        <v>541.57552466534764</v>
      </c>
      <c r="I4" s="130">
        <f t="shared" si="3"/>
        <v>589.56175341840083</v>
      </c>
      <c r="J4" s="130">
        <f t="shared" si="3"/>
        <v>593.13153759076977</v>
      </c>
      <c r="K4" s="130">
        <f t="shared" si="3"/>
        <v>646.7498876663002</v>
      </c>
      <c r="L4" s="130">
        <f t="shared" si="3"/>
        <v>609.74500297972349</v>
      </c>
      <c r="M4" s="130">
        <f t="shared" si="3"/>
        <v>648.21134430190364</v>
      </c>
      <c r="N4" s="130">
        <f t="shared" si="3"/>
        <v>700.02931683645136</v>
      </c>
      <c r="O4" s="130">
        <f t="shared" si="3"/>
        <v>703.81984320657261</v>
      </c>
      <c r="P4" s="130">
        <f t="shared" si="3"/>
        <v>851.06057272726741</v>
      </c>
      <c r="Q4" s="130">
        <f t="shared" si="3"/>
        <v>881.72872340192657</v>
      </c>
      <c r="R4" s="130">
        <f t="shared" ref="R4:W4" si="4">SUM(R5:R15)</f>
        <v>812.4987959244271</v>
      </c>
      <c r="S4" s="130">
        <f t="shared" si="4"/>
        <v>830.0131071321274</v>
      </c>
      <c r="T4" s="130">
        <f t="shared" si="4"/>
        <v>913.37659876583109</v>
      </c>
      <c r="U4" s="130">
        <f t="shared" si="4"/>
        <v>935.61043013969652</v>
      </c>
      <c r="V4" s="130">
        <f t="shared" si="4"/>
        <v>860.89203322572553</v>
      </c>
      <c r="W4" s="130">
        <f t="shared" si="4"/>
        <v>918.37512237681904</v>
      </c>
      <c r="X4" s="130">
        <f t="shared" ref="X4:Y4" si="5">SUM(X5:X15)</f>
        <v>1037.1396376556438</v>
      </c>
      <c r="Y4" s="130">
        <f t="shared" si="5"/>
        <v>1082.0599786889313</v>
      </c>
      <c r="DA4" s="155" t="s">
        <v>302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111.22693029933741</v>
      </c>
      <c r="C7" s="132">
        <v>132.27854428860124</v>
      </c>
      <c r="D7" s="132">
        <v>135.96030869390586</v>
      </c>
      <c r="E7" s="132">
        <v>144.08460756372955</v>
      </c>
      <c r="F7" s="132">
        <v>184.25079458085676</v>
      </c>
      <c r="G7" s="132">
        <v>208.32312744650335</v>
      </c>
      <c r="H7" s="132">
        <v>191.82125450047937</v>
      </c>
      <c r="I7" s="132">
        <v>167.47599423573453</v>
      </c>
      <c r="J7" s="132">
        <v>110.71657295249821</v>
      </c>
      <c r="K7" s="132">
        <v>140.79194481375217</v>
      </c>
      <c r="L7" s="132">
        <v>78.343493415767426</v>
      </c>
      <c r="M7" s="132">
        <v>52.258562196974594</v>
      </c>
      <c r="N7" s="132">
        <v>35.062378960926729</v>
      </c>
      <c r="O7" s="132">
        <v>35.304722133400304</v>
      </c>
      <c r="P7" s="132">
        <v>31.388213844655333</v>
      </c>
      <c r="Q7" s="132">
        <v>38.770573661119009</v>
      </c>
      <c r="R7" s="132">
        <v>26.618727597085925</v>
      </c>
      <c r="S7" s="132">
        <v>25.975923446794432</v>
      </c>
      <c r="T7" s="132">
        <v>28.466658987187241</v>
      </c>
      <c r="U7" s="132">
        <v>34.694733747108629</v>
      </c>
      <c r="V7" s="132">
        <v>26.615455044809316</v>
      </c>
      <c r="W7" s="132">
        <v>25.251744175160038</v>
      </c>
      <c r="X7" s="132">
        <v>21.365173112176848</v>
      </c>
      <c r="Y7" s="132">
        <v>16.992417075978533</v>
      </c>
      <c r="DA7" s="156" t="s">
        <v>305</v>
      </c>
    </row>
    <row r="8" spans="1:105" ht="12" customHeight="1" x14ac:dyDescent="0.25">
      <c r="A8" s="131" t="s">
        <v>73</v>
      </c>
      <c r="B8" s="132">
        <v>0.19176994131111241</v>
      </c>
      <c r="C8" s="132">
        <v>0.23988894080068629</v>
      </c>
      <c r="D8" s="132">
        <v>0.3428035114650233</v>
      </c>
      <c r="E8" s="132">
        <v>0.43134705035846238</v>
      </c>
      <c r="F8" s="132">
        <v>0.47119493845554289</v>
      </c>
      <c r="G8" s="132">
        <v>0.49796121913833125</v>
      </c>
      <c r="H8" s="132">
        <v>0.65226424607014222</v>
      </c>
      <c r="I8" s="132">
        <v>0.83624136707409102</v>
      </c>
      <c r="J8" s="132">
        <v>1.1370524439264531</v>
      </c>
      <c r="K8" s="132">
        <v>1.3244086293014949</v>
      </c>
      <c r="L8" s="132">
        <v>1.6721540216039485</v>
      </c>
      <c r="M8" s="132">
        <v>2.1255412332935331</v>
      </c>
      <c r="N8" s="132">
        <v>2.4373699718397477</v>
      </c>
      <c r="O8" s="132">
        <v>2.8476605898398564</v>
      </c>
      <c r="P8" s="132">
        <v>3.2239513572996659</v>
      </c>
      <c r="Q8" s="132">
        <v>3.4552371273743976</v>
      </c>
      <c r="R8" s="132">
        <v>3.2925892022298053</v>
      </c>
      <c r="S8" s="132">
        <v>3.1055771286202494</v>
      </c>
      <c r="T8" s="132">
        <v>3.013016975830904</v>
      </c>
      <c r="U8" s="132">
        <v>3.0576913109730977</v>
      </c>
      <c r="V8" s="132">
        <v>3.0510263089317693</v>
      </c>
      <c r="W8" s="132">
        <v>3.4192240826854303</v>
      </c>
      <c r="X8" s="132">
        <v>3.7951852724786801</v>
      </c>
      <c r="Y8" s="132">
        <v>4.0076111550731515</v>
      </c>
      <c r="DA8" s="156" t="s">
        <v>306</v>
      </c>
    </row>
    <row r="9" spans="1:105" ht="12" customHeight="1" x14ac:dyDescent="0.25">
      <c r="A9" s="131" t="s">
        <v>78</v>
      </c>
      <c r="B9" s="132">
        <v>19.06424222832046</v>
      </c>
      <c r="C9" s="132">
        <v>24.792243282949613</v>
      </c>
      <c r="D9" s="132">
        <v>35.334655843926107</v>
      </c>
      <c r="E9" s="132">
        <v>38.813543722422693</v>
      </c>
      <c r="F9" s="132">
        <v>48.487142077541044</v>
      </c>
      <c r="G9" s="132">
        <v>45.152555368383432</v>
      </c>
      <c r="H9" s="132">
        <v>53.597361767799526</v>
      </c>
      <c r="I9" s="132">
        <v>59.037715790695799</v>
      </c>
      <c r="J9" s="132">
        <v>64.549238562596088</v>
      </c>
      <c r="K9" s="132">
        <v>74.061082417632363</v>
      </c>
      <c r="L9" s="132">
        <v>66.921735869806625</v>
      </c>
      <c r="M9" s="132">
        <v>77.165093347375858</v>
      </c>
      <c r="N9" s="132">
        <v>76.586242308603985</v>
      </c>
      <c r="O9" s="132">
        <v>71.445191630573291</v>
      </c>
      <c r="P9" s="132">
        <v>69.889948206538293</v>
      </c>
      <c r="Q9" s="132">
        <v>76.893790314988337</v>
      </c>
      <c r="R9" s="132">
        <v>87.488242337646867</v>
      </c>
      <c r="S9" s="132">
        <v>89.801424982976698</v>
      </c>
      <c r="T9" s="132">
        <v>93.97443904934066</v>
      </c>
      <c r="U9" s="132">
        <v>82.866398046576876</v>
      </c>
      <c r="V9" s="132">
        <v>62.87081094466555</v>
      </c>
      <c r="W9" s="132">
        <v>87.273497047306165</v>
      </c>
      <c r="X9" s="132">
        <v>83.438780834914624</v>
      </c>
      <c r="Y9" s="132">
        <v>83.01376603219542</v>
      </c>
      <c r="DA9" s="156" t="s">
        <v>307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6.8418441848081324</v>
      </c>
      <c r="N10" s="132">
        <v>7.4137466665870022</v>
      </c>
      <c r="O10" s="132">
        <v>5.2666505996739428</v>
      </c>
      <c r="P10" s="132">
        <v>5.9613048679897149</v>
      </c>
      <c r="Q10" s="132">
        <v>5.8097612970840338</v>
      </c>
      <c r="R10" s="132">
        <v>5.5932414394064383</v>
      </c>
      <c r="S10" s="132">
        <v>7.5028874904203819</v>
      </c>
      <c r="T10" s="132">
        <v>6.2645022387686975</v>
      </c>
      <c r="U10" s="132">
        <v>5.0086624404025217</v>
      </c>
      <c r="V10" s="132">
        <v>3.3615634526830185</v>
      </c>
      <c r="W10" s="132">
        <v>4.3947065335980868</v>
      </c>
      <c r="X10" s="132">
        <v>7.2465040707273829</v>
      </c>
      <c r="Y10" s="132">
        <v>5.7299365139484113</v>
      </c>
      <c r="DA10" s="156" t="s">
        <v>308</v>
      </c>
    </row>
    <row r="11" spans="1:105" ht="12" customHeight="1" x14ac:dyDescent="0.25">
      <c r="A11" s="131" t="s">
        <v>25</v>
      </c>
      <c r="B11" s="132">
        <v>0.71702519435788969</v>
      </c>
      <c r="C11" s="132">
        <v>0.71752455853833896</v>
      </c>
      <c r="D11" s="132">
        <v>0.71757015503699617</v>
      </c>
      <c r="E11" s="132">
        <v>0.71760529910174065</v>
      </c>
      <c r="F11" s="132">
        <v>0.71761577650661534</v>
      </c>
      <c r="G11" s="132">
        <v>0.71761577650661523</v>
      </c>
      <c r="H11" s="132">
        <v>0.71761577650661523</v>
      </c>
      <c r="I11" s="132">
        <v>0.71762168327878739</v>
      </c>
      <c r="J11" s="132">
        <v>0.72595041976107111</v>
      </c>
      <c r="K11" s="132">
        <v>0.74251198699589205</v>
      </c>
      <c r="L11" s="132">
        <v>0.76226686374088459</v>
      </c>
      <c r="M11" s="132">
        <v>1.2091562400220144</v>
      </c>
      <c r="N11" s="132">
        <v>1.2314319482716318</v>
      </c>
      <c r="O11" s="132">
        <v>0.99931059070856743</v>
      </c>
      <c r="P11" s="132">
        <v>1.0571565665016573</v>
      </c>
      <c r="Q11" s="132">
        <v>1.2305297907453987</v>
      </c>
      <c r="R11" s="132">
        <v>1.0970949890267967</v>
      </c>
      <c r="S11" s="132">
        <v>1.2541898196711205</v>
      </c>
      <c r="T11" s="132">
        <v>1.4092843858584918</v>
      </c>
      <c r="U11" s="132">
        <v>1.3925717695166779</v>
      </c>
      <c r="V11" s="132">
        <v>1.0644570055485045</v>
      </c>
      <c r="W11" s="132">
        <v>1.1069357087174394</v>
      </c>
      <c r="X11" s="132">
        <v>1.466415284312981</v>
      </c>
      <c r="Y11" s="132">
        <v>1.5561870163444735</v>
      </c>
      <c r="DA11" s="156" t="s">
        <v>309</v>
      </c>
    </row>
    <row r="12" spans="1:105" ht="12" customHeight="1" x14ac:dyDescent="0.25">
      <c r="A12" s="131" t="s">
        <v>162</v>
      </c>
      <c r="B12" s="132">
        <v>2.1495309064927008</v>
      </c>
      <c r="C12" s="132">
        <v>3.654929247366554</v>
      </c>
      <c r="D12" s="132">
        <v>6.08049523157373</v>
      </c>
      <c r="E12" s="132">
        <v>6.3459147500035789</v>
      </c>
      <c r="F12" s="132">
        <v>8.3620533723009114</v>
      </c>
      <c r="G12" s="132">
        <v>6.8947577766435737</v>
      </c>
      <c r="H12" s="132">
        <v>7.620203008232588</v>
      </c>
      <c r="I12" s="132">
        <v>7.9045890005872179</v>
      </c>
      <c r="J12" s="132">
        <v>7.5024625692182534</v>
      </c>
      <c r="K12" s="132">
        <v>7.177987050412745</v>
      </c>
      <c r="L12" s="132">
        <v>11.7797233033686</v>
      </c>
      <c r="M12" s="132">
        <v>11.490989138252679</v>
      </c>
      <c r="N12" s="132">
        <v>17.290296109533941</v>
      </c>
      <c r="O12" s="132">
        <v>17.634880256361207</v>
      </c>
      <c r="P12" s="132">
        <v>17.791385078134091</v>
      </c>
      <c r="Q12" s="132">
        <v>16.496901864708391</v>
      </c>
      <c r="R12" s="132">
        <v>15.544751547905834</v>
      </c>
      <c r="S12" s="132">
        <v>17.562173960688011</v>
      </c>
      <c r="T12" s="132">
        <v>17.435872082495798</v>
      </c>
      <c r="U12" s="132">
        <v>17.211523947675161</v>
      </c>
      <c r="V12" s="132">
        <v>16.913136853115073</v>
      </c>
      <c r="W12" s="132">
        <v>17.882585843011505</v>
      </c>
      <c r="X12" s="132">
        <v>15.437196517154728</v>
      </c>
      <c r="Y12" s="132">
        <v>9.5023588011482367</v>
      </c>
      <c r="DA12" s="156" t="s">
        <v>310</v>
      </c>
    </row>
    <row r="13" spans="1:105" ht="12" customHeight="1" x14ac:dyDescent="0.25">
      <c r="A13" s="131" t="s">
        <v>77</v>
      </c>
      <c r="B13" s="132">
        <v>11.290750205071797</v>
      </c>
      <c r="C13" s="132">
        <v>15.446762121979424</v>
      </c>
      <c r="D13" s="132">
        <v>22.640230937885956</v>
      </c>
      <c r="E13" s="132">
        <v>57.540674746539388</v>
      </c>
      <c r="F13" s="132">
        <v>68.815457766899797</v>
      </c>
      <c r="G13" s="132">
        <v>115.83699712405708</v>
      </c>
      <c r="H13" s="132">
        <v>163.96611400969053</v>
      </c>
      <c r="I13" s="132">
        <v>213.75514016072188</v>
      </c>
      <c r="J13" s="132">
        <v>285.17938716939545</v>
      </c>
      <c r="K13" s="132">
        <v>310.66967264649685</v>
      </c>
      <c r="L13" s="132">
        <v>383.30657653195573</v>
      </c>
      <c r="M13" s="132">
        <v>425.19913573842376</v>
      </c>
      <c r="N13" s="132">
        <v>503.29779663630814</v>
      </c>
      <c r="O13" s="132">
        <v>548.80020336261373</v>
      </c>
      <c r="P13" s="132">
        <v>638.26061452166596</v>
      </c>
      <c r="Q13" s="132">
        <v>635.30226465314752</v>
      </c>
      <c r="R13" s="132">
        <v>626.87196185911955</v>
      </c>
      <c r="S13" s="132">
        <v>634.37919141652992</v>
      </c>
      <c r="T13" s="132">
        <v>645.72741924912248</v>
      </c>
      <c r="U13" s="132">
        <v>660.70093085953647</v>
      </c>
      <c r="V13" s="132">
        <v>679.58311263175767</v>
      </c>
      <c r="W13" s="132">
        <v>698.60703519996162</v>
      </c>
      <c r="X13" s="132">
        <v>772.6058451126579</v>
      </c>
      <c r="Y13" s="132">
        <v>781.10368065292994</v>
      </c>
      <c r="DA13" s="156" t="s">
        <v>311</v>
      </c>
    </row>
    <row r="14" spans="1:105" ht="12" customHeight="1" x14ac:dyDescent="0.25">
      <c r="A14" s="60" t="s">
        <v>76</v>
      </c>
      <c r="B14" s="65">
        <v>63.251160759945783</v>
      </c>
      <c r="C14" s="65">
        <v>64.583535468753453</v>
      </c>
      <c r="D14" s="65">
        <v>68.572062709028373</v>
      </c>
      <c r="E14" s="65">
        <v>73.085496405840374</v>
      </c>
      <c r="F14" s="65">
        <v>97.042651728020275</v>
      </c>
      <c r="G14" s="65">
        <v>118.90064349477694</v>
      </c>
      <c r="H14" s="65">
        <v>118.76803563802395</v>
      </c>
      <c r="I14" s="65">
        <v>135.79905360349071</v>
      </c>
      <c r="J14" s="65">
        <v>120.23300327515955</v>
      </c>
      <c r="K14" s="65">
        <v>108.25546196973788</v>
      </c>
      <c r="L14" s="65">
        <v>64.435610455604603</v>
      </c>
      <c r="M14" s="65">
        <v>69.630940848247079</v>
      </c>
      <c r="N14" s="65">
        <v>54.707699249227865</v>
      </c>
      <c r="O14" s="65">
        <v>19.632941805045689</v>
      </c>
      <c r="P14" s="65">
        <v>81.686879828106782</v>
      </c>
      <c r="Q14" s="65">
        <v>101.74849633574328</v>
      </c>
      <c r="R14" s="65">
        <v>44.013560152697195</v>
      </c>
      <c r="S14" s="65">
        <v>48.414283780397362</v>
      </c>
      <c r="T14" s="65">
        <v>114.982363591883</v>
      </c>
      <c r="U14" s="65">
        <v>128.67349373777057</v>
      </c>
      <c r="V14" s="65">
        <v>65.897702589741669</v>
      </c>
      <c r="W14" s="65">
        <v>78.529419432838679</v>
      </c>
      <c r="X14" s="65">
        <v>129.98380229251822</v>
      </c>
      <c r="Y14" s="65">
        <v>178.46360685438512</v>
      </c>
      <c r="DA14" s="109" t="s">
        <v>312</v>
      </c>
    </row>
    <row r="15" spans="1:105" ht="12" customHeight="1" x14ac:dyDescent="0.25">
      <c r="A15" s="133" t="s">
        <v>80</v>
      </c>
      <c r="B15" s="134">
        <v>2.6211150807639658</v>
      </c>
      <c r="C15" s="134">
        <v>3.0986842080393764</v>
      </c>
      <c r="D15" s="134">
        <v>3.3224809027065305</v>
      </c>
      <c r="E15" s="134">
        <v>3.4801289443782113</v>
      </c>
      <c r="F15" s="134">
        <v>4.3494891564514777</v>
      </c>
      <c r="G15" s="134">
        <v>4.6467355836614077</v>
      </c>
      <c r="H15" s="134">
        <v>4.4326757185449548</v>
      </c>
      <c r="I15" s="134">
        <v>4.0353975768177719</v>
      </c>
      <c r="J15" s="134">
        <v>3.0878701982146763</v>
      </c>
      <c r="K15" s="134">
        <v>3.7268181519707158</v>
      </c>
      <c r="L15" s="134">
        <v>2.5234425178757189</v>
      </c>
      <c r="M15" s="134">
        <v>2.290081374505895</v>
      </c>
      <c r="N15" s="134">
        <v>2.0023549851523423</v>
      </c>
      <c r="O15" s="134">
        <v>1.8882822383560387</v>
      </c>
      <c r="P15" s="134">
        <v>1.8011184563759624</v>
      </c>
      <c r="Q15" s="134">
        <v>2.0211683570162573</v>
      </c>
      <c r="R15" s="134">
        <v>1.9786267993087387</v>
      </c>
      <c r="S15" s="134">
        <v>2.0174551060292321</v>
      </c>
      <c r="T15" s="134">
        <v>2.1030422053438129</v>
      </c>
      <c r="U15" s="134">
        <v>2.0044242801366372</v>
      </c>
      <c r="V15" s="134">
        <v>1.534768394472976</v>
      </c>
      <c r="W15" s="134">
        <v>1.9099743535401073</v>
      </c>
      <c r="X15" s="134">
        <v>1.8007351587024314</v>
      </c>
      <c r="Y15" s="134">
        <v>1.6904145869281078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113.45976560321438</v>
      </c>
      <c r="C16" s="130">
        <f t="shared" si="6"/>
        <v>119.44099466309491</v>
      </c>
      <c r="D16" s="130">
        <f t="shared" si="6"/>
        <v>112.44933515334239</v>
      </c>
      <c r="E16" s="130">
        <f t="shared" si="6"/>
        <v>165.53284852786771</v>
      </c>
      <c r="F16" s="130">
        <f t="shared" si="6"/>
        <v>139.16676974245738</v>
      </c>
      <c r="G16" s="130">
        <f t="shared" si="6"/>
        <v>160.63816717942115</v>
      </c>
      <c r="H16" s="130">
        <f t="shared" si="6"/>
        <v>209.23191353671413</v>
      </c>
      <c r="I16" s="130">
        <f t="shared" si="6"/>
        <v>148.68417750719215</v>
      </c>
      <c r="J16" s="130">
        <f t="shared" si="6"/>
        <v>154.85809327330017</v>
      </c>
      <c r="K16" s="130">
        <f t="shared" si="6"/>
        <v>200.06312342300495</v>
      </c>
      <c r="L16" s="130">
        <f t="shared" si="6"/>
        <v>289.96125996099568</v>
      </c>
      <c r="M16" s="130">
        <f t="shared" si="6"/>
        <v>197.56781333465594</v>
      </c>
      <c r="N16" s="130">
        <f t="shared" si="6"/>
        <v>214.70769199020572</v>
      </c>
      <c r="O16" s="130">
        <f t="shared" si="6"/>
        <v>282.86696920314847</v>
      </c>
      <c r="P16" s="130">
        <f t="shared" si="6"/>
        <v>196.76987025981893</v>
      </c>
      <c r="Q16" s="130">
        <f t="shared" si="6"/>
        <v>236.4253206942729</v>
      </c>
      <c r="R16" s="130">
        <f t="shared" ref="R16:W16" si="7">SUM(R17:R18)</f>
        <v>362.93340414085816</v>
      </c>
      <c r="S16" s="130">
        <f t="shared" si="7"/>
        <v>356.89643237280887</v>
      </c>
      <c r="T16" s="130">
        <f t="shared" si="7"/>
        <v>315.12748215690652</v>
      </c>
      <c r="U16" s="130">
        <f t="shared" si="7"/>
        <v>252.58721473216198</v>
      </c>
      <c r="V16" s="130">
        <f t="shared" si="7"/>
        <v>368.30997346551936</v>
      </c>
      <c r="W16" s="130">
        <f t="shared" si="7"/>
        <v>232.52884248211842</v>
      </c>
      <c r="X16" s="130">
        <f t="shared" ref="X16:Y16" si="8">SUM(X17:X18)</f>
        <v>429.2961863640889</v>
      </c>
      <c r="Y16" s="130">
        <f t="shared" si="8"/>
        <v>355.44136996684119</v>
      </c>
      <c r="DA16" s="155" t="s">
        <v>314</v>
      </c>
    </row>
    <row r="17" spans="1:105" ht="12.95" customHeight="1" x14ac:dyDescent="0.25">
      <c r="A17" s="131" t="s">
        <v>73</v>
      </c>
      <c r="B17" s="132">
        <v>0.25704189955156864</v>
      </c>
      <c r="C17" s="132">
        <v>0.26798778232909587</v>
      </c>
      <c r="D17" s="132">
        <v>0.23063376150943452</v>
      </c>
      <c r="E17" s="132">
        <v>0.31210903148640967</v>
      </c>
      <c r="F17" s="132">
        <v>0.30466506349284572</v>
      </c>
      <c r="G17" s="132">
        <v>0.35791490218920297</v>
      </c>
      <c r="H17" s="132">
        <v>0.49047396196598614</v>
      </c>
      <c r="I17" s="132">
        <v>0.44294113858793421</v>
      </c>
      <c r="J17" s="132">
        <v>0.52993968026400584</v>
      </c>
      <c r="K17" s="132">
        <v>0.82422370105572307</v>
      </c>
      <c r="L17" s="132">
        <v>1.2201894624631602</v>
      </c>
      <c r="M17" s="132">
        <v>0.9579735342249931</v>
      </c>
      <c r="N17" s="132">
        <v>1.1013473667774205</v>
      </c>
      <c r="O17" s="132">
        <v>1.644355863269791</v>
      </c>
      <c r="P17" s="132">
        <v>1.2820077203957629</v>
      </c>
      <c r="Q17" s="132">
        <v>1.8077336792568397</v>
      </c>
      <c r="R17" s="132">
        <v>3.3630640247240833</v>
      </c>
      <c r="S17" s="132">
        <v>3.6980957664564094</v>
      </c>
      <c r="T17" s="132">
        <v>3.5929929493053638</v>
      </c>
      <c r="U17" s="132">
        <v>3.2366246187451932</v>
      </c>
      <c r="V17" s="132">
        <v>4.7150737462125845</v>
      </c>
      <c r="W17" s="132">
        <v>3.1582819105009268</v>
      </c>
      <c r="X17" s="132">
        <v>6.0073663014242795</v>
      </c>
      <c r="Y17" s="132">
        <v>5.0953176858953402</v>
      </c>
      <c r="DA17" s="156" t="s">
        <v>315</v>
      </c>
    </row>
    <row r="18" spans="1:105" ht="12" customHeight="1" x14ac:dyDescent="0.25">
      <c r="A18" s="131" t="s">
        <v>72</v>
      </c>
      <c r="B18" s="132">
        <v>113.20272370366281</v>
      </c>
      <c r="C18" s="132">
        <v>119.17300688076581</v>
      </c>
      <c r="D18" s="132">
        <v>112.21870139183295</v>
      </c>
      <c r="E18" s="132">
        <v>165.2207394963813</v>
      </c>
      <c r="F18" s="132">
        <v>138.86210467896453</v>
      </c>
      <c r="G18" s="132">
        <v>160.28025227723194</v>
      </c>
      <c r="H18" s="132">
        <v>208.74143957474814</v>
      </c>
      <c r="I18" s="132">
        <v>148.24123636860421</v>
      </c>
      <c r="J18" s="132">
        <v>154.32815359303618</v>
      </c>
      <c r="K18" s="132">
        <v>199.23889972194922</v>
      </c>
      <c r="L18" s="132">
        <v>288.74107049853251</v>
      </c>
      <c r="M18" s="132">
        <v>196.60983980043093</v>
      </c>
      <c r="N18" s="132">
        <v>213.6063446234283</v>
      </c>
      <c r="O18" s="132">
        <v>281.22261333987871</v>
      </c>
      <c r="P18" s="132">
        <v>195.48786253942316</v>
      </c>
      <c r="Q18" s="132">
        <v>234.61758701501606</v>
      </c>
      <c r="R18" s="132">
        <v>359.57034011613405</v>
      </c>
      <c r="S18" s="132">
        <v>353.19833660635248</v>
      </c>
      <c r="T18" s="132">
        <v>311.53448920760115</v>
      </c>
      <c r="U18" s="132">
        <v>249.35059011341679</v>
      </c>
      <c r="V18" s="132">
        <v>363.5948997193068</v>
      </c>
      <c r="W18" s="132">
        <v>229.37056057161749</v>
      </c>
      <c r="X18" s="132">
        <v>423.28882006266463</v>
      </c>
      <c r="Y18" s="132">
        <v>350.34605228094586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114.40249771234978</v>
      </c>
      <c r="C19" s="130">
        <f t="shared" si="9"/>
        <v>120.40926807312039</v>
      </c>
      <c r="D19" s="130">
        <f t="shared" si="9"/>
        <v>125.11511625015528</v>
      </c>
      <c r="E19" s="130">
        <f t="shared" si="9"/>
        <v>125.83982303549382</v>
      </c>
      <c r="F19" s="130">
        <f t="shared" si="9"/>
        <v>129.5773949391255</v>
      </c>
      <c r="G19" s="130">
        <f t="shared" si="9"/>
        <v>133.13066498348189</v>
      </c>
      <c r="H19" s="130">
        <f t="shared" si="9"/>
        <v>135.00408025397235</v>
      </c>
      <c r="I19" s="130">
        <f t="shared" si="9"/>
        <v>139.88535216649262</v>
      </c>
      <c r="J19" s="130">
        <f t="shared" si="9"/>
        <v>141.98536641484938</v>
      </c>
      <c r="K19" s="130">
        <f t="shared" si="9"/>
        <v>145.34679865578769</v>
      </c>
      <c r="L19" s="130">
        <f t="shared" si="9"/>
        <v>147.21567479153691</v>
      </c>
      <c r="M19" s="130">
        <f t="shared" si="9"/>
        <v>153.68709125719133</v>
      </c>
      <c r="N19" s="130">
        <f t="shared" si="9"/>
        <v>152.54381935962309</v>
      </c>
      <c r="O19" s="130">
        <f t="shared" si="9"/>
        <v>155.17338707410136</v>
      </c>
      <c r="P19" s="130">
        <f t="shared" si="9"/>
        <v>157.78261150535712</v>
      </c>
      <c r="Q19" s="130">
        <f t="shared" si="9"/>
        <v>160.20984798334973</v>
      </c>
      <c r="R19" s="130">
        <f t="shared" ref="R19:W19" si="10">SUM(R20:R27)</f>
        <v>162.38335170325084</v>
      </c>
      <c r="S19" s="130">
        <f t="shared" si="10"/>
        <v>162.05889967785868</v>
      </c>
      <c r="T19" s="130">
        <f t="shared" si="10"/>
        <v>163.0165569956159</v>
      </c>
      <c r="U19" s="130">
        <f t="shared" si="10"/>
        <v>164.70384637589962</v>
      </c>
      <c r="V19" s="130">
        <f t="shared" si="10"/>
        <v>144.16235957418473</v>
      </c>
      <c r="W19" s="130">
        <f t="shared" si="10"/>
        <v>159.03380988079761</v>
      </c>
      <c r="X19" s="130">
        <f t="shared" ref="X19:Y19" si="11">SUM(X20:X27)</f>
        <v>166.92577301693873</v>
      </c>
      <c r="Y19" s="130">
        <f t="shared" si="11"/>
        <v>169.85390626162331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6.6797699024312402</v>
      </c>
      <c r="C21" s="132">
        <v>6.1588791162595378</v>
      </c>
      <c r="D21" s="132">
        <v>5.9127318034450047</v>
      </c>
      <c r="E21" s="132">
        <v>5.7352522910045893</v>
      </c>
      <c r="F21" s="132">
        <v>5.7413918099463412</v>
      </c>
      <c r="G21" s="132">
        <v>5.7098201737882617</v>
      </c>
      <c r="H21" s="132">
        <v>5.6791335377442387</v>
      </c>
      <c r="I21" s="132">
        <v>5.8230529043316386</v>
      </c>
      <c r="J21" s="132">
        <v>5.8230253627299362</v>
      </c>
      <c r="K21" s="132">
        <v>5.919124512303032</v>
      </c>
      <c r="L21" s="132">
        <v>5.7613066873473526</v>
      </c>
      <c r="M21" s="132">
        <v>5.8395127435393706</v>
      </c>
      <c r="N21" s="132">
        <v>5.8089092451246103</v>
      </c>
      <c r="O21" s="132">
        <v>5.7985342911149109</v>
      </c>
      <c r="P21" s="132">
        <v>5.8523404877784522</v>
      </c>
      <c r="Q21" s="132">
        <v>5.9807862275111878</v>
      </c>
      <c r="R21" s="132">
        <v>6.0836492199127186</v>
      </c>
      <c r="S21" s="132">
        <v>6.1255774232313094</v>
      </c>
      <c r="T21" s="132">
        <v>6.1967410711182351</v>
      </c>
      <c r="U21" s="132">
        <v>6.4087049250887222</v>
      </c>
      <c r="V21" s="132">
        <v>6.1988051049813562</v>
      </c>
      <c r="W21" s="132">
        <v>6.0095672575810237</v>
      </c>
      <c r="X21" s="132">
        <v>6.4274446540485677</v>
      </c>
      <c r="Y21" s="132">
        <v>6.1278484685922514</v>
      </c>
      <c r="DA21" s="156" t="s">
        <v>319</v>
      </c>
    </row>
    <row r="22" spans="1:105" ht="12" customHeight="1" x14ac:dyDescent="0.25">
      <c r="A22" s="131" t="s">
        <v>161</v>
      </c>
      <c r="B22" s="132">
        <v>33.080592032909102</v>
      </c>
      <c r="C22" s="132">
        <v>31.329384312265677</v>
      </c>
      <c r="D22" s="132">
        <v>29.165134146746585</v>
      </c>
      <c r="E22" s="132">
        <v>27.84403649455539</v>
      </c>
      <c r="F22" s="132">
        <v>26.633744175783207</v>
      </c>
      <c r="G22" s="132">
        <v>25.930230780907504</v>
      </c>
      <c r="H22" s="132">
        <v>25.502006576581113</v>
      </c>
      <c r="I22" s="132">
        <v>25.022302652694059</v>
      </c>
      <c r="J22" s="132">
        <v>24.08013992916803</v>
      </c>
      <c r="K22" s="132">
        <v>23.097381829131763</v>
      </c>
      <c r="L22" s="132">
        <v>22.847264049598721</v>
      </c>
      <c r="M22" s="132">
        <v>23.329017170452801</v>
      </c>
      <c r="N22" s="132">
        <v>23.391653195437954</v>
      </c>
      <c r="O22" s="132">
        <v>24.0940221275286</v>
      </c>
      <c r="P22" s="132">
        <v>24.091690940985462</v>
      </c>
      <c r="Q22" s="132">
        <v>24.324501024426272</v>
      </c>
      <c r="R22" s="132">
        <v>24.260167077057702</v>
      </c>
      <c r="S22" s="132">
        <v>25.077559711223504</v>
      </c>
      <c r="T22" s="132">
        <v>26.081265444814729</v>
      </c>
      <c r="U22" s="132">
        <v>26.914929318681601</v>
      </c>
      <c r="V22" s="132">
        <v>25.99135401517621</v>
      </c>
      <c r="W22" s="132">
        <v>28.572580472648713</v>
      </c>
      <c r="X22" s="132">
        <v>29.724757846568146</v>
      </c>
      <c r="Y22" s="132">
        <v>29.476619896306754</v>
      </c>
      <c r="DA22" s="156" t="s">
        <v>320</v>
      </c>
    </row>
    <row r="23" spans="1:105" ht="12" customHeight="1" x14ac:dyDescent="0.25">
      <c r="A23" s="131" t="s">
        <v>149</v>
      </c>
      <c r="B23" s="132">
        <v>8.6904002210118634</v>
      </c>
      <c r="C23" s="132">
        <v>9.3492658158543716</v>
      </c>
      <c r="D23" s="132">
        <v>9.7470512981142736</v>
      </c>
      <c r="E23" s="132">
        <v>10.005087198777565</v>
      </c>
      <c r="F23" s="132">
        <v>10.442016416777438</v>
      </c>
      <c r="G23" s="132">
        <v>11.252385580145514</v>
      </c>
      <c r="H23" s="132">
        <v>12.234159288577013</v>
      </c>
      <c r="I23" s="132">
        <v>13.843507828910431</v>
      </c>
      <c r="J23" s="132">
        <v>14.973236035904865</v>
      </c>
      <c r="K23" s="132">
        <v>15.952854130894051</v>
      </c>
      <c r="L23" s="132">
        <v>17.438069514957768</v>
      </c>
      <c r="M23" s="132">
        <v>18.951400330572294</v>
      </c>
      <c r="N23" s="132">
        <v>20.237559552607674</v>
      </c>
      <c r="O23" s="132">
        <v>21.374281162712737</v>
      </c>
      <c r="P23" s="132">
        <v>21.904494470866485</v>
      </c>
      <c r="Q23" s="132">
        <v>23.056484971679978</v>
      </c>
      <c r="R23" s="132">
        <v>25.189101542387249</v>
      </c>
      <c r="S23" s="132">
        <v>27.301788910099066</v>
      </c>
      <c r="T23" s="132">
        <v>28.777876546826921</v>
      </c>
      <c r="U23" s="132">
        <v>29.967857735736985</v>
      </c>
      <c r="V23" s="132">
        <v>25.287059513292682</v>
      </c>
      <c r="W23" s="132">
        <v>28.627255155565837</v>
      </c>
      <c r="X23" s="132">
        <v>29.513863076982229</v>
      </c>
      <c r="Y23" s="132">
        <v>30.990194511351536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0.94228420192135509</v>
      </c>
      <c r="C25" s="132">
        <v>1.4945347575195924</v>
      </c>
      <c r="D25" s="132">
        <v>1.8794647660288897</v>
      </c>
      <c r="E25" s="132">
        <v>2.1245569215340065</v>
      </c>
      <c r="F25" s="132">
        <v>2.0378309956298928</v>
      </c>
      <c r="G25" s="132">
        <v>1.7198651582352051</v>
      </c>
      <c r="H25" s="132">
        <v>1.7419568207679823</v>
      </c>
      <c r="I25" s="132">
        <v>1.9395792467440711</v>
      </c>
      <c r="J25" s="132">
        <v>1.2004009994684048</v>
      </c>
      <c r="K25" s="132">
        <v>1.3406158806167014</v>
      </c>
      <c r="L25" s="132">
        <v>1.2903936864605026</v>
      </c>
      <c r="M25" s="132">
        <v>1.3588927236156794</v>
      </c>
      <c r="N25" s="132">
        <v>1.8689943789376411</v>
      </c>
      <c r="O25" s="132">
        <v>2.3613205951260854</v>
      </c>
      <c r="P25" s="132">
        <v>2.4385674152338948</v>
      </c>
      <c r="Q25" s="132">
        <v>2.6072191952504333</v>
      </c>
      <c r="R25" s="132">
        <v>2.4850209099676364</v>
      </c>
      <c r="S25" s="132">
        <v>2.579849076392799</v>
      </c>
      <c r="T25" s="132">
        <v>2.4219568290334563</v>
      </c>
      <c r="U25" s="132">
        <v>1.8681486507085141</v>
      </c>
      <c r="V25" s="132">
        <v>1.4930671856199711</v>
      </c>
      <c r="W25" s="132">
        <v>1.5653991455248217</v>
      </c>
      <c r="X25" s="132">
        <v>1.3426717108105282</v>
      </c>
      <c r="Y25" s="132">
        <v>0.79197384553989736</v>
      </c>
      <c r="DA25" s="156" t="s">
        <v>323</v>
      </c>
    </row>
    <row r="26" spans="1:105" ht="12" customHeight="1" x14ac:dyDescent="0.25">
      <c r="A26" s="131" t="s">
        <v>24</v>
      </c>
      <c r="B26" s="65">
        <v>57.676863219940373</v>
      </c>
      <c r="C26" s="65">
        <v>64.505750932786128</v>
      </c>
      <c r="D26" s="65">
        <v>70.600502077609022</v>
      </c>
      <c r="E26" s="65">
        <v>72.05788926977705</v>
      </c>
      <c r="F26" s="65">
        <v>76.41054567684418</v>
      </c>
      <c r="G26" s="65">
        <v>79.609420900035673</v>
      </c>
      <c r="H26" s="65">
        <v>80.48405532866829</v>
      </c>
      <c r="I26" s="65">
        <v>83.105920711800366</v>
      </c>
      <c r="J26" s="65">
        <v>83.822923502883398</v>
      </c>
      <c r="K26" s="65">
        <v>85.088241047468117</v>
      </c>
      <c r="L26" s="65">
        <v>80.651555728495012</v>
      </c>
      <c r="M26" s="65">
        <v>80.419188323404995</v>
      </c>
      <c r="N26" s="65">
        <v>74.294914509441256</v>
      </c>
      <c r="O26" s="65">
        <v>72.453827349897622</v>
      </c>
      <c r="P26" s="65">
        <v>72.756051294534089</v>
      </c>
      <c r="Q26" s="65">
        <v>72.139996719254</v>
      </c>
      <c r="R26" s="65">
        <v>70.783641672756147</v>
      </c>
      <c r="S26" s="65">
        <v>65.787022235329928</v>
      </c>
      <c r="T26" s="65">
        <v>62.509482366075368</v>
      </c>
      <c r="U26" s="65">
        <v>61.011961549639011</v>
      </c>
      <c r="V26" s="65">
        <v>44.91528957626673</v>
      </c>
      <c r="W26" s="65">
        <v>52.067004410096295</v>
      </c>
      <c r="X26" s="65">
        <v>53.808179322682307</v>
      </c>
      <c r="Y26" s="65">
        <v>55.923331448689318</v>
      </c>
      <c r="DA26" s="109" t="s">
        <v>324</v>
      </c>
    </row>
    <row r="27" spans="1:105" ht="12" customHeight="1" x14ac:dyDescent="0.25">
      <c r="A27" s="144" t="s">
        <v>26</v>
      </c>
      <c r="B27" s="145">
        <v>7.3325881341358565</v>
      </c>
      <c r="C27" s="145">
        <v>7.5714531384350803</v>
      </c>
      <c r="D27" s="145">
        <v>7.8102321582115231</v>
      </c>
      <c r="E27" s="145">
        <v>8.0730008598452265</v>
      </c>
      <c r="F27" s="145">
        <v>8.3118658641444512</v>
      </c>
      <c r="G27" s="145">
        <v>8.9089423903697273</v>
      </c>
      <c r="H27" s="145">
        <v>9.3627687016337031</v>
      </c>
      <c r="I27" s="145">
        <v>10.150988822012044</v>
      </c>
      <c r="J27" s="145">
        <v>12.085640584694749</v>
      </c>
      <c r="K27" s="145">
        <v>13.948581255374032</v>
      </c>
      <c r="L27" s="145">
        <v>19.227085124677547</v>
      </c>
      <c r="M27" s="145">
        <v>23.789079965606188</v>
      </c>
      <c r="N27" s="145">
        <v>26.941788478073939</v>
      </c>
      <c r="O27" s="145">
        <v>29.091401547721404</v>
      </c>
      <c r="P27" s="145">
        <v>30.739466895958735</v>
      </c>
      <c r="Q27" s="145">
        <v>32.100859845227859</v>
      </c>
      <c r="R27" s="145">
        <v>33.581771281169381</v>
      </c>
      <c r="S27" s="145">
        <v>35.187102321582081</v>
      </c>
      <c r="T27" s="145">
        <v>37.029234737747196</v>
      </c>
      <c r="U27" s="145">
        <v>38.532244196044793</v>
      </c>
      <c r="V27" s="145">
        <v>40.276784178847784</v>
      </c>
      <c r="W27" s="145">
        <v>42.192003439380926</v>
      </c>
      <c r="X27" s="145">
        <v>46.108856405846943</v>
      </c>
      <c r="Y27" s="145">
        <v>46.543938091143566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103.9770852177605</v>
      </c>
      <c r="C29" s="130">
        <f t="shared" si="12"/>
        <v>112.24443528023991</v>
      </c>
      <c r="D29" s="130">
        <f t="shared" si="12"/>
        <v>123.00890390812731</v>
      </c>
      <c r="E29" s="130">
        <f t="shared" si="12"/>
        <v>128.24600670340848</v>
      </c>
      <c r="F29" s="130">
        <f t="shared" si="12"/>
        <v>131.7958772040495</v>
      </c>
      <c r="G29" s="130">
        <f t="shared" si="12"/>
        <v>134.25645005477099</v>
      </c>
      <c r="H29" s="130">
        <f t="shared" si="12"/>
        <v>139.83956151110254</v>
      </c>
      <c r="I29" s="130">
        <f t="shared" si="12"/>
        <v>142.15949092717818</v>
      </c>
      <c r="J29" s="130">
        <f t="shared" si="12"/>
        <v>147.85930368229685</v>
      </c>
      <c r="K29" s="130">
        <f t="shared" si="12"/>
        <v>147.26332166572024</v>
      </c>
      <c r="L29" s="130">
        <f t="shared" si="12"/>
        <v>150.28930114304126</v>
      </c>
      <c r="M29" s="130">
        <f t="shared" si="12"/>
        <v>149.81169006770079</v>
      </c>
      <c r="N29" s="130">
        <f t="shared" si="12"/>
        <v>149.94763653719994</v>
      </c>
      <c r="O29" s="130">
        <f t="shared" si="12"/>
        <v>140.26978727484854</v>
      </c>
      <c r="P29" s="130">
        <f t="shared" si="12"/>
        <v>150.71951052737128</v>
      </c>
      <c r="Q29" s="130">
        <f t="shared" si="12"/>
        <v>153.31992480490226</v>
      </c>
      <c r="R29" s="130">
        <f t="shared" ref="R29:W29" si="13">SUM(R30:R33)</f>
        <v>157.59193852421737</v>
      </c>
      <c r="S29" s="130">
        <f t="shared" si="13"/>
        <v>163.06645766011187</v>
      </c>
      <c r="T29" s="130">
        <f t="shared" si="13"/>
        <v>166.09847329930119</v>
      </c>
      <c r="U29" s="130">
        <f t="shared" si="13"/>
        <v>167.63420083833023</v>
      </c>
      <c r="V29" s="130">
        <f t="shared" si="13"/>
        <v>159.22184593297595</v>
      </c>
      <c r="W29" s="130">
        <f t="shared" si="13"/>
        <v>164.02063551019125</v>
      </c>
      <c r="X29" s="130">
        <f t="shared" ref="X29:Y29" si="14">SUM(X30:X33)</f>
        <v>173.86575553893493</v>
      </c>
      <c r="Y29" s="130">
        <f t="shared" si="14"/>
        <v>177.31773964602746</v>
      </c>
      <c r="DA29" s="155" t="s">
        <v>326</v>
      </c>
    </row>
    <row r="30" spans="1:105" ht="12" customHeight="1" x14ac:dyDescent="0.25">
      <c r="A30" s="131" t="s">
        <v>52</v>
      </c>
      <c r="B30" s="132">
        <v>21.874715790295589</v>
      </c>
      <c r="C30" s="132">
        <v>15.435373419142726</v>
      </c>
      <c r="D30" s="132">
        <v>26.249421045110132</v>
      </c>
      <c r="E30" s="132">
        <v>29.439443527932447</v>
      </c>
      <c r="F30" s="132">
        <v>35.410181389198797</v>
      </c>
      <c r="G30" s="132">
        <v>53.790952311572809</v>
      </c>
      <c r="H30" s="132">
        <v>48.033826382268479</v>
      </c>
      <c r="I30" s="132">
        <v>51.098282652614515</v>
      </c>
      <c r="J30" s="132">
        <v>58.075882406778121</v>
      </c>
      <c r="K30" s="132">
        <v>54.049810365340853</v>
      </c>
      <c r="L30" s="132">
        <v>22.074303088268241</v>
      </c>
      <c r="M30" s="132">
        <v>21.487091646382126</v>
      </c>
      <c r="N30" s="132">
        <v>18.728248559623776</v>
      </c>
      <c r="O30" s="132">
        <v>19.444778989948382</v>
      </c>
      <c r="P30" s="132">
        <v>34.514093517998127</v>
      </c>
      <c r="Q30" s="132">
        <v>37.472508105325808</v>
      </c>
      <c r="R30" s="132">
        <v>34.719859394623548</v>
      </c>
      <c r="S30" s="132">
        <v>35.015743730727152</v>
      </c>
      <c r="T30" s="132">
        <v>47.388270519830094</v>
      </c>
      <c r="U30" s="132">
        <v>44.788640003274502</v>
      </c>
      <c r="V30" s="132">
        <v>28.590135973364244</v>
      </c>
      <c r="W30" s="132">
        <v>24.459989055286172</v>
      </c>
      <c r="X30" s="132">
        <v>35.853606167145969</v>
      </c>
      <c r="Y30" s="132">
        <v>36.705631036109665</v>
      </c>
      <c r="DA30" s="156" t="s">
        <v>327</v>
      </c>
    </row>
    <row r="31" spans="1:105" ht="12" customHeight="1" x14ac:dyDescent="0.25">
      <c r="A31" s="131" t="s">
        <v>149</v>
      </c>
      <c r="B31" s="132">
        <v>7.5813337303932906</v>
      </c>
      <c r="C31" s="132">
        <v>8.1361663301926903</v>
      </c>
      <c r="D31" s="132">
        <v>9.0540839176457322</v>
      </c>
      <c r="E31" s="132">
        <v>9.4548018101305384</v>
      </c>
      <c r="F31" s="132">
        <v>10.868808907948607</v>
      </c>
      <c r="G31" s="132">
        <v>11.930740222711854</v>
      </c>
      <c r="H31" s="132">
        <v>12.632158453630044</v>
      </c>
      <c r="I31" s="132">
        <v>13.129852812847762</v>
      </c>
      <c r="J31" s="132">
        <v>13.540766876219362</v>
      </c>
      <c r="K31" s="132">
        <v>15.290549241339788</v>
      </c>
      <c r="L31" s="132">
        <v>19.370335438232139</v>
      </c>
      <c r="M31" s="132">
        <v>20.407917689907947</v>
      </c>
      <c r="N31" s="132">
        <v>21.218262929469471</v>
      </c>
      <c r="O31" s="132">
        <v>26.791850983763403</v>
      </c>
      <c r="P31" s="132">
        <v>26.748736616692156</v>
      </c>
      <c r="Q31" s="132">
        <v>30.16838903170461</v>
      </c>
      <c r="R31" s="132">
        <v>31.61482157253095</v>
      </c>
      <c r="S31" s="132">
        <v>32.687005914918359</v>
      </c>
      <c r="T31" s="132">
        <v>34.010127871308576</v>
      </c>
      <c r="U31" s="132">
        <v>36.19106397370502</v>
      </c>
      <c r="V31" s="132">
        <v>34.071974831220523</v>
      </c>
      <c r="W31" s="132">
        <v>31.921300427975346</v>
      </c>
      <c r="X31" s="132">
        <v>29.144502443302699</v>
      </c>
      <c r="Y31" s="132">
        <v>30.192975690522925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21.423164595316525</v>
      </c>
      <c r="O32" s="132">
        <v>12.530637029802902</v>
      </c>
      <c r="P32" s="132">
        <v>12.530637382746928</v>
      </c>
      <c r="Q32" s="132">
        <v>12.53063810011248</v>
      </c>
      <c r="R32" s="132">
        <v>10.105338985573018</v>
      </c>
      <c r="S32" s="132">
        <v>10.695891205543047</v>
      </c>
      <c r="T32" s="132">
        <v>11.194299126573551</v>
      </c>
      <c r="U32" s="132">
        <v>10.39590501853181</v>
      </c>
      <c r="V32" s="132">
        <v>7.045389157383303</v>
      </c>
      <c r="W32" s="132">
        <v>8.9858426805812908</v>
      </c>
      <c r="X32" s="132">
        <v>9.3234660829887357</v>
      </c>
      <c r="Y32" s="132">
        <v>9.7748259558477173</v>
      </c>
      <c r="DA32" s="156" t="s">
        <v>329</v>
      </c>
    </row>
    <row r="33" spans="1:105" ht="12" customHeight="1" x14ac:dyDescent="0.25">
      <c r="A33" s="62" t="s">
        <v>24</v>
      </c>
      <c r="B33" s="68">
        <v>74.521035697071625</v>
      </c>
      <c r="C33" s="68">
        <v>88.672895530904498</v>
      </c>
      <c r="D33" s="68">
        <v>87.705398945371442</v>
      </c>
      <c r="E33" s="68">
        <v>89.351761365345496</v>
      </c>
      <c r="F33" s="68">
        <v>85.516886906902101</v>
      </c>
      <c r="G33" s="68">
        <v>68.534757520486323</v>
      </c>
      <c r="H33" s="68">
        <v>79.173576675204004</v>
      </c>
      <c r="I33" s="68">
        <v>77.931355461715896</v>
      </c>
      <c r="J33" s="68">
        <v>76.242654399299369</v>
      </c>
      <c r="K33" s="68">
        <v>77.922962059039605</v>
      </c>
      <c r="L33" s="68">
        <v>108.84466261654087</v>
      </c>
      <c r="M33" s="68">
        <v>107.91668073141072</v>
      </c>
      <c r="N33" s="68">
        <v>88.577960452790165</v>
      </c>
      <c r="O33" s="68">
        <v>81.50252027133385</v>
      </c>
      <c r="P33" s="68">
        <v>76.926043009934077</v>
      </c>
      <c r="Q33" s="68">
        <v>73.148389567759338</v>
      </c>
      <c r="R33" s="68">
        <v>81.151918571489858</v>
      </c>
      <c r="S33" s="68">
        <v>84.667816808923305</v>
      </c>
      <c r="T33" s="68">
        <v>73.505775781588966</v>
      </c>
      <c r="U33" s="68">
        <v>76.258591842818888</v>
      </c>
      <c r="V33" s="68">
        <v>89.514345971007899</v>
      </c>
      <c r="W33" s="68">
        <v>98.65350334634843</v>
      </c>
      <c r="X33" s="68">
        <v>99.54418084549755</v>
      </c>
      <c r="Y33" s="68">
        <v>100.64430696354714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0.64718467961425308</v>
      </c>
      <c r="C3" s="126">
        <f>IF(SER_hh_tes!C3=0,"",SER_hh_tes!C3/SER_hh_fec!C3)</f>
        <v>0.64963369286604722</v>
      </c>
      <c r="D3" s="126">
        <f>IF(SER_hh_tes!D3=0,"",SER_hh_tes!D3/SER_hh_fec!D3)</f>
        <v>0.64615575017487736</v>
      </c>
      <c r="E3" s="126">
        <f>IF(SER_hh_tes!E3=0,"",SER_hh_tes!E3/SER_hh_fec!E3)</f>
        <v>0.69948117056674541</v>
      </c>
      <c r="F3" s="126">
        <f>IF(SER_hh_tes!F3=0,"",SER_hh_tes!F3/SER_hh_fec!F3)</f>
        <v>0.6709477453356536</v>
      </c>
      <c r="G3" s="126">
        <f>IF(SER_hh_tes!G3=0,"",SER_hh_tes!G3/SER_hh_fec!G3)</f>
        <v>0.69707685092863358</v>
      </c>
      <c r="H3" s="126">
        <f>IF(SER_hh_tes!H3=0,"",SER_hh_tes!H3/SER_hh_fec!H3)</f>
        <v>0.75669814777946542</v>
      </c>
      <c r="I3" s="126">
        <f>IF(SER_hh_tes!I3=0,"",SER_hh_tes!I3/SER_hh_fec!I3)</f>
        <v>0.76441932910280985</v>
      </c>
      <c r="J3" s="126">
        <f>IF(SER_hh_tes!J3=0,"",SER_hh_tes!J3/SER_hh_fec!J3)</f>
        <v>0.84219565956066078</v>
      </c>
      <c r="K3" s="126">
        <f>IF(SER_hh_tes!K3=0,"",SER_hh_tes!K3/SER_hh_fec!K3)</f>
        <v>0.86311114583336168</v>
      </c>
      <c r="L3" s="126">
        <f>IF(SER_hh_tes!L3=0,"",SER_hh_tes!L3/SER_hh_fec!L3)</f>
        <v>1.0389257609401663</v>
      </c>
      <c r="M3" s="126">
        <f>IF(SER_hh_tes!M3=0,"",SER_hh_tes!M3/SER_hh_fec!M3)</f>
        <v>1.0311122920842744</v>
      </c>
      <c r="N3" s="126">
        <f>IF(SER_hh_tes!N3=0,"",SER_hh_tes!N3/SER_hh_fec!N3)</f>
        <v>1.1171717942793744</v>
      </c>
      <c r="O3" s="126">
        <f>IF(SER_hh_tes!O3=0,"",SER_hh_tes!O3/SER_hh_fec!O3)</f>
        <v>1.2369497918138628</v>
      </c>
      <c r="P3" s="126">
        <f>IF(SER_hh_tes!P3=0,"",SER_hh_tes!P3/SER_hh_fec!P3)</f>
        <v>1.1906908143409587</v>
      </c>
      <c r="Q3" s="126">
        <f>IF(SER_hh_tes!Q3=0,"",SER_hh_tes!Q3/SER_hh_fec!Q3)</f>
        <v>1.1935719160081351</v>
      </c>
      <c r="R3" s="126">
        <f>IF(SER_hh_tes!R3=0,"",SER_hh_tes!R3/SER_hh_fec!R3)</f>
        <v>1.3225318633866177</v>
      </c>
      <c r="S3" s="126">
        <f>IF(SER_hh_tes!S3=0,"",SER_hh_tes!S3/SER_hh_fec!S3)</f>
        <v>1.3430938476622269</v>
      </c>
      <c r="T3" s="126">
        <f>IF(SER_hh_tes!T3=0,"",SER_hh_tes!T3/SER_hh_fec!T3)</f>
        <v>1.2938098192345757</v>
      </c>
      <c r="U3" s="126">
        <f>IF(SER_hh_tes!U3=0,"",SER_hh_tes!U3/SER_hh_fec!U3)</f>
        <v>1.2914469791065211</v>
      </c>
      <c r="V3" s="126">
        <f>IF(SER_hh_tes!V3=0,"",SER_hh_tes!V3/SER_hh_fec!V3)</f>
        <v>1.5248149863266998</v>
      </c>
      <c r="W3" s="126">
        <f>IF(SER_hh_tes!W3=0,"",SER_hh_tes!W3/SER_hh_fec!W3)</f>
        <v>1.428265756358065</v>
      </c>
      <c r="X3" s="126">
        <f>IF(SER_hh_tes!X3=0,"",SER_hh_tes!X3/SER_hh_fec!X3)</f>
        <v>1.5533210726545192</v>
      </c>
      <c r="Y3" s="126">
        <f>IF(SER_hh_tes!Y3=0,"",SER_hh_tes!Y3/SER_hh_fec!Y3)</f>
        <v>1.5177852752869923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0.51611651216390153</v>
      </c>
      <c r="C4" s="135">
        <f>IF(SER_hh_tes!C4=0,"",SER_hh_tes!C4/SER_hh_fec!C4)</f>
        <v>0.51972745744668425</v>
      </c>
      <c r="D4" s="135">
        <f>IF(SER_hh_tes!D4=0,"",SER_hh_tes!D4/SER_hh_fec!D4)</f>
        <v>0.53280458551846399</v>
      </c>
      <c r="E4" s="135">
        <f>IF(SER_hh_tes!E4=0,"",SER_hh_tes!E4/SER_hh_fec!E4)</f>
        <v>0.57657938143368992</v>
      </c>
      <c r="F4" s="135">
        <f>IF(SER_hh_tes!F4=0,"",SER_hh_tes!F4/SER_hh_fec!F4)</f>
        <v>0.57769450822105695</v>
      </c>
      <c r="G4" s="135">
        <f>IF(SER_hh_tes!G4=0,"",SER_hh_tes!G4/SER_hh_fec!G4)</f>
        <v>0.61686508141463081</v>
      </c>
      <c r="H4" s="135">
        <f>IF(SER_hh_tes!H4=0,"",SER_hh_tes!H4/SER_hh_fec!H4)</f>
        <v>0.66731470613247112</v>
      </c>
      <c r="I4" s="135">
        <f>IF(SER_hh_tes!I4=0,"",SER_hh_tes!I4/SER_hh_fec!I4)</f>
        <v>0.72732291989297093</v>
      </c>
      <c r="J4" s="135">
        <f>IF(SER_hh_tes!J4=0,"",SER_hh_tes!J4/SER_hh_fec!J4)</f>
        <v>0.85000026978302612</v>
      </c>
      <c r="K4" s="135">
        <f>IF(SER_hh_tes!K4=0,"",SER_hh_tes!K4/SER_hh_fec!K4)</f>
        <v>0.83965886882276619</v>
      </c>
      <c r="L4" s="135">
        <f>IF(SER_hh_tes!L4=0,"",SER_hh_tes!L4/SER_hh_fec!L4)</f>
        <v>1.0449425006640172</v>
      </c>
      <c r="M4" s="135">
        <f>IF(SER_hh_tes!M4=0,"",SER_hh_tes!M4/SER_hh_fec!M4)</f>
        <v>1.1249266941446852</v>
      </c>
      <c r="N4" s="135">
        <f>IF(SER_hh_tes!N4=0,"",SER_hh_tes!N4/SER_hh_fec!N4)</f>
        <v>1.2783121779890125</v>
      </c>
      <c r="O4" s="135">
        <f>IF(SER_hh_tes!O4=0,"",SER_hh_tes!O4/SER_hh_fec!O4)</f>
        <v>1.4404966075395926</v>
      </c>
      <c r="P4" s="135">
        <f>IF(SER_hh_tes!P4=0,"",SER_hh_tes!P4/SER_hh_fec!P4)</f>
        <v>1.4232002074120695</v>
      </c>
      <c r="Q4" s="135">
        <f>IF(SER_hh_tes!Q4=0,"",SER_hh_tes!Q4/SER_hh_fec!Q4)</f>
        <v>1.3738084889296458</v>
      </c>
      <c r="R4" s="135">
        <f>IF(SER_hh_tes!R4=0,"",SER_hh_tes!R4/SER_hh_fec!R4)</f>
        <v>1.5155670521243658</v>
      </c>
      <c r="S4" s="135">
        <f>IF(SER_hh_tes!S4=0,"",SER_hh_tes!S4/SER_hh_fec!S4)</f>
        <v>1.5507762707261665</v>
      </c>
      <c r="T4" s="135">
        <f>IF(SER_hh_tes!T4=0,"",SER_hh_tes!T4/SER_hh_fec!T4)</f>
        <v>1.4670839823350408</v>
      </c>
      <c r="U4" s="135">
        <f>IF(SER_hh_tes!U4=0,"",SER_hh_tes!U4/SER_hh_fec!U4)</f>
        <v>1.5130102294419343</v>
      </c>
      <c r="V4" s="135">
        <f>IF(SER_hh_tes!V4=0,"",SER_hh_tes!V4/SER_hh_fec!V4)</f>
        <v>1.806592992209155</v>
      </c>
      <c r="W4" s="135">
        <f>IF(SER_hh_tes!W4=0,"",SER_hh_tes!W4/SER_hh_fec!W4)</f>
        <v>1.7533723177612728</v>
      </c>
      <c r="X4" s="135">
        <f>IF(SER_hh_tes!X4=0,"",SER_hh_tes!X4/SER_hh_fec!X4)</f>
        <v>1.7717857310668477</v>
      </c>
      <c r="Y4" s="135">
        <f>IF(SER_hh_tes!Y4=0,"",SER_hh_tes!Y4/SER_hh_fec!Y4)</f>
        <v>1.7621449387167381</v>
      </c>
      <c r="DA4" s="162" t="s">
        <v>240</v>
      </c>
    </row>
    <row r="5" spans="1:105" ht="12" customHeight="1" x14ac:dyDescent="0.25">
      <c r="A5" s="131" t="s">
        <v>29</v>
      </c>
      <c r="B5" s="136" t="str">
        <f>IF(SER_hh_tes!B5=0,"",SER_hh_tes!B5/SER_hh_fec!B5)</f>
        <v/>
      </c>
      <c r="C5" s="136" t="str">
        <f>IF(SER_hh_tes!C5=0,"",SER_hh_tes!C5/SER_hh_fec!C5)</f>
        <v/>
      </c>
      <c r="D5" s="136" t="str">
        <f>IF(SER_hh_tes!D5=0,"",SER_hh_tes!D5/SER_hh_fec!D5)</f>
        <v/>
      </c>
      <c r="E5" s="136" t="str">
        <f>IF(SER_hh_tes!E5=0,"",SER_hh_tes!E5/SER_hh_fec!E5)</f>
        <v/>
      </c>
      <c r="F5" s="136" t="str">
        <f>IF(SER_hh_tes!F5=0,"",SER_hh_tes!F5/SER_hh_fec!F5)</f>
        <v/>
      </c>
      <c r="G5" s="136" t="str">
        <f>IF(SER_hh_tes!G5=0,"",SER_hh_tes!G5/SER_hh_fec!G5)</f>
        <v/>
      </c>
      <c r="H5" s="136" t="str">
        <f>IF(SER_hh_tes!H5=0,"",SER_hh_tes!H5/SER_hh_fec!H5)</f>
        <v/>
      </c>
      <c r="I5" s="136" t="str">
        <f>IF(SER_hh_tes!I5=0,"",SER_hh_tes!I5/SER_hh_fec!I5)</f>
        <v/>
      </c>
      <c r="J5" s="136" t="str">
        <f>IF(SER_hh_tes!J5=0,"",SER_hh_tes!J5/SER_hh_fec!J5)</f>
        <v/>
      </c>
      <c r="K5" s="136" t="str">
        <f>IF(SER_hh_tes!K5=0,"",SER_hh_tes!K5/SER_hh_fec!K5)</f>
        <v/>
      </c>
      <c r="L5" s="136" t="str">
        <f>IF(SER_hh_tes!L5=0,"",SER_hh_tes!L5/SER_hh_fec!L5)</f>
        <v/>
      </c>
      <c r="M5" s="136" t="str">
        <f>IF(SER_hh_tes!M5=0,"",SER_hh_tes!M5/SER_hh_fec!M5)</f>
        <v/>
      </c>
      <c r="N5" s="136" t="str">
        <f>IF(SER_hh_tes!N5=0,"",SER_hh_tes!N5/SER_hh_fec!N5)</f>
        <v/>
      </c>
      <c r="O5" s="136" t="str">
        <f>IF(SER_hh_tes!O5=0,"",SER_hh_tes!O5/SER_hh_fec!O5)</f>
        <v/>
      </c>
      <c r="P5" s="136" t="str">
        <f>IF(SER_hh_tes!P5=0,"",SER_hh_tes!P5/SER_hh_fec!P5)</f>
        <v/>
      </c>
      <c r="Q5" s="136" t="str">
        <f>IF(SER_hh_tes!Q5=0,"",SER_hh_tes!Q5/SER_hh_fec!Q5)</f>
        <v/>
      </c>
      <c r="R5" s="136" t="str">
        <f>IF(SER_hh_tes!R5=0,"",SER_hh_tes!R5/SER_hh_fec!R5)</f>
        <v/>
      </c>
      <c r="S5" s="136" t="str">
        <f>IF(SER_hh_tes!S5=0,"",SER_hh_tes!S5/SER_hh_fec!S5)</f>
        <v/>
      </c>
      <c r="T5" s="136" t="str">
        <f>IF(SER_hh_tes!T5=0,"",SER_hh_tes!T5/SER_hh_fec!T5)</f>
        <v/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 t="str">
        <f>IF(SER_hh_tes!X5=0,"",SER_hh_tes!X5/SER_hh_fec!X5)</f>
        <v/>
      </c>
      <c r="Y5" s="136" t="str">
        <f>IF(SER_hh_tes!Y5=0,"",SER_hh_tes!Y5/SER_hh_fec!Y5)</f>
        <v/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0.43379426357874301</v>
      </c>
      <c r="C7" s="136">
        <f>IF(SER_hh_tes!C7=0,"",SER_hh_tes!C7/SER_hh_fec!C7)</f>
        <v>0.43882268486527498</v>
      </c>
      <c r="D7" s="136">
        <f>IF(SER_hh_tes!D7=0,"",SER_hh_tes!D7/SER_hh_fec!D7)</f>
        <v>0.44036498416668474</v>
      </c>
      <c r="E7" s="136">
        <f>IF(SER_hh_tes!E7=0,"",SER_hh_tes!E7/SER_hh_fec!E7)</f>
        <v>0.44187091557474772</v>
      </c>
      <c r="F7" s="136">
        <f>IF(SER_hh_tes!F7=0,"",SER_hh_tes!F7/SER_hh_fec!F7)</f>
        <v>0.44486975944105628</v>
      </c>
      <c r="G7" s="136">
        <f>IF(SER_hh_tes!G7=0,"",SER_hh_tes!G7/SER_hh_fec!G7)</f>
        <v>0.44711634807585326</v>
      </c>
      <c r="H7" s="136">
        <f>IF(SER_hh_tes!H7=0,"",SER_hh_tes!H7/SER_hh_fec!H7)</f>
        <v>0.44845958416307485</v>
      </c>
      <c r="I7" s="136">
        <f>IF(SER_hh_tes!I7=0,"",SER_hh_tes!I7/SER_hh_fec!I7)</f>
        <v>0.45001452700529165</v>
      </c>
      <c r="J7" s="136">
        <f>IF(SER_hh_tes!J7=0,"",SER_hh_tes!J7/SER_hh_fec!J7)</f>
        <v>0.45132307033536584</v>
      </c>
      <c r="K7" s="136">
        <f>IF(SER_hh_tes!K7=0,"",SER_hh_tes!K7/SER_hh_fec!K7)</f>
        <v>0.45225628920672334</v>
      </c>
      <c r="L7" s="136">
        <f>IF(SER_hh_tes!L7=0,"",SER_hh_tes!L7/SER_hh_fec!L7)</f>
        <v>0.45458727598863663</v>
      </c>
      <c r="M7" s="136">
        <f>IF(SER_hh_tes!M7=0,"",SER_hh_tes!M7/SER_hh_fec!M7)</f>
        <v>0.45771339371289688</v>
      </c>
      <c r="N7" s="136">
        <f>IF(SER_hh_tes!N7=0,"",SER_hh_tes!N7/SER_hh_fec!N7)</f>
        <v>0.465919074262167</v>
      </c>
      <c r="O7" s="136">
        <f>IF(SER_hh_tes!O7=0,"",SER_hh_tes!O7/SER_hh_fec!O7)</f>
        <v>0.51174965650061799</v>
      </c>
      <c r="P7" s="136">
        <f>IF(SER_hh_tes!P7=0,"",SER_hh_tes!P7/SER_hh_fec!P7)</f>
        <v>0.51174529295445981</v>
      </c>
      <c r="Q7" s="136">
        <f>IF(SER_hh_tes!Q7=0,"",SER_hh_tes!Q7/SER_hh_fec!Q7)</f>
        <v>0.5117452929544597</v>
      </c>
      <c r="R7" s="136">
        <f>IF(SER_hh_tes!R7=0,"",SER_hh_tes!R7/SER_hh_fec!R7)</f>
        <v>0.52519893386203365</v>
      </c>
      <c r="S7" s="136">
        <f>IF(SER_hh_tes!S7=0,"",SER_hh_tes!S7/SER_hh_fec!S7)</f>
        <v>0.5752829146166023</v>
      </c>
      <c r="T7" s="136">
        <f>IF(SER_hh_tes!T7=0,"",SER_hh_tes!T7/SER_hh_fec!T7)</f>
        <v>0.59172872337376681</v>
      </c>
      <c r="U7" s="136">
        <f>IF(SER_hh_tes!U7=0,"",SER_hh_tes!U7/SER_hh_fec!U7)</f>
        <v>0.62465548154165973</v>
      </c>
      <c r="V7" s="136">
        <f>IF(SER_hh_tes!V7=0,"",SER_hh_tes!V7/SER_hh_fec!V7)</f>
        <v>0.6455657751132593</v>
      </c>
      <c r="W7" s="136">
        <f>IF(SER_hh_tes!W7=0,"",SER_hh_tes!W7/SER_hh_fec!W7)</f>
        <v>0.65427728164207544</v>
      </c>
      <c r="X7" s="136">
        <f>IF(SER_hh_tes!X7=0,"",SER_hh_tes!X7/SER_hh_fec!X7)</f>
        <v>0.65427728164207566</v>
      </c>
      <c r="Y7" s="136">
        <f>IF(SER_hh_tes!Y7=0,"",SER_hh_tes!Y7/SER_hh_fec!Y7)</f>
        <v>0.65427728164207588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1.0072030808315187</v>
      </c>
      <c r="C8" s="136">
        <f>IF(SER_hh_tes!C8=0,"",SER_hh_tes!C8/SER_hh_fec!C8)</f>
        <v>1.042066494002718</v>
      </c>
      <c r="D8" s="136">
        <f>IF(SER_hh_tes!D8=0,"",SER_hh_tes!D8/SER_hh_fec!D8)</f>
        <v>1.0859043189223248</v>
      </c>
      <c r="E8" s="136">
        <f>IF(SER_hh_tes!E8=0,"",SER_hh_tes!E8/SER_hh_fec!E8)</f>
        <v>1.1145373311608029</v>
      </c>
      <c r="F8" s="136">
        <f>IF(SER_hh_tes!F8=0,"",SER_hh_tes!F8/SER_hh_fec!F8)</f>
        <v>1.1317108447005295</v>
      </c>
      <c r="G8" s="136">
        <f>IF(SER_hh_tes!G8=0,"",SER_hh_tes!G8/SER_hh_fec!G8)</f>
        <v>1.1566468801757914</v>
      </c>
      <c r="H8" s="136">
        <f>IF(SER_hh_tes!H8=0,"",SER_hh_tes!H8/SER_hh_fec!H8)</f>
        <v>1.2220747548313591</v>
      </c>
      <c r="I8" s="136">
        <f>IF(SER_hh_tes!I8=0,"",SER_hh_tes!I8/SER_hh_fec!I8)</f>
        <v>1.3045131065085105</v>
      </c>
      <c r="J8" s="136">
        <f>IF(SER_hh_tes!J8=0,"",SER_hh_tes!J8/SER_hh_fec!J8)</f>
        <v>1.3998579444178323</v>
      </c>
      <c r="K8" s="136">
        <f>IF(SER_hh_tes!K8=0,"",SER_hh_tes!K8/SER_hh_fec!K8)</f>
        <v>1.4837742473892268</v>
      </c>
      <c r="L8" s="136">
        <f>IF(SER_hh_tes!L8=0,"",SER_hh_tes!L8/SER_hh_fec!L8)</f>
        <v>1.5717152478708385</v>
      </c>
      <c r="M8" s="136">
        <f>IF(SER_hh_tes!M8=0,"",SER_hh_tes!M8/SER_hh_fec!M8)</f>
        <v>1.6520705898240586</v>
      </c>
      <c r="N8" s="136">
        <f>IF(SER_hh_tes!N8=0,"",SER_hh_tes!N8/SER_hh_fec!N8)</f>
        <v>1.7237846392541414</v>
      </c>
      <c r="O8" s="136">
        <f>IF(SER_hh_tes!O8=0,"",SER_hh_tes!O8/SER_hh_fec!O8)</f>
        <v>1.7915690109188886</v>
      </c>
      <c r="P8" s="136">
        <f>IF(SER_hh_tes!P8=0,"",SER_hh_tes!P8/SER_hh_fec!P8)</f>
        <v>1.8228183992975331</v>
      </c>
      <c r="Q8" s="136">
        <f>IF(SER_hh_tes!Q8=0,"",SER_hh_tes!Q8/SER_hh_fec!Q8)</f>
        <v>1.8613735175819248</v>
      </c>
      <c r="R8" s="136">
        <f>IF(SER_hh_tes!R8=0,"",SER_hh_tes!R8/SER_hh_fec!R8)</f>
        <v>1.8978069866722111</v>
      </c>
      <c r="S8" s="136">
        <f>IF(SER_hh_tes!S8=0,"",SER_hh_tes!S8/SER_hh_fec!S8)</f>
        <v>1.9303618588109388</v>
      </c>
      <c r="T8" s="136">
        <f>IF(SER_hh_tes!T8=0,"",SER_hh_tes!T8/SER_hh_fec!T8)</f>
        <v>1.9597110268339049</v>
      </c>
      <c r="U8" s="136">
        <f>IF(SER_hh_tes!U8=0,"",SER_hh_tes!U8/SER_hh_fec!U8)</f>
        <v>2.0102394867128242</v>
      </c>
      <c r="V8" s="136">
        <f>IF(SER_hh_tes!V8=0,"",SER_hh_tes!V8/SER_hh_fec!V8)</f>
        <v>2.0895775483467514</v>
      </c>
      <c r="W8" s="136">
        <f>IF(SER_hh_tes!W8=0,"",SER_hh_tes!W8/SER_hh_fec!W8)</f>
        <v>2.1848443884906175</v>
      </c>
      <c r="X8" s="136">
        <f>IF(SER_hh_tes!X8=0,"",SER_hh_tes!X8/SER_hh_fec!X8)</f>
        <v>2.2875551367384803</v>
      </c>
      <c r="Y8" s="136">
        <f>IF(SER_hh_tes!Y8=0,"",SER_hh_tes!Y8/SER_hh_fec!Y8)</f>
        <v>2.391657575707586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0.46888579205999747</v>
      </c>
      <c r="C9" s="136">
        <f>IF(SER_hh_tes!C9=0,"",SER_hh_tes!C9/SER_hh_fec!C9)</f>
        <v>0.47739636098007066</v>
      </c>
      <c r="D9" s="136">
        <f>IF(SER_hh_tes!D9=0,"",SER_hh_tes!D9/SER_hh_fec!D9)</f>
        <v>0.48477605096795595</v>
      </c>
      <c r="E9" s="136">
        <f>IF(SER_hh_tes!E9=0,"",SER_hh_tes!E9/SER_hh_fec!E9)</f>
        <v>0.48840097792975812</v>
      </c>
      <c r="F9" s="136">
        <f>IF(SER_hh_tes!F9=0,"",SER_hh_tes!F9/SER_hh_fec!F9)</f>
        <v>0.49106195013621079</v>
      </c>
      <c r="G9" s="136">
        <f>IF(SER_hh_tes!G9=0,"",SER_hh_tes!G9/SER_hh_fec!G9)</f>
        <v>0.49253349714307609</v>
      </c>
      <c r="H9" s="136">
        <f>IF(SER_hh_tes!H9=0,"",SER_hh_tes!H9/SER_hh_fec!H9)</f>
        <v>0.49703171024993853</v>
      </c>
      <c r="I9" s="136">
        <f>IF(SER_hh_tes!I9=0,"",SER_hh_tes!I9/SER_hh_fec!I9)</f>
        <v>0.50340407492276962</v>
      </c>
      <c r="J9" s="136">
        <f>IF(SER_hh_tes!J9=0,"",SER_hh_tes!J9/SER_hh_fec!J9)</f>
        <v>0.5111348098576961</v>
      </c>
      <c r="K9" s="136">
        <f>IF(SER_hh_tes!K9=0,"",SER_hh_tes!K9/SER_hh_fec!K9)</f>
        <v>0.51857284552244431</v>
      </c>
      <c r="L9" s="136">
        <f>IF(SER_hh_tes!L9=0,"",SER_hh_tes!L9/SER_hh_fec!L9)</f>
        <v>0.52545648452015903</v>
      </c>
      <c r="M9" s="136">
        <f>IF(SER_hh_tes!M9=0,"",SER_hh_tes!M9/SER_hh_fec!M9)</f>
        <v>0.53349711526193822</v>
      </c>
      <c r="N9" s="136">
        <f>IF(SER_hh_tes!N9=0,"",SER_hh_tes!N9/SER_hh_fec!N9)</f>
        <v>0.54070266423126401</v>
      </c>
      <c r="O9" s="136">
        <f>IF(SER_hh_tes!O9=0,"",SER_hh_tes!O9/SER_hh_fec!O9)</f>
        <v>0.54781594230224095</v>
      </c>
      <c r="P9" s="136">
        <f>IF(SER_hh_tes!P9=0,"",SER_hh_tes!P9/SER_hh_fec!P9)</f>
        <v>0.54925728653380057</v>
      </c>
      <c r="Q9" s="136">
        <f>IF(SER_hh_tes!Q9=0,"",SER_hh_tes!Q9/SER_hh_fec!Q9)</f>
        <v>0.56126043642150392</v>
      </c>
      <c r="R9" s="136">
        <f>IF(SER_hh_tes!R9=0,"",SER_hh_tes!R9/SER_hh_fec!R9)</f>
        <v>0.5832996451739243</v>
      </c>
      <c r="S9" s="136">
        <f>IF(SER_hh_tes!S9=0,"",SER_hh_tes!S9/SER_hh_fec!S9)</f>
        <v>0.60385854830366514</v>
      </c>
      <c r="T9" s="136">
        <f>IF(SER_hh_tes!T9=0,"",SER_hh_tes!T9/SER_hh_fec!T9)</f>
        <v>0.6155842418224593</v>
      </c>
      <c r="U9" s="136">
        <f>IF(SER_hh_tes!U9=0,"",SER_hh_tes!U9/SER_hh_fec!U9)</f>
        <v>0.62113688521228161</v>
      </c>
      <c r="V9" s="136">
        <f>IF(SER_hh_tes!V9=0,"",SER_hh_tes!V9/SER_hh_fec!V9)</f>
        <v>0.63250919501450398</v>
      </c>
      <c r="W9" s="136">
        <f>IF(SER_hh_tes!W9=0,"",SER_hh_tes!W9/SER_hh_fec!W9)</f>
        <v>0.64361954051407433</v>
      </c>
      <c r="X9" s="136">
        <f>IF(SER_hh_tes!X9=0,"",SER_hh_tes!X9/SER_hh_fec!X9)</f>
        <v>0.66110200088027238</v>
      </c>
      <c r="Y9" s="136">
        <f>IF(SER_hh_tes!Y9=0,"",SER_hh_tes!Y9/SER_hh_fec!Y9)</f>
        <v>0.67747993695840736</v>
      </c>
      <c r="DA9" s="163" t="s">
        <v>336</v>
      </c>
    </row>
    <row r="10" spans="1:105" ht="12" customHeight="1" x14ac:dyDescent="0.25">
      <c r="A10" s="131" t="s">
        <v>128</v>
      </c>
      <c r="B10" s="136" t="str">
        <f>IF(SER_hh_tes!B10=0,"",SER_hh_tes!B10/SER_hh_fec!B10)</f>
        <v/>
      </c>
      <c r="C10" s="136" t="str">
        <f>IF(SER_hh_tes!C10=0,"",SER_hh_tes!C10/SER_hh_fec!C10)</f>
        <v/>
      </c>
      <c r="D10" s="136" t="str">
        <f>IF(SER_hh_tes!D10=0,"",SER_hh_tes!D10/SER_hh_fec!D10)</f>
        <v/>
      </c>
      <c r="E10" s="136" t="str">
        <f>IF(SER_hh_tes!E10=0,"",SER_hh_tes!E10/SER_hh_fec!E10)</f>
        <v/>
      </c>
      <c r="F10" s="136" t="str">
        <f>IF(SER_hh_tes!F10=0,"",SER_hh_tes!F10/SER_hh_fec!F10)</f>
        <v/>
      </c>
      <c r="G10" s="136" t="str">
        <f>IF(SER_hh_tes!G10=0,"",SER_hh_tes!G10/SER_hh_fec!G10)</f>
        <v/>
      </c>
      <c r="H10" s="136" t="str">
        <f>IF(SER_hh_tes!H10=0,"",SER_hh_tes!H10/SER_hh_fec!H10)</f>
        <v/>
      </c>
      <c r="I10" s="136" t="str">
        <f>IF(SER_hh_tes!I10=0,"",SER_hh_tes!I10/SER_hh_fec!I10)</f>
        <v/>
      </c>
      <c r="J10" s="136" t="str">
        <f>IF(SER_hh_tes!J10=0,"",SER_hh_tes!J10/SER_hh_fec!J10)</f>
        <v/>
      </c>
      <c r="K10" s="136" t="str">
        <f>IF(SER_hh_tes!K10=0,"",SER_hh_tes!K10/SER_hh_fec!K10)</f>
        <v/>
      </c>
      <c r="L10" s="136" t="str">
        <f>IF(SER_hh_tes!L10=0,"",SER_hh_tes!L10/SER_hh_fec!L10)</f>
        <v/>
      </c>
      <c r="M10" s="136">
        <f>IF(SER_hh_tes!M10=0,"",SER_hh_tes!M10/SER_hh_fec!M10)</f>
        <v>0.52754137270569856</v>
      </c>
      <c r="N10" s="136">
        <f>IF(SER_hh_tes!N10=0,"",SER_hh_tes!N10/SER_hh_fec!N10)</f>
        <v>0.52878688139293728</v>
      </c>
      <c r="O10" s="136">
        <f>IF(SER_hh_tes!O10=0,"",SER_hh_tes!O10/SER_hh_fec!O10)</f>
        <v>0.52878839772955888</v>
      </c>
      <c r="P10" s="136">
        <f>IF(SER_hh_tes!P10=0,"",SER_hh_tes!P10/SER_hh_fec!P10)</f>
        <v>0.5287883977295591</v>
      </c>
      <c r="Q10" s="136">
        <f>IF(SER_hh_tes!Q10=0,"",SER_hh_tes!Q10/SER_hh_fec!Q10)</f>
        <v>0.52878839772955921</v>
      </c>
      <c r="R10" s="136">
        <f>IF(SER_hh_tes!R10=0,"",SER_hh_tes!R10/SER_hh_fec!R10)</f>
        <v>0.52981314193338247</v>
      </c>
      <c r="S10" s="136">
        <f>IF(SER_hh_tes!S10=0,"",SER_hh_tes!S10/SER_hh_fec!S10)</f>
        <v>0.53152327516242059</v>
      </c>
      <c r="T10" s="136">
        <f>IF(SER_hh_tes!T10=0,"",SER_hh_tes!T10/SER_hh_fec!T10)</f>
        <v>0.53152133592721984</v>
      </c>
      <c r="U10" s="136">
        <f>IF(SER_hh_tes!U10=0,"",SER_hh_tes!U10/SER_hh_fec!U10)</f>
        <v>0.53152133592721973</v>
      </c>
      <c r="V10" s="136">
        <f>IF(SER_hh_tes!V10=0,"",SER_hh_tes!V10/SER_hh_fec!V10)</f>
        <v>0.53152133592722017</v>
      </c>
      <c r="W10" s="136">
        <f>IF(SER_hh_tes!W10=0,"",SER_hh_tes!W10/SER_hh_fec!W10)</f>
        <v>0.534169830405126</v>
      </c>
      <c r="X10" s="136">
        <f>IF(SER_hh_tes!X10=0,"",SER_hh_tes!X10/SER_hh_fec!X10)</f>
        <v>0.53885115745632539</v>
      </c>
      <c r="Y10" s="136">
        <f>IF(SER_hh_tes!Y10=0,"",SER_hh_tes!Y10/SER_hh_fec!Y10)</f>
        <v>0.54287952622657609</v>
      </c>
      <c r="DA10" s="163" t="s">
        <v>337</v>
      </c>
    </row>
    <row r="11" spans="1:105" ht="12" customHeight="1" x14ac:dyDescent="0.25">
      <c r="A11" s="131" t="s">
        <v>25</v>
      </c>
      <c r="B11" s="136">
        <f>IF(SER_hh_tes!B11=0,"",SER_hh_tes!B11/SER_hh_fec!B11)</f>
        <v>0.7147512651394754</v>
      </c>
      <c r="C11" s="136">
        <f>IF(SER_hh_tes!C11=0,"",SER_hh_tes!C11/SER_hh_fec!C11)</f>
        <v>0.71524904566734238</v>
      </c>
      <c r="D11" s="136">
        <f>IF(SER_hh_tes!D11=0,"",SER_hh_tes!D11/SER_hh_fec!D11)</f>
        <v>0.71529449756409258</v>
      </c>
      <c r="E11" s="136">
        <f>IF(SER_hh_tes!E11=0,"",SER_hh_tes!E11/SER_hh_fec!E11)</f>
        <v>0.71532953017513057</v>
      </c>
      <c r="F11" s="136">
        <f>IF(SER_hh_tes!F11=0,"",SER_hh_tes!F11/SER_hh_fec!F11)</f>
        <v>0.71533997435261309</v>
      </c>
      <c r="G11" s="136">
        <f>IF(SER_hh_tes!G11=0,"",SER_hh_tes!G11/SER_hh_fec!G11)</f>
        <v>0.71533997435261321</v>
      </c>
      <c r="H11" s="136">
        <f>IF(SER_hh_tes!H11=0,"",SER_hh_tes!H11/SER_hh_fec!H11)</f>
        <v>0.71533997435261321</v>
      </c>
      <c r="I11" s="136">
        <f>IF(SER_hh_tes!I11=0,"",SER_hh_tes!I11/SER_hh_fec!I11)</f>
        <v>0.71534586239241449</v>
      </c>
      <c r="J11" s="136">
        <f>IF(SER_hh_tes!J11=0,"",SER_hh_tes!J11/SER_hh_fec!J11)</f>
        <v>0.72364818563651867</v>
      </c>
      <c r="K11" s="136">
        <f>IF(SER_hh_tes!K11=0,"",SER_hh_tes!K11/SER_hh_fec!K11)</f>
        <v>0.74015723054446125</v>
      </c>
      <c r="L11" s="136">
        <f>IF(SER_hh_tes!L11=0,"",SER_hh_tes!L11/SER_hh_fec!L11)</f>
        <v>0.7598494578989019</v>
      </c>
      <c r="M11" s="136">
        <f>IF(SER_hh_tes!M11=0,"",SER_hh_tes!M11/SER_hh_fec!M11)</f>
        <v>0.7788262666956145</v>
      </c>
      <c r="N11" s="136">
        <f>IF(SER_hh_tes!N11=0,"",SER_hh_tes!N11/SER_hh_fec!N11)</f>
        <v>0.79317421125382648</v>
      </c>
      <c r="O11" s="136">
        <f>IF(SER_hh_tes!O11=0,"",SER_hh_tes!O11/SER_hh_fec!O11)</f>
        <v>0.80462352325814479</v>
      </c>
      <c r="P11" s="136">
        <f>IF(SER_hh_tes!P11=0,"",SER_hh_tes!P11/SER_hh_fec!P11)</f>
        <v>0.80473431525162176</v>
      </c>
      <c r="Q11" s="136">
        <f>IF(SER_hh_tes!Q11=0,"",SER_hh_tes!Q11/SER_hh_fec!Q11)</f>
        <v>0.80498714514394221</v>
      </c>
      <c r="R11" s="136">
        <f>IF(SER_hh_tes!R11=0,"",SER_hh_tes!R11/SER_hh_fec!R11)</f>
        <v>0.80586210587896556</v>
      </c>
      <c r="S11" s="136">
        <f>IF(SER_hh_tes!S11=0,"",SER_hh_tes!S11/SER_hh_fec!S11)</f>
        <v>0.80783272057903965</v>
      </c>
      <c r="T11" s="136">
        <f>IF(SER_hh_tes!T11=0,"",SER_hh_tes!T11/SER_hh_fec!T11)</f>
        <v>0.80902203502316306</v>
      </c>
      <c r="U11" s="136">
        <f>IF(SER_hh_tes!U11=0,"",SER_hh_tes!U11/SER_hh_fec!U11)</f>
        <v>0.8097804839739482</v>
      </c>
      <c r="V11" s="136">
        <f>IF(SER_hh_tes!V11=0,"",SER_hh_tes!V11/SER_hh_fec!V11)</f>
        <v>0.81029159409144635</v>
      </c>
      <c r="W11" s="136">
        <f>IF(SER_hh_tes!W11=0,"",SER_hh_tes!W11/SER_hh_fec!W11)</f>
        <v>0.81309052563530737</v>
      </c>
      <c r="X11" s="136">
        <f>IF(SER_hh_tes!X11=0,"",SER_hh_tes!X11/SER_hh_fec!X11)</f>
        <v>0.8186247663111399</v>
      </c>
      <c r="Y11" s="136">
        <f>IF(SER_hh_tes!Y11=0,"",SER_hh_tes!Y11/SER_hh_fec!Y11)</f>
        <v>0.8247564254505213</v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0.74271091273377321</v>
      </c>
      <c r="C12" s="136">
        <f>IF(SER_hh_tes!C12=0,"",SER_hh_tes!C12/SER_hh_fec!C12)</f>
        <v>0.75029319135293993</v>
      </c>
      <c r="D12" s="136">
        <f>IF(SER_hh_tes!D12=0,"",SER_hh_tes!D12/SER_hh_fec!D12)</f>
        <v>0.75493566259966216</v>
      </c>
      <c r="E12" s="136">
        <f>IF(SER_hh_tes!E12=0,"",SER_hh_tes!E12/SER_hh_fec!E12)</f>
        <v>0.75668467273009565</v>
      </c>
      <c r="F12" s="136">
        <f>IF(SER_hh_tes!F12=0,"",SER_hh_tes!F12/SER_hh_fec!F12)</f>
        <v>0.75765861593102402</v>
      </c>
      <c r="G12" s="136">
        <f>IF(SER_hh_tes!G12=0,"",SER_hh_tes!G12/SER_hh_fec!G12)</f>
        <v>0.75837939013638389</v>
      </c>
      <c r="H12" s="136">
        <f>IF(SER_hh_tes!H12=0,"",SER_hh_tes!H12/SER_hh_fec!H12)</f>
        <v>0.75866734123141832</v>
      </c>
      <c r="I12" s="136">
        <f>IF(SER_hh_tes!I12=0,"",SER_hh_tes!I12/SER_hh_fec!I12)</f>
        <v>0.75933481889129273</v>
      </c>
      <c r="J12" s="136">
        <f>IF(SER_hh_tes!J12=0,"",SER_hh_tes!J12/SER_hh_fec!J12)</f>
        <v>0.76170413648207647</v>
      </c>
      <c r="K12" s="136">
        <f>IF(SER_hh_tes!K12=0,"",SER_hh_tes!K12/SER_hh_fec!K12)</f>
        <v>0.76510294242297427</v>
      </c>
      <c r="L12" s="136">
        <f>IF(SER_hh_tes!L12=0,"",SER_hh_tes!L12/SER_hh_fec!L12)</f>
        <v>0.77093020553924041</v>
      </c>
      <c r="M12" s="136">
        <f>IF(SER_hh_tes!M12=0,"",SER_hh_tes!M12/SER_hh_fec!M12)</f>
        <v>0.77524244552529487</v>
      </c>
      <c r="N12" s="136">
        <f>IF(SER_hh_tes!N12=0,"",SER_hh_tes!N12/SER_hh_fec!N12)</f>
        <v>0.7800368474763274</v>
      </c>
      <c r="O12" s="136">
        <f>IF(SER_hh_tes!O12=0,"",SER_hh_tes!O12/SER_hh_fec!O12)</f>
        <v>0.78306362523953399</v>
      </c>
      <c r="P12" s="136">
        <f>IF(SER_hh_tes!P12=0,"",SER_hh_tes!P12/SER_hh_fec!P12)</f>
        <v>0.78374803334232257</v>
      </c>
      <c r="Q12" s="136">
        <f>IF(SER_hh_tes!Q12=0,"",SER_hh_tes!Q12/SER_hh_fec!Q12)</f>
        <v>0.78468894920449106</v>
      </c>
      <c r="R12" s="136">
        <f>IF(SER_hh_tes!R12=0,"",SER_hh_tes!R12/SER_hh_fec!R12)</f>
        <v>0.78770865062919693</v>
      </c>
      <c r="S12" s="136">
        <f>IF(SER_hh_tes!S12=0,"",SER_hh_tes!S12/SER_hh_fec!S12)</f>
        <v>0.79279942413615812</v>
      </c>
      <c r="T12" s="136">
        <f>IF(SER_hh_tes!T12=0,"",SER_hh_tes!T12/SER_hh_fec!T12)</f>
        <v>0.79593742696832182</v>
      </c>
      <c r="U12" s="136">
        <f>IF(SER_hh_tes!U12=0,"",SER_hh_tes!U12/SER_hh_fec!U12)</f>
        <v>0.79801611381294868</v>
      </c>
      <c r="V12" s="136">
        <f>IF(SER_hh_tes!V12=0,"",SER_hh_tes!V12/SER_hh_fec!V12)</f>
        <v>0.79987488078812063</v>
      </c>
      <c r="W12" s="136">
        <f>IF(SER_hh_tes!W12=0,"",SER_hh_tes!W12/SER_hh_fec!W12)</f>
        <v>0.80061144319996169</v>
      </c>
      <c r="X12" s="136">
        <f>IF(SER_hh_tes!X12=0,"",SER_hh_tes!X12/SER_hh_fec!X12)</f>
        <v>0.80158637512140518</v>
      </c>
      <c r="Y12" s="136">
        <f>IF(SER_hh_tes!Y12=0,"",SER_hh_tes!Y12/SER_hh_fec!Y12)</f>
        <v>0.80231170755480596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1.4520027517521339</v>
      </c>
      <c r="C13" s="136">
        <f>IF(SER_hh_tes!C13=0,"",SER_hh_tes!C13/SER_hh_fec!C13)</f>
        <v>1.5019861649676243</v>
      </c>
      <c r="D13" s="136">
        <f>IF(SER_hh_tes!D13=0,"",SER_hh_tes!D13/SER_hh_fec!D13)</f>
        <v>1.6206965728527449</v>
      </c>
      <c r="E13" s="136">
        <f>IF(SER_hh_tes!E13=0,"",SER_hh_tes!E13/SER_hh_fec!E13)</f>
        <v>1.718910513512607</v>
      </c>
      <c r="F13" s="136">
        <f>IF(SER_hh_tes!F13=0,"",SER_hh_tes!F13/SER_hh_fec!F13)</f>
        <v>1.7876465596591129</v>
      </c>
      <c r="G13" s="136">
        <f>IF(SER_hh_tes!G13=0,"",SER_hh_tes!G13/SER_hh_fec!G13)</f>
        <v>1.8698954204232867</v>
      </c>
      <c r="H13" s="136">
        <f>IF(SER_hh_tes!H13=0,"",SER_hh_tes!H13/SER_hh_fec!H13)</f>
        <v>1.9529646567197374</v>
      </c>
      <c r="I13" s="136">
        <f>IF(SER_hh_tes!I13=0,"",SER_hh_tes!I13/SER_hh_fec!I13)</f>
        <v>2.033435050126756</v>
      </c>
      <c r="J13" s="136">
        <f>IF(SER_hh_tes!J13=0,"",SER_hh_tes!J13/SER_hh_fec!J13)</f>
        <v>2.1122219260795747</v>
      </c>
      <c r="K13" s="136">
        <f>IF(SER_hh_tes!K13=0,"",SER_hh_tes!K13/SER_hh_fec!K13)</f>
        <v>2.1738162900140274</v>
      </c>
      <c r="L13" s="136">
        <f>IF(SER_hh_tes!L13=0,"",SER_hh_tes!L13/SER_hh_fec!L13)</f>
        <v>2.2520178264149919</v>
      </c>
      <c r="M13" s="136">
        <f>IF(SER_hh_tes!M13=0,"",SER_hh_tes!M13/SER_hh_fec!M13)</f>
        <v>2.3148849673468095</v>
      </c>
      <c r="N13" s="136">
        <f>IF(SER_hh_tes!N13=0,"",SER_hh_tes!N13/SER_hh_fec!N13)</f>
        <v>2.3840833572966087</v>
      </c>
      <c r="O13" s="136">
        <f>IF(SER_hh_tes!O13=0,"",SER_hh_tes!O13/SER_hh_fec!O13)</f>
        <v>2.4468538286039747</v>
      </c>
      <c r="P13" s="136">
        <f>IF(SER_hh_tes!P13=0,"",SER_hh_tes!P13/SER_hh_fec!P13)</f>
        <v>2.4939351644110546</v>
      </c>
      <c r="Q13" s="136">
        <f>IF(SER_hh_tes!Q13=0,"",SER_hh_tes!Q13/SER_hh_fec!Q13)</f>
        <v>2.5478662255926112</v>
      </c>
      <c r="R13" s="136">
        <f>IF(SER_hh_tes!R13=0,"",SER_hh_tes!R13/SER_hh_fec!R13)</f>
        <v>2.6274246281338018</v>
      </c>
      <c r="S13" s="136">
        <f>IF(SER_hh_tes!S13=0,"",SER_hh_tes!S13/SER_hh_fec!S13)</f>
        <v>2.7207573664749143</v>
      </c>
      <c r="T13" s="136">
        <f>IF(SER_hh_tes!T13=0,"",SER_hh_tes!T13/SER_hh_fec!T13)</f>
        <v>2.8310121014258125</v>
      </c>
      <c r="U13" s="136">
        <f>IF(SER_hh_tes!U13=0,"",SER_hh_tes!U13/SER_hh_fec!U13)</f>
        <v>2.9644374151294781</v>
      </c>
      <c r="V13" s="136">
        <f>IF(SER_hh_tes!V13=0,"",SER_hh_tes!V13/SER_hh_fec!V13)</f>
        <v>3.1213994509453542</v>
      </c>
      <c r="W13" s="136">
        <f>IF(SER_hh_tes!W13=0,"",SER_hh_tes!W13/SER_hh_fec!W13)</f>
        <v>3.2699335548680524</v>
      </c>
      <c r="X13" s="136">
        <f>IF(SER_hh_tes!X13=0,"",SER_hh_tes!X13/SER_hh_fec!X13)</f>
        <v>3.4159740543920241</v>
      </c>
      <c r="Y13" s="136">
        <f>IF(SER_hh_tes!Y13=0,"",SER_hh_tes!Y13/SER_hh_fec!Y13)</f>
        <v>3.5605278008688455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0.6566114809790552</v>
      </c>
      <c r="C14" s="137">
        <f>IF(SER_hh_tes!C14=0,"",SER_hh_tes!C14/SER_hh_fec!C14)</f>
        <v>0.65780776355026638</v>
      </c>
      <c r="D14" s="137">
        <f>IF(SER_hh_tes!D14=0,"",SER_hh_tes!D14/SER_hh_fec!D14)</f>
        <v>0.65915986690427941</v>
      </c>
      <c r="E14" s="137">
        <f>IF(SER_hh_tes!E14=0,"",SER_hh_tes!E14/SER_hh_fec!E14)</f>
        <v>0.66128915812157352</v>
      </c>
      <c r="F14" s="137">
        <f>IF(SER_hh_tes!F14=0,"",SER_hh_tes!F14/SER_hh_fec!F14)</f>
        <v>0.66544621805325166</v>
      </c>
      <c r="G14" s="137">
        <f>IF(SER_hh_tes!G14=0,"",SER_hh_tes!G14/SER_hh_fec!G14)</f>
        <v>0.67022983760002508</v>
      </c>
      <c r="H14" s="137">
        <f>IF(SER_hh_tes!H14=0,"",SER_hh_tes!H14/SER_hh_fec!H14)</f>
        <v>0.67468607385354507</v>
      </c>
      <c r="I14" s="137">
        <f>IF(SER_hh_tes!I14=0,"",SER_hh_tes!I14/SER_hh_fec!I14)</f>
        <v>0.67917222166479962</v>
      </c>
      <c r="J14" s="137">
        <f>IF(SER_hh_tes!J14=0,"",SER_hh_tes!J14/SER_hh_fec!J14)</f>
        <v>0.68146523416870908</v>
      </c>
      <c r="K14" s="137">
        <f>IF(SER_hh_tes!K14=0,"",SER_hh_tes!K14/SER_hh_fec!K14)</f>
        <v>0.68426378567201329</v>
      </c>
      <c r="L14" s="137">
        <f>IF(SER_hh_tes!L14=0,"",SER_hh_tes!L14/SER_hh_fec!L14)</f>
        <v>0.68735102706671269</v>
      </c>
      <c r="M14" s="137">
        <f>IF(SER_hh_tes!M14=0,"",SER_hh_tes!M14/SER_hh_fec!M14)</f>
        <v>0.6907095100564743</v>
      </c>
      <c r="N14" s="137">
        <f>IF(SER_hh_tes!N14=0,"",SER_hh_tes!N14/SER_hh_fec!N14)</f>
        <v>0.69725891331187784</v>
      </c>
      <c r="O14" s="137">
        <f>IF(SER_hh_tes!O14=0,"",SER_hh_tes!O14/SER_hh_fec!O14)</f>
        <v>0.70875165600628698</v>
      </c>
      <c r="P14" s="137">
        <f>IF(SER_hh_tes!P14=0,"",SER_hh_tes!P14/SER_hh_fec!P14)</f>
        <v>0.71262453516269153</v>
      </c>
      <c r="Q14" s="137">
        <f>IF(SER_hh_tes!Q14=0,"",SER_hh_tes!Q14/SER_hh_fec!Q14)</f>
        <v>0.71509503459795098</v>
      </c>
      <c r="R14" s="137">
        <f>IF(SER_hh_tes!R14=0,"",SER_hh_tes!R14/SER_hh_fec!R14)</f>
        <v>0.71594194820587087</v>
      </c>
      <c r="S14" s="137">
        <f>IF(SER_hh_tes!S14=0,"",SER_hh_tes!S14/SER_hh_fec!S14)</f>
        <v>0.72532013402536277</v>
      </c>
      <c r="T14" s="137">
        <f>IF(SER_hh_tes!T14=0,"",SER_hh_tes!T14/SER_hh_fec!T14)</f>
        <v>0.74351087895977996</v>
      </c>
      <c r="U14" s="137">
        <f>IF(SER_hh_tes!U14=0,"",SER_hh_tes!U14/SER_hh_fec!U14)</f>
        <v>0.75551723878473287</v>
      </c>
      <c r="V14" s="137">
        <f>IF(SER_hh_tes!V14=0,"",SER_hh_tes!V14/SER_hh_fec!V14)</f>
        <v>0.76265513994520695</v>
      </c>
      <c r="W14" s="137">
        <f>IF(SER_hh_tes!W14=0,"",SER_hh_tes!W14/SER_hh_fec!W14)</f>
        <v>0.78108950464978588</v>
      </c>
      <c r="X14" s="137">
        <f>IF(SER_hh_tes!X14=0,"",SER_hh_tes!X14/SER_hh_fec!X14)</f>
        <v>0.80056102458127398</v>
      </c>
      <c r="Y14" s="137">
        <f>IF(SER_hh_tes!Y14=0,"",SER_hh_tes!Y14/SER_hh_fec!Y14)</f>
        <v>0.81667732045468833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1.7614667259742327</v>
      </c>
      <c r="C16" s="135">
        <f>IF(SER_hh_tes!C16=0,"",SER_hh_tes!C16/SER_hh_fec!C16)</f>
        <v>1.8320961753214642</v>
      </c>
      <c r="D16" s="135">
        <f>IF(SER_hh_tes!D16=0,"",SER_hh_tes!D16/SER_hh_fec!D16)</f>
        <v>1.9087420342904406</v>
      </c>
      <c r="E16" s="135">
        <f>IF(SER_hh_tes!E16=0,"",SER_hh_tes!E16/SER_hh_fec!E16)</f>
        <v>1.9891098082526415</v>
      </c>
      <c r="F16" s="135">
        <f>IF(SER_hh_tes!F16=0,"",SER_hh_tes!F16/SER_hh_fec!F16)</f>
        <v>2.069934276657738</v>
      </c>
      <c r="G16" s="135">
        <f>IF(SER_hh_tes!G16=0,"",SER_hh_tes!G16/SER_hh_fec!G16)</f>
        <v>2.1812124223691849</v>
      </c>
      <c r="H16" s="135">
        <f>IF(SER_hh_tes!H16=0,"",SER_hh_tes!H16/SER_hh_fec!H16)</f>
        <v>2.3191578332758578</v>
      </c>
      <c r="I16" s="135">
        <f>IF(SER_hh_tes!I16=0,"",SER_hh_tes!I16/SER_hh_fec!I16)</f>
        <v>2.4781377265960658</v>
      </c>
      <c r="J16" s="135">
        <f>IF(SER_hh_tes!J16=0,"",SER_hh_tes!J16/SER_hh_fec!J16)</f>
        <v>2.6510866832825211</v>
      </c>
      <c r="K16" s="135">
        <f>IF(SER_hh_tes!K16=0,"",SER_hh_tes!K16/SER_hh_fec!K16)</f>
        <v>2.7039044109929837</v>
      </c>
      <c r="L16" s="135">
        <f>IF(SER_hh_tes!L16=0,"",SER_hh_tes!L16/SER_hh_fec!L16)</f>
        <v>2.7789024768791584</v>
      </c>
      <c r="M16" s="135">
        <f>IF(SER_hh_tes!M16=0,"",SER_hh_tes!M16/SER_hh_fec!M16)</f>
        <v>2.8768570477961153</v>
      </c>
      <c r="N16" s="135">
        <f>IF(SER_hh_tes!N16=0,"",SER_hh_tes!N16/SER_hh_fec!N16)</f>
        <v>2.9763438426063438</v>
      </c>
      <c r="O16" s="135">
        <f>IF(SER_hh_tes!O16=0,"",SER_hh_tes!O16/SER_hh_fec!O16)</f>
        <v>3.0717913989474508</v>
      </c>
      <c r="P16" s="135">
        <f>IF(SER_hh_tes!P16=0,"",SER_hh_tes!P16/SER_hh_fec!P16)</f>
        <v>3.1852415173101423</v>
      </c>
      <c r="Q16" s="135">
        <f>IF(SER_hh_tes!Q16=0,"",SER_hh_tes!Q16/SER_hh_fec!Q16)</f>
        <v>3.3091848461263438</v>
      </c>
      <c r="R16" s="135">
        <f>IF(SER_hh_tes!R16=0,"",SER_hh_tes!R16/SER_hh_fec!R16)</f>
        <v>3.4419075910447088</v>
      </c>
      <c r="S16" s="135">
        <f>IF(SER_hh_tes!S16=0,"",SER_hh_tes!S16/SER_hh_fec!S16)</f>
        <v>3.5752890619744155</v>
      </c>
      <c r="T16" s="135">
        <f>IF(SER_hh_tes!T16=0,"",SER_hh_tes!T16/SER_hh_fec!T16)</f>
        <v>3.6872293271347072</v>
      </c>
      <c r="U16" s="135">
        <f>IF(SER_hh_tes!U16=0,"",SER_hh_tes!U16/SER_hh_fec!U16)</f>
        <v>3.7699418136529403</v>
      </c>
      <c r="V16" s="135">
        <f>IF(SER_hh_tes!V16=0,"",SER_hh_tes!V16/SER_hh_fec!V16)</f>
        <v>3.8558129682887592</v>
      </c>
      <c r="W16" s="135">
        <f>IF(SER_hh_tes!W16=0,"",SER_hh_tes!W16/SER_hh_fec!W16)</f>
        <v>3.9259870186306367</v>
      </c>
      <c r="X16" s="135">
        <f>IF(SER_hh_tes!X16=0,"",SER_hh_tes!X16/SER_hh_fec!X16)</f>
        <v>3.9823059658858786</v>
      </c>
      <c r="Y16" s="135">
        <f>IF(SER_hh_tes!Y16=0,"",SER_hh_tes!Y16/SER_hh_fec!Y16)</f>
        <v>4.0268139339729645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1.0764323511221556</v>
      </c>
      <c r="C17" s="136">
        <f>IF(SER_hh_tes!C17=0,"",SER_hh_tes!C17/SER_hh_fec!C17)</f>
        <v>1.0902381958409217</v>
      </c>
      <c r="D17" s="136">
        <f>IF(SER_hh_tes!D17=0,"",SER_hh_tes!D17/SER_hh_fec!D17)</f>
        <v>1.0990576956029201</v>
      </c>
      <c r="E17" s="136">
        <f>IF(SER_hh_tes!E17=0,"",SER_hh_tes!E17/SER_hh_fec!E17)</f>
        <v>1.1094403713172494</v>
      </c>
      <c r="F17" s="136">
        <f>IF(SER_hh_tes!F17=0,"",SER_hh_tes!F17/SER_hh_fec!F17)</f>
        <v>1.1397298453258762</v>
      </c>
      <c r="G17" s="136">
        <f>IF(SER_hh_tes!G17=0,"",SER_hh_tes!G17/SER_hh_fec!G17)</f>
        <v>1.1624481366279762</v>
      </c>
      <c r="H17" s="136">
        <f>IF(SER_hh_tes!H17=0,"",SER_hh_tes!H17/SER_hh_fec!H17)</f>
        <v>1.1905093495996573</v>
      </c>
      <c r="I17" s="136">
        <f>IF(SER_hh_tes!I17=0,"",SER_hh_tes!I17/SER_hh_fec!I17)</f>
        <v>1.2279366795410835</v>
      </c>
      <c r="J17" s="136">
        <f>IF(SER_hh_tes!J17=0,"",SER_hh_tes!J17/SER_hh_fec!J17)</f>
        <v>1.2541869937589438</v>
      </c>
      <c r="K17" s="136">
        <f>IF(SER_hh_tes!K17=0,"",SER_hh_tes!K17/SER_hh_fec!K17)</f>
        <v>1.2679569939659767</v>
      </c>
      <c r="L17" s="136">
        <f>IF(SER_hh_tes!L17=0,"",SER_hh_tes!L17/SER_hh_fec!L17)</f>
        <v>1.2763238437874038</v>
      </c>
      <c r="M17" s="136">
        <f>IF(SER_hh_tes!M17=0,"",SER_hh_tes!M17/SER_hh_fec!M17)</f>
        <v>1.2930541035003613</v>
      </c>
      <c r="N17" s="136">
        <f>IF(SER_hh_tes!N17=0,"",SER_hh_tes!N17/SER_hh_fec!N17)</f>
        <v>1.3053416431314211</v>
      </c>
      <c r="O17" s="136">
        <f>IF(SER_hh_tes!O17=0,"",SER_hh_tes!O17/SER_hh_fec!O17)</f>
        <v>1.3240343261134073</v>
      </c>
      <c r="P17" s="136">
        <f>IF(SER_hh_tes!P17=0,"",SER_hh_tes!P17/SER_hh_fec!P17)</f>
        <v>1.3462347646762278</v>
      </c>
      <c r="Q17" s="136">
        <f>IF(SER_hh_tes!Q17=0,"",SER_hh_tes!Q17/SER_hh_fec!Q17)</f>
        <v>1.3703110720051963</v>
      </c>
      <c r="R17" s="136">
        <f>IF(SER_hh_tes!R17=0,"",SER_hh_tes!R17/SER_hh_fec!R17)</f>
        <v>1.3975225052335922</v>
      </c>
      <c r="S17" s="136">
        <f>IF(SER_hh_tes!S17=0,"",SER_hh_tes!S17/SER_hh_fec!S17)</f>
        <v>1.4214775570110878</v>
      </c>
      <c r="T17" s="136">
        <f>IF(SER_hh_tes!T17=0,"",SER_hh_tes!T17/SER_hh_fec!T17)</f>
        <v>1.4443916888798995</v>
      </c>
      <c r="U17" s="136">
        <f>IF(SER_hh_tes!U17=0,"",SER_hh_tes!U17/SER_hh_fec!U17)</f>
        <v>1.4670506194200139</v>
      </c>
      <c r="V17" s="136">
        <f>IF(SER_hh_tes!V17=0,"",SER_hh_tes!V17/SER_hh_fec!V17)</f>
        <v>1.4835873507314248</v>
      </c>
      <c r="W17" s="136">
        <f>IF(SER_hh_tes!W17=0,"",SER_hh_tes!W17/SER_hh_fec!W17)</f>
        <v>1.5003875773369291</v>
      </c>
      <c r="X17" s="136">
        <f>IF(SER_hh_tes!X17=0,"",SER_hh_tes!X17/SER_hh_fec!X17)</f>
        <v>1.5179942966595275</v>
      </c>
      <c r="Y17" s="136">
        <f>IF(SER_hh_tes!Y17=0,"",SER_hh_tes!Y17/SER_hh_fec!Y17)</f>
        <v>1.5364074877018734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1.7640157570443686</v>
      </c>
      <c r="C18" s="136">
        <f>IF(SER_hh_tes!C18=0,"",SER_hh_tes!C18/SER_hh_fec!C18)</f>
        <v>1.8349038694462227</v>
      </c>
      <c r="D18" s="136">
        <f>IF(SER_hh_tes!D18=0,"",SER_hh_tes!D18/SER_hh_fec!D18)</f>
        <v>1.9116364318920858</v>
      </c>
      <c r="E18" s="136">
        <f>IF(SER_hh_tes!E18=0,"",SER_hh_tes!E18/SER_hh_fec!E18)</f>
        <v>1.9920935899816579</v>
      </c>
      <c r="F18" s="136">
        <f>IF(SER_hh_tes!F18=0,"",SER_hh_tes!F18/SER_hh_fec!F18)</f>
        <v>2.073647493627425</v>
      </c>
      <c r="G18" s="136">
        <f>IF(SER_hh_tes!G18=0,"",SER_hh_tes!G18/SER_hh_fec!G18)</f>
        <v>2.18548951461581</v>
      </c>
      <c r="H18" s="136">
        <f>IF(SER_hh_tes!H18=0,"",SER_hh_tes!H18/SER_hh_fec!H18)</f>
        <v>2.3243354748774339</v>
      </c>
      <c r="I18" s="136">
        <f>IF(SER_hh_tes!I18=0,"",SER_hh_tes!I18/SER_hh_fec!I18)</f>
        <v>2.4856996020125148</v>
      </c>
      <c r="J18" s="136">
        <f>IF(SER_hh_tes!J18=0,"",SER_hh_tes!J18/SER_hh_fec!J18)</f>
        <v>2.6612649145739149</v>
      </c>
      <c r="K18" s="136">
        <f>IF(SER_hh_tes!K18=0,"",SER_hh_tes!K18/SER_hh_fec!K18)</f>
        <v>2.7166316951510274</v>
      </c>
      <c r="L18" s="136">
        <f>IF(SER_hh_tes!L18=0,"",SER_hh_tes!L18/SER_hh_fec!L18)</f>
        <v>2.7927967028270855</v>
      </c>
      <c r="M18" s="136">
        <f>IF(SER_hh_tes!M18=0,"",SER_hh_tes!M18/SER_hh_fec!M18)</f>
        <v>2.8941293668204882</v>
      </c>
      <c r="N18" s="136">
        <f>IF(SER_hh_tes!N18=0,"",SER_hh_tes!N18/SER_hh_fec!N18)</f>
        <v>2.9961190966204567</v>
      </c>
      <c r="O18" s="136">
        <f>IF(SER_hh_tes!O18=0,"",SER_hh_tes!O18/SER_hh_fec!O18)</f>
        <v>3.0956851413875111</v>
      </c>
      <c r="P18" s="136">
        <f>IF(SER_hh_tes!P18=0,"",SER_hh_tes!P18/SER_hh_fec!P18)</f>
        <v>3.2140343155694442</v>
      </c>
      <c r="Q18" s="136">
        <f>IF(SER_hh_tes!Q18=0,"",SER_hh_tes!Q18/SER_hh_fec!Q18)</f>
        <v>3.345659059707788</v>
      </c>
      <c r="R18" s="136">
        <f>IF(SER_hh_tes!R18=0,"",SER_hh_tes!R18/SER_hh_fec!R18)</f>
        <v>3.4896536459097036</v>
      </c>
      <c r="S18" s="136">
        <f>IF(SER_hh_tes!S18=0,"",SER_hh_tes!S18/SER_hh_fec!S18)</f>
        <v>3.6329236859795784</v>
      </c>
      <c r="T18" s="136">
        <f>IF(SER_hh_tes!T18=0,"",SER_hh_tes!T18/SER_hh_fec!T18)</f>
        <v>3.7544667957027071</v>
      </c>
      <c r="U18" s="136">
        <f>IF(SER_hh_tes!U18=0,"",SER_hh_tes!U18/SER_hh_fec!U18)</f>
        <v>3.848354314120336</v>
      </c>
      <c r="V18" s="136">
        <f>IF(SER_hh_tes!V18=0,"",SER_hh_tes!V18/SER_hh_fec!V18)</f>
        <v>3.937457951830321</v>
      </c>
      <c r="W18" s="136">
        <f>IF(SER_hh_tes!W18=0,"",SER_hh_tes!W18/SER_hh_fec!W18)</f>
        <v>4.0153699104438623</v>
      </c>
      <c r="X18" s="136">
        <f>IF(SER_hh_tes!X18=0,"",SER_hh_tes!X18/SER_hh_fec!X18)</f>
        <v>4.0762199842855864</v>
      </c>
      <c r="Y18" s="136">
        <f>IF(SER_hh_tes!Y18=0,"",SER_hh_tes!Y18/SER_hh_fec!Y18)</f>
        <v>4.1240349585112854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0.57411014373262437</v>
      </c>
      <c r="C19" s="135">
        <f>IF(SER_hh_tes!C19=0,"",SER_hh_tes!C19/SER_hh_fec!C19)</f>
        <v>0.58113952958026727</v>
      </c>
      <c r="D19" s="135">
        <f>IF(SER_hh_tes!D19=0,"",SER_hh_tes!D19/SER_hh_fec!D19)</f>
        <v>0.58771640697568217</v>
      </c>
      <c r="E19" s="135">
        <f>IF(SER_hh_tes!E19=0,"",SER_hh_tes!E19/SER_hh_fec!E19)</f>
        <v>0.59226352412376271</v>
      </c>
      <c r="F19" s="135">
        <f>IF(SER_hh_tes!F19=0,"",SER_hh_tes!F19/SER_hh_fec!F19)</f>
        <v>0.59719329411297006</v>
      </c>
      <c r="G19" s="135">
        <f>IF(SER_hh_tes!G19=0,"",SER_hh_tes!G19/SER_hh_fec!G19)</f>
        <v>0.60177926785468661</v>
      </c>
      <c r="H19" s="135">
        <f>IF(SER_hh_tes!H19=0,"",SER_hh_tes!H19/SER_hh_fec!H19)</f>
        <v>0.6060415504316119</v>
      </c>
      <c r="I19" s="135">
        <f>IF(SER_hh_tes!I19=0,"",SER_hh_tes!I19/SER_hh_fec!I19)</f>
        <v>0.61115582222650888</v>
      </c>
      <c r="J19" s="135">
        <f>IF(SER_hh_tes!J19=0,"",SER_hh_tes!J19/SER_hh_fec!J19)</f>
        <v>0.61773611018088759</v>
      </c>
      <c r="K19" s="135">
        <f>IF(SER_hh_tes!K19=0,"",SER_hh_tes!K19/SER_hh_fec!K19)</f>
        <v>0.6252909591873822</v>
      </c>
      <c r="L19" s="135">
        <f>IF(SER_hh_tes!L19=0,"",SER_hh_tes!L19/SER_hh_fec!L19)</f>
        <v>0.63684587113055158</v>
      </c>
      <c r="M19" s="135">
        <f>IF(SER_hh_tes!M19=0,"",SER_hh_tes!M19/SER_hh_fec!M19)</f>
        <v>0.64802256472791175</v>
      </c>
      <c r="N19" s="135">
        <f>IF(SER_hh_tes!N19=0,"",SER_hh_tes!N19/SER_hh_fec!N19)</f>
        <v>0.65962703469905626</v>
      </c>
      <c r="O19" s="135">
        <f>IF(SER_hh_tes!O19=0,"",SER_hh_tes!O19/SER_hh_fec!O19)</f>
        <v>0.67100428553272795</v>
      </c>
      <c r="P19" s="135">
        <f>IF(SER_hh_tes!P19=0,"",SER_hh_tes!P19/SER_hh_fec!P19)</f>
        <v>0.67731040958040767</v>
      </c>
      <c r="Q19" s="135">
        <f>IF(SER_hh_tes!Q19=0,"",SER_hh_tes!Q19/SER_hh_fec!Q19)</f>
        <v>0.68521188104061004</v>
      </c>
      <c r="R19" s="135">
        <f>IF(SER_hh_tes!R19=0,"",SER_hh_tes!R19/SER_hh_fec!R19)</f>
        <v>0.69550946106685985</v>
      </c>
      <c r="S19" s="135">
        <f>IF(SER_hh_tes!S19=0,"",SER_hh_tes!S19/SER_hh_fec!S19)</f>
        <v>0.70910856392726918</v>
      </c>
      <c r="T19" s="135">
        <f>IF(SER_hh_tes!T19=0,"",SER_hh_tes!T19/SER_hh_fec!T19)</f>
        <v>0.72413441074302309</v>
      </c>
      <c r="U19" s="135">
        <f>IF(SER_hh_tes!U19=0,"",SER_hh_tes!U19/SER_hh_fec!U19)</f>
        <v>0.73906805750367865</v>
      </c>
      <c r="V19" s="135">
        <f>IF(SER_hh_tes!V19=0,"",SER_hh_tes!V19/SER_hh_fec!V19)</f>
        <v>0.75838828244997669</v>
      </c>
      <c r="W19" s="135">
        <f>IF(SER_hh_tes!W19=0,"",SER_hh_tes!W19/SER_hh_fec!W19)</f>
        <v>0.77216049452287117</v>
      </c>
      <c r="X19" s="135">
        <f>IF(SER_hh_tes!X19=0,"",SER_hh_tes!X19/SER_hh_fec!X19)</f>
        <v>0.7870660313691169</v>
      </c>
      <c r="Y19" s="135">
        <f>IF(SER_hh_tes!Y19=0,"",SER_hh_tes!Y19/SER_hh_fec!Y19)</f>
        <v>0.80236792351633868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0.51939528126593448</v>
      </c>
      <c r="C21" s="136">
        <f>IF(SER_hh_tes!C21=0,"",SER_hh_tes!C21/SER_hh_fec!C21)</f>
        <v>0.51988590241446497</v>
      </c>
      <c r="D21" s="136">
        <f>IF(SER_hh_tes!D21=0,"",SER_hh_tes!D21/SER_hh_fec!D21)</f>
        <v>0.52064482550131053</v>
      </c>
      <c r="E21" s="136">
        <f>IF(SER_hh_tes!E21=0,"",SER_hh_tes!E21/SER_hh_fec!E21)</f>
        <v>0.52198101490175031</v>
      </c>
      <c r="F21" s="136">
        <f>IF(SER_hh_tes!F21=0,"",SER_hh_tes!F21/SER_hh_fec!F21)</f>
        <v>0.52404244087625573</v>
      </c>
      <c r="G21" s="136">
        <f>IF(SER_hh_tes!G21=0,"",SER_hh_tes!G21/SER_hh_fec!G21)</f>
        <v>0.52662440725373416</v>
      </c>
      <c r="H21" s="136">
        <f>IF(SER_hh_tes!H21=0,"",SER_hh_tes!H21/SER_hh_fec!H21)</f>
        <v>0.52975402152878048</v>
      </c>
      <c r="I21" s="136">
        <f>IF(SER_hh_tes!I21=0,"",SER_hh_tes!I21/SER_hh_fec!I21)</f>
        <v>0.53330791421472645</v>
      </c>
      <c r="J21" s="136">
        <f>IF(SER_hh_tes!J21=0,"",SER_hh_tes!J21/SER_hh_fec!J21)</f>
        <v>0.53695933363835757</v>
      </c>
      <c r="K21" s="136">
        <f>IF(SER_hh_tes!K21=0,"",SER_hh_tes!K21/SER_hh_fec!K21)</f>
        <v>0.54105358077788135</v>
      </c>
      <c r="L21" s="136">
        <f>IF(SER_hh_tes!L21=0,"",SER_hh_tes!L21/SER_hh_fec!L21)</f>
        <v>0.54539834527507547</v>
      </c>
      <c r="M21" s="136">
        <f>IF(SER_hh_tes!M21=0,"",SER_hh_tes!M21/SER_hh_fec!M21)</f>
        <v>0.55158337573055383</v>
      </c>
      <c r="N21" s="136">
        <f>IF(SER_hh_tes!N21=0,"",SER_hh_tes!N21/SER_hh_fec!N21)</f>
        <v>0.56036551722704342</v>
      </c>
      <c r="O21" s="136">
        <f>IF(SER_hh_tes!O21=0,"",SER_hh_tes!O21/SER_hh_fec!O21)</f>
        <v>0.57105895464218337</v>
      </c>
      <c r="P21" s="136">
        <f>IF(SER_hh_tes!P21=0,"",SER_hh_tes!P21/SER_hh_fec!P21)</f>
        <v>0.57479830216394778</v>
      </c>
      <c r="Q21" s="136">
        <f>IF(SER_hh_tes!Q21=0,"",SER_hh_tes!Q21/SER_hh_fec!Q21)</f>
        <v>0.58128526619036724</v>
      </c>
      <c r="R21" s="136">
        <f>IF(SER_hh_tes!R21=0,"",SER_hh_tes!R21/SER_hh_fec!R21)</f>
        <v>0.59045460274099482</v>
      </c>
      <c r="S21" s="136">
        <f>IF(SER_hh_tes!S21=0,"",SER_hh_tes!S21/SER_hh_fec!S21)</f>
        <v>0.60314338397408307</v>
      </c>
      <c r="T21" s="136">
        <f>IF(SER_hh_tes!T21=0,"",SER_hh_tes!T21/SER_hh_fec!T21)</f>
        <v>0.62013983238092729</v>
      </c>
      <c r="U21" s="136">
        <f>IF(SER_hh_tes!U21=0,"",SER_hh_tes!U21/SER_hh_fec!U21)</f>
        <v>0.63874865046118645</v>
      </c>
      <c r="V21" s="136">
        <f>IF(SER_hh_tes!V21=0,"",SER_hh_tes!V21/SER_hh_fec!V21)</f>
        <v>0.65375140115397989</v>
      </c>
      <c r="W21" s="136">
        <f>IF(SER_hh_tes!W21=0,"",SER_hh_tes!W21/SER_hh_fec!W21)</f>
        <v>0.67369563739047611</v>
      </c>
      <c r="X21" s="136">
        <f>IF(SER_hh_tes!X21=0,"",SER_hh_tes!X21/SER_hh_fec!X21)</f>
        <v>0.68883098789850139</v>
      </c>
      <c r="Y21" s="136">
        <f>IF(SER_hh_tes!Y21=0,"",SER_hh_tes!Y21/SER_hh_fec!Y21)</f>
        <v>0.70592013194963654</v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0.48947229890678939</v>
      </c>
      <c r="C22" s="136">
        <f>IF(SER_hh_tes!C22=0,"",SER_hh_tes!C22/SER_hh_fec!C22)</f>
        <v>0.49001540120754916</v>
      </c>
      <c r="D22" s="136">
        <f>IF(SER_hh_tes!D22=0,"",SER_hh_tes!D22/SER_hh_fec!D22)</f>
        <v>0.4903739986729107</v>
      </c>
      <c r="E22" s="136">
        <f>IF(SER_hh_tes!E22=0,"",SER_hh_tes!E22/SER_hh_fec!E22)</f>
        <v>0.49122870618445147</v>
      </c>
      <c r="F22" s="136">
        <f>IF(SER_hh_tes!F22=0,"",SER_hh_tes!F22/SER_hh_fec!F22)</f>
        <v>0.49261132067661445</v>
      </c>
      <c r="G22" s="136">
        <f>IF(SER_hh_tes!G22=0,"",SER_hh_tes!G22/SER_hh_fec!G22)</f>
        <v>0.49469203801502676</v>
      </c>
      <c r="H22" s="136">
        <f>IF(SER_hh_tes!H22=0,"",SER_hh_tes!H22/SER_hh_fec!H22)</f>
        <v>0.49741639746540117</v>
      </c>
      <c r="I22" s="136">
        <f>IF(SER_hh_tes!I22=0,"",SER_hh_tes!I22/SER_hh_fec!I22)</f>
        <v>0.50047299626944886</v>
      </c>
      <c r="J22" s="136">
        <f>IF(SER_hh_tes!J22=0,"",SER_hh_tes!J22/SER_hh_fec!J22)</f>
        <v>0.50381030095752866</v>
      </c>
      <c r="K22" s="136">
        <f>IF(SER_hh_tes!K22=0,"",SER_hh_tes!K22/SER_hh_fec!K22)</f>
        <v>0.50788172992001912</v>
      </c>
      <c r="L22" s="136">
        <f>IF(SER_hh_tes!L22=0,"",SER_hh_tes!L22/SER_hh_fec!L22)</f>
        <v>0.5130501233259751</v>
      </c>
      <c r="M22" s="136">
        <f>IF(SER_hh_tes!M22=0,"",SER_hh_tes!M22/SER_hh_fec!M22)</f>
        <v>0.52098325437891668</v>
      </c>
      <c r="N22" s="136">
        <f>IF(SER_hh_tes!N22=0,"",SER_hh_tes!N22/SER_hh_fec!N22)</f>
        <v>0.53247616438339473</v>
      </c>
      <c r="O22" s="136">
        <f>IF(SER_hh_tes!O22=0,"",SER_hh_tes!O22/SER_hh_fec!O22)</f>
        <v>0.546285320788649</v>
      </c>
      <c r="P22" s="136">
        <f>IF(SER_hh_tes!P22=0,"",SER_hh_tes!P22/SER_hh_fec!P22)</f>
        <v>0.5496838413002203</v>
      </c>
      <c r="Q22" s="136">
        <f>IF(SER_hh_tes!Q22=0,"",SER_hh_tes!Q22/SER_hh_fec!Q22)</f>
        <v>0.55529269603758924</v>
      </c>
      <c r="R22" s="136">
        <f>IF(SER_hh_tes!R22=0,"",SER_hh_tes!R22/SER_hh_fec!R22)</f>
        <v>0.56366563787346702</v>
      </c>
      <c r="S22" s="136">
        <f>IF(SER_hh_tes!S22=0,"",SER_hh_tes!S22/SER_hh_fec!S22)</f>
        <v>0.57699849280659188</v>
      </c>
      <c r="T22" s="136">
        <f>IF(SER_hh_tes!T22=0,"",SER_hh_tes!T22/SER_hh_fec!T22)</f>
        <v>0.59424546655775945</v>
      </c>
      <c r="U22" s="136">
        <f>IF(SER_hh_tes!U22=0,"",SER_hh_tes!U22/SER_hh_fec!U22)</f>
        <v>0.61384980041930026</v>
      </c>
      <c r="V22" s="136">
        <f>IF(SER_hh_tes!V22=0,"",SER_hh_tes!V22/SER_hh_fec!V22)</f>
        <v>0.6328324402590888</v>
      </c>
      <c r="W22" s="136">
        <f>IF(SER_hh_tes!W22=0,"",SER_hh_tes!W22/SER_hh_fec!W22)</f>
        <v>0.65262297458349583</v>
      </c>
      <c r="X22" s="136">
        <f>IF(SER_hh_tes!X22=0,"",SER_hh_tes!X22/SER_hh_fec!X22)</f>
        <v>0.66894173320874328</v>
      </c>
      <c r="Y22" s="136">
        <f>IF(SER_hh_tes!Y22=0,"",SER_hh_tes!Y22/SER_hh_fec!Y22)</f>
        <v>0.68524239022818179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0.50046945102860496</v>
      </c>
      <c r="C23" s="136">
        <f>IF(SER_hh_tes!C23=0,"",SER_hh_tes!C23/SER_hh_fec!C23)</f>
        <v>0.50534954816011213</v>
      </c>
      <c r="D23" s="136">
        <f>IF(SER_hh_tes!D23=0,"",SER_hh_tes!D23/SER_hh_fec!D23)</f>
        <v>0.51064320206141556</v>
      </c>
      <c r="E23" s="136">
        <f>IF(SER_hh_tes!E23=0,"",SER_hh_tes!E23/SER_hh_fec!E23)</f>
        <v>0.51654552173588764</v>
      </c>
      <c r="F23" s="136">
        <f>IF(SER_hh_tes!F23=0,"",SER_hh_tes!F23/SER_hh_fec!F23)</f>
        <v>0.52318141243838945</v>
      </c>
      <c r="G23" s="136">
        <f>IF(SER_hh_tes!G23=0,"",SER_hh_tes!G23/SER_hh_fec!G23)</f>
        <v>0.53103982979845754</v>
      </c>
      <c r="H23" s="136">
        <f>IF(SER_hh_tes!H23=0,"",SER_hh_tes!H23/SER_hh_fec!H23)</f>
        <v>0.539760376692898</v>
      </c>
      <c r="I23" s="136">
        <f>IF(SER_hh_tes!I23=0,"",SER_hh_tes!I23/SER_hh_fec!I23)</f>
        <v>0.54860535153591705</v>
      </c>
      <c r="J23" s="136">
        <f>IF(SER_hh_tes!J23=0,"",SER_hh_tes!J23/SER_hh_fec!J23)</f>
        <v>0.55667165378323447</v>
      </c>
      <c r="K23" s="136">
        <f>IF(SER_hh_tes!K23=0,"",SER_hh_tes!K23/SER_hh_fec!K23)</f>
        <v>0.56463372210095197</v>
      </c>
      <c r="L23" s="136">
        <f>IF(SER_hh_tes!L23=0,"",SER_hh_tes!L23/SER_hh_fec!L23)</f>
        <v>0.57262632105048183</v>
      </c>
      <c r="M23" s="136">
        <f>IF(SER_hh_tes!M23=0,"",SER_hh_tes!M23/SER_hh_fec!M23)</f>
        <v>0.58211248540371074</v>
      </c>
      <c r="N23" s="136">
        <f>IF(SER_hh_tes!N23=0,"",SER_hh_tes!N23/SER_hh_fec!N23)</f>
        <v>0.59307977531636169</v>
      </c>
      <c r="O23" s="136">
        <f>IF(SER_hh_tes!O23=0,"",SER_hh_tes!O23/SER_hh_fec!O23)</f>
        <v>0.6045352566903166</v>
      </c>
      <c r="P23" s="136">
        <f>IF(SER_hh_tes!P23=0,"",SER_hh_tes!P23/SER_hh_fec!P23)</f>
        <v>0.61186454911975208</v>
      </c>
      <c r="Q23" s="136">
        <f>IF(SER_hh_tes!Q23=0,"",SER_hh_tes!Q23/SER_hh_fec!Q23)</f>
        <v>0.62282089538196217</v>
      </c>
      <c r="R23" s="136">
        <f>IF(SER_hh_tes!R23=0,"",SER_hh_tes!R23/SER_hh_fec!R23)</f>
        <v>0.63725063338584675</v>
      </c>
      <c r="S23" s="136">
        <f>IF(SER_hh_tes!S23=0,"",SER_hh_tes!S23/SER_hh_fec!S23)</f>
        <v>0.65418536615186196</v>
      </c>
      <c r="T23" s="136">
        <f>IF(SER_hh_tes!T23=0,"",SER_hh_tes!T23/SER_hh_fec!T23)</f>
        <v>0.6701276180977942</v>
      </c>
      <c r="U23" s="136">
        <f>IF(SER_hh_tes!U23=0,"",SER_hh_tes!U23/SER_hh_fec!U23)</f>
        <v>0.68442483625123041</v>
      </c>
      <c r="V23" s="136">
        <f>IF(SER_hh_tes!V23=0,"",SER_hh_tes!V23/SER_hh_fec!V23)</f>
        <v>0.69601867790391203</v>
      </c>
      <c r="W23" s="136">
        <f>IF(SER_hh_tes!W23=0,"",SER_hh_tes!W23/SER_hh_fec!W23)</f>
        <v>0.7101521238683739</v>
      </c>
      <c r="X23" s="136">
        <f>IF(SER_hh_tes!X23=0,"",SER_hh_tes!X23/SER_hh_fec!X23)</f>
        <v>0.7223834046589479</v>
      </c>
      <c r="Y23" s="136">
        <f>IF(SER_hh_tes!Y23=0,"",SER_hh_tes!Y23/SER_hh_fec!Y23)</f>
        <v>0.73569032220856101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0.74682457833959592</v>
      </c>
      <c r="C25" s="136">
        <f>IF(SER_hh_tes!C25=0,"",SER_hh_tes!C25/SER_hh_fec!C25)</f>
        <v>0.75347471443344638</v>
      </c>
      <c r="D25" s="136">
        <f>IF(SER_hh_tes!D25=0,"",SER_hh_tes!D25/SER_hh_fec!D25)</f>
        <v>0.75822119566055002</v>
      </c>
      <c r="E25" s="136">
        <f>IF(SER_hh_tes!E25=0,"",SER_hh_tes!E25/SER_hh_fec!E25)</f>
        <v>0.76107637543228224</v>
      </c>
      <c r="F25" s="136">
        <f>IF(SER_hh_tes!F25=0,"",SER_hh_tes!F25/SER_hh_fec!F25)</f>
        <v>0.76237229623268132</v>
      </c>
      <c r="G25" s="136">
        <f>IF(SER_hh_tes!G25=0,"",SER_hh_tes!G25/SER_hh_fec!G25)</f>
        <v>0.76312764046584602</v>
      </c>
      <c r="H25" s="136">
        <f>IF(SER_hh_tes!H25=0,"",SER_hh_tes!H25/SER_hh_fec!H25)</f>
        <v>0.76394102237124872</v>
      </c>
      <c r="I25" s="136">
        <f>IF(SER_hh_tes!I25=0,"",SER_hh_tes!I25/SER_hh_fec!I25)</f>
        <v>0.76493906411343415</v>
      </c>
      <c r="J25" s="136">
        <f>IF(SER_hh_tes!J25=0,"",SER_hh_tes!J25/SER_hh_fec!J25)</f>
        <v>0.76591490298211551</v>
      </c>
      <c r="K25" s="136">
        <f>IF(SER_hh_tes!K25=0,"",SER_hh_tes!K25/SER_hh_fec!K25)</f>
        <v>0.7667438378082454</v>
      </c>
      <c r="L25" s="136">
        <f>IF(SER_hh_tes!L25=0,"",SER_hh_tes!L25/SER_hh_fec!L25)</f>
        <v>0.76893520208714827</v>
      </c>
      <c r="M25" s="136">
        <f>IF(SER_hh_tes!M25=0,"",SER_hh_tes!M25/SER_hh_fec!M25)</f>
        <v>0.77496969888887357</v>
      </c>
      <c r="N25" s="136">
        <f>IF(SER_hh_tes!N25=0,"",SER_hh_tes!N25/SER_hh_fec!N25)</f>
        <v>0.78285857088479693</v>
      </c>
      <c r="O25" s="136">
        <f>IF(SER_hh_tes!O25=0,"",SER_hh_tes!O25/SER_hh_fec!O25)</f>
        <v>0.79016126476752324</v>
      </c>
      <c r="P25" s="136">
        <f>IF(SER_hh_tes!P25=0,"",SER_hh_tes!P25/SER_hh_fec!P25)</f>
        <v>0.79404634567339383</v>
      </c>
      <c r="Q25" s="136">
        <f>IF(SER_hh_tes!Q25=0,"",SER_hh_tes!Q25/SER_hh_fec!Q25)</f>
        <v>0.79801375392736362</v>
      </c>
      <c r="R25" s="136">
        <f>IF(SER_hh_tes!R25=0,"",SER_hh_tes!R25/SER_hh_fec!R25)</f>
        <v>0.80173150008468341</v>
      </c>
      <c r="S25" s="136">
        <f>IF(SER_hh_tes!S25=0,"",SER_hh_tes!S25/SER_hh_fec!S25)</f>
        <v>0.8062450800115053</v>
      </c>
      <c r="T25" s="136">
        <f>IF(SER_hh_tes!T25=0,"",SER_hh_tes!T25/SER_hh_fec!T25)</f>
        <v>0.80835588518327639</v>
      </c>
      <c r="U25" s="136">
        <f>IF(SER_hh_tes!U25=0,"",SER_hh_tes!U25/SER_hh_fec!U25)</f>
        <v>0.80953183483914803</v>
      </c>
      <c r="V25" s="136">
        <f>IF(SER_hh_tes!V25=0,"",SER_hh_tes!V25/SER_hh_fec!V25)</f>
        <v>0.80979915463595309</v>
      </c>
      <c r="W25" s="136">
        <f>IF(SER_hh_tes!W25=0,"",SER_hh_tes!W25/SER_hh_fec!W25)</f>
        <v>0.80980502061150117</v>
      </c>
      <c r="X25" s="136">
        <f>IF(SER_hh_tes!X25=0,"",SER_hh_tes!X25/SER_hh_fec!X25)</f>
        <v>0.80984138696151553</v>
      </c>
      <c r="Y25" s="136">
        <f>IF(SER_hh_tes!Y25=0,"",SER_hh_tes!Y25/SER_hh_fec!Y25)</f>
        <v>0.80990709353764789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0.62107901664224419</v>
      </c>
      <c r="C26" s="137">
        <f>IF(SER_hh_tes!C26=0,"",SER_hh_tes!C26/SER_hh_fec!C26)</f>
        <v>0.62410364677690167</v>
      </c>
      <c r="D26" s="137">
        <f>IF(SER_hh_tes!D26=0,"",SER_hh_tes!D26/SER_hh_fec!D26)</f>
        <v>0.62658624278682418</v>
      </c>
      <c r="E26" s="137">
        <f>IF(SER_hh_tes!E26=0,"",SER_hh_tes!E26/SER_hh_fec!E26)</f>
        <v>0.62894729542439753</v>
      </c>
      <c r="F26" s="137">
        <f>IF(SER_hh_tes!F26=0,"",SER_hh_tes!F26/SER_hh_fec!F26)</f>
        <v>0.63143301111908834</v>
      </c>
      <c r="G26" s="137">
        <f>IF(SER_hh_tes!G26=0,"",SER_hh_tes!G26/SER_hh_fec!G26)</f>
        <v>0.63374622052105234</v>
      </c>
      <c r="H26" s="137">
        <f>IF(SER_hh_tes!H26=0,"",SER_hh_tes!H26/SER_hh_fec!H26)</f>
        <v>0.63641073957533745</v>
      </c>
      <c r="I26" s="137">
        <f>IF(SER_hh_tes!I26=0,"",SER_hh_tes!I26/SER_hh_fec!I26)</f>
        <v>0.6390309481747819</v>
      </c>
      <c r="J26" s="137">
        <f>IF(SER_hh_tes!J26=0,"",SER_hh_tes!J26/SER_hh_fec!J26)</f>
        <v>0.64155072561853987</v>
      </c>
      <c r="K26" s="137">
        <f>IF(SER_hh_tes!K26=0,"",SER_hh_tes!K26/SER_hh_fec!K26)</f>
        <v>0.64422572875181394</v>
      </c>
      <c r="L26" s="137">
        <f>IF(SER_hh_tes!L26=0,"",SER_hh_tes!L26/SER_hh_fec!L26)</f>
        <v>0.64671282073356906</v>
      </c>
      <c r="M26" s="137">
        <f>IF(SER_hh_tes!M26=0,"",SER_hh_tes!M26/SER_hh_fec!M26)</f>
        <v>0.65012138708841849</v>
      </c>
      <c r="N26" s="137">
        <f>IF(SER_hh_tes!N26=0,"",SER_hh_tes!N26/SER_hh_fec!N26)</f>
        <v>0.65452637281575066</v>
      </c>
      <c r="O26" s="137">
        <f>IF(SER_hh_tes!O26=0,"",SER_hh_tes!O26/SER_hh_fec!O26)</f>
        <v>0.66131716073318703</v>
      </c>
      <c r="P26" s="137">
        <f>IF(SER_hh_tes!P26=0,"",SER_hh_tes!P26/SER_hh_fec!P26)</f>
        <v>0.6654432638426101</v>
      </c>
      <c r="Q26" s="137">
        <f>IF(SER_hh_tes!Q26=0,"",SER_hh_tes!Q26/SER_hh_fec!Q26)</f>
        <v>0.67213578896728476</v>
      </c>
      <c r="R26" s="137">
        <f>IF(SER_hh_tes!R26=0,"",SER_hh_tes!R26/SER_hh_fec!R26)</f>
        <v>0.68112592115248882</v>
      </c>
      <c r="S26" s="137">
        <f>IF(SER_hh_tes!S26=0,"",SER_hh_tes!S26/SER_hh_fec!S26)</f>
        <v>0.69395758079066694</v>
      </c>
      <c r="T26" s="137">
        <f>IF(SER_hh_tes!T26=0,"",SER_hh_tes!T26/SER_hh_fec!T26)</f>
        <v>0.70818048005210532</v>
      </c>
      <c r="U26" s="137">
        <f>IF(SER_hh_tes!U26=0,"",SER_hh_tes!U26/SER_hh_fec!U26)</f>
        <v>0.72333026199353789</v>
      </c>
      <c r="V26" s="137">
        <f>IF(SER_hh_tes!V26=0,"",SER_hh_tes!V26/SER_hh_fec!V26)</f>
        <v>0.73528522198432078</v>
      </c>
      <c r="W26" s="137">
        <f>IF(SER_hh_tes!W26=0,"",SER_hh_tes!W26/SER_hh_fec!W26)</f>
        <v>0.75655053645678172</v>
      </c>
      <c r="X26" s="137">
        <f>IF(SER_hh_tes!X26=0,"",SER_hh_tes!X26/SER_hh_fec!X26)</f>
        <v>0.77203408580404564</v>
      </c>
      <c r="Y26" s="137">
        <f>IF(SER_hh_tes!Y26=0,"",SER_hh_tes!Y26/SER_hh_fec!Y26)</f>
        <v>0.79495221457857912</v>
      </c>
      <c r="DA26" s="164" t="s">
        <v>351</v>
      </c>
    </row>
    <row r="27" spans="1:105" ht="12" customHeight="1" x14ac:dyDescent="0.25">
      <c r="A27" s="144" t="s">
        <v>26</v>
      </c>
      <c r="B27" s="153">
        <f>IF(SER_hh_tes!B27=0,"",SER_hh_tes!B27/SER_hh_fec!B27)</f>
        <v>1</v>
      </c>
      <c r="C27" s="153">
        <f>IF(SER_hh_tes!C27=0,"",SER_hh_tes!C27/SER_hh_fec!C27)</f>
        <v>1</v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0.62464489782130472</v>
      </c>
      <c r="C29" s="135">
        <f>IF(SER_hh_tes!C29=0,"",SER_hh_tes!C29/SER_hh_fec!C29)</f>
        <v>0.63990546964825057</v>
      </c>
      <c r="D29" s="135">
        <f>IF(SER_hh_tes!D29=0,"",SER_hh_tes!D29/SER_hh_fec!D29)</f>
        <v>0.62645310603157112</v>
      </c>
      <c r="E29" s="135">
        <f>IF(SER_hh_tes!E29=0,"",SER_hh_tes!E29/SER_hh_fec!E29)</f>
        <v>0.62461169548424722</v>
      </c>
      <c r="F29" s="135">
        <f>IF(SER_hh_tes!F29=0,"",SER_hh_tes!F29/SER_hh_fec!F29)</f>
        <v>0.61724045831097007</v>
      </c>
      <c r="G29" s="135">
        <f>IF(SER_hh_tes!G29=0,"",SER_hh_tes!G29/SER_hh_fec!G29)</f>
        <v>0.59483375991471998</v>
      </c>
      <c r="H29" s="135">
        <f>IF(SER_hh_tes!H29=0,"",SER_hh_tes!H29/SER_hh_fec!H29)</f>
        <v>0.60570019442166667</v>
      </c>
      <c r="I29" s="135">
        <f>IF(SER_hh_tes!I29=0,"",SER_hh_tes!I29/SER_hh_fec!I29)</f>
        <v>0.60429069520859924</v>
      </c>
      <c r="J29" s="135">
        <f>IF(SER_hh_tes!J29=0,"",SER_hh_tes!J29/SER_hh_fec!J29)</f>
        <v>0.60048442541079028</v>
      </c>
      <c r="K29" s="135">
        <f>IF(SER_hh_tes!K29=0,"",SER_hh_tes!K29/SER_hh_fec!K29)</f>
        <v>0.60491510180582997</v>
      </c>
      <c r="L29" s="135">
        <f>IF(SER_hh_tes!L29=0,"",SER_hh_tes!L29/SER_hh_fec!L29)</f>
        <v>0.64411379913590339</v>
      </c>
      <c r="M29" s="135">
        <f>IF(SER_hh_tes!M29=0,"",SER_hh_tes!M29/SER_hh_fec!M29)</f>
        <v>0.64424964665135931</v>
      </c>
      <c r="N29" s="135">
        <f>IF(SER_hh_tes!N29=0,"",SER_hh_tes!N29/SER_hh_fec!N29)</f>
        <v>0.62858812050979518</v>
      </c>
      <c r="O29" s="135">
        <f>IF(SER_hh_tes!O29=0,"",SER_hh_tes!O29/SER_hh_fec!O29)</f>
        <v>0.62456094787137861</v>
      </c>
      <c r="P29" s="135">
        <f>IF(SER_hh_tes!P29=0,"",SER_hh_tes!P29/SER_hh_fec!P29)</f>
        <v>0.61170349593852547</v>
      </c>
      <c r="Q29" s="135">
        <f>IF(SER_hh_tes!Q29=0,"",SER_hh_tes!Q29/SER_hh_fec!Q29)</f>
        <v>0.60738573555268105</v>
      </c>
      <c r="R29" s="135">
        <f>IF(SER_hh_tes!R29=0,"",SER_hh_tes!R29/SER_hh_fec!R29)</f>
        <v>0.61632998720784893</v>
      </c>
      <c r="S29" s="135">
        <f>IF(SER_hh_tes!S29=0,"",SER_hh_tes!S29/SER_hh_fec!S29)</f>
        <v>0.62191938510712796</v>
      </c>
      <c r="T29" s="135">
        <f>IF(SER_hh_tes!T29=0,"",SER_hh_tes!T29/SER_hh_fec!T29)</f>
        <v>0.61350321639194449</v>
      </c>
      <c r="U29" s="135">
        <f>IF(SER_hh_tes!U29=0,"",SER_hh_tes!U29/SER_hh_fec!U29)</f>
        <v>0.62280814562604836</v>
      </c>
      <c r="V29" s="135">
        <f>IF(SER_hh_tes!V29=0,"",SER_hh_tes!V29/SER_hh_fec!V29)</f>
        <v>0.65534875553803429</v>
      </c>
      <c r="W29" s="135">
        <f>IF(SER_hh_tes!W29=0,"",SER_hh_tes!W29/SER_hh_fec!W29)</f>
        <v>0.6749053648580543</v>
      </c>
      <c r="X29" s="135">
        <f>IF(SER_hh_tes!X29=0,"",SER_hh_tes!X29/SER_hh_fec!X29)</f>
        <v>0.67335222849641796</v>
      </c>
      <c r="Y29" s="135">
        <f>IF(SER_hh_tes!Y29=0,"",SER_hh_tes!Y29/SER_hh_fec!Y29)</f>
        <v>0.67724445390146537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0.51473935211834798</v>
      </c>
      <c r="C30" s="136">
        <f>IF(SER_hh_tes!C30=0,"",SER_hh_tes!C30/SER_hh_fec!C30)</f>
        <v>0.51530546358992302</v>
      </c>
      <c r="D30" s="136">
        <f>IF(SER_hh_tes!D30=0,"",SER_hh_tes!D30/SER_hh_fec!D30)</f>
        <v>0.51693239994932216</v>
      </c>
      <c r="E30" s="136">
        <f>IF(SER_hh_tes!E30=0,"",SER_hh_tes!E30/SER_hh_fec!E30)</f>
        <v>0.51832776861560925</v>
      </c>
      <c r="F30" s="136">
        <f>IF(SER_hh_tes!F30=0,"",SER_hh_tes!F30/SER_hh_fec!F30)</f>
        <v>0.51964779390105986</v>
      </c>
      <c r="G30" s="136">
        <f>IF(SER_hh_tes!G30=0,"",SER_hh_tes!G30/SER_hh_fec!G30)</f>
        <v>0.52079795489732139</v>
      </c>
      <c r="H30" s="136">
        <f>IF(SER_hh_tes!H30=0,"",SER_hh_tes!H30/SER_hh_fec!H30)</f>
        <v>0.52149529170837872</v>
      </c>
      <c r="I30" s="136">
        <f>IF(SER_hh_tes!I30=0,"",SER_hh_tes!I30/SER_hh_fec!I30)</f>
        <v>0.52220140072414112</v>
      </c>
      <c r="J30" s="136">
        <f>IF(SER_hh_tes!J30=0,"",SER_hh_tes!J30/SER_hh_fec!J30)</f>
        <v>0.52268702884671703</v>
      </c>
      <c r="K30" s="136">
        <f>IF(SER_hh_tes!K30=0,"",SER_hh_tes!K30/SER_hh_fec!K30)</f>
        <v>0.52311048867491661</v>
      </c>
      <c r="L30" s="136">
        <f>IF(SER_hh_tes!L30=0,"",SER_hh_tes!L30/SER_hh_fec!L30)</f>
        <v>0.52341443437104918</v>
      </c>
      <c r="M30" s="136">
        <f>IF(SER_hh_tes!M30=0,"",SER_hh_tes!M30/SER_hh_fec!M30)</f>
        <v>0.52341535131955752</v>
      </c>
      <c r="N30" s="136">
        <f>IF(SER_hh_tes!N30=0,"",SER_hh_tes!N30/SER_hh_fec!N30)</f>
        <v>0.52344584915395553</v>
      </c>
      <c r="O30" s="136">
        <f>IF(SER_hh_tes!O30=0,"",SER_hh_tes!O30/SER_hh_fec!O30)</f>
        <v>0.52426390432616121</v>
      </c>
      <c r="P30" s="136">
        <f>IF(SER_hh_tes!P30=0,"",SER_hh_tes!P30/SER_hh_fec!P30)</f>
        <v>0.52590370998992331</v>
      </c>
      <c r="Q30" s="136">
        <f>IF(SER_hh_tes!Q30=0,"",SER_hh_tes!Q30/SER_hh_fec!Q30)</f>
        <v>0.52767566721928116</v>
      </c>
      <c r="R30" s="136">
        <f>IF(SER_hh_tes!R30=0,"",SER_hh_tes!R30/SER_hh_fec!R30)</f>
        <v>0.53002252021981888</v>
      </c>
      <c r="S30" s="136">
        <f>IF(SER_hh_tes!S30=0,"",SER_hh_tes!S30/SER_hh_fec!S30)</f>
        <v>0.53313529532337889</v>
      </c>
      <c r="T30" s="136">
        <f>IF(SER_hh_tes!T30=0,"",SER_hh_tes!T30/SER_hh_fec!T30)</f>
        <v>0.53650823611670739</v>
      </c>
      <c r="U30" s="136">
        <f>IF(SER_hh_tes!U30=0,"",SER_hh_tes!U30/SER_hh_fec!U30)</f>
        <v>0.5373915968483669</v>
      </c>
      <c r="V30" s="136">
        <f>IF(SER_hh_tes!V30=0,"",SER_hh_tes!V30/SER_hh_fec!V30)</f>
        <v>0.53771317583792366</v>
      </c>
      <c r="W30" s="136">
        <f>IF(SER_hh_tes!W30=0,"",SER_hh_tes!W30/SER_hh_fec!W30)</f>
        <v>0.53773673077935213</v>
      </c>
      <c r="X30" s="136">
        <f>IF(SER_hh_tes!X30=0,"",SER_hh_tes!X30/SER_hh_fec!X30)</f>
        <v>0.53973463023420554</v>
      </c>
      <c r="Y30" s="136">
        <f>IF(SER_hh_tes!Y30=0,"",SER_hh_tes!Y30/SER_hh_fec!Y30)</f>
        <v>0.54453766752189736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0.52110512043404789</v>
      </c>
      <c r="C31" s="136">
        <f>IF(SER_hh_tes!C31=0,"",SER_hh_tes!C31/SER_hh_fec!C31)</f>
        <v>0.52182922961574274</v>
      </c>
      <c r="D31" s="136">
        <f>IF(SER_hh_tes!D31=0,"",SER_hh_tes!D31/SER_hh_fec!D31)</f>
        <v>0.52269906002547584</v>
      </c>
      <c r="E31" s="136">
        <f>IF(SER_hh_tes!E31=0,"",SER_hh_tes!E31/SER_hh_fec!E31)</f>
        <v>0.52369216733112478</v>
      </c>
      <c r="F31" s="136">
        <f>IF(SER_hh_tes!F31=0,"",SER_hh_tes!F31/SER_hh_fec!F31)</f>
        <v>0.52484609929254911</v>
      </c>
      <c r="G31" s="136">
        <f>IF(SER_hh_tes!G31=0,"",SER_hh_tes!G31/SER_hh_fec!G31)</f>
        <v>0.52596266953546744</v>
      </c>
      <c r="H31" s="136">
        <f>IF(SER_hh_tes!H31=0,"",SER_hh_tes!H31/SER_hh_fec!H31)</f>
        <v>0.52698767541095726</v>
      </c>
      <c r="I31" s="136">
        <f>IF(SER_hh_tes!I31=0,"",SER_hh_tes!I31/SER_hh_fec!I31)</f>
        <v>0.52801494178428743</v>
      </c>
      <c r="J31" s="136">
        <f>IF(SER_hh_tes!J31=0,"",SER_hh_tes!J31/SER_hh_fec!J31)</f>
        <v>0.52914541497268341</v>
      </c>
      <c r="K31" s="136">
        <f>IF(SER_hh_tes!K31=0,"",SER_hh_tes!K31/SER_hh_fec!K31)</f>
        <v>0.53042410956635455</v>
      </c>
      <c r="L31" s="136">
        <f>IF(SER_hh_tes!L31=0,"",SER_hh_tes!L31/SER_hh_fec!L31)</f>
        <v>0.53143345339245074</v>
      </c>
      <c r="M31" s="136">
        <f>IF(SER_hh_tes!M31=0,"",SER_hh_tes!M31/SER_hh_fec!M31)</f>
        <v>0.53201039593709576</v>
      </c>
      <c r="N31" s="136">
        <f>IF(SER_hh_tes!N31=0,"",SER_hh_tes!N31/SER_hh_fec!N31)</f>
        <v>0.53257753072582104</v>
      </c>
      <c r="O31" s="136">
        <f>IF(SER_hh_tes!O31=0,"",SER_hh_tes!O31/SER_hh_fec!O31)</f>
        <v>0.53321458179176362</v>
      </c>
      <c r="P31" s="136">
        <f>IF(SER_hh_tes!P31=0,"",SER_hh_tes!P31/SER_hh_fec!P31)</f>
        <v>0.53368702235236565</v>
      </c>
      <c r="Q31" s="136">
        <f>IF(SER_hh_tes!Q31=0,"",SER_hh_tes!Q31/SER_hh_fec!Q31)</f>
        <v>0.53438417384090697</v>
      </c>
      <c r="R31" s="136">
        <f>IF(SER_hh_tes!R31=0,"",SER_hh_tes!R31/SER_hh_fec!R31)</f>
        <v>0.53547668774050738</v>
      </c>
      <c r="S31" s="136">
        <f>IF(SER_hh_tes!S31=0,"",SER_hh_tes!S31/SER_hh_fec!S31)</f>
        <v>0.53733336203662085</v>
      </c>
      <c r="T31" s="136">
        <f>IF(SER_hh_tes!T31=0,"",SER_hh_tes!T31/SER_hh_fec!T31)</f>
        <v>0.54000163339495377</v>
      </c>
      <c r="U31" s="136">
        <f>IF(SER_hh_tes!U31=0,"",SER_hh_tes!U31/SER_hh_fec!U31)</f>
        <v>0.54342075494856101</v>
      </c>
      <c r="V31" s="136">
        <f>IF(SER_hh_tes!V31=0,"",SER_hh_tes!V31/SER_hh_fec!V31)</f>
        <v>0.5466524386956374</v>
      </c>
      <c r="W31" s="136">
        <f>IF(SER_hh_tes!W31=0,"",SER_hh_tes!W31/SER_hh_fec!W31)</f>
        <v>0.54953128281884622</v>
      </c>
      <c r="X31" s="136">
        <f>IF(SER_hh_tes!X31=0,"",SER_hh_tes!X31/SER_hh_fec!X31)</f>
        <v>0.55203620283058752</v>
      </c>
      <c r="Y31" s="136">
        <f>IF(SER_hh_tes!Y31=0,"",SER_hh_tes!Y31/SER_hh_fec!Y31)</f>
        <v>0.55636783435887815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>
        <f>IF(SER_hh_tes!N32=0,"",SER_hh_tes!N32/SER_hh_fec!N32)</f>
        <v>0.57367709459121252</v>
      </c>
      <c r="O32" s="136">
        <f>IF(SER_hh_tes!O32=0,"",SER_hh_tes!O32/SER_hh_fec!O32)</f>
        <v>0.57368206912863062</v>
      </c>
      <c r="P32" s="136">
        <f>IF(SER_hh_tes!P32=0,"",SER_hh_tes!P32/SER_hh_fec!P32)</f>
        <v>0.57368208528723919</v>
      </c>
      <c r="Q32" s="136">
        <f>IF(SER_hh_tes!Q32=0,"",SER_hh_tes!Q32/SER_hh_fec!Q32)</f>
        <v>0.57368211812992309</v>
      </c>
      <c r="R32" s="136">
        <f>IF(SER_hh_tes!R32=0,"",SER_hh_tes!R32/SER_hh_fec!R32)</f>
        <v>0.57368211812992309</v>
      </c>
      <c r="S32" s="136">
        <f>IF(SER_hh_tes!S32=0,"",SER_hh_tes!S32/SER_hh_fec!S32)</f>
        <v>0.57368211812992298</v>
      </c>
      <c r="T32" s="136">
        <f>IF(SER_hh_tes!T32=0,"",SER_hh_tes!T32/SER_hh_fec!T32)</f>
        <v>0.57368211812992298</v>
      </c>
      <c r="U32" s="136">
        <f>IF(SER_hh_tes!U32=0,"",SER_hh_tes!U32/SER_hh_fec!U32)</f>
        <v>0.57368211812992331</v>
      </c>
      <c r="V32" s="136">
        <f>IF(SER_hh_tes!V32=0,"",SER_hh_tes!V32/SER_hh_fec!V32)</f>
        <v>0.57368211812992331</v>
      </c>
      <c r="W32" s="136">
        <f>IF(SER_hh_tes!W32=0,"",SER_hh_tes!W32/SER_hh_fec!W32)</f>
        <v>0.57486536513188846</v>
      </c>
      <c r="X32" s="136">
        <f>IF(SER_hh_tes!X32=0,"",SER_hh_tes!X32/SER_hh_fec!X32)</f>
        <v>0.57894875731121598</v>
      </c>
      <c r="Y32" s="136">
        <f>IF(SER_hh_tes!Y32=0,"",SER_hh_tes!Y32/SER_hh_fec!Y32)</f>
        <v>0.58377784373867492</v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0.68110067689059817</v>
      </c>
      <c r="C33" s="149">
        <f>IF(SER_hh_tes!C33=0,"",SER_hh_tes!C33/SER_hh_fec!C33)</f>
        <v>0.68282204248201916</v>
      </c>
      <c r="D33" s="149">
        <f>IF(SER_hh_tes!D33=0,"",SER_hh_tes!D33/SER_hh_fec!D33)</f>
        <v>0.68382695412502725</v>
      </c>
      <c r="E33" s="149">
        <f>IF(SER_hh_tes!E33=0,"",SER_hh_tes!E33/SER_hh_fec!E33)</f>
        <v>0.6848447939744422</v>
      </c>
      <c r="F33" s="149">
        <f>IF(SER_hh_tes!F33=0,"",SER_hh_tes!F33/SER_hh_fec!F33)</f>
        <v>0.68592869067186812</v>
      </c>
      <c r="G33" s="149">
        <f>IF(SER_hh_tes!G33=0,"",SER_hh_tes!G33/SER_hh_fec!G33)</f>
        <v>0.68716937540449952</v>
      </c>
      <c r="H33" s="149">
        <f>IF(SER_hh_tes!H33=0,"",SER_hh_tes!H33/SER_hh_fec!H33)</f>
        <v>0.68970020955970968</v>
      </c>
      <c r="I33" s="149">
        <f>IF(SER_hh_tes!I33=0,"",SER_hh_tes!I33/SER_hh_fec!I33)</f>
        <v>0.69252583572918003</v>
      </c>
      <c r="J33" s="149">
        <f>IF(SER_hh_tes!J33=0,"",SER_hh_tes!J33/SER_hh_fec!J33)</f>
        <v>0.69606859063727922</v>
      </c>
      <c r="K33" s="149">
        <f>IF(SER_hh_tes!K33=0,"",SER_hh_tes!K33/SER_hh_fec!K33)</f>
        <v>0.70015611636519526</v>
      </c>
      <c r="L33" s="149">
        <f>IF(SER_hh_tes!L33=0,"",SER_hh_tes!L33/SER_hh_fec!L33)</f>
        <v>0.70356554660516479</v>
      </c>
      <c r="M33" s="149">
        <f>IF(SER_hh_tes!M33=0,"",SER_hh_tes!M33/SER_hh_fec!M33)</f>
        <v>0.70476197850083311</v>
      </c>
      <c r="N33" s="149">
        <f>IF(SER_hh_tes!N33=0,"",SER_hh_tes!N33/SER_hh_fec!N33)</f>
        <v>0.70533031581394257</v>
      </c>
      <c r="O33" s="149">
        <f>IF(SER_hh_tes!O33=0,"",SER_hh_tes!O33/SER_hh_fec!O33)</f>
        <v>0.70619144030668646</v>
      </c>
      <c r="P33" s="149">
        <f>IF(SER_hh_tes!P33=0,"",SER_hh_tes!P33/SER_hh_fec!P33)</f>
        <v>0.707029119943545</v>
      </c>
      <c r="Q33" s="149">
        <f>IF(SER_hh_tes!Q33=0,"",SER_hh_tes!Q33/SER_hh_fec!Q33)</f>
        <v>0.70938855114929167</v>
      </c>
      <c r="R33" s="149">
        <f>IF(SER_hh_tes!R33=0,"",SER_hh_tes!R33/SER_hh_fec!R33)</f>
        <v>0.71479136155606959</v>
      </c>
      <c r="S33" s="149">
        <f>IF(SER_hh_tes!S33=0,"",SER_hh_tes!S33/SER_hh_fec!S33)</f>
        <v>0.72338684611672144</v>
      </c>
      <c r="T33" s="149">
        <f>IF(SER_hh_tes!T33=0,"",SER_hh_tes!T33/SER_hh_fec!T33)</f>
        <v>0.73567616347127129</v>
      </c>
      <c r="U33" s="149">
        <f>IF(SER_hh_tes!U33=0,"",SER_hh_tes!U33/SER_hh_fec!U33)</f>
        <v>0.75433225936282577</v>
      </c>
      <c r="V33" s="149">
        <f>IF(SER_hh_tes!V33=0,"",SER_hh_tes!V33/SER_hh_fec!V33)</f>
        <v>0.77718160904080624</v>
      </c>
      <c r="W33" s="149">
        <f>IF(SER_hh_tes!W33=0,"",SER_hh_tes!W33/SER_hh_fec!W33)</f>
        <v>0.79674136215570879</v>
      </c>
      <c r="X33" s="149">
        <f>IF(SER_hh_tes!X33=0,"",SER_hh_tes!X33/SER_hh_fec!X33)</f>
        <v>0.81007724385953361</v>
      </c>
      <c r="Y33" s="149">
        <f>IF(SER_hh_tes!Y33=0,"",SER_hh_tes!Y33/SER_hh_fec!Y33)</f>
        <v>0.81557226633989288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1311.0375902399999</v>
      </c>
      <c r="C3" s="125">
        <f t="shared" si="0"/>
        <v>1443.8149843556371</v>
      </c>
      <c r="D3" s="125">
        <f t="shared" si="0"/>
        <v>1562.6251958243056</v>
      </c>
      <c r="E3" s="125">
        <f t="shared" si="0"/>
        <v>1640.6391438529729</v>
      </c>
      <c r="F3" s="125">
        <f t="shared" si="0"/>
        <v>2003.69581668</v>
      </c>
      <c r="G3" s="125">
        <f t="shared" si="0"/>
        <v>2251.4949338400002</v>
      </c>
      <c r="H3" s="125">
        <f t="shared" si="0"/>
        <v>2143.5981544800006</v>
      </c>
      <c r="I3" s="125">
        <f t="shared" si="0"/>
        <v>1988.2548237599992</v>
      </c>
      <c r="J3" s="125">
        <f t="shared" si="0"/>
        <v>1645.3814184000003</v>
      </c>
      <c r="K3" s="125">
        <f t="shared" si="0"/>
        <v>1870.8933783599998</v>
      </c>
      <c r="L3" s="125">
        <f t="shared" si="0"/>
        <v>1275.39334512</v>
      </c>
      <c r="M3" s="125">
        <f t="shared" si="0"/>
        <v>1139.4707889599995</v>
      </c>
      <c r="N3" s="125">
        <f t="shared" si="0"/>
        <v>1002.6559022400003</v>
      </c>
      <c r="O3" s="125">
        <f t="shared" si="0"/>
        <v>982.46300327999984</v>
      </c>
      <c r="P3" s="125">
        <f t="shared" si="0"/>
        <v>1028.5562426399997</v>
      </c>
      <c r="Q3" s="125">
        <f t="shared" si="0"/>
        <v>1128.0381746399999</v>
      </c>
      <c r="R3" s="125">
        <f t="shared" ref="R3:W3" si="1">SUM(R4,R16,R19,R29)</f>
        <v>1080.5481597600001</v>
      </c>
      <c r="S3" s="125">
        <f t="shared" si="1"/>
        <v>1072.0343199600002</v>
      </c>
      <c r="T3" s="125">
        <f t="shared" si="1"/>
        <v>1157.5114452</v>
      </c>
      <c r="U3" s="125">
        <f t="shared" si="1"/>
        <v>1132.27146036</v>
      </c>
      <c r="V3" s="125">
        <f t="shared" si="1"/>
        <v>892.74212243999978</v>
      </c>
      <c r="W3" s="125">
        <f t="shared" si="1"/>
        <v>951.13681091999979</v>
      </c>
      <c r="X3" s="125">
        <f t="shared" ref="X3:Y3" si="2">SUM(X4,X16,X19,X29)</f>
        <v>966.29294916000038</v>
      </c>
      <c r="Y3" s="125">
        <f t="shared" si="2"/>
        <v>938.1093415199997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883.85368333945848</v>
      </c>
      <c r="C4" s="130">
        <f t="shared" si="3"/>
        <v>1055.0927259279247</v>
      </c>
      <c r="D4" s="130">
        <f t="shared" si="3"/>
        <v>1128.2413958168374</v>
      </c>
      <c r="E4" s="130">
        <f t="shared" si="3"/>
        <v>1197.4522964672024</v>
      </c>
      <c r="F4" s="130">
        <f t="shared" si="3"/>
        <v>1529.3398298639338</v>
      </c>
      <c r="G4" s="130">
        <f t="shared" si="3"/>
        <v>1681.3921478281959</v>
      </c>
      <c r="H4" s="130">
        <f t="shared" si="3"/>
        <v>1600.1451144190864</v>
      </c>
      <c r="I4" s="130">
        <f t="shared" si="3"/>
        <v>1427.7699739105501</v>
      </c>
      <c r="J4" s="130">
        <f t="shared" si="3"/>
        <v>1052.0962610128959</v>
      </c>
      <c r="K4" s="130">
        <f t="shared" si="3"/>
        <v>1293.7396253073882</v>
      </c>
      <c r="L4" s="130">
        <f t="shared" si="3"/>
        <v>838.071285237859</v>
      </c>
      <c r="M4" s="130">
        <f t="shared" si="3"/>
        <v>696.14103400676368</v>
      </c>
      <c r="N4" s="130">
        <f t="shared" si="3"/>
        <v>569.01923506899595</v>
      </c>
      <c r="O4" s="130">
        <f t="shared" si="3"/>
        <v>519.66654909682507</v>
      </c>
      <c r="P4" s="130">
        <f t="shared" si="3"/>
        <v>490.36485856329432</v>
      </c>
      <c r="Q4" s="130">
        <f t="shared" si="3"/>
        <v>557.07581770355978</v>
      </c>
      <c r="R4" s="130">
        <f t="shared" ref="R4:W4" si="4">SUM(R5:R15)</f>
        <v>511.42503121584355</v>
      </c>
      <c r="S4" s="130">
        <f t="shared" si="4"/>
        <v>491.46444663734553</v>
      </c>
      <c r="T4" s="130">
        <f t="shared" si="4"/>
        <v>509.09021521489638</v>
      </c>
      <c r="U4" s="130">
        <f t="shared" si="4"/>
        <v>486.92699143973323</v>
      </c>
      <c r="V4" s="130">
        <f t="shared" si="4"/>
        <v>362.70208644344166</v>
      </c>
      <c r="W4" s="130">
        <f t="shared" si="4"/>
        <v>438.90775312471828</v>
      </c>
      <c r="X4" s="130">
        <f t="shared" ref="X4:Y4" si="5">SUM(X5:X15)</f>
        <v>400.5394969548932</v>
      </c>
      <c r="Y4" s="130">
        <f t="shared" si="5"/>
        <v>371.11219372209291</v>
      </c>
      <c r="DA4" s="155" t="s">
        <v>234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792.22678245819247</v>
      </c>
      <c r="C7" s="132">
        <v>932.93588531621504</v>
      </c>
      <c r="D7" s="132">
        <v>956.29951267909519</v>
      </c>
      <c r="E7" s="132">
        <v>1009.8830163093453</v>
      </c>
      <c r="F7" s="132">
        <v>1296.4434018976781</v>
      </c>
      <c r="G7" s="132">
        <v>1465.0573383256171</v>
      </c>
      <c r="H7" s="132">
        <v>1345.6094419032211</v>
      </c>
      <c r="I7" s="132">
        <v>1150.8047196362481</v>
      </c>
      <c r="J7" s="132">
        <v>753.5682100934946</v>
      </c>
      <c r="K7" s="132">
        <v>956.19498578708692</v>
      </c>
      <c r="L7" s="132">
        <v>536.43168443990783</v>
      </c>
      <c r="M7" s="132">
        <v>353.38910211737317</v>
      </c>
      <c r="N7" s="132">
        <v>233.00997557848927</v>
      </c>
      <c r="O7" s="132">
        <v>209.60750357049253</v>
      </c>
      <c r="P7" s="132">
        <v>187.33950035624932</v>
      </c>
      <c r="Q7" s="132">
        <v>230.92625345552031</v>
      </c>
      <c r="R7" s="132">
        <v>155.05778034434837</v>
      </c>
      <c r="S7" s="132">
        <v>138.39011525392874</v>
      </c>
      <c r="T7" s="132">
        <v>146.91446055687845</v>
      </c>
      <c r="U7" s="132">
        <v>169.99963375600456</v>
      </c>
      <c r="V7" s="132">
        <v>125.80460903280897</v>
      </c>
      <c r="W7" s="132">
        <v>116.74016638408573</v>
      </c>
      <c r="X7" s="132">
        <v>100.1974213045775</v>
      </c>
      <c r="Y7" s="132">
        <v>79.753370440654223</v>
      </c>
      <c r="DA7" s="156" t="s">
        <v>360</v>
      </c>
    </row>
    <row r="8" spans="1:105" ht="12" customHeight="1" x14ac:dyDescent="0.25">
      <c r="A8" s="131" t="s">
        <v>73</v>
      </c>
      <c r="B8" s="132">
        <v>0.42707585656628477</v>
      </c>
      <c r="C8" s="132">
        <v>0.53910701122774396</v>
      </c>
      <c r="D8" s="132">
        <v>0.74147886799995477</v>
      </c>
      <c r="E8" s="132">
        <v>0.90902806083856535</v>
      </c>
      <c r="F8" s="132">
        <v>0.97793550924535144</v>
      </c>
      <c r="G8" s="132">
        <v>1.0112063951065271</v>
      </c>
      <c r="H8" s="132">
        <v>1.2536343323832793</v>
      </c>
      <c r="I8" s="132">
        <v>1.5056647301808481</v>
      </c>
      <c r="J8" s="132">
        <v>1.9078384905208556</v>
      </c>
      <c r="K8" s="132">
        <v>2.0965211568080662</v>
      </c>
      <c r="L8" s="132">
        <v>2.4988920073550136</v>
      </c>
      <c r="M8" s="132">
        <v>3.0219412092295177</v>
      </c>
      <c r="N8" s="132">
        <v>3.3211120375283225</v>
      </c>
      <c r="O8" s="132">
        <v>3.7333590527725455</v>
      </c>
      <c r="P8" s="132">
        <v>4.1542263268774358</v>
      </c>
      <c r="Q8" s="132">
        <v>4.3600292584407256</v>
      </c>
      <c r="R8" s="132">
        <v>4.0750278880015864</v>
      </c>
      <c r="S8" s="132">
        <v>3.7787544223420082</v>
      </c>
      <c r="T8" s="132">
        <v>3.6112255879770387</v>
      </c>
      <c r="U8" s="132">
        <v>3.5726536557904036</v>
      </c>
      <c r="V8" s="132">
        <v>3.4295136520546809</v>
      </c>
      <c r="W8" s="132">
        <v>3.6758021705127026</v>
      </c>
      <c r="X8" s="132">
        <v>3.8967853888514137</v>
      </c>
      <c r="Y8" s="132">
        <v>3.9306308852779863</v>
      </c>
      <c r="DA8" s="156" t="s">
        <v>361</v>
      </c>
    </row>
    <row r="9" spans="1:105" ht="12" customHeight="1" x14ac:dyDescent="0.25">
      <c r="A9" s="131" t="s">
        <v>78</v>
      </c>
      <c r="B9" s="132">
        <v>91.199825024699805</v>
      </c>
      <c r="C9" s="132">
        <v>121.61773360048178</v>
      </c>
      <c r="D9" s="132">
        <v>171.20040426974231</v>
      </c>
      <c r="E9" s="132">
        <v>186.6602520970186</v>
      </c>
      <c r="F9" s="132">
        <v>231.91849245701039</v>
      </c>
      <c r="G9" s="132">
        <v>215.32360310747239</v>
      </c>
      <c r="H9" s="132">
        <v>253.28203818348211</v>
      </c>
      <c r="I9" s="132">
        <v>275.45958954412123</v>
      </c>
      <c r="J9" s="132">
        <v>296.62021242888034</v>
      </c>
      <c r="K9" s="132">
        <v>335.44811836349317</v>
      </c>
      <c r="L9" s="132">
        <v>299.14070879059619</v>
      </c>
      <c r="M9" s="132">
        <v>339.72999068016099</v>
      </c>
      <c r="N9" s="132">
        <v>332.6881474529784</v>
      </c>
      <c r="O9" s="132">
        <v>306.32568647355998</v>
      </c>
      <c r="P9" s="132">
        <v>298.87113188016752</v>
      </c>
      <c r="Q9" s="132">
        <v>321.78953498959874</v>
      </c>
      <c r="R9" s="132">
        <v>352.29222298349356</v>
      </c>
      <c r="S9" s="132">
        <v>349.2955769610748</v>
      </c>
      <c r="T9" s="132">
        <v>358.56452907004092</v>
      </c>
      <c r="U9" s="132">
        <v>313.35470402793828</v>
      </c>
      <c r="V9" s="132">
        <v>233.46796375857798</v>
      </c>
      <c r="W9" s="132">
        <v>318.49178457011988</v>
      </c>
      <c r="X9" s="132">
        <v>296.44529026146427</v>
      </c>
      <c r="Y9" s="132">
        <v>287.42819239616068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0.53562237543176661</v>
      </c>
      <c r="C16" s="130">
        <f t="shared" si="6"/>
        <v>0.57564374082428482</v>
      </c>
      <c r="D16" s="130">
        <f t="shared" si="6"/>
        <v>0.49288711766913063</v>
      </c>
      <c r="E16" s="130">
        <f t="shared" si="6"/>
        <v>0.66076563386450604</v>
      </c>
      <c r="F16" s="130">
        <f t="shared" si="6"/>
        <v>0.62786433101526784</v>
      </c>
      <c r="G16" s="130">
        <f t="shared" si="6"/>
        <v>0.72318810157252789</v>
      </c>
      <c r="H16" s="130">
        <f t="shared" si="6"/>
        <v>0.96767210756346156</v>
      </c>
      <c r="I16" s="130">
        <f t="shared" si="6"/>
        <v>0.84725691507988798</v>
      </c>
      <c r="J16" s="130">
        <f t="shared" si="6"/>
        <v>0.99245134219355191</v>
      </c>
      <c r="K16" s="130">
        <f t="shared" si="6"/>
        <v>1.5268123069546193</v>
      </c>
      <c r="L16" s="130">
        <f t="shared" si="6"/>
        <v>2.2454917522685167</v>
      </c>
      <c r="M16" s="130">
        <f t="shared" si="6"/>
        <v>1.7401307877483236</v>
      </c>
      <c r="N16" s="130">
        <f t="shared" si="6"/>
        <v>1.9817332739610274</v>
      </c>
      <c r="O16" s="130">
        <f t="shared" si="6"/>
        <v>2.9170350230533098</v>
      </c>
      <c r="P16" s="130">
        <f t="shared" si="6"/>
        <v>2.2367369690899461</v>
      </c>
      <c r="Q16" s="130">
        <f t="shared" si="6"/>
        <v>3.0985632039082236</v>
      </c>
      <c r="R16" s="130">
        <f t="shared" ref="R16:W16" si="7">SUM(R17:R18)</f>
        <v>5.6522505102833227</v>
      </c>
      <c r="S16" s="130">
        <f t="shared" si="7"/>
        <v>6.1105910981942273</v>
      </c>
      <c r="T16" s="130">
        <f t="shared" si="7"/>
        <v>5.8427386565132879</v>
      </c>
      <c r="U16" s="130">
        <f t="shared" si="7"/>
        <v>5.1819391733505054</v>
      </c>
      <c r="V16" s="130">
        <f t="shared" si="7"/>
        <v>7.4648389872430974</v>
      </c>
      <c r="W16" s="130">
        <f t="shared" si="7"/>
        <v>4.9441599226549799</v>
      </c>
      <c r="X16" s="130">
        <f t="shared" ref="X16:Y16" si="8">SUM(X17:X18)</f>
        <v>9.2952066826146602</v>
      </c>
      <c r="Y16" s="130">
        <f t="shared" si="8"/>
        <v>7.779300310746164</v>
      </c>
      <c r="DA16" s="155" t="s">
        <v>235</v>
      </c>
    </row>
    <row r="17" spans="1:105" ht="12.95" customHeight="1" x14ac:dyDescent="0.25">
      <c r="A17" s="131" t="s">
        <v>73</v>
      </c>
      <c r="B17" s="132">
        <v>0.53562237543176661</v>
      </c>
      <c r="C17" s="132">
        <v>0.57564374082428482</v>
      </c>
      <c r="D17" s="132">
        <v>0.49288711766913063</v>
      </c>
      <c r="E17" s="132">
        <v>0.66076563386450604</v>
      </c>
      <c r="F17" s="132">
        <v>0.62786433101526784</v>
      </c>
      <c r="G17" s="132">
        <v>0.72318810157252789</v>
      </c>
      <c r="H17" s="132">
        <v>0.96767210756346156</v>
      </c>
      <c r="I17" s="132">
        <v>0.84725691507988798</v>
      </c>
      <c r="J17" s="132">
        <v>0.99245134219355191</v>
      </c>
      <c r="K17" s="132">
        <v>1.5268123069546193</v>
      </c>
      <c r="L17" s="132">
        <v>2.2454917522685167</v>
      </c>
      <c r="M17" s="132">
        <v>1.7401307877483236</v>
      </c>
      <c r="N17" s="132">
        <v>1.9817332739610274</v>
      </c>
      <c r="O17" s="132">
        <v>2.9170350230533098</v>
      </c>
      <c r="P17" s="132">
        <v>2.2367369690899461</v>
      </c>
      <c r="Q17" s="132">
        <v>3.0985632039082236</v>
      </c>
      <c r="R17" s="132">
        <v>5.6522505102833227</v>
      </c>
      <c r="S17" s="132">
        <v>6.1105910981942273</v>
      </c>
      <c r="T17" s="132">
        <v>5.8427386565132879</v>
      </c>
      <c r="U17" s="132">
        <v>5.1819391733505054</v>
      </c>
      <c r="V17" s="132">
        <v>7.4648389872430974</v>
      </c>
      <c r="W17" s="132">
        <v>4.9441599226549799</v>
      </c>
      <c r="X17" s="132">
        <v>9.2952066826146602</v>
      </c>
      <c r="Y17" s="132">
        <v>7.779300310746164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281.74417396704865</v>
      </c>
      <c r="C19" s="130">
        <f t="shared" si="9"/>
        <v>272.49911648400439</v>
      </c>
      <c r="D19" s="130">
        <f t="shared" si="9"/>
        <v>259.05345691899032</v>
      </c>
      <c r="E19" s="130">
        <f t="shared" si="9"/>
        <v>250.07041570438574</v>
      </c>
      <c r="F19" s="130">
        <f t="shared" si="9"/>
        <v>245.06385981908412</v>
      </c>
      <c r="G19" s="130">
        <f t="shared" si="9"/>
        <v>243.23308860670949</v>
      </c>
      <c r="H19" s="130">
        <f t="shared" si="9"/>
        <v>242.84645867663352</v>
      </c>
      <c r="I19" s="130">
        <f t="shared" si="9"/>
        <v>242.71993628011577</v>
      </c>
      <c r="J19" s="130">
        <f t="shared" si="9"/>
        <v>238.6484278640919</v>
      </c>
      <c r="K19" s="130">
        <f t="shared" si="9"/>
        <v>234.949806754142</v>
      </c>
      <c r="L19" s="130">
        <f t="shared" si="9"/>
        <v>238.04746277954928</v>
      </c>
      <c r="M19" s="130">
        <f t="shared" si="9"/>
        <v>243.03656454366154</v>
      </c>
      <c r="N19" s="130">
        <f t="shared" si="9"/>
        <v>243.55441187522587</v>
      </c>
      <c r="O19" s="130">
        <f t="shared" si="9"/>
        <v>243.87595578040225</v>
      </c>
      <c r="P19" s="130">
        <f t="shared" si="9"/>
        <v>244.85041886690942</v>
      </c>
      <c r="Q19" s="130">
        <f t="shared" si="9"/>
        <v>247.65321251124996</v>
      </c>
      <c r="R19" s="130">
        <f t="shared" ref="R19:W19" si="10">SUM(R20:R27)</f>
        <v>251.73740757223436</v>
      </c>
      <c r="S19" s="130">
        <f t="shared" si="10"/>
        <v>258.06245900678971</v>
      </c>
      <c r="T19" s="130">
        <f t="shared" si="10"/>
        <v>261.29875465796329</v>
      </c>
      <c r="U19" s="130">
        <f t="shared" si="10"/>
        <v>263.55064296578723</v>
      </c>
      <c r="V19" s="130">
        <f t="shared" si="10"/>
        <v>235.71065353405504</v>
      </c>
      <c r="W19" s="130">
        <f t="shared" si="10"/>
        <v>250.67698893444378</v>
      </c>
      <c r="X19" s="130">
        <f t="shared" ref="X19:Y19" si="11">SUM(X20:X27)</f>
        <v>256.95993077013799</v>
      </c>
      <c r="Y19" s="130">
        <f t="shared" si="11"/>
        <v>253.83994092165557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33.976221372170102</v>
      </c>
      <c r="C21" s="132">
        <v>31.297180443651065</v>
      </c>
      <c r="D21" s="132">
        <v>30.002552094342057</v>
      </c>
      <c r="E21" s="132">
        <v>29.027483999758253</v>
      </c>
      <c r="F21" s="132">
        <v>28.944249913602082</v>
      </c>
      <c r="G21" s="132">
        <v>28.643957595976339</v>
      </c>
      <c r="H21" s="132">
        <v>28.321704891205048</v>
      </c>
      <c r="I21" s="132">
        <v>28.845912510900732</v>
      </c>
      <c r="J21" s="132">
        <v>28.649619644784025</v>
      </c>
      <c r="K21" s="132">
        <v>28.902058439637809</v>
      </c>
      <c r="L21" s="132">
        <v>27.907359893934174</v>
      </c>
      <c r="M21" s="132">
        <v>27.969005017512885</v>
      </c>
      <c r="N21" s="132">
        <v>27.386388424623306</v>
      </c>
      <c r="O21" s="132">
        <v>26.82556380907085</v>
      </c>
      <c r="P21" s="132">
        <v>26.898352671037859</v>
      </c>
      <c r="Q21" s="132">
        <v>27.181945620361578</v>
      </c>
      <c r="R21" s="132">
        <v>27.220069344738988</v>
      </c>
      <c r="S21" s="132">
        <v>26.831072938154652</v>
      </c>
      <c r="T21" s="132">
        <v>26.398867539429304</v>
      </c>
      <c r="U21" s="132">
        <v>26.506467599084026</v>
      </c>
      <c r="V21" s="132">
        <v>25.049953503478598</v>
      </c>
      <c r="W21" s="132">
        <v>23.566280345730249</v>
      </c>
      <c r="X21" s="132">
        <v>24.651153401143262</v>
      </c>
      <c r="Y21" s="132">
        <v>22.933166520251021</v>
      </c>
      <c r="DA21" s="156" t="s">
        <v>372</v>
      </c>
    </row>
    <row r="22" spans="1:105" ht="12" customHeight="1" x14ac:dyDescent="0.25">
      <c r="A22" s="131" t="s">
        <v>161</v>
      </c>
      <c r="B22" s="132">
        <v>208.81828682180731</v>
      </c>
      <c r="C22" s="132">
        <v>197.876213799422</v>
      </c>
      <c r="D22" s="132">
        <v>184.21759790521023</v>
      </c>
      <c r="E22" s="132">
        <v>175.54859326362765</v>
      </c>
      <c r="F22" s="132">
        <v>169.24073906232167</v>
      </c>
      <c r="G22" s="132">
        <v>164.81971023438308</v>
      </c>
      <c r="H22" s="132">
        <v>161.28718585677936</v>
      </c>
      <c r="I22" s="132">
        <v>154.60453412375116</v>
      </c>
      <c r="J22" s="132">
        <v>146.8214240265057</v>
      </c>
      <c r="K22" s="132">
        <v>139.68617733291282</v>
      </c>
      <c r="L22" s="132">
        <v>138.61274640009213</v>
      </c>
      <c r="M22" s="132">
        <v>138.59960588262641</v>
      </c>
      <c r="N22" s="132">
        <v>136.02050094151073</v>
      </c>
      <c r="O22" s="132">
        <v>134.00511066950753</v>
      </c>
      <c r="P22" s="132">
        <v>133.86619656375058</v>
      </c>
      <c r="Q22" s="132">
        <v>133.52018286447969</v>
      </c>
      <c r="R22" s="132">
        <v>131.67469889565163</v>
      </c>
      <c r="S22" s="132">
        <v>133.20672342607125</v>
      </c>
      <c r="T22" s="132">
        <v>134.03353724312132</v>
      </c>
      <c r="U22" s="132">
        <v>134.20110964399538</v>
      </c>
      <c r="V22" s="132">
        <v>125.32661952719094</v>
      </c>
      <c r="W22" s="132">
        <v>132.42740653591417</v>
      </c>
      <c r="X22" s="132">
        <v>136.34587501542222</v>
      </c>
      <c r="Y22" s="132">
        <v>132.09585403934585</v>
      </c>
      <c r="DA22" s="156" t="s">
        <v>373</v>
      </c>
    </row>
    <row r="23" spans="1:105" ht="12" customHeight="1" x14ac:dyDescent="0.25">
      <c r="A23" s="131" t="s">
        <v>149</v>
      </c>
      <c r="B23" s="132">
        <v>38.949665773071231</v>
      </c>
      <c r="C23" s="132">
        <v>43.325722240931313</v>
      </c>
      <c r="D23" s="132">
        <v>44.833306919438037</v>
      </c>
      <c r="E23" s="132">
        <v>45.494338440999833</v>
      </c>
      <c r="F23" s="132">
        <v>46.878870843160371</v>
      </c>
      <c r="G23" s="132">
        <v>49.769420776350088</v>
      </c>
      <c r="H23" s="132">
        <v>53.237567928649113</v>
      </c>
      <c r="I23" s="132">
        <v>59.269489645463885</v>
      </c>
      <c r="J23" s="132">
        <v>63.177384192802172</v>
      </c>
      <c r="K23" s="132">
        <v>66.361570981591385</v>
      </c>
      <c r="L23" s="132">
        <v>71.527356485522958</v>
      </c>
      <c r="M23" s="132">
        <v>76.467953643522264</v>
      </c>
      <c r="N23" s="132">
        <v>80.147522509091843</v>
      </c>
      <c r="O23" s="132">
        <v>83.045281301823863</v>
      </c>
      <c r="P23" s="132">
        <v>84.085869632120975</v>
      </c>
      <c r="Q23" s="132">
        <v>86.951084026408694</v>
      </c>
      <c r="R23" s="132">
        <v>92.842639331843756</v>
      </c>
      <c r="S23" s="132">
        <v>98.02466264256384</v>
      </c>
      <c r="T23" s="132">
        <v>100.86634987541268</v>
      </c>
      <c r="U23" s="132">
        <v>102.84306572270779</v>
      </c>
      <c r="V23" s="132">
        <v>85.334080503385522</v>
      </c>
      <c r="W23" s="132">
        <v>94.683302052799377</v>
      </c>
      <c r="X23" s="132">
        <v>95.962902353572488</v>
      </c>
      <c r="Y23" s="132">
        <v>98.810920362058695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144.90411055806084</v>
      </c>
      <c r="C29" s="130">
        <f t="shared" si="12"/>
        <v>115.64749820288384</v>
      </c>
      <c r="D29" s="130">
        <f t="shared" si="12"/>
        <v>174.83745597080866</v>
      </c>
      <c r="E29" s="130">
        <f t="shared" si="12"/>
        <v>192.45566604752025</v>
      </c>
      <c r="F29" s="130">
        <f t="shared" si="12"/>
        <v>228.6642626659667</v>
      </c>
      <c r="G29" s="130">
        <f t="shared" si="12"/>
        <v>326.14650930352207</v>
      </c>
      <c r="H29" s="130">
        <f t="shared" si="12"/>
        <v>299.63890927671713</v>
      </c>
      <c r="I29" s="130">
        <f t="shared" si="12"/>
        <v>316.91765665425345</v>
      </c>
      <c r="J29" s="130">
        <f t="shared" si="12"/>
        <v>353.64427818081901</v>
      </c>
      <c r="K29" s="130">
        <f t="shared" si="12"/>
        <v>340.67713399151506</v>
      </c>
      <c r="L29" s="130">
        <f t="shared" si="12"/>
        <v>197.02910535032339</v>
      </c>
      <c r="M29" s="130">
        <f t="shared" si="12"/>
        <v>198.55305962182601</v>
      </c>
      <c r="N29" s="130">
        <f t="shared" si="12"/>
        <v>188.10052202181751</v>
      </c>
      <c r="O29" s="130">
        <f t="shared" si="12"/>
        <v>216.00346337971911</v>
      </c>
      <c r="P29" s="130">
        <f t="shared" si="12"/>
        <v>291.10422824070599</v>
      </c>
      <c r="Q29" s="130">
        <f t="shared" si="12"/>
        <v>320.2105812212817</v>
      </c>
      <c r="R29" s="130">
        <f t="shared" ref="R29:W29" si="13">SUM(R30:R33)</f>
        <v>311.73347046163894</v>
      </c>
      <c r="S29" s="130">
        <f t="shared" si="13"/>
        <v>316.39682321767077</v>
      </c>
      <c r="T29" s="130">
        <f t="shared" si="13"/>
        <v>381.27973667062719</v>
      </c>
      <c r="U29" s="130">
        <f t="shared" si="13"/>
        <v>376.61188678112899</v>
      </c>
      <c r="V29" s="130">
        <f t="shared" si="13"/>
        <v>286.86454347526006</v>
      </c>
      <c r="W29" s="130">
        <f t="shared" si="13"/>
        <v>256.60790893818273</v>
      </c>
      <c r="X29" s="130">
        <f t="shared" ref="X29:Y29" si="14">SUM(X30:X33)</f>
        <v>299.49831475235453</v>
      </c>
      <c r="Y29" s="130">
        <f t="shared" si="14"/>
        <v>305.37790656550499</v>
      </c>
      <c r="DA29" s="155" t="s">
        <v>237</v>
      </c>
    </row>
    <row r="30" spans="1:105" ht="12" customHeight="1" x14ac:dyDescent="0.25">
      <c r="A30" s="131" t="s">
        <v>52</v>
      </c>
      <c r="B30" s="132">
        <v>112.27074958782991</v>
      </c>
      <c r="C30" s="132">
        <v>79.134154796348966</v>
      </c>
      <c r="D30" s="132">
        <v>134.15212314565792</v>
      </c>
      <c r="E30" s="132">
        <v>150.05024028024178</v>
      </c>
      <c r="F30" s="132">
        <v>180.02409580639798</v>
      </c>
      <c r="G30" s="132">
        <v>272.86732768402356</v>
      </c>
      <c r="H30" s="132">
        <v>243.33712182879501</v>
      </c>
      <c r="I30" s="132">
        <v>258.51148748909912</v>
      </c>
      <c r="J30" s="132">
        <v>293.53890463521594</v>
      </c>
      <c r="K30" s="132">
        <v>272.96836680036222</v>
      </c>
      <c r="L30" s="132">
        <v>111.41736438606577</v>
      </c>
      <c r="M30" s="132">
        <v>108.45329594248719</v>
      </c>
      <c r="N30" s="132">
        <v>94.522887295376748</v>
      </c>
      <c r="O30" s="132">
        <v>97.98613523092915</v>
      </c>
      <c r="P30" s="132">
        <v>173.38112304896205</v>
      </c>
      <c r="Q30" s="132">
        <v>187.61055533963844</v>
      </c>
      <c r="R30" s="132">
        <v>173.05940637526101</v>
      </c>
      <c r="S30" s="132">
        <v>173.51518782184544</v>
      </c>
      <c r="T30" s="132">
        <v>233.3490517405709</v>
      </c>
      <c r="U30" s="132">
        <v>220.18543068091594</v>
      </c>
      <c r="V30" s="132">
        <v>140.46790889652127</v>
      </c>
      <c r="W30" s="132">
        <v>120.17057261426972</v>
      </c>
      <c r="X30" s="132">
        <v>175.49475223885676</v>
      </c>
      <c r="Y30" s="132">
        <v>178.08049031974889</v>
      </c>
      <c r="DA30" s="156" t="s">
        <v>379</v>
      </c>
    </row>
    <row r="31" spans="1:105" ht="12" customHeight="1" x14ac:dyDescent="0.25">
      <c r="A31" s="131" t="s">
        <v>149</v>
      </c>
      <c r="B31" s="132">
        <v>32.633360970230932</v>
      </c>
      <c r="C31" s="132">
        <v>36.513343406534865</v>
      </c>
      <c r="D31" s="132">
        <v>40.685332825150738</v>
      </c>
      <c r="E31" s="132">
        <v>42.405425767278487</v>
      </c>
      <c r="F31" s="132">
        <v>48.640166859568737</v>
      </c>
      <c r="G31" s="132">
        <v>53.279181619498509</v>
      </c>
      <c r="H31" s="132">
        <v>56.301787447922131</v>
      </c>
      <c r="I31" s="132">
        <v>58.40616916515431</v>
      </c>
      <c r="J31" s="132">
        <v>60.105373545603072</v>
      </c>
      <c r="K31" s="132">
        <v>67.708767191152845</v>
      </c>
      <c r="L31" s="132">
        <v>85.611740964257635</v>
      </c>
      <c r="M31" s="132">
        <v>90.099763679338821</v>
      </c>
      <c r="N31" s="132">
        <v>93.577634726440763</v>
      </c>
      <c r="O31" s="132">
        <v>118.01732814878996</v>
      </c>
      <c r="P31" s="132">
        <v>117.72310519174394</v>
      </c>
      <c r="Q31" s="132">
        <v>132.60002588164329</v>
      </c>
      <c r="R31" s="132">
        <v>138.67406408637797</v>
      </c>
      <c r="S31" s="132">
        <v>142.88163539582536</v>
      </c>
      <c r="T31" s="132">
        <v>147.93068493005629</v>
      </c>
      <c r="U31" s="132">
        <v>156.42645610021304</v>
      </c>
      <c r="V31" s="132">
        <v>146.3966345787388</v>
      </c>
      <c r="W31" s="132">
        <v>136.437336323913</v>
      </c>
      <c r="X31" s="132">
        <v>124.00356251349774</v>
      </c>
      <c r="Y31" s="132">
        <v>127.29741624575608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60673.477070725778</v>
      </c>
      <c r="C3" s="125">
        <f>IF(SER_hh_fec!C3=0,0,11630*1000*SER_hh_fec!C3/SER_hh_num!C3)</f>
        <v>64270.44098319488</v>
      </c>
      <c r="D3" s="125">
        <f>IF(SER_hh_fec!D3=0,0,11630*1000*SER_hh_fec!D3/SER_hh_num!D3)</f>
        <v>67566.836892633786</v>
      </c>
      <c r="E3" s="125">
        <f>IF(SER_hh_fec!E3=0,0,11630*1000*SER_hh_fec!E3/SER_hh_num!E3)</f>
        <v>72596.625511129067</v>
      </c>
      <c r="F3" s="125">
        <f>IF(SER_hh_fec!F3=0,0,11630*1000*SER_hh_fec!F3/SER_hh_num!F3)</f>
        <v>81287.165625195892</v>
      </c>
      <c r="G3" s="125">
        <f>IF(SER_hh_fec!G3=0,0,11630*1000*SER_hh_fec!G3/SER_hh_num!G3)</f>
        <v>87685.584023380288</v>
      </c>
      <c r="H3" s="125">
        <f>IF(SER_hh_fec!H3=0,0,11630*1000*SER_hh_fec!H3/SER_hh_num!H3)</f>
        <v>87088.08860799516</v>
      </c>
      <c r="I3" s="125">
        <f>IF(SER_hh_fec!I3=0,0,11630*1000*SER_hh_fec!I3/SER_hh_num!I3)</f>
        <v>84065.525352832803</v>
      </c>
      <c r="J3" s="125">
        <f>IF(SER_hh_fec!J3=0,0,11630*1000*SER_hh_fec!J3/SER_hh_num!J3)</f>
        <v>76748.437489541815</v>
      </c>
      <c r="K3" s="125">
        <f>IF(SER_hh_fec!K3=0,0,11630*1000*SER_hh_fec!K3/SER_hh_num!K3)</f>
        <v>81844.098361366036</v>
      </c>
      <c r="L3" s="125">
        <f>IF(SER_hh_fec!L3=0,0,11630*1000*SER_hh_fec!L3/SER_hh_num!L3)</f>
        <v>71156.909821695881</v>
      </c>
      <c r="M3" s="125">
        <f>IF(SER_hh_fec!M3=0,0,11630*1000*SER_hh_fec!M3/SER_hh_num!M3)</f>
        <v>68546.407447180609</v>
      </c>
      <c r="N3" s="125">
        <f>IF(SER_hh_fec!N3=0,0,11630*1000*SER_hh_fec!N3/SER_hh_num!N3)</f>
        <v>66927.522388687808</v>
      </c>
      <c r="O3" s="125">
        <f>IF(SER_hh_fec!O3=0,0,11630*1000*SER_hh_fec!O3/SER_hh_num!O3)</f>
        <v>63384.650990791743</v>
      </c>
      <c r="P3" s="125">
        <f>IF(SER_hh_fec!P3=0,0,11630*1000*SER_hh_fec!P3/SER_hh_num!P3)</f>
        <v>69156.134061815072</v>
      </c>
      <c r="Q3" s="125">
        <f>IF(SER_hh_fec!Q3=0,0,11630*1000*SER_hh_fec!Q3/SER_hh_num!Q3)</f>
        <v>72339.814780083674</v>
      </c>
      <c r="R3" s="125">
        <f>IF(SER_hh_fec!R3=0,0,11630*1000*SER_hh_fec!R3/SER_hh_num!R3)</f>
        <v>67780.448426004485</v>
      </c>
      <c r="S3" s="125">
        <f>IF(SER_hh_fec!S3=0,0,11630*1000*SER_hh_fec!S3/SER_hh_num!S3)</f>
        <v>66904.955313024329</v>
      </c>
      <c r="T3" s="125">
        <f>IF(SER_hh_fec!T3=0,0,11630*1000*SER_hh_fec!T3/SER_hh_num!T3)</f>
        <v>70978.770891281296</v>
      </c>
      <c r="U3" s="125">
        <f>IF(SER_hh_fec!U3=0,0,11630*1000*SER_hh_fec!U3/SER_hh_num!U3)</f>
        <v>68914.745572238535</v>
      </c>
      <c r="V3" s="125">
        <f>IF(SER_hh_fec!V3=0,0,11630*1000*SER_hh_fec!V3/SER_hh_num!V3)</f>
        <v>58459.303955370306</v>
      </c>
      <c r="W3" s="125">
        <f>IF(SER_hh_fec!W3=0,0,11630*1000*SER_hh_fec!W3/SER_hh_num!W3)</f>
        <v>59697.705746870975</v>
      </c>
      <c r="X3" s="125">
        <f>IF(SER_hh_fec!X3=0,0,11630*1000*SER_hh_fec!X3/SER_hh_num!X3)</f>
        <v>66969.041085554592</v>
      </c>
      <c r="Y3" s="125">
        <f>IF(SER_hh_fec!Y3=0,0,11630*1000*SER_hh_fec!Y3/SER_hh_num!Y3)</f>
        <v>67364.493190449153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29530.864005466712</v>
      </c>
      <c r="C4" s="130">
        <f>IF(SER_hh_fec!C4=0,0,11630*1000*SER_hh_fec!C4/SER_hh_num!C4)</f>
        <v>32948.111468251744</v>
      </c>
      <c r="D4" s="130">
        <f>IF(SER_hh_fec!D4=0,0,11630*1000*SER_hh_fec!D4/SER_hh_num!D4)</f>
        <v>35305.468399037825</v>
      </c>
      <c r="E4" s="130">
        <f>IF(SER_hh_fec!E4=0,0,11630*1000*SER_hh_fec!E4/SER_hh_num!E4)</f>
        <v>38406.553370230838</v>
      </c>
      <c r="F4" s="130">
        <f>IF(SER_hh_fec!F4=0,0,11630*1000*SER_hh_fec!F4/SER_hh_num!F4)</f>
        <v>47898.574622316701</v>
      </c>
      <c r="G4" s="130">
        <f>IF(SER_hh_fec!G4=0,0,11630*1000*SER_hh_fec!G4/SER_hh_num!G4)</f>
        <v>53433.920587680899</v>
      </c>
      <c r="H4" s="130">
        <f>IF(SER_hh_fec!H4=0,0,11630*1000*SER_hh_fec!H4/SER_hh_num!H4)</f>
        <v>52144.693778074383</v>
      </c>
      <c r="I4" s="130">
        <f>IF(SER_hh_fec!I4=0,0,11630*1000*SER_hh_fec!I4/SER_hh_num!I4)</f>
        <v>51053.751499472863</v>
      </c>
      <c r="J4" s="130">
        <f>IF(SER_hh_fec!J4=0,0,11630*1000*SER_hh_fec!J4/SER_hh_num!J4)</f>
        <v>43459.674995301088</v>
      </c>
      <c r="K4" s="130">
        <f>IF(SER_hh_fec!K4=0,0,11630*1000*SER_hh_fec!K4/SER_hh_num!K4)</f>
        <v>47753.207111713353</v>
      </c>
      <c r="L4" s="130">
        <f>IF(SER_hh_fec!L4=0,0,11630*1000*SER_hh_fec!L4/SER_hh_num!L4)</f>
        <v>36031.858696929208</v>
      </c>
      <c r="M4" s="130">
        <f>IF(SER_hh_fec!M4=0,0,11630*1000*SER_hh_fec!M4/SER_hh_num!M4)</f>
        <v>35437.085532497054</v>
      </c>
      <c r="N4" s="130">
        <f>IF(SER_hh_fec!N4=0,0,11630*1000*SER_hh_fec!N4/SER_hh_num!N4)</f>
        <v>33638.135275298446</v>
      </c>
      <c r="O4" s="130">
        <f>IF(SER_hh_fec!O4=0,0,11630*1000*SER_hh_fec!O4/SER_hh_num!O4)</f>
        <v>29878.128081691873</v>
      </c>
      <c r="P4" s="130">
        <f>IF(SER_hh_fec!P4=0,0,11630*1000*SER_hh_fec!P4/SER_hh_num!P4)</f>
        <v>36304.293919998549</v>
      </c>
      <c r="Q4" s="130">
        <f>IF(SER_hh_fec!Q4=0,0,11630*1000*SER_hh_fec!Q4/SER_hh_num!Q4)</f>
        <v>38706.835004084103</v>
      </c>
      <c r="R4" s="130">
        <f>IF(SER_hh_fec!R4=0,0,11630*1000*SER_hh_fec!R4/SER_hh_num!R4)</f>
        <v>32136.5018660774</v>
      </c>
      <c r="S4" s="130">
        <f>IF(SER_hh_fec!S4=0,0,11630*1000*SER_hh_fec!S4/SER_hh_num!S4)</f>
        <v>31808.166330766286</v>
      </c>
      <c r="T4" s="130">
        <f>IF(SER_hh_fec!T4=0,0,11630*1000*SER_hh_fec!T4/SER_hh_num!T4)</f>
        <v>36705.619253776887</v>
      </c>
      <c r="U4" s="130">
        <f>IF(SER_hh_fec!U4=0,0,11630*1000*SER_hh_fec!U4/SER_hh_num!U4)</f>
        <v>36194.72733033343</v>
      </c>
      <c r="V4" s="130">
        <f>IF(SER_hh_fec!V4=0,0,11630*1000*SER_hh_fec!V4/SER_hh_num!V4)</f>
        <v>27716.235656264158</v>
      </c>
      <c r="W4" s="130">
        <f>IF(SER_hh_fec!W4=0,0,11630*1000*SER_hh_fec!W4/SER_hh_num!W4)</f>
        <v>30298.937581014608</v>
      </c>
      <c r="X4" s="130">
        <f>IF(SER_hh_fec!X4=0,0,11630*1000*SER_hh_fec!X4/SER_hh_num!X4)</f>
        <v>33693.688472554568</v>
      </c>
      <c r="Y4" s="130">
        <f>IF(SER_hh_fec!Y4=0,0,11630*1000*SER_hh_fec!Y4/SER_hh_num!Y4)</f>
        <v>35179.724782771424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0</v>
      </c>
      <c r="C5" s="132">
        <f>IF(SER_hh_fec!C5=0,0,11630*1000*SER_hh_fec!C5/SER_hh_num!C5)</f>
        <v>0</v>
      </c>
      <c r="D5" s="132">
        <f>IF(SER_hh_fec!D5=0,0,11630*1000*SER_hh_fec!D5/SER_hh_num!D5)</f>
        <v>0</v>
      </c>
      <c r="E5" s="132">
        <f>IF(SER_hh_fec!E5=0,0,11630*1000*SER_hh_fec!E5/SER_hh_num!E5)</f>
        <v>0</v>
      </c>
      <c r="F5" s="132">
        <f>IF(SER_hh_fec!F5=0,0,11630*1000*SER_hh_fec!F5/SER_hh_num!F5)</f>
        <v>0</v>
      </c>
      <c r="G5" s="132">
        <f>IF(SER_hh_fec!G5=0,0,11630*1000*SER_hh_fec!G5/SER_hh_num!G5)</f>
        <v>0</v>
      </c>
      <c r="H5" s="132">
        <f>IF(SER_hh_fec!H5=0,0,11630*1000*SER_hh_fec!H5/SER_hh_num!H5)</f>
        <v>0</v>
      </c>
      <c r="I5" s="132">
        <f>IF(SER_hh_fec!I5=0,0,11630*1000*SER_hh_fec!I5/SER_hh_num!I5)</f>
        <v>0</v>
      </c>
      <c r="J5" s="132">
        <f>IF(SER_hh_fec!J5=0,0,11630*1000*SER_hh_fec!J5/SER_hh_num!J5)</f>
        <v>0</v>
      </c>
      <c r="K5" s="132">
        <f>IF(SER_hh_fec!K5=0,0,11630*1000*SER_hh_fec!K5/SER_hh_num!K5)</f>
        <v>0</v>
      </c>
      <c r="L5" s="132">
        <f>IF(SER_hh_fec!L5=0,0,11630*1000*SER_hh_fec!L5/SER_hh_num!L5)</f>
        <v>0</v>
      </c>
      <c r="M5" s="132">
        <f>IF(SER_hh_fec!M5=0,0,11630*1000*SER_hh_fec!M5/SER_hh_num!M5)</f>
        <v>0</v>
      </c>
      <c r="N5" s="132">
        <f>IF(SER_hh_fec!N5=0,0,11630*1000*SER_hh_fec!N5/SER_hh_num!N5)</f>
        <v>0</v>
      </c>
      <c r="O5" s="132">
        <f>IF(SER_hh_fec!O5=0,0,11630*1000*SER_hh_fec!O5/SER_hh_num!O5)</f>
        <v>0</v>
      </c>
      <c r="P5" s="132">
        <f>IF(SER_hh_fec!P5=0,0,11630*1000*SER_hh_fec!P5/SER_hh_num!P5)</f>
        <v>0</v>
      </c>
      <c r="Q5" s="132">
        <f>IF(SER_hh_fec!Q5=0,0,11630*1000*SER_hh_fec!Q5/SER_hh_num!Q5)</f>
        <v>0</v>
      </c>
      <c r="R5" s="132">
        <f>IF(SER_hh_fec!R5=0,0,11630*1000*SER_hh_fec!R5/SER_hh_num!R5)</f>
        <v>0</v>
      </c>
      <c r="S5" s="132">
        <f>IF(SER_hh_fec!S5=0,0,11630*1000*SER_hh_fec!S5/SER_hh_num!S5)</f>
        <v>0</v>
      </c>
      <c r="T5" s="132">
        <f>IF(SER_hh_fec!T5=0,0,11630*1000*SER_hh_fec!T5/SER_hh_num!T5)</f>
        <v>0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0</v>
      </c>
      <c r="Y5" s="132">
        <f>IF(SER_hh_fec!Y5=0,0,11630*1000*SER_hh_fec!Y5/SER_hh_num!Y5)</f>
        <v>0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34526.681795319062</v>
      </c>
      <c r="C7" s="132">
        <f>IF(SER_hh_fec!C7=0,0,11630*1000*SER_hh_fec!C7/SER_hh_num!C7)</f>
        <v>39107.686348876567</v>
      </c>
      <c r="D7" s="132">
        <f>IF(SER_hh_fec!D7=0,0,11630*1000*SER_hh_fec!D7/SER_hh_num!D7)</f>
        <v>42207.118440111532</v>
      </c>
      <c r="E7" s="132">
        <f>IF(SER_hh_fec!E7=0,0,11630*1000*SER_hh_fec!E7/SER_hh_num!E7)</f>
        <v>47453.938513598696</v>
      </c>
      <c r="F7" s="132">
        <f>IF(SER_hh_fec!F7=0,0,11630*1000*SER_hh_fec!F7/SER_hh_num!F7)</f>
        <v>62850.254654768258</v>
      </c>
      <c r="G7" s="132">
        <f>IF(SER_hh_fec!G7=0,0,11630*1000*SER_hh_fec!G7/SER_hh_num!G7)</f>
        <v>75804.582800359407</v>
      </c>
      <c r="H7" s="132">
        <f>IF(SER_hh_fec!H7=0,0,11630*1000*SER_hh_fec!H7/SER_hh_num!H7)</f>
        <v>78348.296093156561</v>
      </c>
      <c r="I7" s="132">
        <f>IF(SER_hh_fec!I7=0,0,11630*1000*SER_hh_fec!I7/SER_hh_num!I7)</f>
        <v>81458.552969548531</v>
      </c>
      <c r="J7" s="132">
        <f>IF(SER_hh_fec!J7=0,0,11630*1000*SER_hh_fec!J7/SER_hh_num!J7)</f>
        <v>67679.003312494227</v>
      </c>
      <c r="K7" s="132">
        <f>IF(SER_hh_fec!K7=0,0,11630*1000*SER_hh_fec!K7/SER_hh_num!K7)</f>
        <v>101936.62507270587</v>
      </c>
      <c r="L7" s="132">
        <f>IF(SER_hh_fec!L7=0,0,11630*1000*SER_hh_fec!L7/SER_hh_num!L7)</f>
        <v>77801.058965858625</v>
      </c>
      <c r="M7" s="132">
        <f>IF(SER_hh_fec!M7=0,0,11630*1000*SER_hh_fec!M7/SER_hh_num!M7)</f>
        <v>73061.6974275502</v>
      </c>
      <c r="N7" s="132">
        <f>IF(SER_hh_fec!N7=0,0,11630*1000*SER_hh_fec!N7/SER_hh_num!N7)</f>
        <v>72481.255498242928</v>
      </c>
      <c r="O7" s="132">
        <f>IF(SER_hh_fec!O7=0,0,11630*1000*SER_hh_fec!O7/SER_hh_num!O7)</f>
        <v>83102.114740348057</v>
      </c>
      <c r="P7" s="132">
        <f>IF(SER_hh_fec!P7=0,0,11630*1000*SER_hh_fec!P7/SER_hh_num!P7)</f>
        <v>87581.722901579531</v>
      </c>
      <c r="Q7" s="132">
        <f>IF(SER_hh_fec!Q7=0,0,11630*1000*SER_hh_fec!Q7/SER_hh_num!Q7)</f>
        <v>113451.34418204284</v>
      </c>
      <c r="R7" s="132">
        <f>IF(SER_hh_fec!R7=0,0,11630*1000*SER_hh_fec!R7/SER_hh_num!R7)</f>
        <v>85503.112207503189</v>
      </c>
      <c r="S7" s="132">
        <f>IF(SER_hh_fec!S7=0,0,11630*1000*SER_hh_fec!S7/SER_hh_num!S7)</f>
        <v>79085.460489212215</v>
      </c>
      <c r="T7" s="132">
        <f>IF(SER_hh_fec!T7=0,0,11630*1000*SER_hh_fec!T7/SER_hh_num!T7)</f>
        <v>85893.287140746776</v>
      </c>
      <c r="U7" s="132">
        <f>IF(SER_hh_fec!U7=0,0,11630*1000*SER_hh_fec!U7/SER_hh_num!U7)</f>
        <v>84074.362102075596</v>
      </c>
      <c r="V7" s="132">
        <f>IF(SER_hh_fec!V7=0,0,11630*1000*SER_hh_fec!V7/SER_hh_num!V7)</f>
        <v>77590.587718856419</v>
      </c>
      <c r="W7" s="132">
        <f>IF(SER_hh_fec!W7=0,0,11630*1000*SER_hh_fec!W7/SER_hh_num!W7)</f>
        <v>82809.778622082013</v>
      </c>
      <c r="X7" s="132">
        <f>IF(SER_hh_fec!X7=0,0,11630*1000*SER_hh_fec!X7/SER_hh_num!X7)</f>
        <v>85771.487917357183</v>
      </c>
      <c r="Y7" s="132">
        <f>IF(SER_hh_fec!Y7=0,0,11630*1000*SER_hh_fec!Y7/SER_hh_num!Y7)</f>
        <v>84642.995753482348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14509.234991971416</v>
      </c>
      <c r="C8" s="132">
        <f>IF(SER_hh_fec!C8=0,0,11630*1000*SER_hh_fec!C8/SER_hh_num!C8)</f>
        <v>15577.763946463603</v>
      </c>
      <c r="D8" s="132">
        <f>IF(SER_hh_fec!D8=0,0,11630*1000*SER_hh_fec!D8/SER_hh_num!D8)</f>
        <v>18537.780189512694</v>
      </c>
      <c r="E8" s="132">
        <f>IF(SER_hh_fec!E8=0,0,11630*1000*SER_hh_fec!E8/SER_hh_num!E8)</f>
        <v>21697.287545712319</v>
      </c>
      <c r="F8" s="132">
        <f>IF(SER_hh_fec!F8=0,0,11630*1000*SER_hh_fec!F8/SER_hh_num!F8)</f>
        <v>23783.413046705104</v>
      </c>
      <c r="G8" s="132">
        <f>IF(SER_hh_fec!G8=0,0,11630*1000*SER_hh_fec!G8/SER_hh_num!G8)</f>
        <v>24634.20843382465</v>
      </c>
      <c r="H8" s="132">
        <f>IF(SER_hh_fec!H8=0,0,11630*1000*SER_hh_fec!H8/SER_hh_num!H8)</f>
        <v>26830.643808208435</v>
      </c>
      <c r="I8" s="132">
        <f>IF(SER_hh_fec!I8=0,0,11630*1000*SER_hh_fec!I8/SER_hh_num!I8)</f>
        <v>26898.931018853382</v>
      </c>
      <c r="J8" s="132">
        <f>IF(SER_hh_fec!J8=0,0,11630*1000*SER_hh_fec!J8/SER_hh_num!J8)</f>
        <v>27195.919319050685</v>
      </c>
      <c r="K8" s="132">
        <f>IF(SER_hh_fec!K8=0,0,11630*1000*SER_hh_fec!K8/SER_hh_num!K8)</f>
        <v>24802.383326133604</v>
      </c>
      <c r="L8" s="132">
        <f>IF(SER_hh_fec!L8=0,0,11630*1000*SER_hh_fec!L8/SER_hh_num!L8)</f>
        <v>24198.01765915451</v>
      </c>
      <c r="M8" s="132">
        <f>IF(SER_hh_fec!M8=0,0,11630*1000*SER_hh_fec!M8/SER_hh_num!M8)</f>
        <v>24894.395211505907</v>
      </c>
      <c r="N8" s="132">
        <f>IF(SER_hh_fec!N8=0,0,11630*1000*SER_hh_fec!N8/SER_hh_num!N8)</f>
        <v>24595.63987931651</v>
      </c>
      <c r="O8" s="132">
        <f>IF(SER_hh_fec!O8=0,0,11630*1000*SER_hh_fec!O8/SER_hh_num!O8)</f>
        <v>25486.052479332218</v>
      </c>
      <c r="P8" s="132">
        <f>IF(SER_hh_fec!P8=0,0,11630*1000*SER_hh_fec!P8/SER_hh_num!P8)</f>
        <v>27689.67689430574</v>
      </c>
      <c r="Q8" s="132">
        <f>IF(SER_hh_fec!Q8=0,0,11630*1000*SER_hh_fec!Q8/SER_hh_num!Q8)</f>
        <v>28485.977426556961</v>
      </c>
      <c r="R8" s="132">
        <f>IF(SER_hh_fec!R8=0,0,11630*1000*SER_hh_fec!R8/SER_hh_num!R8)</f>
        <v>26806.493494197031</v>
      </c>
      <c r="S8" s="132">
        <f>IF(SER_hh_fec!S8=0,0,11630*1000*SER_hh_fec!S8/SER_hh_num!S8)</f>
        <v>25855.781762915743</v>
      </c>
      <c r="T8" s="132">
        <f>IF(SER_hh_fec!T8=0,0,11630*1000*SER_hh_fec!T8/SER_hh_num!T8)</f>
        <v>25959.051750713421</v>
      </c>
      <c r="U8" s="132">
        <f>IF(SER_hh_fec!U8=0,0,11630*1000*SER_hh_fec!U8/SER_hh_num!U8)</f>
        <v>25923.619166553992</v>
      </c>
      <c r="V8" s="132">
        <f>IF(SER_hh_fec!V8=0,0,11630*1000*SER_hh_fec!V8/SER_hh_num!V8)</f>
        <v>24092.642563061461</v>
      </c>
      <c r="W8" s="132">
        <f>IF(SER_hh_fec!W8=0,0,11630*1000*SER_hh_fec!W8/SER_hh_num!W8)</f>
        <v>24863.41251613713</v>
      </c>
      <c r="X8" s="132">
        <f>IF(SER_hh_fec!X8=0,0,11630*1000*SER_hh_fec!X8/SER_hh_num!X8)</f>
        <v>25804.511409085782</v>
      </c>
      <c r="Y8" s="132">
        <f>IF(SER_hh_fec!Y8=0,0,11630*1000*SER_hh_fec!Y8/SER_hh_num!Y8)</f>
        <v>25961.065508095573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30283.218041371176</v>
      </c>
      <c r="C9" s="132">
        <f>IF(SER_hh_fec!C9=0,0,11630*1000*SER_hh_fec!C9/SER_hh_num!C9)</f>
        <v>33817.594818285215</v>
      </c>
      <c r="D9" s="132">
        <f>IF(SER_hh_fec!D9=0,0,11630*1000*SER_hh_fec!D9/SER_hh_num!D9)</f>
        <v>42273.247196694996</v>
      </c>
      <c r="E9" s="132">
        <f>IF(SER_hh_fec!E9=0,0,11630*1000*SER_hh_fec!E9/SER_hh_num!E9)</f>
        <v>45640.50627520516</v>
      </c>
      <c r="F9" s="132">
        <f>IF(SER_hh_fec!F9=0,0,11630*1000*SER_hh_fec!F9/SER_hh_num!F9)</f>
        <v>58142.865111252555</v>
      </c>
      <c r="G9" s="132">
        <f>IF(SER_hh_fec!G9=0,0,11630*1000*SER_hh_fec!G9/SER_hh_num!G9)</f>
        <v>58436.150873893101</v>
      </c>
      <c r="H9" s="132">
        <f>IF(SER_hh_fec!H9=0,0,11630*1000*SER_hh_fec!H9/SER_hh_num!H9)</f>
        <v>67994.655314039293</v>
      </c>
      <c r="I9" s="132">
        <f>IF(SER_hh_fec!I9=0,0,11630*1000*SER_hh_fec!I9/SER_hh_num!I9)</f>
        <v>71351.344218249884</v>
      </c>
      <c r="J9" s="132">
        <f>IF(SER_hh_fec!J9=0,0,11630*1000*SER_hh_fec!J9/SER_hh_num!J9)</f>
        <v>72246.711046116499</v>
      </c>
      <c r="K9" s="132">
        <f>IF(SER_hh_fec!K9=0,0,11630*1000*SER_hh_fec!K9/SER_hh_num!K9)</f>
        <v>78162.640597843638</v>
      </c>
      <c r="L9" s="132">
        <f>IF(SER_hh_fec!L9=0,0,11630*1000*SER_hh_fec!L9/SER_hh_num!L9)</f>
        <v>68796.553095244846</v>
      </c>
      <c r="M9" s="132">
        <f>IF(SER_hh_fec!M9=0,0,11630*1000*SER_hh_fec!M9/SER_hh_num!M9)</f>
        <v>77450.798530761895</v>
      </c>
      <c r="N9" s="132">
        <f>IF(SER_hh_fec!N9=0,0,11630*1000*SER_hh_fec!N9/SER_hh_num!N9)</f>
        <v>79862.380838606769</v>
      </c>
      <c r="O9" s="132">
        <f>IF(SER_hh_fec!O9=0,0,11630*1000*SER_hh_fec!O9/SER_hh_num!O9)</f>
        <v>78766.659519566529</v>
      </c>
      <c r="P9" s="132">
        <f>IF(SER_hh_fec!P9=0,0,11630*1000*SER_hh_fec!P9/SER_hh_num!P9)</f>
        <v>82368.617458723602</v>
      </c>
      <c r="Q9" s="132">
        <f>IF(SER_hh_fec!Q9=0,0,11630*1000*SER_hh_fec!Q9/SER_hh_num!Q9)</f>
        <v>86630.779535579844</v>
      </c>
      <c r="R9" s="132">
        <f>IF(SER_hh_fec!R9=0,0,11630*1000*SER_hh_fec!R9/SER_hh_num!R9)</f>
        <v>87781.895368682919</v>
      </c>
      <c r="S9" s="132">
        <f>IF(SER_hh_fec!S9=0,0,11630*1000*SER_hh_fec!S9/SER_hh_num!S9)</f>
        <v>84488.775420580641</v>
      </c>
      <c r="T9" s="132">
        <f>IF(SER_hh_fec!T9=0,0,11630*1000*SER_hh_fec!T9/SER_hh_num!T9)</f>
        <v>89978.320550413206</v>
      </c>
      <c r="U9" s="132">
        <f>IF(SER_hh_fec!U9=0,0,11630*1000*SER_hh_fec!U9/SER_hh_num!U9)</f>
        <v>84628.262484929204</v>
      </c>
      <c r="V9" s="132">
        <f>IF(SER_hh_fec!V9=0,0,11630*1000*SER_hh_fec!V9/SER_hh_num!V9)</f>
        <v>63853.216843131049</v>
      </c>
      <c r="W9" s="132">
        <f>IF(SER_hh_fec!W9=0,0,11630*1000*SER_hh_fec!W9/SER_hh_num!W9)</f>
        <v>90618.855467986054</v>
      </c>
      <c r="X9" s="132">
        <f>IF(SER_hh_fec!X9=0,0,11630*1000*SER_hh_fec!X9/SER_hh_num!X9)</f>
        <v>86021.749549555621</v>
      </c>
      <c r="Y9" s="132">
        <f>IF(SER_hh_fec!Y9=0,0,11630*1000*SER_hh_fec!Y9/SER_hh_num!Y9)</f>
        <v>88780.400023705792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0</v>
      </c>
      <c r="C10" s="132">
        <f>IF(SER_hh_fec!C10=0,0,11630*1000*SER_hh_fec!C10/SER_hh_num!C10)</f>
        <v>0</v>
      </c>
      <c r="D10" s="132">
        <f>IF(SER_hh_fec!D10=0,0,11630*1000*SER_hh_fec!D10/SER_hh_num!D10)</f>
        <v>0</v>
      </c>
      <c r="E10" s="132">
        <f>IF(SER_hh_fec!E10=0,0,11630*1000*SER_hh_fec!E10/SER_hh_num!E10)</f>
        <v>0</v>
      </c>
      <c r="F10" s="132">
        <f>IF(SER_hh_fec!F10=0,0,11630*1000*SER_hh_fec!F10/SER_hh_num!F10)</f>
        <v>0</v>
      </c>
      <c r="G10" s="132">
        <f>IF(SER_hh_fec!G10=0,0,11630*1000*SER_hh_fec!G10/SER_hh_num!G10)</f>
        <v>0</v>
      </c>
      <c r="H10" s="132">
        <f>IF(SER_hh_fec!H10=0,0,11630*1000*SER_hh_fec!H10/SER_hh_num!H10)</f>
        <v>0</v>
      </c>
      <c r="I10" s="132">
        <f>IF(SER_hh_fec!I10=0,0,11630*1000*SER_hh_fec!I10/SER_hh_num!I10)</f>
        <v>0</v>
      </c>
      <c r="J10" s="132">
        <f>IF(SER_hh_fec!J10=0,0,11630*1000*SER_hh_fec!J10/SER_hh_num!J10)</f>
        <v>0</v>
      </c>
      <c r="K10" s="132">
        <f>IF(SER_hh_fec!K10=0,0,11630*1000*SER_hh_fec!K10/SER_hh_num!K10)</f>
        <v>0</v>
      </c>
      <c r="L10" s="132">
        <f>IF(SER_hh_fec!L10=0,0,11630*1000*SER_hh_fec!L10/SER_hh_num!L10)</f>
        <v>0</v>
      </c>
      <c r="M10" s="132">
        <f>IF(SER_hh_fec!M10=0,0,11630*1000*SER_hh_fec!M10/SER_hh_num!M10)</f>
        <v>111484.0306965113</v>
      </c>
      <c r="N10" s="132">
        <f>IF(SER_hh_fec!N10=0,0,11630*1000*SER_hh_fec!N10/SER_hh_num!N10)</f>
        <v>99818.769688681146</v>
      </c>
      <c r="O10" s="132">
        <f>IF(SER_hh_fec!O10=0,0,11630*1000*SER_hh_fec!O10/SER_hh_num!O10)</f>
        <v>73394.765254355414</v>
      </c>
      <c r="P10" s="132">
        <f>IF(SER_hh_fec!P10=0,0,11630*1000*SER_hh_fec!P10/SER_hh_num!P10)</f>
        <v>92262.629583050148</v>
      </c>
      <c r="Q10" s="132">
        <f>IF(SER_hh_fec!Q10=0,0,11630*1000*SER_hh_fec!Q10/SER_hh_num!Q10)</f>
        <v>92999.252131984802</v>
      </c>
      <c r="R10" s="132">
        <f>IF(SER_hh_fec!R10=0,0,11630*1000*SER_hh_fec!R10/SER_hh_num!R10)</f>
        <v>86283.215062043353</v>
      </c>
      <c r="S10" s="132">
        <f>IF(SER_hh_fec!S10=0,0,11630*1000*SER_hh_fec!S10/SER_hh_num!S10)</f>
        <v>110139.02637741197</v>
      </c>
      <c r="T10" s="132">
        <f>IF(SER_hh_fec!T10=0,0,11630*1000*SER_hh_fec!T10/SER_hh_num!T10)</f>
        <v>103071.97969847154</v>
      </c>
      <c r="U10" s="132">
        <f>IF(SER_hh_fec!U10=0,0,11630*1000*SER_hh_fec!U10/SER_hh_num!U10)</f>
        <v>96619.303235205443</v>
      </c>
      <c r="V10" s="132">
        <f>IF(SER_hh_fec!V10=0,0,11630*1000*SER_hh_fec!V10/SER_hh_num!V10)</f>
        <v>73419.419933779194</v>
      </c>
      <c r="W10" s="132">
        <f>IF(SER_hh_fec!W10=0,0,11630*1000*SER_hh_fec!W10/SER_hh_num!W10)</f>
        <v>91524.718990624504</v>
      </c>
      <c r="X10" s="132">
        <f>IF(SER_hh_fec!X10=0,0,11630*1000*SER_hh_fec!X10/SER_hh_num!X10)</f>
        <v>139052.90574985067</v>
      </c>
      <c r="Y10" s="132">
        <f>IF(SER_hh_fec!Y10=0,0,11630*1000*SER_hh_fec!Y10/SER_hh_num!Y10)</f>
        <v>102579.91326138283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22021.073907953047</v>
      </c>
      <c r="C11" s="132">
        <f>IF(SER_hh_fec!C11=0,0,11630*1000*SER_hh_fec!C11/SER_hh_num!C11)</f>
        <v>23628.879415760988</v>
      </c>
      <c r="D11" s="132">
        <f>IF(SER_hh_fec!D11=0,0,11630*1000*SER_hh_fec!D11/SER_hh_num!D11)</f>
        <v>26681.628045533216</v>
      </c>
      <c r="E11" s="132">
        <f>IF(SER_hh_fec!E11=0,0,11630*1000*SER_hh_fec!E11/SER_hh_num!E11)</f>
        <v>31060.441031269831</v>
      </c>
      <c r="F11" s="132">
        <f>IF(SER_hh_fec!F11=0,0,11630*1000*SER_hh_fec!F11/SER_hh_num!F11)</f>
        <v>36865.683019511547</v>
      </c>
      <c r="G11" s="132">
        <f>IF(SER_hh_fec!G11=0,0,11630*1000*SER_hh_fec!G11/SER_hh_num!G11)</f>
        <v>43057.024966469864</v>
      </c>
      <c r="H11" s="132">
        <f>IF(SER_hh_fec!H11=0,0,11630*1000*SER_hh_fec!H11/SER_hh_num!H11)</f>
        <v>47495.77520676401</v>
      </c>
      <c r="I11" s="132">
        <f>IF(SER_hh_fec!I11=0,0,11630*1000*SER_hh_fec!I11/SER_hh_num!I11)</f>
        <v>50406.801386573228</v>
      </c>
      <c r="J11" s="132">
        <f>IF(SER_hh_fec!J11=0,0,11630*1000*SER_hh_fec!J11/SER_hh_num!J11)</f>
        <v>51179.449597877952</v>
      </c>
      <c r="K11" s="132">
        <f>IF(SER_hh_fec!K11=0,0,11630*1000*SER_hh_fec!K11/SER_hh_num!K11)</f>
        <v>49079.955001991766</v>
      </c>
      <c r="L11" s="132">
        <f>IF(SER_hh_fec!L11=0,0,11630*1000*SER_hh_fec!L11/SER_hh_num!L11)</f>
        <v>44012.276674011111</v>
      </c>
      <c r="M11" s="132">
        <f>IF(SER_hh_fec!M11=0,0,11630*1000*SER_hh_fec!M11/SER_hh_num!M11)</f>
        <v>59274.390576845202</v>
      </c>
      <c r="N11" s="132">
        <f>IF(SER_hh_fec!N11=0,0,11630*1000*SER_hh_fec!N11/SER_hh_num!N11)</f>
        <v>58931.488676559093</v>
      </c>
      <c r="O11" s="132">
        <f>IF(SER_hh_fec!O11=0,0,11630*1000*SER_hh_fec!O11/SER_hh_num!O11)</f>
        <v>50578.831392430235</v>
      </c>
      <c r="P11" s="132">
        <f>IF(SER_hh_fec!P11=0,0,11630*1000*SER_hh_fec!P11/SER_hh_num!P11)</f>
        <v>57962.376506299428</v>
      </c>
      <c r="Q11" s="132">
        <f>IF(SER_hh_fec!Q11=0,0,11630*1000*SER_hh_fec!Q11/SER_hh_num!Q11)</f>
        <v>67017.538218453192</v>
      </c>
      <c r="R11" s="132">
        <f>IF(SER_hh_fec!R11=0,0,11630*1000*SER_hh_fec!R11/SER_hh_num!R11)</f>
        <v>57980.763746020479</v>
      </c>
      <c r="S11" s="132">
        <f>IF(SER_hh_fec!S11=0,0,11630*1000*SER_hh_fec!S11/SER_hh_num!S11)</f>
        <v>62438.432498617396</v>
      </c>
      <c r="T11" s="132">
        <f>IF(SER_hh_fec!T11=0,0,11630*1000*SER_hh_fec!T11/SER_hh_num!T11)</f>
        <v>69354.16049156044</v>
      </c>
      <c r="U11" s="132">
        <f>IF(SER_hh_fec!U11=0,0,11630*1000*SER_hh_fec!U11/SER_hh_num!U11)</f>
        <v>70537.082611092657</v>
      </c>
      <c r="V11" s="132">
        <f>IF(SER_hh_fec!V11=0,0,11630*1000*SER_hh_fec!V11/SER_hh_num!V11)</f>
        <v>57314.365889316912</v>
      </c>
      <c r="W11" s="132">
        <f>IF(SER_hh_fec!W11=0,0,11630*1000*SER_hh_fec!W11/SER_hh_num!W11)</f>
        <v>60127.598821062456</v>
      </c>
      <c r="X11" s="132">
        <f>IF(SER_hh_fec!X11=0,0,11630*1000*SER_hh_fec!X11/SER_hh_num!X11)</f>
        <v>75072.182406474429</v>
      </c>
      <c r="Y11" s="132">
        <f>IF(SER_hh_fec!Y11=0,0,11630*1000*SER_hh_fec!Y11/SER_hh_num!Y11)</f>
        <v>75405.832646683033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17436.181337340768</v>
      </c>
      <c r="C12" s="132">
        <f>IF(SER_hh_fec!C12=0,0,11630*1000*SER_hh_fec!C12/SER_hh_num!C12)</f>
        <v>21759.197562577108</v>
      </c>
      <c r="D12" s="132">
        <f>IF(SER_hh_fec!D12=0,0,11630*1000*SER_hh_fec!D12/SER_hh_num!D12)</f>
        <v>29295.74977881389</v>
      </c>
      <c r="E12" s="132">
        <f>IF(SER_hh_fec!E12=0,0,11630*1000*SER_hh_fec!E12/SER_hh_num!E12)</f>
        <v>29602.119366052637</v>
      </c>
      <c r="F12" s="132">
        <f>IF(SER_hh_fec!F12=0,0,11630*1000*SER_hh_fec!F12/SER_hh_num!F12)</f>
        <v>40057.159365126419</v>
      </c>
      <c r="G12" s="132">
        <f>IF(SER_hh_fec!G12=0,0,11630*1000*SER_hh_fec!G12/SER_hh_num!G12)</f>
        <v>38049.488984296753</v>
      </c>
      <c r="H12" s="132">
        <f>IF(SER_hh_fec!H12=0,0,11630*1000*SER_hh_fec!H12/SER_hh_num!H12)</f>
        <v>44933.758617209911</v>
      </c>
      <c r="I12" s="132">
        <f>IF(SER_hh_fec!I12=0,0,11630*1000*SER_hh_fec!I12/SER_hh_num!I12)</f>
        <v>49735.269414990202</v>
      </c>
      <c r="J12" s="132">
        <f>IF(SER_hh_fec!J12=0,0,11630*1000*SER_hh_fec!J12/SER_hh_num!J12)</f>
        <v>46084.936354712416</v>
      </c>
      <c r="K12" s="132">
        <f>IF(SER_hh_fec!K12=0,0,11630*1000*SER_hh_fec!K12/SER_hh_num!K12)</f>
        <v>41535.005627368802</v>
      </c>
      <c r="L12" s="132">
        <f>IF(SER_hh_fec!L12=0,0,11630*1000*SER_hh_fec!L12/SER_hh_num!L12)</f>
        <v>54512.625443915909</v>
      </c>
      <c r="M12" s="132">
        <f>IF(SER_hh_fec!M12=0,0,11630*1000*SER_hh_fec!M12/SER_hh_num!M12)</f>
        <v>46538.727348856519</v>
      </c>
      <c r="N12" s="132">
        <f>IF(SER_hh_fec!N12=0,0,11630*1000*SER_hh_fec!N12/SER_hh_num!N12)</f>
        <v>60286.668109024322</v>
      </c>
      <c r="O12" s="132">
        <f>IF(SER_hh_fec!O12=0,0,11630*1000*SER_hh_fec!O12/SER_hh_num!O12)</f>
        <v>60124.128673605257</v>
      </c>
      <c r="P12" s="132">
        <f>IF(SER_hh_fec!P12=0,0,11630*1000*SER_hh_fec!P12/SER_hh_num!P12)</f>
        <v>63891.418354392445</v>
      </c>
      <c r="Q12" s="132">
        <f>IF(SER_hh_fec!Q12=0,0,11630*1000*SER_hh_fec!Q12/SER_hh_num!Q12)</f>
        <v>62810.157007871203</v>
      </c>
      <c r="R12" s="132">
        <f>IF(SER_hh_fec!R12=0,0,11630*1000*SER_hh_fec!R12/SER_hh_num!R12)</f>
        <v>59974.636565638408</v>
      </c>
      <c r="S12" s="132">
        <f>IF(SER_hh_fec!S12=0,0,11630*1000*SER_hh_fec!S12/SER_hh_num!S12)</f>
        <v>66168.611793920209</v>
      </c>
      <c r="T12" s="132">
        <f>IF(SER_hh_fec!T12=0,0,11630*1000*SER_hh_fec!T12/SER_hh_num!T12)</f>
        <v>66265.592814430929</v>
      </c>
      <c r="U12" s="132">
        <f>IF(SER_hh_fec!U12=0,0,11630*1000*SER_hh_fec!U12/SER_hh_num!U12)</f>
        <v>65637.443405287093</v>
      </c>
      <c r="V12" s="132">
        <f>IF(SER_hh_fec!V12=0,0,11630*1000*SER_hh_fec!V12/SER_hh_num!V12)</f>
        <v>65098.480731446805</v>
      </c>
      <c r="W12" s="132">
        <f>IF(SER_hh_fec!W12=0,0,11630*1000*SER_hh_fec!W12/SER_hh_num!W12)</f>
        <v>73993.121638419601</v>
      </c>
      <c r="X12" s="132">
        <f>IF(SER_hh_fec!X12=0,0,11630*1000*SER_hh_fec!X12/SER_hh_num!X12)</f>
        <v>76189.616359205713</v>
      </c>
      <c r="Y12" s="132">
        <f>IF(SER_hh_fec!Y12=0,0,11630*1000*SER_hh_fec!Y12/SER_hh_num!Y12)</f>
        <v>62620.535841967132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9786.6747597977665</v>
      </c>
      <c r="C13" s="132">
        <f>IF(SER_hh_fec!C13=0,0,11630*1000*SER_hh_fec!C13/SER_hh_num!C13)</f>
        <v>10974.322596633598</v>
      </c>
      <c r="D13" s="132">
        <f>IF(SER_hh_fec!D13=0,0,11630*1000*SER_hh_fec!D13/SER_hh_num!D13)</f>
        <v>9286.3651608199962</v>
      </c>
      <c r="E13" s="132">
        <f>IF(SER_hh_fec!E13=0,0,11630*1000*SER_hh_fec!E13/SER_hh_num!E13)</f>
        <v>15084.930908695493</v>
      </c>
      <c r="F13" s="132">
        <f>IF(SER_hh_fec!F13=0,0,11630*1000*SER_hh_fec!F13/SER_hh_num!F13)</f>
        <v>13704.714612301816</v>
      </c>
      <c r="G13" s="132">
        <f>IF(SER_hh_fec!G13=0,0,11630*1000*SER_hh_fec!G13/SER_hh_num!G13)</f>
        <v>16829.111208862756</v>
      </c>
      <c r="H13" s="132">
        <f>IF(SER_hh_fec!H13=0,0,11630*1000*SER_hh_fec!H13/SER_hh_num!H13)</f>
        <v>17639.285109254255</v>
      </c>
      <c r="I13" s="132">
        <f>IF(SER_hh_fec!I13=0,0,11630*1000*SER_hh_fec!I13/SER_hh_num!I13)</f>
        <v>17564.836351019869</v>
      </c>
      <c r="J13" s="132">
        <f>IF(SER_hh_fec!J13=0,0,11630*1000*SER_hh_fec!J13/SER_hh_num!J13)</f>
        <v>18407.65106474705</v>
      </c>
      <c r="K13" s="132">
        <f>IF(SER_hh_fec!K13=0,0,11630*1000*SER_hh_fec!K13/SER_hh_num!K13)</f>
        <v>17109.621887540627</v>
      </c>
      <c r="L13" s="132">
        <f>IF(SER_hh_fec!L13=0,0,11630*1000*SER_hh_fec!L13/SER_hh_num!L13)</f>
        <v>17448.866942472047</v>
      </c>
      <c r="M13" s="132">
        <f>IF(SER_hh_fec!M13=0,0,11630*1000*SER_hh_fec!M13/SER_hh_num!M13)</f>
        <v>17155.827602010897</v>
      </c>
      <c r="N13" s="132">
        <f>IF(SER_hh_fec!N13=0,0,11630*1000*SER_hh_fec!N13/SER_hh_num!N13)</f>
        <v>18203.281746773191</v>
      </c>
      <c r="O13" s="132">
        <f>IF(SER_hh_fec!O13=0,0,11630*1000*SER_hh_fec!O13/SER_hh_num!O13)</f>
        <v>18458.835400622131</v>
      </c>
      <c r="P13" s="132">
        <f>IF(SER_hh_fec!P13=0,0,11630*1000*SER_hh_fec!P13/SER_hh_num!P13)</f>
        <v>20741.862750022949</v>
      </c>
      <c r="Q13" s="132">
        <f>IF(SER_hh_fec!Q13=0,0,11630*1000*SER_hh_fec!Q13/SER_hh_num!Q13)</f>
        <v>20132.479283607496</v>
      </c>
      <c r="R13" s="132">
        <f>IF(SER_hh_fec!R13=0,0,11630*1000*SER_hh_fec!R13/SER_hh_num!R13)</f>
        <v>19042.879598337731</v>
      </c>
      <c r="S13" s="132">
        <f>IF(SER_hh_fec!S13=0,0,11630*1000*SER_hh_fec!S13/SER_hh_num!S13)</f>
        <v>18624.911550271612</v>
      </c>
      <c r="T13" s="132">
        <f>IF(SER_hh_fec!T13=0,0,11630*1000*SER_hh_fec!T13/SER_hh_num!T13)</f>
        <v>18345.292594262864</v>
      </c>
      <c r="U13" s="132">
        <f>IF(SER_hh_fec!U13=0,0,11630*1000*SER_hh_fec!U13/SER_hh_num!U13)</f>
        <v>17761.269087464163</v>
      </c>
      <c r="V13" s="132">
        <f>IF(SER_hh_fec!V13=0,0,11630*1000*SER_hh_fec!V13/SER_hh_num!V13)</f>
        <v>16781.929097350163</v>
      </c>
      <c r="W13" s="132">
        <f>IF(SER_hh_fec!W13=0,0,11630*1000*SER_hh_fec!W13/SER_hh_num!W13)</f>
        <v>16390.942681644672</v>
      </c>
      <c r="X13" s="132">
        <f>IF(SER_hh_fec!X13=0,0,11630*1000*SER_hh_fec!X13/SER_hh_num!X13)</f>
        <v>17519.883831968767</v>
      </c>
      <c r="Y13" s="132">
        <f>IF(SER_hh_fec!Y13=0,0,11630*1000*SER_hh_fec!Y13/SER_hh_num!Y13)</f>
        <v>17217.998644685831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23939.881865455463</v>
      </c>
      <c r="C14" s="65">
        <f>IF(SER_hh_fec!C14=0,0,11630*1000*SER_hh_fec!C14/SER_hh_num!C14)</f>
        <v>25603.826584461189</v>
      </c>
      <c r="D14" s="65">
        <f>IF(SER_hh_fec!D14=0,0,11630*1000*SER_hh_fec!D14/SER_hh_num!D14)</f>
        <v>28593.525611575522</v>
      </c>
      <c r="E14" s="65">
        <f>IF(SER_hh_fec!E14=0,0,11630*1000*SER_hh_fec!E14/SER_hh_num!E14)</f>
        <v>31681.019167035429</v>
      </c>
      <c r="F14" s="65">
        <f>IF(SER_hh_fec!F14=0,0,11630*1000*SER_hh_fec!F14/SER_hh_num!F14)</f>
        <v>41782.916665472148</v>
      </c>
      <c r="G14" s="65">
        <f>IF(SER_hh_fec!G14=0,0,11630*1000*SER_hh_fec!G14/SER_hh_num!G14)</f>
        <v>50359.805434904811</v>
      </c>
      <c r="H14" s="65">
        <f>IF(SER_hh_fec!H14=0,0,11630*1000*SER_hh_fec!H14/SER_hh_num!H14)</f>
        <v>50377.113980032213</v>
      </c>
      <c r="I14" s="65">
        <f>IF(SER_hh_fec!I14=0,0,11630*1000*SER_hh_fec!I14/SER_hh_num!I14)</f>
        <v>58342.143441402004</v>
      </c>
      <c r="J14" s="65">
        <f>IF(SER_hh_fec!J14=0,0,11630*1000*SER_hh_fec!J14/SER_hh_num!J14)</f>
        <v>57176.45078792893</v>
      </c>
      <c r="K14" s="65">
        <f>IF(SER_hh_fec!K14=0,0,11630*1000*SER_hh_fec!K14/SER_hh_num!K14)</f>
        <v>60533.091372842333</v>
      </c>
      <c r="L14" s="65">
        <f>IF(SER_hh_fec!L14=0,0,11630*1000*SER_hh_fec!L14/SER_hh_num!L14)</f>
        <v>46257.812419496113</v>
      </c>
      <c r="M14" s="65">
        <f>IF(SER_hh_fec!M14=0,0,11630*1000*SER_hh_fec!M14/SER_hh_num!M14)</f>
        <v>62575.828808556616</v>
      </c>
      <c r="N14" s="65">
        <f>IF(SER_hh_fec!N14=0,0,11630*1000*SER_hh_fec!N14/SER_hh_num!N14)</f>
        <v>61359.322716809926</v>
      </c>
      <c r="O14" s="65">
        <f>IF(SER_hh_fec!O14=0,0,11630*1000*SER_hh_fec!O14/SER_hh_num!O14)</f>
        <v>24752.290483258188</v>
      </c>
      <c r="P14" s="65">
        <f>IF(SER_hh_fec!P14=0,0,11630*1000*SER_hh_fec!P14/SER_hh_num!P14)</f>
        <v>86584.951246539233</v>
      </c>
      <c r="Q14" s="65">
        <f>IF(SER_hh_fec!Q14=0,0,11630*1000*SER_hh_fec!Q14/SER_hh_num!Q14)</f>
        <v>101197.2062609641</v>
      </c>
      <c r="R14" s="65">
        <f>IF(SER_hh_fec!R14=0,0,11630*1000*SER_hh_fec!R14/SER_hh_num!R14)</f>
        <v>46855.718238203226</v>
      </c>
      <c r="S14" s="65">
        <f>IF(SER_hh_fec!S14=0,0,11630*1000*SER_hh_fec!S14/SER_hh_num!S14)</f>
        <v>46787.331121836112</v>
      </c>
      <c r="T14" s="65">
        <f>IF(SER_hh_fec!T14=0,0,11630*1000*SER_hh_fec!T14/SER_hh_num!T14)</f>
        <v>88763.246891566698</v>
      </c>
      <c r="U14" s="65">
        <f>IF(SER_hh_fec!U14=0,0,11630*1000*SER_hh_fec!U14/SER_hh_num!U14)</f>
        <v>95142.458695418914</v>
      </c>
      <c r="V14" s="65">
        <f>IF(SER_hh_fec!V14=0,0,11630*1000*SER_hh_fec!V14/SER_hh_num!V14)</f>
        <v>52774.56684804926</v>
      </c>
      <c r="W14" s="65">
        <f>IF(SER_hh_fec!W14=0,0,11630*1000*SER_hh_fec!W14/SER_hh_num!W14)</f>
        <v>55459.564253806959</v>
      </c>
      <c r="X14" s="65">
        <f>IF(SER_hh_fec!X14=0,0,11630*1000*SER_hh_fec!X14/SER_hh_num!X14)</f>
        <v>74549.313665111491</v>
      </c>
      <c r="Y14" s="65">
        <f>IF(SER_hh_fec!Y14=0,0,11630*1000*SER_hh_fec!Y14/SER_hh_num!Y14)</f>
        <v>82616.306741224282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291.44368252776673</v>
      </c>
      <c r="C15" s="134">
        <f>IF(SER_hh_fec!C15=0,0,11630*1000*SER_hh_fec!C15/SER_hh_num!C15)</f>
        <v>325.33133782244107</v>
      </c>
      <c r="D15" s="134">
        <f>IF(SER_hh_fec!D15=0,0,11630*1000*SER_hh_fec!D15/SER_hh_num!D15)</f>
        <v>354.63350522676228</v>
      </c>
      <c r="E15" s="134">
        <f>IF(SER_hh_fec!E15=0,0,11630*1000*SER_hh_fec!E15/SER_hh_num!E15)</f>
        <v>389.0087309231327</v>
      </c>
      <c r="F15" s="134">
        <f>IF(SER_hh_fec!F15=0,0,11630*1000*SER_hh_fec!F15/SER_hh_num!F15)</f>
        <v>505.27165640210444</v>
      </c>
      <c r="G15" s="134">
        <f>IF(SER_hh_fec!G15=0,0,11630*1000*SER_hh_fec!G15/SER_hh_num!G15)</f>
        <v>581.2115681796638</v>
      </c>
      <c r="H15" s="134">
        <f>IF(SER_hh_fec!H15=0,0,11630*1000*SER_hh_fec!H15/SER_hh_num!H15)</f>
        <v>606.39627951049897</v>
      </c>
      <c r="I15" s="134">
        <f>IF(SER_hh_fec!I15=0,0,11630*1000*SER_hh_fec!I15/SER_hh_num!I15)</f>
        <v>624.15674862345452</v>
      </c>
      <c r="J15" s="134">
        <f>IF(SER_hh_fec!J15=0,0,11630*1000*SER_hh_fec!J15/SER_hh_num!J15)</f>
        <v>547.89575361862524</v>
      </c>
      <c r="K15" s="134">
        <f>IF(SER_hh_fec!K15=0,0,11630*1000*SER_hh_fec!K15/SER_hh_num!K15)</f>
        <v>721.77051104182442</v>
      </c>
      <c r="L15" s="134">
        <f>IF(SER_hh_fec!L15=0,0,11630*1000*SER_hh_fec!L15/SER_hh_num!L15)</f>
        <v>571.7633357986374</v>
      </c>
      <c r="M15" s="134">
        <f>IF(SER_hh_fec!M15=0,0,11630*1000*SER_hh_fec!M15/SER_hh_num!M15)</f>
        <v>580.81009468109369</v>
      </c>
      <c r="N15" s="134">
        <f>IF(SER_hh_fec!N15=0,0,11630*1000*SER_hh_fec!N15/SER_hh_num!N15)</f>
        <v>588.27013990822024</v>
      </c>
      <c r="O15" s="134">
        <f>IF(SER_hh_fec!O15=0,0,11630*1000*SER_hh_fec!O15/SER_hh_num!O15)</f>
        <v>612.46112441936214</v>
      </c>
      <c r="P15" s="134">
        <f>IF(SER_hh_fec!P15=0,0,11630*1000*SER_hh_fec!P15/SER_hh_num!P15)</f>
        <v>641.15768891639573</v>
      </c>
      <c r="Q15" s="134">
        <f>IF(SER_hh_fec!Q15=0,0,11630*1000*SER_hh_fec!Q15/SER_hh_num!Q15)</f>
        <v>724.41643807693674</v>
      </c>
      <c r="R15" s="134">
        <f>IF(SER_hh_fec!R15=0,0,11630*1000*SER_hh_fec!R15/SER_hh_num!R15)</f>
        <v>696.45219787880274</v>
      </c>
      <c r="S15" s="134">
        <f>IF(SER_hh_fec!S15=0,0,11630*1000*SER_hh_fec!S15/SER_hh_num!S15)</f>
        <v>700.23195149287244</v>
      </c>
      <c r="T15" s="134">
        <f>IF(SER_hh_fec!T15=0,0,11630*1000*SER_hh_fec!T15/SER_hh_num!T15)</f>
        <v>754.86724355146578</v>
      </c>
      <c r="U15" s="134">
        <f>IF(SER_hh_fec!U15=0,0,11630*1000*SER_hh_fec!U15/SER_hh_num!U15)</f>
        <v>729.87922820983329</v>
      </c>
      <c r="V15" s="134">
        <f>IF(SER_hh_fec!V15=0,0,11630*1000*SER_hh_fec!V15/SER_hh_num!V15)</f>
        <v>594.29287301267698</v>
      </c>
      <c r="W15" s="134">
        <f>IF(SER_hh_fec!W15=0,0,11630*1000*SER_hh_fec!W15/SER_hh_num!W15)</f>
        <v>782.85204985075347</v>
      </c>
      <c r="X15" s="134">
        <f>IF(SER_hh_fec!X15=0,0,11630*1000*SER_hh_fec!X15/SER_hh_num!X15)</f>
        <v>787.8757286348432</v>
      </c>
      <c r="Y15" s="134">
        <f>IF(SER_hh_fec!Y15=0,0,11630*1000*SER_hh_fec!Y15/SER_hh_num!Y15)</f>
        <v>817.17373640699725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13173.516558471492</v>
      </c>
      <c r="C16" s="130">
        <f>IF(SER_hh_fec!C16=0,0,11630*1000*SER_hh_fec!C16/SER_hh_num!C16)</f>
        <v>12591.634791505832</v>
      </c>
      <c r="D16" s="130">
        <f>IF(SER_hh_fec!D16=0,0,11630*1000*SER_hh_fec!D16/SER_hh_num!D16)</f>
        <v>10850.603228034483</v>
      </c>
      <c r="E16" s="130">
        <f>IF(SER_hh_fec!E16=0,0,11630*1000*SER_hh_fec!E16/SER_hh_num!E16)</f>
        <v>14859.081355565851</v>
      </c>
      <c r="F16" s="130">
        <f>IF(SER_hh_fec!F16=0,0,11630*1000*SER_hh_fec!F16/SER_hh_num!F16)</f>
        <v>11941.643933637311</v>
      </c>
      <c r="G16" s="130">
        <f>IF(SER_hh_fec!G16=0,0,11630*1000*SER_hh_fec!G16/SER_hh_num!G16)</f>
        <v>12534.252561340078</v>
      </c>
      <c r="H16" s="130">
        <f>IF(SER_hh_fec!H16=0,0,11630*1000*SER_hh_fec!H16/SER_hh_num!H16)</f>
        <v>14302.22981514055</v>
      </c>
      <c r="I16" s="130">
        <f>IF(SER_hh_fec!I16=0,0,11630*1000*SER_hh_fec!I16/SER_hh_num!I16)</f>
        <v>8731.4211447542548</v>
      </c>
      <c r="J16" s="130">
        <f>IF(SER_hh_fec!J16=0,0,11630*1000*SER_hh_fec!J16/SER_hh_num!J16)</f>
        <v>7989.6473555585908</v>
      </c>
      <c r="K16" s="130">
        <f>IF(SER_hh_fec!K16=0,0,11630*1000*SER_hh_fec!K16/SER_hh_num!K16)</f>
        <v>9590.8271849085395</v>
      </c>
      <c r="L16" s="130">
        <f>IF(SER_hh_fec!L16=0,0,11630*1000*SER_hh_fec!L16/SER_hh_num!L16)</f>
        <v>12880.288137686979</v>
      </c>
      <c r="M16" s="130">
        <f>IF(SER_hh_fec!M16=0,0,11630*1000*SER_hh_fec!M16/SER_hh_num!M16)</f>
        <v>8220.658338357418</v>
      </c>
      <c r="N16" s="130">
        <f>IF(SER_hh_fec!N16=0,0,11630*1000*SER_hh_fec!N16/SER_hh_num!N16)</f>
        <v>8394.7984439049378</v>
      </c>
      <c r="O16" s="130">
        <f>IF(SER_hh_fec!O16=0,0,11630*1000*SER_hh_fec!O16/SER_hh_num!O16)</f>
        <v>10583.69774521834</v>
      </c>
      <c r="P16" s="130">
        <f>IF(SER_hh_fec!P16=0,0,11630*1000*SER_hh_fec!P16/SER_hh_num!P16)</f>
        <v>6901.9345941857573</v>
      </c>
      <c r="Q16" s="130">
        <f>IF(SER_hh_fec!Q16=0,0,11630*1000*SER_hh_fec!Q16/SER_hh_num!Q16)</f>
        <v>7833.0936969479517</v>
      </c>
      <c r="R16" s="130">
        <f>IF(SER_hh_fec!R16=0,0,11630*1000*SER_hh_fec!R16/SER_hh_num!R16)</f>
        <v>11321.652314842227</v>
      </c>
      <c r="S16" s="130">
        <f>IF(SER_hh_fec!S16=0,0,11630*1000*SER_hh_fec!S16/SER_hh_num!S16)</f>
        <v>10405.116568609968</v>
      </c>
      <c r="T16" s="130">
        <f>IF(SER_hh_fec!T16=0,0,11630*1000*SER_hh_fec!T16/SER_hh_num!T16)</f>
        <v>8684.7401431674807</v>
      </c>
      <c r="U16" s="130">
        <f>IF(SER_hh_fec!U16=0,0,11630*1000*SER_hh_fec!U16/SER_hh_num!U16)</f>
        <v>6705.1424679804368</v>
      </c>
      <c r="V16" s="130">
        <f>IF(SER_hh_fec!V16=0,0,11630*1000*SER_hh_fec!V16/SER_hh_num!V16)</f>
        <v>9432.4771356235779</v>
      </c>
      <c r="W16" s="130">
        <f>IF(SER_hh_fec!W16=0,0,11630*1000*SER_hh_fec!W16/SER_hh_num!W16)</f>
        <v>5770.2277929621705</v>
      </c>
      <c r="X16" s="130">
        <f>IF(SER_hh_fec!X16=0,0,11630*1000*SER_hh_fec!X16/SER_hh_num!X16)</f>
        <v>10462.552602111951</v>
      </c>
      <c r="Y16" s="130">
        <f>IF(SER_hh_fec!Y16=0,0,11630*1000*SER_hh_fec!Y16/SER_hh_num!Y16)</f>
        <v>8478.3324260675035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21557.054707272364</v>
      </c>
      <c r="C17" s="132">
        <f>IF(SER_hh_fec!C17=0,0,11630*1000*SER_hh_fec!C17/SER_hh_num!C17)</f>
        <v>21159.675042179697</v>
      </c>
      <c r="D17" s="132">
        <f>IF(SER_hh_fec!D17=0,0,11630*1000*SER_hh_fec!D17/SER_hh_num!D17)</f>
        <v>18844.326881134686</v>
      </c>
      <c r="E17" s="132">
        <f>IF(SER_hh_fec!E17=0,0,11630*1000*SER_hh_fec!E17/SER_hh_num!E17)</f>
        <v>26640.768830723271</v>
      </c>
      <c r="F17" s="132">
        <f>IF(SER_hh_fec!F17=0,0,11630*1000*SER_hh_fec!F17/SER_hh_num!F17)</f>
        <v>21687.96245844548</v>
      </c>
      <c r="G17" s="132">
        <f>IF(SER_hh_fec!G17=0,0,11630*1000*SER_hh_fec!G17/SER_hh_num!G17)</f>
        <v>23519.214779446884</v>
      </c>
      <c r="H17" s="132">
        <f>IF(SER_hh_fec!H17=0,0,11630*1000*SER_hh_fec!H17/SER_hh_num!H17)</f>
        <v>27861.291744571477</v>
      </c>
      <c r="I17" s="132">
        <f>IF(SER_hh_fec!I17=0,0,11630*1000*SER_hh_fec!I17/SER_hh_num!I17)</f>
        <v>17621.15629161476</v>
      </c>
      <c r="J17" s="132">
        <f>IF(SER_hh_fec!J17=0,0,11630*1000*SER_hh_fec!J17/SER_hh_num!J17)</f>
        <v>16888.428769291619</v>
      </c>
      <c r="K17" s="132">
        <f>IF(SER_hh_fec!K17=0,0,11630*1000*SER_hh_fec!K17/SER_hh_num!K17)</f>
        <v>20452.33399233508</v>
      </c>
      <c r="L17" s="132">
        <f>IF(SER_hh_fec!L17=0,0,11630*1000*SER_hh_fec!L17/SER_hh_num!L17)</f>
        <v>28043.873645181826</v>
      </c>
      <c r="M17" s="132">
        <f>IF(SER_hh_fec!M17=0,0,11630*1000*SER_hh_fec!M17/SER_hh_num!M17)</f>
        <v>18289.76746762565</v>
      </c>
      <c r="N17" s="132">
        <f>IF(SER_hh_fec!N17=0,0,11630*1000*SER_hh_fec!N17/SER_hh_num!N17)</f>
        <v>19141.200916822421</v>
      </c>
      <c r="O17" s="132">
        <f>IF(SER_hh_fec!O17=0,0,11630*1000*SER_hh_fec!O17/SER_hh_num!O17)</f>
        <v>24554.432663223248</v>
      </c>
      <c r="P17" s="132">
        <f>IF(SER_hh_fec!P17=0,0,11630*1000*SER_hh_fec!P17/SER_hh_num!P17)</f>
        <v>16330.233925405772</v>
      </c>
      <c r="Q17" s="132">
        <f>IF(SER_hh_fec!Q17=0,0,11630*1000*SER_hh_fec!Q17/SER_hh_num!Q17)</f>
        <v>18916.255951772619</v>
      </c>
      <c r="R17" s="132">
        <f>IF(SER_hh_fec!R17=0,0,11630*1000*SER_hh_fec!R17/SER_hh_num!R17)</f>
        <v>27883.687677181628</v>
      </c>
      <c r="S17" s="132">
        <f>IF(SER_hh_fec!S17=0,0,11630*1000*SER_hh_fec!S17/SER_hh_num!S17)</f>
        <v>26170.866555832723</v>
      </c>
      <c r="T17" s="132">
        <f>IF(SER_hh_fec!T17=0,0,11630*1000*SER_hh_fec!T17/SER_hh_num!T17)</f>
        <v>21978.284858747211</v>
      </c>
      <c r="U17" s="132">
        <f>IF(SER_hh_fec!U17=0,0,11630*1000*SER_hh_fec!U17/SER_hh_num!U17)</f>
        <v>17230.487221253843</v>
      </c>
      <c r="V17" s="132">
        <f>IF(SER_hh_fec!V17=0,0,11630*1000*SER_hh_fec!V17/SER_hh_num!V17)</f>
        <v>23571.869399546704</v>
      </c>
      <c r="W17" s="132">
        <f>IF(SER_hh_fec!W17=0,0,11630*1000*SER_hh_fec!W17/SER_hh_num!W17)</f>
        <v>15273.785864312713</v>
      </c>
      <c r="X17" s="132">
        <f>IF(SER_hh_fec!X17=0,0,11630*1000*SER_hh_fec!X17/SER_hh_num!X17)</f>
        <v>27725.103687392264</v>
      </c>
      <c r="Y17" s="132">
        <f>IF(SER_hh_fec!Y17=0,0,11630*1000*SER_hh_fec!Y17/SER_hh_num!Y17)</f>
        <v>22406.152850692248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13154.480615693545</v>
      </c>
      <c r="C18" s="132">
        <f>IF(SER_hh_fec!C18=0,0,11630*1000*SER_hh_fec!C18/SER_hh_num!C18)</f>
        <v>12572.367591946273</v>
      </c>
      <c r="D18" s="132">
        <f>IF(SER_hh_fec!D18=0,0,11630*1000*SER_hh_fec!D18/SER_hh_num!D18)</f>
        <v>10834.174392805977</v>
      </c>
      <c r="E18" s="132">
        <f>IF(SER_hh_fec!E18=0,0,11630*1000*SER_hh_fec!E18/SER_hh_num!E18)</f>
        <v>14836.825244870335</v>
      </c>
      <c r="F18" s="132">
        <f>IF(SER_hh_fec!F18=0,0,11630*1000*SER_hh_fec!F18/SER_hh_num!F18)</f>
        <v>11920.26039808592</v>
      </c>
      <c r="G18" s="132">
        <f>IF(SER_hh_fec!G18=0,0,11630*1000*SER_hh_fec!G18/SER_hh_num!G18)</f>
        <v>12509.72251711134</v>
      </c>
      <c r="H18" s="132">
        <f>IF(SER_hh_fec!H18=0,0,11630*1000*SER_hh_fec!H18/SER_hh_num!H18)</f>
        <v>14270.370463985048</v>
      </c>
      <c r="I18" s="132">
        <f>IF(SER_hh_fec!I18=0,0,11630*1000*SER_hh_fec!I18/SER_hh_num!I18)</f>
        <v>8704.8588365597843</v>
      </c>
      <c r="J18" s="132">
        <f>IF(SER_hh_fec!J18=0,0,11630*1000*SER_hh_fec!J18/SER_hh_num!J18)</f>
        <v>7959.0902778799036</v>
      </c>
      <c r="K18" s="132">
        <f>IF(SER_hh_fec!K18=0,0,11630*1000*SER_hh_fec!K18/SER_hh_num!K18)</f>
        <v>9545.8946373337967</v>
      </c>
      <c r="L18" s="132">
        <f>IF(SER_hh_fec!L18=0,0,11630*1000*SER_hh_fec!L18/SER_hh_num!L18)</f>
        <v>12816.208416644404</v>
      </c>
      <c r="M18" s="132">
        <f>IF(SER_hh_fec!M18=0,0,11630*1000*SER_hh_fec!M18/SER_hh_num!M18)</f>
        <v>8171.5970092309972</v>
      </c>
      <c r="N18" s="132">
        <f>IF(SER_hh_fec!N18=0,0,11630*1000*SER_hh_fec!N18/SER_hh_num!N18)</f>
        <v>8339.3903422037765</v>
      </c>
      <c r="O18" s="132">
        <f>IF(SER_hh_fec!O18=0,0,11630*1000*SER_hh_fec!O18/SER_hh_num!O18)</f>
        <v>10502.008511188786</v>
      </c>
      <c r="P18" s="132">
        <f>IF(SER_hh_fec!P18=0,0,11630*1000*SER_hh_fec!P18/SER_hh_num!P18)</f>
        <v>6840.1038883188794</v>
      </c>
      <c r="Q18" s="132">
        <f>IF(SER_hh_fec!Q18=0,0,11630*1000*SER_hh_fec!Q18/SER_hh_num!Q18)</f>
        <v>7747.697687523576</v>
      </c>
      <c r="R18" s="132">
        <f>IF(SER_hh_fec!R18=0,0,11630*1000*SER_hh_fec!R18/SER_hh_num!R18)</f>
        <v>11166.74747684089</v>
      </c>
      <c r="S18" s="132">
        <f>IF(SER_hh_fec!S18=0,0,11630*1000*SER_hh_fec!S18/SER_hh_num!S18)</f>
        <v>10240.044292668819</v>
      </c>
      <c r="T18" s="132">
        <f>IF(SER_hh_fec!T18=0,0,11630*1000*SER_hh_fec!T18/SER_hh_num!T18)</f>
        <v>8530.0676811522917</v>
      </c>
      <c r="U18" s="132">
        <f>IF(SER_hh_fec!U18=0,0,11630*1000*SER_hh_fec!U18/SER_hh_num!U18)</f>
        <v>6568.5212153838484</v>
      </c>
      <c r="V18" s="132">
        <f>IF(SER_hh_fec!V18=0,0,11630*1000*SER_hh_fec!V18/SER_hh_num!V18)</f>
        <v>9241.6846024728129</v>
      </c>
      <c r="W18" s="132">
        <f>IF(SER_hh_fec!W18=0,0,11630*1000*SER_hh_fec!W18/SER_hh_num!W18)</f>
        <v>5640.8908624341011</v>
      </c>
      <c r="X18" s="132">
        <f>IF(SER_hh_fec!X18=0,0,11630*1000*SER_hh_fec!X18/SER_hh_num!X18)</f>
        <v>10220.048251706201</v>
      </c>
      <c r="Y18" s="132">
        <f>IF(SER_hh_fec!Y18=0,0,11630*1000*SER_hh_fec!Y18/SER_hh_num!Y18)</f>
        <v>8277.4678607983551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14427.33957066053</v>
      </c>
      <c r="C19" s="130">
        <f>IF(SER_hh_fec!C19=0,0,11630*1000*SER_hh_fec!C19/SER_hh_num!C19)</f>
        <v>14492.816257694652</v>
      </c>
      <c r="D19" s="130">
        <f>IF(SER_hh_fec!D19=0,0,11630*1000*SER_hh_fec!D19/SER_hh_num!D19)</f>
        <v>14670.199282545411</v>
      </c>
      <c r="E19" s="130">
        <f>IF(SER_hh_fec!E19=0,0,11630*1000*SER_hh_fec!E19/SER_hh_num!E19)</f>
        <v>14499.524706374217</v>
      </c>
      <c r="F19" s="130">
        <f>IF(SER_hh_fec!F19=0,0,11630*1000*SER_hh_fec!F19/SER_hh_num!F19)</f>
        <v>14555.093139031449</v>
      </c>
      <c r="G19" s="130">
        <f>IF(SER_hh_fec!G19=0,0,11630*1000*SER_hh_fec!G19/SER_hh_num!G19)</f>
        <v>14555.798892603139</v>
      </c>
      <c r="H19" s="130">
        <f>IF(SER_hh_fec!H19=0,0,11630*1000*SER_hh_fec!H19/SER_hh_num!H19)</f>
        <v>14312.855343403851</v>
      </c>
      <c r="I19" s="130">
        <f>IF(SER_hh_fec!I19=0,0,11630*1000*SER_hh_fec!I19/SER_hh_num!I19)</f>
        <v>14416.038018476807</v>
      </c>
      <c r="J19" s="130">
        <f>IF(SER_hh_fec!J19=0,0,11630*1000*SER_hh_fec!J19/SER_hh_num!J19)</f>
        <v>14315.124141390846</v>
      </c>
      <c r="K19" s="130">
        <f>IF(SER_hh_fec!K19=0,0,11630*1000*SER_hh_fec!K19/SER_hh_num!K19)</f>
        <v>14410.942420562538</v>
      </c>
      <c r="L19" s="130">
        <f>IF(SER_hh_fec!L19=0,0,11630*1000*SER_hh_fec!L19/SER_hh_num!L19)</f>
        <v>14274.158860878901</v>
      </c>
      <c r="M19" s="130">
        <f>IF(SER_hh_fec!M19=0,0,11630*1000*SER_hh_fec!M19/SER_hh_num!M19)</f>
        <v>14585.215639019403</v>
      </c>
      <c r="N19" s="130">
        <f>IF(SER_hh_fec!N19=0,0,11630*1000*SER_hh_fec!N19/SER_hh_num!N19)</f>
        <v>14205.246678394715</v>
      </c>
      <c r="O19" s="130">
        <f>IF(SER_hh_fec!O19=0,0,11630*1000*SER_hh_fec!O19/SER_hh_num!O19)</f>
        <v>14141.519068660917</v>
      </c>
      <c r="P19" s="130">
        <f>IF(SER_hh_fec!P19=0,0,11630*1000*SER_hh_fec!P19/SER_hh_num!P19)</f>
        <v>14142.784088329467</v>
      </c>
      <c r="Q19" s="130">
        <f>IF(SER_hh_fec!Q19=0,0,11630*1000*SER_hh_fec!Q19/SER_hh_num!Q19)</f>
        <v>14100.781784741534</v>
      </c>
      <c r="R19" s="130">
        <f>IF(SER_hh_fec!R19=0,0,11630*1000*SER_hh_fec!R19/SER_hh_num!R19)</f>
        <v>13995.53450993021</v>
      </c>
      <c r="S19" s="130">
        <f>IF(SER_hh_fec!S19=0,0,11630*1000*SER_hh_fec!S19/SER_hh_num!S19)</f>
        <v>13581.976842086709</v>
      </c>
      <c r="T19" s="130">
        <f>IF(SER_hh_fec!T19=0,0,11630*1000*SER_hh_fec!T19/SER_hh_num!T19)</f>
        <v>13272.421980163093</v>
      </c>
      <c r="U19" s="130">
        <f>IF(SER_hh_fec!U19=0,0,11630*1000*SER_hh_fec!U19/SER_hh_num!U19)</f>
        <v>13044.019155060167</v>
      </c>
      <c r="V19" s="130">
        <f>IF(SER_hh_fec!V19=0,0,11630*1000*SER_hh_fec!V19/SER_hh_num!V19)</f>
        <v>11056.206598155153</v>
      </c>
      <c r="W19" s="130">
        <f>IF(SER_hh_fec!W19=0,0,11630*1000*SER_hh_fec!W19/SER_hh_num!W19)</f>
        <v>11914.157038825115</v>
      </c>
      <c r="X19" s="130">
        <f>IF(SER_hh_fec!X19=0,0,11630*1000*SER_hh_fec!X19/SER_hh_num!X19)</f>
        <v>12207.725356618272</v>
      </c>
      <c r="Y19" s="130">
        <f>IF(SER_hh_fec!Y19=0,0,11630*1000*SER_hh_fec!Y19/SER_hh_num!Y19)</f>
        <v>12127.874959488046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16272.208148244525</v>
      </c>
      <c r="C21" s="132">
        <f>IF(SER_hh_fec!C21=0,0,11630*1000*SER_hh_fec!C21/SER_hh_num!C21)</f>
        <v>15862.762711788702</v>
      </c>
      <c r="D21" s="132">
        <f>IF(SER_hh_fec!D21=0,0,11630*1000*SER_hh_fec!D21/SER_hh_num!D21)</f>
        <v>16033.419520663592</v>
      </c>
      <c r="E21" s="132">
        <f>IF(SER_hh_fec!E21=0,0,11630*1000*SER_hh_fec!E21/SER_hh_num!E21)</f>
        <v>16115.437759650211</v>
      </c>
      <c r="F21" s="132">
        <f>IF(SER_hh_fec!F21=0,0,11630*1000*SER_hh_fec!F21/SER_hh_num!F21)</f>
        <v>16373.294444970628</v>
      </c>
      <c r="G21" s="132">
        <f>IF(SER_hh_fec!G21=0,0,11630*1000*SER_hh_fec!G21/SER_hh_num!G21)</f>
        <v>16336.205912831547</v>
      </c>
      <c r="H21" s="132">
        <f>IF(SER_hh_fec!H21=0,0,11630*1000*SER_hh_fec!H21/SER_hh_num!H21)</f>
        <v>16151.941533802785</v>
      </c>
      <c r="I21" s="132">
        <f>IF(SER_hh_fec!I21=0,0,11630*1000*SER_hh_fec!I21/SER_hh_num!I21)</f>
        <v>16397.057344287521</v>
      </c>
      <c r="J21" s="132">
        <f>IF(SER_hh_fec!J21=0,0,11630*1000*SER_hh_fec!J21/SER_hh_num!J21)</f>
        <v>16304.354560239297</v>
      </c>
      <c r="K21" s="132">
        <f>IF(SER_hh_fec!K21=0,0,11630*1000*SER_hh_fec!K21/SER_hh_num!K21)</f>
        <v>16568.092121369395</v>
      </c>
      <c r="L21" s="132">
        <f>IF(SER_hh_fec!L21=0,0,11630*1000*SER_hh_fec!L21/SER_hh_num!L21)</f>
        <v>16239.195988649717</v>
      </c>
      <c r="M21" s="132">
        <f>IF(SER_hh_fec!M21=0,0,11630*1000*SER_hh_fec!M21/SER_hh_num!M21)</f>
        <v>16492.287938653833</v>
      </c>
      <c r="N21" s="132">
        <f>IF(SER_hh_fec!N21=0,0,11630*1000*SER_hh_fec!N21/SER_hh_num!N21)</f>
        <v>16235.775535762166</v>
      </c>
      <c r="O21" s="132">
        <f>IF(SER_hh_fec!O21=0,0,11630*1000*SER_hh_fec!O21/SER_hh_num!O21)</f>
        <v>15947.366725801943</v>
      </c>
      <c r="P21" s="132">
        <f>IF(SER_hh_fec!P21=0,0,11630*1000*SER_hh_fec!P21/SER_hh_num!P21)</f>
        <v>15932.978679742027</v>
      </c>
      <c r="Q21" s="132">
        <f>IF(SER_hh_fec!Q21=0,0,11630*1000*SER_hh_fec!Q21/SER_hh_num!Q21)</f>
        <v>15941.719670102955</v>
      </c>
      <c r="R21" s="132">
        <f>IF(SER_hh_fec!R21=0,0,11630*1000*SER_hh_fec!R21/SER_hh_num!R21)</f>
        <v>15736.520011688968</v>
      </c>
      <c r="S21" s="132">
        <f>IF(SER_hh_fec!S21=0,0,11630*1000*SER_hh_fec!S21/SER_hh_num!S21)</f>
        <v>15204.923774607652</v>
      </c>
      <c r="T21" s="132">
        <f>IF(SER_hh_fec!T21=0,0,11630*1000*SER_hh_fec!T21/SER_hh_num!T21)</f>
        <v>14465.936349885314</v>
      </c>
      <c r="U21" s="132">
        <f>IF(SER_hh_fec!U21=0,0,11630*1000*SER_hh_fec!U21/SER_hh_num!U21)</f>
        <v>14066.421081368411</v>
      </c>
      <c r="V21" s="132">
        <f>IF(SER_hh_fec!V21=0,0,11630*1000*SER_hh_fec!V21/SER_hh_num!V21)</f>
        <v>13282.330218963301</v>
      </c>
      <c r="W21" s="132">
        <f>IF(SER_hh_fec!W21=0,0,11630*1000*SER_hh_fec!W21/SER_hh_num!W21)</f>
        <v>12362.165697239725</v>
      </c>
      <c r="X21" s="132">
        <f>IF(SER_hh_fec!X21=0,0,11630*1000*SER_hh_fec!X21/SER_hh_num!X21)</f>
        <v>13251.63846472009</v>
      </c>
      <c r="Y21" s="132">
        <f>IF(SER_hh_fec!Y21=0,0,11630*1000*SER_hh_fec!Y21/SER_hh_num!Y21)</f>
        <v>12563.415419309909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17121.987965565688</v>
      </c>
      <c r="C22" s="132">
        <f>IF(SER_hh_fec!C22=0,0,11630*1000*SER_hh_fec!C22/SER_hh_num!C22)</f>
        <v>17073.128749663774</v>
      </c>
      <c r="D22" s="132">
        <f>IF(SER_hh_fec!D22=0,0,11630*1000*SER_hh_fec!D22/SER_hh_num!D22)</f>
        <v>17050.823518678346</v>
      </c>
      <c r="E22" s="132">
        <f>IF(SER_hh_fec!E22=0,0,11630*1000*SER_hh_fec!E22/SER_hh_num!E22)</f>
        <v>17236.610137110103</v>
      </c>
      <c r="F22" s="132">
        <f>IF(SER_hh_fec!F22=0,0,11630*1000*SER_hh_fec!F22/SER_hh_num!F22)</f>
        <v>17268.753046375834</v>
      </c>
      <c r="G22" s="132">
        <f>IF(SER_hh_fec!G22=0,0,11630*1000*SER_hh_fec!G22/SER_hh_num!G22)</f>
        <v>17326.783035811168</v>
      </c>
      <c r="H22" s="132">
        <f>IF(SER_hh_fec!H22=0,0,11630*1000*SER_hh_fec!H22/SER_hh_num!H22)</f>
        <v>17394.331867069141</v>
      </c>
      <c r="I22" s="132">
        <f>IF(SER_hh_fec!I22=0,0,11630*1000*SER_hh_fec!I22/SER_hh_num!I22)</f>
        <v>17511.120201066009</v>
      </c>
      <c r="J22" s="132">
        <f>IF(SER_hh_fec!J22=0,0,11630*1000*SER_hh_fec!J22/SER_hh_num!J22)</f>
        <v>17357.979733341293</v>
      </c>
      <c r="K22" s="132">
        <f>IF(SER_hh_fec!K22=0,0,11630*1000*SER_hh_fec!K22/SER_hh_num!K22)</f>
        <v>17172.6413665414</v>
      </c>
      <c r="L22" s="132">
        <f>IF(SER_hh_fec!L22=0,0,11630*1000*SER_hh_fec!L22/SER_hh_num!L22)</f>
        <v>17193.014148629743</v>
      </c>
      <c r="M22" s="132">
        <f>IF(SER_hh_fec!M22=0,0,11630*1000*SER_hh_fec!M22/SER_hh_num!M22)</f>
        <v>17432.217636540478</v>
      </c>
      <c r="N22" s="132">
        <f>IF(SER_hh_fec!N22=0,0,11630*1000*SER_hh_fec!N22/SER_hh_num!N22)</f>
        <v>16993.886860012986</v>
      </c>
      <c r="O22" s="132">
        <f>IF(SER_hh_fec!O22=0,0,11630*1000*SER_hh_fec!O22/SER_hh_num!O22)</f>
        <v>16908.311096601428</v>
      </c>
      <c r="P22" s="132">
        <f>IF(SER_hh_fec!P22=0,0,11630*1000*SER_hh_fec!P22/SER_hh_num!P22)</f>
        <v>16760.565049633184</v>
      </c>
      <c r="Q22" s="132">
        <f>IF(SER_hh_fec!Q22=0,0,11630*1000*SER_hh_fec!Q22/SER_hh_num!Q22)</f>
        <v>16666.908115683425</v>
      </c>
      <c r="R22" s="132">
        <f>IF(SER_hh_fec!R22=0,0,11630*1000*SER_hh_fec!R22/SER_hh_num!R22)</f>
        <v>16189.262696978529</v>
      </c>
      <c r="S22" s="132">
        <f>IF(SER_hh_fec!S22=0,0,11630*1000*SER_hh_fec!S22/SER_hh_num!S22)</f>
        <v>15850.491540296467</v>
      </c>
      <c r="T22" s="132">
        <f>IF(SER_hh_fec!T22=0,0,11630*1000*SER_hh_fec!T22/SER_hh_num!T22)</f>
        <v>15265.981312942477</v>
      </c>
      <c r="U22" s="132">
        <f>IF(SER_hh_fec!U22=0,0,11630*1000*SER_hh_fec!U22/SER_hh_num!U22)</f>
        <v>14482.585971079032</v>
      </c>
      <c r="V22" s="132">
        <f>IF(SER_hh_fec!V22=0,0,11630*1000*SER_hh_fec!V22/SER_hh_num!V22)</f>
        <v>12782.322539301513</v>
      </c>
      <c r="W22" s="132">
        <f>IF(SER_hh_fec!W22=0,0,11630*1000*SER_hh_fec!W22/SER_hh_num!W22)</f>
        <v>13318.545726735043</v>
      </c>
      <c r="X22" s="132">
        <f>IF(SER_hh_fec!X22=0,0,11630*1000*SER_hh_fec!X22/SER_hh_num!X22)</f>
        <v>13422.612765606495</v>
      </c>
      <c r="Y22" s="132">
        <f>IF(SER_hh_fec!Y22=0,0,11630*1000*SER_hh_fec!Y22/SER_hh_num!Y22)</f>
        <v>13118.364549229287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16052.726064975552</v>
      </c>
      <c r="C23" s="132">
        <f>IF(SER_hh_fec!C23=0,0,11630*1000*SER_hh_fec!C23/SER_hh_num!C23)</f>
        <v>16636.974959742151</v>
      </c>
      <c r="D23" s="132">
        <f>IF(SER_hh_fec!D23=0,0,11630*1000*SER_hh_fec!D23/SER_hh_num!D23)</f>
        <v>16680.626168831575</v>
      </c>
      <c r="E23" s="132">
        <f>IF(SER_hh_fec!E23=0,0,11630*1000*SER_hh_fec!E23/SER_hh_num!E23)</f>
        <v>16357.020847697177</v>
      </c>
      <c r="F23" s="132">
        <f>IF(SER_hh_fec!F23=0,0,11630*1000*SER_hh_fec!F23/SER_hh_num!F23)</f>
        <v>16129.651707840887</v>
      </c>
      <c r="G23" s="132">
        <f>IF(SER_hh_fec!G23=0,0,11630*1000*SER_hh_fec!G23/SER_hh_num!G23)</f>
        <v>16005.414756146982</v>
      </c>
      <c r="H23" s="132">
        <f>IF(SER_hh_fec!H23=0,0,11630*1000*SER_hh_fec!H23/SER_hh_num!H23)</f>
        <v>15730.257131101258</v>
      </c>
      <c r="I23" s="132">
        <f>IF(SER_hh_fec!I23=0,0,11630*1000*SER_hh_fec!I23/SER_hh_num!I23)</f>
        <v>16033.313052558749</v>
      </c>
      <c r="J23" s="132">
        <f>IF(SER_hh_fec!J23=0,0,11630*1000*SER_hh_fec!J23/SER_hh_num!J23)</f>
        <v>15796.604942180951</v>
      </c>
      <c r="K23" s="132">
        <f>IF(SER_hh_fec!K23=0,0,11630*1000*SER_hh_fec!K23/SER_hh_num!K23)</f>
        <v>15525.840791837296</v>
      </c>
      <c r="L23" s="132">
        <f>IF(SER_hh_fec!L23=0,0,11630*1000*SER_hh_fec!L23/SER_hh_num!L23)</f>
        <v>15606.326018359972</v>
      </c>
      <c r="M23" s="132">
        <f>IF(SER_hh_fec!M23=0,0,11630*1000*SER_hh_fec!M23/SER_hh_num!M23)</f>
        <v>15676.433185708587</v>
      </c>
      <c r="N23" s="132">
        <f>IF(SER_hh_fec!N23=0,0,11630*1000*SER_hh_fec!N23/SER_hh_num!N23)</f>
        <v>15464.158835523644</v>
      </c>
      <c r="O23" s="132">
        <f>IF(SER_hh_fec!O23=0,0,11630*1000*SER_hh_fec!O23/SER_hh_num!O23)</f>
        <v>15297.834670387354</v>
      </c>
      <c r="P23" s="132">
        <f>IF(SER_hh_fec!P23=0,0,11630*1000*SER_hh_fec!P23/SER_hh_num!P23)</f>
        <v>14864.532178412221</v>
      </c>
      <c r="Q23" s="132">
        <f>IF(SER_hh_fec!Q23=0,0,11630*1000*SER_hh_fec!Q23/SER_hh_num!Q23)</f>
        <v>14571.576779316078</v>
      </c>
      <c r="R23" s="132">
        <f>IF(SER_hh_fec!R23=0,0,11630*1000*SER_hh_fec!R23/SER_hh_num!R23)</f>
        <v>14503.82090522024</v>
      </c>
      <c r="S23" s="132">
        <f>IF(SER_hh_fec!S23=0,0,11630*1000*SER_hh_fec!S23/SER_hh_num!S23)</f>
        <v>14206.055576186711</v>
      </c>
      <c r="T23" s="132">
        <f>IF(SER_hh_fec!T23=0,0,11630*1000*SER_hh_fec!T23/SER_hh_num!T23)</f>
        <v>13810.153799886171</v>
      </c>
      <c r="U23" s="132">
        <f>IF(SER_hh_fec!U23=0,0,11630*1000*SER_hh_fec!U23/SER_hh_num!U23)</f>
        <v>13567.087847291757</v>
      </c>
      <c r="V23" s="132">
        <f>IF(SER_hh_fec!V23=0,0,11630*1000*SER_hh_fec!V23/SER_hh_num!V23)</f>
        <v>11102.231557831436</v>
      </c>
      <c r="W23" s="132">
        <f>IF(SER_hh_fec!W23=0,0,11630*1000*SER_hh_fec!W23/SER_hh_num!W23)</f>
        <v>12152.176024373457</v>
      </c>
      <c r="X23" s="132">
        <f>IF(SER_hh_fec!X23=0,0,11630*1000*SER_hh_fec!X23/SER_hh_num!X23)</f>
        <v>12224.471657855056</v>
      </c>
      <c r="Y23" s="132">
        <f>IF(SER_hh_fec!Y23=0,0,11630*1000*SER_hh_fec!Y23/SER_hh_num!Y23)</f>
        <v>12452.689588718931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9241.651751428326</v>
      </c>
      <c r="C25" s="132">
        <f>IF(SER_hh_fec!C25=0,0,11630*1000*SER_hh_fec!C25/SER_hh_num!C25)</f>
        <v>11430.493567316684</v>
      </c>
      <c r="D25" s="132">
        <f>IF(SER_hh_fec!D25=0,0,11630*1000*SER_hh_fec!D25/SER_hh_num!D25)</f>
        <v>11850.402899807868</v>
      </c>
      <c r="E25" s="132">
        <f>IF(SER_hh_fec!E25=0,0,11630*1000*SER_hh_fec!E25/SER_hh_num!E25)</f>
        <v>12179.176039326112</v>
      </c>
      <c r="F25" s="132">
        <f>IF(SER_hh_fec!F25=0,0,11630*1000*SER_hh_fec!F25/SER_hh_num!F25)</f>
        <v>11788.077865039173</v>
      </c>
      <c r="G25" s="132">
        <f>IF(SER_hh_fec!G25=0,0,11630*1000*SER_hh_fec!G25/SER_hh_num!G25)</f>
        <v>10501.042903029791</v>
      </c>
      <c r="H25" s="132">
        <f>IF(SER_hh_fec!H25=0,0,11630*1000*SER_hh_fec!H25/SER_hh_num!H25)</f>
        <v>11239.159715287997</v>
      </c>
      <c r="I25" s="132">
        <f>IF(SER_hh_fec!I25=0,0,11630*1000*SER_hh_fec!I25/SER_hh_num!I25)</f>
        <v>13195.601403513041</v>
      </c>
      <c r="J25" s="132">
        <f>IF(SER_hh_fec!J25=0,0,11630*1000*SER_hh_fec!J25/SER_hh_num!J25)</f>
        <v>9520.8931578008287</v>
      </c>
      <c r="K25" s="132">
        <f>IF(SER_hh_fec!K25=0,0,11630*1000*SER_hh_fec!K25/SER_hh_num!K25)</f>
        <v>11351.222628356536</v>
      </c>
      <c r="L25" s="132">
        <f>IF(SER_hh_fec!L25=0,0,11630*1000*SER_hh_fec!L25/SER_hh_num!L25)</f>
        <v>11024.866094507019</v>
      </c>
      <c r="M25" s="132">
        <f>IF(SER_hh_fec!M25=0,0,11630*1000*SER_hh_fec!M25/SER_hh_num!M25)</f>
        <v>10295.72508447186</v>
      </c>
      <c r="N25" s="132">
        <f>IF(SER_hh_fec!N25=0,0,11630*1000*SER_hh_fec!N25/SER_hh_num!N25)</f>
        <v>11665.732963748927</v>
      </c>
      <c r="O25" s="132">
        <f>IF(SER_hh_fec!O25=0,0,11630*1000*SER_hh_fec!O25/SER_hh_num!O25)</f>
        <v>12436.201768983987</v>
      </c>
      <c r="P25" s="132">
        <f>IF(SER_hh_fec!P25=0,0,11630*1000*SER_hh_fec!P25/SER_hh_num!P25)</f>
        <v>11769.637127159285</v>
      </c>
      <c r="Q25" s="132">
        <f>IF(SER_hh_fec!Q25=0,0,11630*1000*SER_hh_fec!Q25/SER_hh_num!Q25)</f>
        <v>11988.601052697559</v>
      </c>
      <c r="R25" s="132">
        <f>IF(SER_hh_fec!R25=0,0,11630*1000*SER_hh_fec!R25/SER_hh_num!R25)</f>
        <v>11395.468114248573</v>
      </c>
      <c r="S25" s="132">
        <f>IF(SER_hh_fec!S25=0,0,11630*1000*SER_hh_fec!S25/SER_hh_num!S25)</f>
        <v>11967.331569504857</v>
      </c>
      <c r="T25" s="132">
        <f>IF(SER_hh_fec!T25=0,0,11630*1000*SER_hh_fec!T25/SER_hh_num!T25)</f>
        <v>12020.644616458276</v>
      </c>
      <c r="U25" s="132">
        <f>IF(SER_hh_fec!U25=0,0,11630*1000*SER_hh_fec!U25/SER_hh_num!U25)</f>
        <v>10497.954304252347</v>
      </c>
      <c r="V25" s="132">
        <f>IF(SER_hh_fec!V25=0,0,11630*1000*SER_hh_fec!V25/SER_hh_num!V25)</f>
        <v>9410.7470762181256</v>
      </c>
      <c r="W25" s="132">
        <f>IF(SER_hh_fec!W25=0,0,11630*1000*SER_hh_fec!W25/SER_hh_num!W25)</f>
        <v>11323.575710904202</v>
      </c>
      <c r="X25" s="132">
        <f>IF(SER_hh_fec!X25=0,0,11630*1000*SER_hh_fec!X25/SER_hh_num!X25)</f>
        <v>11621.752583986548</v>
      </c>
      <c r="Y25" s="132">
        <f>IF(SER_hh_fec!Y25=0,0,11630*1000*SER_hh_fec!Y25/SER_hh_num!Y25)</f>
        <v>9019.3113774664689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11820.801726174157</v>
      </c>
      <c r="C26" s="65">
        <f>IF(SER_hh_fec!C26=0,0,11630*1000*SER_hh_fec!C26/SER_hh_num!C26)</f>
        <v>12132.245406415666</v>
      </c>
      <c r="D26" s="65">
        <f>IF(SER_hh_fec!D26=0,0,11630*1000*SER_hh_fec!D26/SER_hh_num!D26)</f>
        <v>12573.376407080028</v>
      </c>
      <c r="E26" s="65">
        <f>IF(SER_hh_fec!E26=0,0,11630*1000*SER_hh_fec!E26/SER_hh_num!E26)</f>
        <v>12358.956078024365</v>
      </c>
      <c r="F26" s="65">
        <f>IF(SER_hh_fec!F26=0,0,11630*1000*SER_hh_fec!F26/SER_hh_num!F26)</f>
        <v>12548.947738728817</v>
      </c>
      <c r="G26" s="65">
        <f>IF(SER_hh_fec!G26=0,0,11630*1000*SER_hh_fec!G26/SER_hh_num!G26)</f>
        <v>12597.942441467116</v>
      </c>
      <c r="H26" s="65">
        <f>IF(SER_hh_fec!H26=0,0,11630*1000*SER_hh_fec!H26/SER_hh_num!H26)</f>
        <v>12267.574997261396</v>
      </c>
      <c r="I26" s="65">
        <f>IF(SER_hh_fec!I26=0,0,11630*1000*SER_hh_fec!I26/SER_hh_num!I26)</f>
        <v>12280.280480750878</v>
      </c>
      <c r="J26" s="65">
        <f>IF(SER_hh_fec!J26=0,0,11630*1000*SER_hh_fec!J26/SER_hh_num!J26)</f>
        <v>12131.258886997268</v>
      </c>
      <c r="K26" s="65">
        <f>IF(SER_hh_fec!K26=0,0,11630*1000*SER_hh_fec!K26/SER_hh_num!K26)</f>
        <v>12175.931546302643</v>
      </c>
      <c r="L26" s="65">
        <f>IF(SER_hh_fec!L26=0,0,11630*1000*SER_hh_fec!L26/SER_hh_num!L26)</f>
        <v>11493.57786346727</v>
      </c>
      <c r="M26" s="65">
        <f>IF(SER_hh_fec!M26=0,0,11630*1000*SER_hh_fec!M26/SER_hh_num!M26)</f>
        <v>11450.639253579391</v>
      </c>
      <c r="N26" s="65">
        <f>IF(SER_hh_fec!N26=0,0,11630*1000*SER_hh_fec!N26/SER_hh_num!N26)</f>
        <v>10663.185595143019</v>
      </c>
      <c r="O26" s="65">
        <f>IF(SER_hh_fec!O26=0,0,11630*1000*SER_hh_fec!O26/SER_hh_num!O26)</f>
        <v>10378.705412645055</v>
      </c>
      <c r="P26" s="65">
        <f>IF(SER_hh_fec!P26=0,0,11630*1000*SER_hh_fec!P26/SER_hh_num!P26)</f>
        <v>10365.132700978329</v>
      </c>
      <c r="Q26" s="65">
        <f>IF(SER_hh_fec!Q26=0,0,11630*1000*SER_hh_fec!Q26/SER_hh_num!Q26)</f>
        <v>10227.024842300216</v>
      </c>
      <c r="R26" s="65">
        <f>IF(SER_hh_fec!R26=0,0,11630*1000*SER_hh_fec!R26/SER_hh_num!R26)</f>
        <v>10020.003994575311</v>
      </c>
      <c r="S26" s="65">
        <f>IF(SER_hh_fec!S26=0,0,11630*1000*SER_hh_fec!S26/SER_hh_num!S26)</f>
        <v>9283.5947570924855</v>
      </c>
      <c r="T26" s="65">
        <f>IF(SER_hh_fec!T26=0,0,11630*1000*SER_hh_fec!T26/SER_hh_num!T26)</f>
        <v>8794.3860652361382</v>
      </c>
      <c r="U26" s="65">
        <f>IF(SER_hh_fec!U26=0,0,11630*1000*SER_hh_fec!U26/SER_hh_num!U26)</f>
        <v>8522.8351854164739</v>
      </c>
      <c r="V26" s="65">
        <f>IF(SER_hh_fec!V26=0,0,11630*1000*SER_hh_fec!V26/SER_hh_num!V26)</f>
        <v>6234.6470410944085</v>
      </c>
      <c r="W26" s="65">
        <f>IF(SER_hh_fec!W26=0,0,11630*1000*SER_hh_fec!W26/SER_hh_num!W26)</f>
        <v>7029.6295929997668</v>
      </c>
      <c r="X26" s="65">
        <f>IF(SER_hh_fec!X26=0,0,11630*1000*SER_hh_fec!X26/SER_hh_num!X26)</f>
        <v>7058.852537199471</v>
      </c>
      <c r="Y26" s="65">
        <f>IF(SER_hh_fec!Y26=0,0,11630*1000*SER_hh_fec!Y26/SER_hh_num!Y26)</f>
        <v>7039.2266296144035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530.88842852625328</v>
      </c>
      <c r="C27" s="145">
        <f>IF(SER_hh_fec!C27=0,0,11630*1000*SER_hh_fec!C27/SER_hh_num!C19)</f>
        <v>529.60554794017855</v>
      </c>
      <c r="D27" s="145">
        <f>IF(SER_hh_fec!D27=0,0,11630*1000*SER_hh_fec!D27/SER_hh_num!D19)</f>
        <v>538.21771476050981</v>
      </c>
      <c r="E27" s="145">
        <f>IF(SER_hh_fec!E27=0,0,11630*1000*SER_hh_fec!E27/SER_hh_num!E19)</f>
        <v>550.9163387887728</v>
      </c>
      <c r="F27" s="145">
        <f>IF(SER_hh_fec!F27=0,0,11630*1000*SER_hh_fec!F27/SER_hh_num!F19)</f>
        <v>557.56973578480347</v>
      </c>
      <c r="G27" s="145">
        <f>IF(SER_hh_fec!G27=0,0,11630*1000*SER_hh_fec!G27/SER_hh_num!G19)</f>
        <v>586.16693601563475</v>
      </c>
      <c r="H27" s="145">
        <f>IF(SER_hh_fec!H27=0,0,11630*1000*SER_hh_fec!H27/SER_hh_num!H19)</f>
        <v>601.56987910238308</v>
      </c>
      <c r="I27" s="145">
        <f>IF(SER_hh_fec!I27=0,0,11630*1000*SER_hh_fec!I27/SER_hh_num!I19)</f>
        <v>639.34309845137136</v>
      </c>
      <c r="J27" s="145">
        <f>IF(SER_hh_fec!J27=0,0,11630*1000*SER_hh_fec!J27/SER_hh_num!J19)</f>
        <v>752.70395104341219</v>
      </c>
      <c r="K27" s="145">
        <f>IF(SER_hh_fec!K27=0,0,11630*1000*SER_hh_fec!K27/SER_hh_num!K19)</f>
        <v>864.76698031200908</v>
      </c>
      <c r="L27" s="145">
        <f>IF(SER_hh_fec!L27=0,0,11630*1000*SER_hh_fec!L27/SER_hh_num!L19)</f>
        <v>1187.2556866348943</v>
      </c>
      <c r="M27" s="145">
        <f>IF(SER_hh_fec!M27=0,0,11630*1000*SER_hh_fec!M27/SER_hh_num!M19)</f>
        <v>1462.9963352506225</v>
      </c>
      <c r="N27" s="145">
        <f>IF(SER_hh_fec!N27=0,0,11630*1000*SER_hh_fec!N27/SER_hh_num!N19)</f>
        <v>1654.9277288819815</v>
      </c>
      <c r="O27" s="145">
        <f>IF(SER_hh_fec!O27=0,0,11630*1000*SER_hh_fec!O27/SER_hh_num!O19)</f>
        <v>1778.9705656467929</v>
      </c>
      <c r="P27" s="145">
        <f>IF(SER_hh_fec!P27=0,0,11630*1000*SER_hh_fec!P27/SER_hh_num!P19)</f>
        <v>1866.2071674172682</v>
      </c>
      <c r="Q27" s="145">
        <f>IF(SER_hh_fec!Q27=0,0,11630*1000*SER_hh_fec!Q27/SER_hh_num!Q19)</f>
        <v>1935.9562275196679</v>
      </c>
      <c r="R27" s="145">
        <f>IF(SER_hh_fec!R27=0,0,11630*1000*SER_hh_fec!R27/SER_hh_num!R19)</f>
        <v>2013.050313705693</v>
      </c>
      <c r="S27" s="145">
        <f>IF(SER_hh_fec!S27=0,0,11630*1000*SER_hh_fec!S27/SER_hh_num!S19)</f>
        <v>2091.1555267539679</v>
      </c>
      <c r="T27" s="145">
        <f>IF(SER_hh_fec!T27=0,0,11630*1000*SER_hh_fec!T27/SER_hh_num!T19)</f>
        <v>2183.1440223896652</v>
      </c>
      <c r="U27" s="145">
        <f>IF(SER_hh_fec!U27=0,0,11630*1000*SER_hh_fec!U27/SER_hh_num!U19)</f>
        <v>2255.3628516196595</v>
      </c>
      <c r="V27" s="145">
        <f>IF(SER_hh_fec!V27=0,0,11630*1000*SER_hh_fec!V27/SER_hh_num!V19)</f>
        <v>2342.6136286283368</v>
      </c>
      <c r="W27" s="145">
        <f>IF(SER_hh_fec!W27=0,0,11630*1000*SER_hh_fec!W27/SER_hh_num!W19)</f>
        <v>2440.6841633096901</v>
      </c>
      <c r="X27" s="145">
        <f>IF(SER_hh_fec!X27=0,0,11630*1000*SER_hh_fec!X27/SER_hh_num!X19)</f>
        <v>2654.0363965228917</v>
      </c>
      <c r="Y27" s="145">
        <f>IF(SER_hh_fec!Y27=0,0,11630*1000*SER_hh_fec!Y27/SER_hh_num!Y19)</f>
        <v>2666.5262062287875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6884.647948051429</v>
      </c>
      <c r="C28" s="146">
        <f>IF(SER_hh_fec!C27=0,0,11630*1000*SER_hh_fec!C27/SER_hh_num!C27)</f>
        <v>6827.9463140818234</v>
      </c>
      <c r="D28" s="146">
        <f>IF(SER_hh_fec!D27=0,0,11630*1000*SER_hh_fec!D27/SER_hh_num!D27)</f>
        <v>6877.8593955112829</v>
      </c>
      <c r="E28" s="146">
        <f>IF(SER_hh_fec!E27=0,0,11630*1000*SER_hh_fec!E27/SER_hh_num!E27)</f>
        <v>7272.5683987654065</v>
      </c>
      <c r="F28" s="146">
        <f>IF(SER_hh_fec!F27=0,0,11630*1000*SER_hh_fec!F27/SER_hh_num!F27)</f>
        <v>7348.2844041129729</v>
      </c>
      <c r="G28" s="146">
        <f>IF(SER_hh_fec!G27=0,0,11630*1000*SER_hh_fec!G27/SER_hh_num!G27)</f>
        <v>6979.9275822167046</v>
      </c>
      <c r="H28" s="146">
        <f>IF(SER_hh_fec!H27=0,0,11630*1000*SER_hh_fec!H27/SER_hh_num!H27)</f>
        <v>7151.8497660385883</v>
      </c>
      <c r="I28" s="146">
        <f>IF(SER_hh_fec!I27=0,0,11630*1000*SER_hh_fec!I27/SER_hh_num!I27)</f>
        <v>7211.8365519566687</v>
      </c>
      <c r="J28" s="146">
        <f>IF(SER_hh_fec!J27=0,0,11630*1000*SER_hh_fec!J27/SER_hh_num!J27)</f>
        <v>7290.656503477464</v>
      </c>
      <c r="K28" s="146">
        <f>IF(SER_hh_fec!K27=0,0,11630*1000*SER_hh_fec!K27/SER_hh_num!K27)</f>
        <v>7317.2499974401862</v>
      </c>
      <c r="L28" s="146">
        <f>IF(SER_hh_fec!L27=0,0,11630*1000*SER_hh_fec!L27/SER_hh_num!L27)</f>
        <v>7856.7355435043573</v>
      </c>
      <c r="M28" s="146">
        <f>IF(SER_hh_fec!M27=0,0,11630*1000*SER_hh_fec!M27/SER_hh_num!M27)</f>
        <v>8506.0327952419339</v>
      </c>
      <c r="N28" s="146">
        <f>IF(SER_hh_fec!N27=0,0,11630*1000*SER_hh_fec!N27/SER_hh_num!N27)</f>
        <v>8452.066983713541</v>
      </c>
      <c r="O28" s="146">
        <f>IF(SER_hh_fec!O27=0,0,11630*1000*SER_hh_fec!O27/SER_hh_num!O27)</f>
        <v>8688.8932589070409</v>
      </c>
      <c r="P28" s="146">
        <f>IF(SER_hh_fec!P27=0,0,11630*1000*SER_hh_fec!P27/SER_hh_num!P27)</f>
        <v>8713.9885297012952</v>
      </c>
      <c r="Q28" s="146">
        <f>IF(SER_hh_fec!Q27=0,0,11630*1000*SER_hh_fec!Q27/SER_hh_num!Q27)</f>
        <v>8742.4340909595539</v>
      </c>
      <c r="R28" s="146">
        <f>IF(SER_hh_fec!R27=0,0,11630*1000*SER_hh_fec!R27/SER_hh_num!R27)</f>
        <v>8714.4992571934745</v>
      </c>
      <c r="S28" s="146">
        <f>IF(SER_hh_fec!S27=0,0,11630*1000*SER_hh_fec!S27/SER_hh_num!S27)</f>
        <v>8660.0099815454651</v>
      </c>
      <c r="T28" s="146">
        <f>IF(SER_hh_fec!T27=0,0,11630*1000*SER_hh_fec!T27/SER_hh_num!T27)</f>
        <v>8914.1711840835105</v>
      </c>
      <c r="U28" s="146">
        <f>IF(SER_hh_fec!U27=0,0,11630*1000*SER_hh_fec!U27/SER_hh_num!U27)</f>
        <v>8918.6679538097815</v>
      </c>
      <c r="V28" s="146">
        <f>IF(SER_hh_fec!V27=0,0,11630*1000*SER_hh_fec!V27/SER_hh_num!V27)</f>
        <v>8032.9927578967254</v>
      </c>
      <c r="W28" s="146">
        <f>IF(SER_hh_fec!W27=0,0,11630*1000*SER_hh_fec!W27/SER_hh_num!W27)</f>
        <v>8493.4478391313442</v>
      </c>
      <c r="X28" s="146">
        <f>IF(SER_hh_fec!X27=0,0,11630*1000*SER_hh_fec!X27/SER_hh_num!X27)</f>
        <v>8244.7623980392109</v>
      </c>
      <c r="Y28" s="146">
        <f>IF(SER_hh_fec!Y27=0,0,11630*1000*SER_hh_fec!Y27/SER_hh_num!Y27)</f>
        <v>8411.2602810000644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12051.758194803237</v>
      </c>
      <c r="C29" s="130">
        <f>IF(SER_hh_fec!C29=0,0,11630*1000*SER_hh_fec!C29/SER_hh_num!C29)</f>
        <v>12269.370585454286</v>
      </c>
      <c r="D29" s="130">
        <f>IF(SER_hh_fec!D29=0,0,11630*1000*SER_hh_fec!D29/SER_hh_num!D29)</f>
        <v>13531.37800116853</v>
      </c>
      <c r="E29" s="130">
        <f>IF(SER_hh_fec!E29=0,0,11630*1000*SER_hh_fec!E29/SER_hh_num!E29)</f>
        <v>14011.492318806153</v>
      </c>
      <c r="F29" s="130">
        <f>IF(SER_hh_fec!F29=0,0,11630*1000*SER_hh_fec!F29/SER_hh_num!F29)</f>
        <v>14323.465511277427</v>
      </c>
      <c r="G29" s="130">
        <f>IF(SER_hh_fec!G29=0,0,11630*1000*SER_hh_fec!G29/SER_hh_num!G29)</f>
        <v>14850.28257102894</v>
      </c>
      <c r="H29" s="130">
        <f>IF(SER_hh_fec!H29=0,0,11630*1000*SER_hh_fec!H29/SER_hh_num!H29)</f>
        <v>14833.858382888728</v>
      </c>
      <c r="I29" s="130">
        <f>IF(SER_hh_fec!I29=0,0,11630*1000*SER_hh_fec!I29/SER_hh_num!I29)</f>
        <v>14816.839769098051</v>
      </c>
      <c r="J29" s="130">
        <f>IF(SER_hh_fec!J29=0,0,11630*1000*SER_hh_fec!J29/SER_hh_num!J29)</f>
        <v>15335.623226168795</v>
      </c>
      <c r="K29" s="130">
        <f>IF(SER_hh_fec!K29=0,0,11630*1000*SER_hh_fec!K29/SER_hh_num!K29)</f>
        <v>15092.779494914315</v>
      </c>
      <c r="L29" s="130">
        <f>IF(SER_hh_fec!L29=0,0,11630*1000*SER_hh_fec!L29/SER_hh_num!L29)</f>
        <v>14407.753544894507</v>
      </c>
      <c r="M29" s="130">
        <f>IF(SER_hh_fec!M29=0,0,11630*1000*SER_hh_fec!M29/SER_hh_num!M29)</f>
        <v>14300.693755469163</v>
      </c>
      <c r="N29" s="130">
        <f>IF(SER_hh_fec!N29=0,0,11630*1000*SER_hh_fec!N29/SER_hh_num!N29)</f>
        <v>14652.983693576502</v>
      </c>
      <c r="O29" s="130">
        <f>IF(SER_hh_fec!O29=0,0,11630*1000*SER_hh_fec!O29/SER_hh_num!O29)</f>
        <v>13733.885754787294</v>
      </c>
      <c r="P29" s="130">
        <f>IF(SER_hh_fec!P29=0,0,11630*1000*SER_hh_fec!P29/SER_hh_num!P29)</f>
        <v>14958.637373603402</v>
      </c>
      <c r="Q29" s="130">
        <f>IF(SER_hh_fec!Q29=0,0,11630*1000*SER_hh_fec!Q29/SER_hh_num!Q29)</f>
        <v>15223.442716958756</v>
      </c>
      <c r="R29" s="130">
        <f>IF(SER_hh_fec!R29=0,0,11630*1000*SER_hh_fec!R29/SER_hh_num!R29)</f>
        <v>15327.514280697369</v>
      </c>
      <c r="S29" s="130">
        <f>IF(SER_hh_fec!S29=0,0,11630*1000*SER_hh_fec!S29/SER_hh_num!S29)</f>
        <v>15582.36500884429</v>
      </c>
      <c r="T29" s="130">
        <f>IF(SER_hh_fec!T29=0,0,11630*1000*SER_hh_fec!T29/SER_hh_num!T29)</f>
        <v>15961.968411760168</v>
      </c>
      <c r="U29" s="130">
        <f>IF(SER_hh_fec!U29=0,0,11630*1000*SER_hh_fec!U29/SER_hh_num!U29)</f>
        <v>15754.349045633015</v>
      </c>
      <c r="V29" s="130">
        <f>IF(SER_hh_fec!V29=0,0,11630*1000*SER_hh_fec!V29/SER_hh_num!V29)</f>
        <v>14131.102716064554</v>
      </c>
      <c r="W29" s="130">
        <f>IF(SER_hh_fec!W29=0,0,11630*1000*SER_hh_fec!W29/SER_hh_num!W29)</f>
        <v>14058.437200169072</v>
      </c>
      <c r="X29" s="130">
        <f>IF(SER_hh_fec!X29=0,0,11630*1000*SER_hh_fec!X29/SER_hh_num!X29)</f>
        <v>14862.582341949428</v>
      </c>
      <c r="Y29" s="130">
        <f>IF(SER_hh_fec!Y29=0,0,11630*1000*SER_hh_fec!Y29/SER_hh_num!Y29)</f>
        <v>14999.937838576447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16954.515762788727</v>
      </c>
      <c r="C30" s="132">
        <f>IF(SER_hh_fec!C30=0,0,11630*1000*SER_hh_fec!C30/SER_hh_num!C30)</f>
        <v>12060.721256672807</v>
      </c>
      <c r="D30" s="132">
        <f>IF(SER_hh_fec!D30=0,0,11630*1000*SER_hh_fec!D30/SER_hh_num!D30)</f>
        <v>16950.6340908536</v>
      </c>
      <c r="E30" s="132">
        <f>IF(SER_hh_fec!E30=0,0,11630*1000*SER_hh_fec!E30/SER_hh_num!E30)</f>
        <v>15903.064130003655</v>
      </c>
      <c r="F30" s="132">
        <f>IF(SER_hh_fec!F30=0,0,11630*1000*SER_hh_fec!F30/SER_hh_num!F30)</f>
        <v>15711.875609157149</v>
      </c>
      <c r="G30" s="132">
        <f>IF(SER_hh_fec!G30=0,0,11630*1000*SER_hh_fec!G30/SER_hh_num!G30)</f>
        <v>19812.624083862884</v>
      </c>
      <c r="H30" s="132">
        <f>IF(SER_hh_fec!H30=0,0,11630*1000*SER_hh_fec!H30/SER_hh_num!H30)</f>
        <v>16659.370498926663</v>
      </c>
      <c r="I30" s="132">
        <f>IF(SER_hh_fec!I30=0,0,11630*1000*SER_hh_fec!I30/SER_hh_num!I30)</f>
        <v>16829.571774970638</v>
      </c>
      <c r="J30" s="132">
        <f>IF(SER_hh_fec!J30=0,0,11630*1000*SER_hh_fec!J30/SER_hh_num!J30)</f>
        <v>19768.704214129459</v>
      </c>
      <c r="K30" s="132">
        <f>IF(SER_hh_fec!K30=0,0,11630*1000*SER_hh_fec!K30/SER_hh_num!K30)</f>
        <v>21047.83161948009</v>
      </c>
      <c r="L30" s="132">
        <f>IF(SER_hh_fec!L30=0,0,11630*1000*SER_hh_fec!L30/SER_hh_num!L30)</f>
        <v>12274.389275937248</v>
      </c>
      <c r="M30" s="132">
        <f>IF(SER_hh_fec!M30=0,0,11630*1000*SER_hh_fec!M30/SER_hh_num!M30)</f>
        <v>14630.264132961631</v>
      </c>
      <c r="N30" s="132">
        <f>IF(SER_hh_fec!N30=0,0,11630*1000*SER_hh_fec!N30/SER_hh_num!N30)</f>
        <v>12878.729939462304</v>
      </c>
      <c r="O30" s="132">
        <f>IF(SER_hh_fec!O30=0,0,11630*1000*SER_hh_fec!O30/SER_hh_num!O30)</f>
        <v>12886.124136514783</v>
      </c>
      <c r="P30" s="132">
        <f>IF(SER_hh_fec!P30=0,0,11630*1000*SER_hh_fec!P30/SER_hh_num!P30)</f>
        <v>19628.354490600268</v>
      </c>
      <c r="Q30" s="132">
        <f>IF(SER_hh_fec!Q30=0,0,11630*1000*SER_hh_fec!Q30/SER_hh_num!Q30)</f>
        <v>19200.800534046721</v>
      </c>
      <c r="R30" s="132">
        <f>IF(SER_hh_fec!R30=0,0,11630*1000*SER_hh_fec!R30/SER_hh_num!R30)</f>
        <v>16951.260966716854</v>
      </c>
      <c r="S30" s="132">
        <f>IF(SER_hh_fec!S30=0,0,11630*1000*SER_hh_fec!S30/SER_hh_num!S30)</f>
        <v>16379.138671155746</v>
      </c>
      <c r="T30" s="132">
        <f>IF(SER_hh_fec!T30=0,0,11630*1000*SER_hh_fec!T30/SER_hh_num!T30)</f>
        <v>20795.133625852657</v>
      </c>
      <c r="U30" s="132">
        <f>IF(SER_hh_fec!U30=0,0,11630*1000*SER_hh_fec!U30/SER_hh_num!U30)</f>
        <v>20679.614998638692</v>
      </c>
      <c r="V30" s="132">
        <f>IF(SER_hh_fec!V30=0,0,11630*1000*SER_hh_fec!V30/SER_hh_num!V30)</f>
        <v>15167.14810282848</v>
      </c>
      <c r="W30" s="132">
        <f>IF(SER_hh_fec!W30=0,0,11630*1000*SER_hh_fec!W30/SER_hh_num!W30)</f>
        <v>14290.847418724266</v>
      </c>
      <c r="X30" s="132">
        <f>IF(SER_hh_fec!X30=0,0,11630*1000*SER_hh_fec!X30/SER_hh_num!X30)</f>
        <v>19894.083703265173</v>
      </c>
      <c r="Y30" s="132">
        <f>IF(SER_hh_fec!Y30=0,0,11630*1000*SER_hh_fec!Y30/SER_hh_num!Y30)</f>
        <v>18708.429074734027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14307.994896945482</v>
      </c>
      <c r="C31" s="132">
        <f>IF(SER_hh_fec!C31=0,0,11630*1000*SER_hh_fec!C31/SER_hh_num!C31)</f>
        <v>15036.181046436664</v>
      </c>
      <c r="D31" s="132">
        <f>IF(SER_hh_fec!D31=0,0,11630*1000*SER_hh_fec!D31/SER_hh_num!D31)</f>
        <v>16125.135706361707</v>
      </c>
      <c r="E31" s="132">
        <f>IF(SER_hh_fec!E31=0,0,11630*1000*SER_hh_fec!E31/SER_hh_num!E31)</f>
        <v>15972.589376458902</v>
      </c>
      <c r="F31" s="132">
        <f>IF(SER_hh_fec!F31=0,0,11630*1000*SER_hh_fec!F31/SER_hh_num!F31)</f>
        <v>16900.23530220897</v>
      </c>
      <c r="G31" s="132">
        <f>IF(SER_hh_fec!G31=0,0,11630*1000*SER_hh_fec!G31/SER_hh_num!G31)</f>
        <v>17158.726195521383</v>
      </c>
      <c r="H31" s="132">
        <f>IF(SER_hh_fec!H31=0,0,11630*1000*SER_hh_fec!H31/SER_hh_num!H31)</f>
        <v>17173.765129368861</v>
      </c>
      <c r="I31" s="132">
        <f>IF(SER_hh_fec!I31=0,0,11630*1000*SER_hh_fec!I31/SER_hh_num!I31)</f>
        <v>16980.863849495585</v>
      </c>
      <c r="J31" s="132">
        <f>IF(SER_hh_fec!J31=0,0,11630*1000*SER_hh_fec!J31/SER_hh_num!J31)</f>
        <v>16343.757601092633</v>
      </c>
      <c r="K31" s="132">
        <f>IF(SER_hh_fec!K31=0,0,11630*1000*SER_hh_fec!K31/SER_hh_num!K31)</f>
        <v>16476.349137190959</v>
      </c>
      <c r="L31" s="132">
        <f>IF(SER_hh_fec!L31=0,0,11630*1000*SER_hh_fec!L31/SER_hh_num!L31)</f>
        <v>18313.562607209311</v>
      </c>
      <c r="M31" s="132">
        <f>IF(SER_hh_fec!M31=0,0,11630*1000*SER_hh_fec!M31/SER_hh_num!M31)</f>
        <v>17094.196928809924</v>
      </c>
      <c r="N31" s="132">
        <f>IF(SER_hh_fec!N31=0,0,11630*1000*SER_hh_fec!N31/SER_hh_num!N31)</f>
        <v>15998.863008903481</v>
      </c>
      <c r="O31" s="132">
        <f>IF(SER_hh_fec!O31=0,0,11630*1000*SER_hh_fec!O31/SER_hh_num!O31)</f>
        <v>17676.400820639577</v>
      </c>
      <c r="P31" s="132">
        <f>IF(SER_hh_fec!P31=0,0,11630*1000*SER_hh_fec!P31/SER_hh_num!P31)</f>
        <v>16642.724351517783</v>
      </c>
      <c r="Q31" s="132">
        <f>IF(SER_hh_fec!Q31=0,0,11630*1000*SER_hh_fec!Q31/SER_hh_num!Q31)</f>
        <v>17594.253470613417</v>
      </c>
      <c r="R31" s="132">
        <f>IF(SER_hh_fec!R31=0,0,11630*1000*SER_hh_fec!R31/SER_hh_num!R31)</f>
        <v>17861.855725318554</v>
      </c>
      <c r="S31" s="132">
        <f>IF(SER_hh_fec!S31=0,0,11630*1000*SER_hh_fec!S31/SER_hh_num!S31)</f>
        <v>17848.62524330974</v>
      </c>
      <c r="T31" s="132">
        <f>IF(SER_hh_fec!T31=0,0,11630*1000*SER_hh_fec!T31/SER_hh_num!T31)</f>
        <v>17973.876356263059</v>
      </c>
      <c r="U31" s="132">
        <f>IF(SER_hh_fec!U31=0,0,11630*1000*SER_hh_fec!U31/SER_hh_num!U31)</f>
        <v>18605.303541859746</v>
      </c>
      <c r="V31" s="132">
        <f>IF(SER_hh_fec!V31=0,0,11630*1000*SER_hh_fec!V31/SER_hh_num!V31)</f>
        <v>17703.174140043397</v>
      </c>
      <c r="W31" s="132">
        <f>IF(SER_hh_fec!W31=0,0,11630*1000*SER_hh_fec!W31/SER_hh_num!W31)</f>
        <v>17443.539024434867</v>
      </c>
      <c r="X31" s="132">
        <f>IF(SER_hh_fec!X31=0,0,11630*1000*SER_hh_fec!X31/SER_hh_num!X31)</f>
        <v>17365.367765393497</v>
      </c>
      <c r="Y31" s="132">
        <f>IF(SER_hh_fec!Y31=0,0,11630*1000*SER_hh_fec!Y31/SER_hh_num!Y31)</f>
        <v>18382.4428859625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27469.162088169476</v>
      </c>
      <c r="O32" s="132">
        <f>IF(SER_hh_fec!O32=0,0,11630*1000*SER_hh_fec!O32/SER_hh_num!O32)</f>
        <v>14971.642284759742</v>
      </c>
      <c r="P32" s="132">
        <f>IF(SER_hh_fec!P32=0,0,11630*1000*SER_hh_fec!P32/SER_hh_num!P32)</f>
        <v>15058.186846198367</v>
      </c>
      <c r="Q32" s="132">
        <f>IF(SER_hh_fec!Q32=0,0,11630*1000*SER_hh_fec!Q32/SER_hh_num!Q32)</f>
        <v>16980.15868915473</v>
      </c>
      <c r="R32" s="132">
        <f>IF(SER_hh_fec!R32=0,0,11630*1000*SER_hh_fec!R32/SER_hh_num!R32)</f>
        <v>15043.699301730279</v>
      </c>
      <c r="S32" s="132">
        <f>IF(SER_hh_fec!S32=0,0,11630*1000*SER_hh_fec!S32/SER_hh_num!S32)</f>
        <v>16565.119318507928</v>
      </c>
      <c r="T32" s="132">
        <f>IF(SER_hh_fec!T32=0,0,11630*1000*SER_hh_fec!T32/SER_hh_num!T32)</f>
        <v>18186.529362960777</v>
      </c>
      <c r="U32" s="132">
        <f>IF(SER_hh_fec!U32=0,0,11630*1000*SER_hh_fec!U32/SER_hh_num!U32)</f>
        <v>17947.948701216283</v>
      </c>
      <c r="V32" s="132">
        <f>IF(SER_hh_fec!V32=0,0,11630*1000*SER_hh_fec!V32/SER_hh_num!V32)</f>
        <v>13449.771628807486</v>
      </c>
      <c r="W32" s="132">
        <f>IF(SER_hh_fec!W32=0,0,11630*1000*SER_hh_fec!W32/SER_hh_num!W32)</f>
        <v>17000.080970120889</v>
      </c>
      <c r="X32" s="132">
        <f>IF(SER_hh_fec!X32=0,0,11630*1000*SER_hh_fec!X32/SER_hh_num!X32)</f>
        <v>17075.146165698425</v>
      </c>
      <c r="Y32" s="132">
        <f>IF(SER_hh_fec!Y32=0,0,11630*1000*SER_hh_fec!Y32/SER_hh_num!Y32)</f>
        <v>17587.93577231597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10634.364352565184</v>
      </c>
      <c r="C33" s="68">
        <f>IF(SER_hh_fec!C33=0,0,11630*1000*SER_hh_fec!C33/SER_hh_num!C33)</f>
        <v>12051.214781738907</v>
      </c>
      <c r="D33" s="68">
        <f>IF(SER_hh_fec!D33=0,0,11630*1000*SER_hh_fec!D33/SER_hh_num!D33)</f>
        <v>12283.519404257258</v>
      </c>
      <c r="E33" s="68">
        <f>IF(SER_hh_fec!E33=0,0,11630*1000*SER_hh_fec!E33/SER_hh_num!E33)</f>
        <v>13109.93352028341</v>
      </c>
      <c r="F33" s="68">
        <f>IF(SER_hh_fec!F33=0,0,11630*1000*SER_hh_fec!F33/SER_hh_num!F33)</f>
        <v>13341.226265657719</v>
      </c>
      <c r="G33" s="68">
        <f>IF(SER_hh_fec!G33=0,0,11630*1000*SER_hh_fec!G33/SER_hh_num!G33)</f>
        <v>11512.033592885318</v>
      </c>
      <c r="H33" s="68">
        <f>IF(SER_hh_fec!H33=0,0,11630*1000*SER_hh_fec!H33/SER_hh_num!H33)</f>
        <v>13287.53925025963</v>
      </c>
      <c r="I33" s="68">
        <f>IF(SER_hh_fec!I33=0,0,11630*1000*SER_hh_fec!I33/SER_hh_num!I33)</f>
        <v>13087.304692454203</v>
      </c>
      <c r="J33" s="68">
        <f>IF(SER_hh_fec!J33=0,0,11630*1000*SER_hh_fec!J33/SER_hh_num!J33)</f>
        <v>12348.647985694419</v>
      </c>
      <c r="K33" s="68">
        <f>IF(SER_hh_fec!K33=0,0,11630*1000*SER_hh_fec!K33/SER_hh_num!K33)</f>
        <v>11750.664438142187</v>
      </c>
      <c r="L33" s="68">
        <f>IF(SER_hh_fec!L33=0,0,11630*1000*SER_hh_fec!L33/SER_hh_num!L33)</f>
        <v>14366.555630585313</v>
      </c>
      <c r="M33" s="68">
        <f>IF(SER_hh_fec!M33=0,0,11630*1000*SER_hh_fec!M33/SER_hh_num!M33)</f>
        <v>13659.022680032682</v>
      </c>
      <c r="N33" s="68">
        <f>IF(SER_hh_fec!N33=0,0,11630*1000*SER_hh_fec!N33/SER_hh_num!N33)</f>
        <v>13011.269502123545</v>
      </c>
      <c r="O33" s="68">
        <f>IF(SER_hh_fec!O33=0,0,11630*1000*SER_hh_fec!O33/SER_hh_num!O33)</f>
        <v>12581.34795527564</v>
      </c>
      <c r="P33" s="68">
        <f>IF(SER_hh_fec!P33=0,0,11630*1000*SER_hh_fec!P33/SER_hh_num!P33)</f>
        <v>12555.042390336428</v>
      </c>
      <c r="Q33" s="68">
        <f>IF(SER_hh_fec!Q33=0,0,11630*1000*SER_hh_fec!Q33/SER_hh_num!Q33)</f>
        <v>12293.342859239419</v>
      </c>
      <c r="R33" s="68">
        <f>IF(SER_hh_fec!R33=0,0,11630*1000*SER_hh_fec!R33/SER_hh_num!R33)</f>
        <v>13610.82309872907</v>
      </c>
      <c r="S33" s="68">
        <f>IF(SER_hh_fec!S33=0,0,11630*1000*SER_hh_fec!S33/SER_hh_num!S33)</f>
        <v>14130.596073553337</v>
      </c>
      <c r="T33" s="68">
        <f>IF(SER_hh_fec!T33=0,0,11630*1000*SER_hh_fec!T33/SER_hh_num!T33)</f>
        <v>12279.314166298474</v>
      </c>
      <c r="U33" s="68">
        <f>IF(SER_hh_fec!U33=0,0,11630*1000*SER_hh_fec!U33/SER_hh_num!U33)</f>
        <v>11942.275489608472</v>
      </c>
      <c r="V33" s="68">
        <f>IF(SER_hh_fec!V33=0,0,11630*1000*SER_hh_fec!V33/SER_hh_num!V33)</f>
        <v>12446.774542762547</v>
      </c>
      <c r="W33" s="68">
        <f>IF(SER_hh_fec!W33=0,0,11630*1000*SER_hh_fec!W33/SER_hh_num!W33)</f>
        <v>12564.986704399902</v>
      </c>
      <c r="X33" s="68">
        <f>IF(SER_hh_fec!X33=0,0,11630*1000*SER_hh_fec!X33/SER_hh_num!X33)</f>
        <v>12226.295898924896</v>
      </c>
      <c r="Y33" s="68">
        <f>IF(SER_hh_fec!Y33=0,0,11630*1000*SER_hh_fec!Y33/SER_hh_num!Y33)</f>
        <v>12405.229737350897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39266.94481910039</v>
      </c>
      <c r="C3" s="125">
        <f>IF(SER_hh_tes!C3=0,0,11630*1000*SER_hh_tes!C3/SER_hh_num!C3)</f>
        <v>41752.243918042237</v>
      </c>
      <c r="D3" s="125">
        <f>IF(SER_hh_tes!D3=0,0,11630*1000*SER_hh_tes!D3/SER_hh_num!D3)</f>
        <v>43658.700179303356</v>
      </c>
      <c r="E3" s="125">
        <f>IF(SER_hh_tes!E3=0,0,11630*1000*SER_hh_tes!E3/SER_hh_num!E3)</f>
        <v>50779.972591720209</v>
      </c>
      <c r="F3" s="125">
        <f>IF(SER_hh_tes!F3=0,0,11630*1000*SER_hh_tes!F3/SER_hh_num!F3)</f>
        <v>54539.440500951023</v>
      </c>
      <c r="G3" s="125">
        <f>IF(SER_hh_tes!G3=0,0,11630*1000*SER_hh_tes!G3/SER_hh_num!G3)</f>
        <v>61123.59078285603</v>
      </c>
      <c r="H3" s="125">
        <f>IF(SER_hh_tes!H3=0,0,11630*1000*SER_hh_tes!H3/SER_hh_num!H3)</f>
        <v>65899.395343323893</v>
      </c>
      <c r="I3" s="125">
        <f>IF(SER_hh_tes!I3=0,0,11630*1000*SER_hh_tes!I3/SER_hh_num!I3)</f>
        <v>64261.3124908877</v>
      </c>
      <c r="J3" s="125">
        <f>IF(SER_hh_tes!J3=0,0,11630*1000*SER_hh_tes!J3/SER_hh_num!J3)</f>
        <v>64637.200931754815</v>
      </c>
      <c r="K3" s="125">
        <f>IF(SER_hh_tes!K3=0,0,11630*1000*SER_hh_tes!K3/SER_hh_num!K3)</f>
        <v>70640.553516376996</v>
      </c>
      <c r="L3" s="125">
        <f>IF(SER_hh_tes!L3=0,0,11630*1000*SER_hh_tes!L3/SER_hh_num!L3)</f>
        <v>73926.746682656172</v>
      </c>
      <c r="M3" s="125">
        <f>IF(SER_hh_tes!M3=0,0,11630*1000*SER_hh_tes!M3/SER_hh_num!M3)</f>
        <v>70679.043297004973</v>
      </c>
      <c r="N3" s="125">
        <f>IF(SER_hh_tes!N3=0,0,11630*1000*SER_hh_tes!N3/SER_hh_num!N3)</f>
        <v>74769.540273643375</v>
      </c>
      <c r="O3" s="125">
        <f>IF(SER_hh_tes!O3=0,0,11630*1000*SER_hh_tes!O3/SER_hh_num!O3)</f>
        <v>78403.6308472542</v>
      </c>
      <c r="P3" s="125">
        <f>IF(SER_hh_tes!P3=0,0,11630*1000*SER_hh_tes!P3/SER_hh_num!P3)</f>
        <v>82343.573582735102</v>
      </c>
      <c r="Q3" s="125">
        <f>IF(SER_hh_tes!Q3=0,0,11630*1000*SER_hh_tes!Q3/SER_hh_num!Q3)</f>
        <v>86342.771330738076</v>
      </c>
      <c r="R3" s="125">
        <f>IF(SER_hh_tes!R3=0,0,11630*1000*SER_hh_tes!R3/SER_hh_num!R3)</f>
        <v>89641.802758024234</v>
      </c>
      <c r="S3" s="125">
        <f>IF(SER_hh_tes!S3=0,0,11630*1000*SER_hh_tes!S3/SER_hh_num!S3)</f>
        <v>89859.633859039182</v>
      </c>
      <c r="T3" s="125">
        <f>IF(SER_hh_tes!T3=0,0,11630*1000*SER_hh_tes!T3/SER_hh_num!T3)</f>
        <v>91833.030736341025</v>
      </c>
      <c r="U3" s="125">
        <f>IF(SER_hh_tes!U3=0,0,11630*1000*SER_hh_tes!U3/SER_hh_num!U3)</f>
        <v>88999.739985161956</v>
      </c>
      <c r="V3" s="125">
        <f>IF(SER_hh_tes!V3=0,0,11630*1000*SER_hh_tes!V3/SER_hh_num!V3)</f>
        <v>89139.622761376348</v>
      </c>
      <c r="W3" s="125">
        <f>IF(SER_hh_tes!W3=0,0,11630*1000*SER_hh_tes!W3/SER_hh_num!W3)</f>
        <v>85264.188851395884</v>
      </c>
      <c r="X3" s="125">
        <f>IF(SER_hh_tes!X3=0,0,11630*1000*SER_hh_tes!X3/SER_hh_num!X3)</f>
        <v>104024.42273365821</v>
      </c>
      <c r="Y3" s="125">
        <f>IF(SER_hh_tes!Y3=0,0,11630*1000*SER_hh_tes!Y3/SER_hh_num!Y3)</f>
        <v>102244.8358416346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15241.366531687981</v>
      </c>
      <c r="C4" s="130">
        <f>IF(SER_hh_tes!C4=0,0,11630*1000*SER_hh_tes!C4/SER_hh_num!C4)</f>
        <v>17124.038201064421</v>
      </c>
      <c r="D4" s="130">
        <f>IF(SER_hh_tes!D4=0,0,11630*1000*SER_hh_tes!D4/SER_hh_num!D4)</f>
        <v>18810.915456884577</v>
      </c>
      <c r="E4" s="130">
        <f>IF(SER_hh_tes!E4=0,0,11630*1000*SER_hh_tes!E4/SER_hh_num!E4)</f>
        <v>22144.426785207699</v>
      </c>
      <c r="F4" s="130">
        <f>IF(SER_hh_tes!F4=0,0,11630*1000*SER_hh_tes!F4/SER_hh_num!F4)</f>
        <v>27670.743510928845</v>
      </c>
      <c r="G4" s="130">
        <f>IF(SER_hh_tes!G4=0,0,11630*1000*SER_hh_tes!G4/SER_hh_num!G4)</f>
        <v>32961.519773622691</v>
      </c>
      <c r="H4" s="130">
        <f>IF(SER_hh_tes!H4=0,0,11630*1000*SER_hh_tes!H4/SER_hh_num!H4)</f>
        <v>34796.921004883399</v>
      </c>
      <c r="I4" s="130">
        <f>IF(SER_hh_tes!I4=0,0,11630*1000*SER_hh_tes!I4/SER_hh_num!I4)</f>
        <v>37132.563612086742</v>
      </c>
      <c r="J4" s="130">
        <f>IF(SER_hh_tes!J4=0,0,11630*1000*SER_hh_tes!J4/SER_hh_num!J4)</f>
        <v>36940.73547068856</v>
      </c>
      <c r="K4" s="130">
        <f>IF(SER_hh_tes!K4=0,0,11630*1000*SER_hh_tes!K4/SER_hh_num!K4)</f>
        <v>40096.403866080516</v>
      </c>
      <c r="L4" s="130">
        <f>IF(SER_hh_tes!L4=0,0,11630*1000*SER_hh_tes!L4/SER_hh_num!L4)</f>
        <v>37651.220530341729</v>
      </c>
      <c r="M4" s="130">
        <f>IF(SER_hh_tes!M4=0,0,11630*1000*SER_hh_tes!M4/SER_hh_num!M4)</f>
        <v>39864.123478194371</v>
      </c>
      <c r="N4" s="130">
        <f>IF(SER_hh_tes!N4=0,0,11630*1000*SER_hh_tes!N4/SER_hh_num!N4)</f>
        <v>43000.037967255783</v>
      </c>
      <c r="O4" s="130">
        <f>IF(SER_hh_tes!O4=0,0,11630*1000*SER_hh_tes!O4/SER_hh_num!O4)</f>
        <v>43039.342141310583</v>
      </c>
      <c r="P4" s="130">
        <f>IF(SER_hh_tes!P4=0,0,11630*1000*SER_hh_tes!P4/SER_hh_num!P4)</f>
        <v>51668.278636890667</v>
      </c>
      <c r="Q4" s="130">
        <f>IF(SER_hh_tes!Q4=0,0,11630*1000*SER_hh_tes!Q4/SER_hh_num!Q4)</f>
        <v>53175.778508209907</v>
      </c>
      <c r="R4" s="130">
        <f>IF(SER_hh_tes!R4=0,0,11630*1000*SER_hh_tes!R4/SER_hh_num!R4)</f>
        <v>48705.02339876011</v>
      </c>
      <c r="S4" s="130">
        <f>IF(SER_hh_tes!S4=0,0,11630*1000*SER_hh_tes!S4/SER_hh_num!S4)</f>
        <v>49327.349561063354</v>
      </c>
      <c r="T4" s="130">
        <f>IF(SER_hh_tes!T4=0,0,11630*1000*SER_hh_tes!T4/SER_hh_num!T4)</f>
        <v>53850.226068904747</v>
      </c>
      <c r="U4" s="130">
        <f>IF(SER_hh_tes!U4=0,0,11630*1000*SER_hh_tes!U4/SER_hh_num!U4)</f>
        <v>54762.992702656033</v>
      </c>
      <c r="V4" s="130">
        <f>IF(SER_hh_tes!V4=0,0,11630*1000*SER_hh_tes!V4/SER_hh_num!V4)</f>
        <v>50071.957107024333</v>
      </c>
      <c r="W4" s="130">
        <f>IF(SER_hh_tes!W4=0,0,11630*1000*SER_hh_tes!W4/SER_hh_num!W4)</f>
        <v>53125.318412127715</v>
      </c>
      <c r="X4" s="130">
        <f>IF(SER_hh_tes!X4=0,0,11630*1000*SER_hh_tes!X4/SER_hh_num!X4)</f>
        <v>59697.996462683703</v>
      </c>
      <c r="Y4" s="130">
        <f>IF(SER_hh_tes!Y4=0,0,11630*1000*SER_hh_tes!Y4/SER_hh_num!Y4)</f>
        <v>61991.77397140846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0</v>
      </c>
      <c r="C5" s="132">
        <f>IF(SER_hh_tes!C5=0,0,11630*1000*SER_hh_tes!C5/SER_hh_num!C5)</f>
        <v>0</v>
      </c>
      <c r="D5" s="132">
        <f>IF(SER_hh_tes!D5=0,0,11630*1000*SER_hh_tes!D5/SER_hh_num!D5)</f>
        <v>0</v>
      </c>
      <c r="E5" s="132">
        <f>IF(SER_hh_tes!E5=0,0,11630*1000*SER_hh_tes!E5/SER_hh_num!E5)</f>
        <v>0</v>
      </c>
      <c r="F5" s="132">
        <f>IF(SER_hh_tes!F5=0,0,11630*1000*SER_hh_tes!F5/SER_hh_num!F5)</f>
        <v>0</v>
      </c>
      <c r="G5" s="132">
        <f>IF(SER_hh_tes!G5=0,0,11630*1000*SER_hh_tes!G5/SER_hh_num!G5)</f>
        <v>0</v>
      </c>
      <c r="H5" s="132">
        <f>IF(SER_hh_tes!H5=0,0,11630*1000*SER_hh_tes!H5/SER_hh_num!H5)</f>
        <v>0</v>
      </c>
      <c r="I5" s="132">
        <f>IF(SER_hh_tes!I5=0,0,11630*1000*SER_hh_tes!I5/SER_hh_num!I5)</f>
        <v>0</v>
      </c>
      <c r="J5" s="132">
        <f>IF(SER_hh_tes!J5=0,0,11630*1000*SER_hh_tes!J5/SER_hh_num!J5)</f>
        <v>0</v>
      </c>
      <c r="K5" s="132">
        <f>IF(SER_hh_tes!K5=0,0,11630*1000*SER_hh_tes!K5/SER_hh_num!K5)</f>
        <v>0</v>
      </c>
      <c r="L5" s="132">
        <f>IF(SER_hh_tes!L5=0,0,11630*1000*SER_hh_tes!L5/SER_hh_num!L5)</f>
        <v>0</v>
      </c>
      <c r="M5" s="132">
        <f>IF(SER_hh_tes!M5=0,0,11630*1000*SER_hh_tes!M5/SER_hh_num!M5)</f>
        <v>0</v>
      </c>
      <c r="N5" s="132">
        <f>IF(SER_hh_tes!N5=0,0,11630*1000*SER_hh_tes!N5/SER_hh_num!N5)</f>
        <v>0</v>
      </c>
      <c r="O5" s="132">
        <f>IF(SER_hh_tes!O5=0,0,11630*1000*SER_hh_tes!O5/SER_hh_num!O5)</f>
        <v>0</v>
      </c>
      <c r="P5" s="132">
        <f>IF(SER_hh_tes!P5=0,0,11630*1000*SER_hh_tes!P5/SER_hh_num!P5)</f>
        <v>0</v>
      </c>
      <c r="Q5" s="132">
        <f>IF(SER_hh_tes!Q5=0,0,11630*1000*SER_hh_tes!Q5/SER_hh_num!Q5)</f>
        <v>0</v>
      </c>
      <c r="R5" s="132">
        <f>IF(SER_hh_tes!R5=0,0,11630*1000*SER_hh_tes!R5/SER_hh_num!R5)</f>
        <v>0</v>
      </c>
      <c r="S5" s="132">
        <f>IF(SER_hh_tes!S5=0,0,11630*1000*SER_hh_tes!S5/SER_hh_num!S5)</f>
        <v>0</v>
      </c>
      <c r="T5" s="132">
        <f>IF(SER_hh_tes!T5=0,0,11630*1000*SER_hh_tes!T5/SER_hh_num!T5)</f>
        <v>0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0</v>
      </c>
      <c r="Y5" s="132">
        <f>IF(SER_hh_tes!Y5=0,0,11630*1000*SER_hh_tes!Y5/SER_hh_num!Y5)</f>
        <v>0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14977.476503218028</v>
      </c>
      <c r="C7" s="132">
        <f>IF(SER_hh_tes!C7=0,0,11630*1000*SER_hh_tes!C7/SER_hh_num!C7)</f>
        <v>17161.339922483075</v>
      </c>
      <c r="D7" s="132">
        <f>IF(SER_hh_tes!D7=0,0,11630*1000*SER_hh_tes!D7/SER_hh_num!D7)</f>
        <v>18586.5370436011</v>
      </c>
      <c r="E7" s="132">
        <f>IF(SER_hh_tes!E7=0,0,11630*1000*SER_hh_tes!E7/SER_hh_num!E7)</f>
        <v>20968.51525863164</v>
      </c>
      <c r="F7" s="132">
        <f>IF(SER_hh_tes!F7=0,0,11630*1000*SER_hh_tes!F7/SER_hh_num!F7)</f>
        <v>27960.177669075882</v>
      </c>
      <c r="G7" s="132">
        <f>IF(SER_hh_tes!G7=0,0,11630*1000*SER_hh_tes!G7/SER_hh_num!G7)</f>
        <v>33893.468229110338</v>
      </c>
      <c r="H7" s="132">
        <f>IF(SER_hh_tes!H7=0,0,11630*1000*SER_hh_tes!H7/SER_hh_num!H7)</f>
        <v>35136.044285822449</v>
      </c>
      <c r="I7" s="132">
        <f>IF(SER_hh_tes!I7=0,0,11630*1000*SER_hh_tes!I7/SER_hh_num!I7)</f>
        <v>36657.532185126882</v>
      </c>
      <c r="J7" s="132">
        <f>IF(SER_hh_tes!J7=0,0,11630*1000*SER_hh_tes!J7/SER_hh_num!J7)</f>
        <v>30545.095572232291</v>
      </c>
      <c r="K7" s="132">
        <f>IF(SER_hh_tes!K7=0,0,11630*1000*SER_hh_tes!K7/SER_hh_num!K7)</f>
        <v>46101.479789638994</v>
      </c>
      <c r="L7" s="132">
        <f>IF(SER_hh_tes!L7=0,0,11630*1000*SER_hh_tes!L7/SER_hh_num!L7)</f>
        <v>35367.371464320968</v>
      </c>
      <c r="M7" s="132">
        <f>IF(SER_hh_tes!M7=0,0,11630*1000*SER_hh_tes!M7/SER_hh_num!M7)</f>
        <v>33441.317479988829</v>
      </c>
      <c r="N7" s="132">
        <f>IF(SER_hh_tes!N7=0,0,11630*1000*SER_hh_tes!N7/SER_hh_num!N7)</f>
        <v>33770.399463100948</v>
      </c>
      <c r="O7" s="132">
        <f>IF(SER_hh_tes!O7=0,0,11630*1000*SER_hh_tes!O7/SER_hh_num!O7)</f>
        <v>42527.478672848061</v>
      </c>
      <c r="P7" s="132">
        <f>IF(SER_hh_tes!P7=0,0,11630*1000*SER_hh_tes!P7/SER_hh_num!P7)</f>
        <v>44819.534443725141</v>
      </c>
      <c r="Q7" s="132">
        <f>IF(SER_hh_tes!Q7=0,0,11630*1000*SER_hh_tes!Q7/SER_hh_num!Q7)</f>
        <v>58058.191364516744</v>
      </c>
      <c r="R7" s="132">
        <f>IF(SER_hh_tes!R7=0,0,11630*1000*SER_hh_tes!R7/SER_hh_num!R7)</f>
        <v>44906.143373266503</v>
      </c>
      <c r="S7" s="132">
        <f>IF(SER_hh_tes!S7=0,0,11630*1000*SER_hh_tes!S7/SER_hh_num!S7)</f>
        <v>45496.514214030154</v>
      </c>
      <c r="T7" s="132">
        <f>IF(SER_hh_tes!T7=0,0,11630*1000*SER_hh_tes!T7/SER_hh_num!T7)</f>
        <v>50825.525146170476</v>
      </c>
      <c r="U7" s="132">
        <f>IF(SER_hh_tes!U7=0,0,11630*1000*SER_hh_tes!U7/SER_hh_num!U7)</f>
        <v>52517.511144179902</v>
      </c>
      <c r="V7" s="132">
        <f>IF(SER_hh_tes!V7=0,0,11630*1000*SER_hh_tes!V7/SER_hh_num!V7)</f>
        <v>50089.827902216879</v>
      </c>
      <c r="W7" s="132">
        <f>IF(SER_hh_tes!W7=0,0,11630*1000*SER_hh_tes!W7/SER_hh_num!W7)</f>
        <v>54180.556850237874</v>
      </c>
      <c r="X7" s="132">
        <f>IF(SER_hh_tes!X7=0,0,11630*1000*SER_hh_tes!X7/SER_hh_num!X7)</f>
        <v>56118.335956964598</v>
      </c>
      <c r="Y7" s="132">
        <f>IF(SER_hh_tes!Y7=0,0,11630*1000*SER_hh_tes!Y7/SER_hh_num!Y7)</f>
        <v>55379.989171630208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14613.746184422087</v>
      </c>
      <c r="C8" s="132">
        <f>IF(SER_hh_tes!C8=0,0,11630*1000*SER_hh_tes!C8/SER_hh_num!C8)</f>
        <v>16233.065860093271</v>
      </c>
      <c r="D8" s="132">
        <f>IF(SER_hh_tes!D8=0,0,11630*1000*SER_hh_tes!D8/SER_hh_num!D8)</f>
        <v>20130.255571024547</v>
      </c>
      <c r="E8" s="132">
        <f>IF(SER_hh_tes!E8=0,0,11630*1000*SER_hh_tes!E8/SER_hh_num!E8)</f>
        <v>24182.436954626733</v>
      </c>
      <c r="F8" s="132">
        <f>IF(SER_hh_tes!F8=0,0,11630*1000*SER_hh_tes!F8/SER_hh_num!F8)</f>
        <v>26915.94646894823</v>
      </c>
      <c r="G8" s="132">
        <f>IF(SER_hh_tes!G8=0,0,11630*1000*SER_hh_tes!G8/SER_hh_num!G8)</f>
        <v>28493.080330583449</v>
      </c>
      <c r="H8" s="132">
        <f>IF(SER_hh_tes!H8=0,0,11630*1000*SER_hh_tes!H8/SER_hh_num!H8)</f>
        <v>32789.052453883851</v>
      </c>
      <c r="I8" s="132">
        <f>IF(SER_hh_tes!I8=0,0,11630*1000*SER_hh_tes!I8/SER_hh_num!I8)</f>
        <v>35090.008065162561</v>
      </c>
      <c r="J8" s="132">
        <f>IF(SER_hh_tes!J8=0,0,11630*1000*SER_hh_tes!J8/SER_hh_num!J8)</f>
        <v>38070.423714519507</v>
      </c>
      <c r="K8" s="132">
        <f>IF(SER_hh_tes!K8=0,0,11630*1000*SER_hh_tes!K8/SER_hh_num!K8)</f>
        <v>36801.137653193</v>
      </c>
      <c r="L8" s="132">
        <f>IF(SER_hh_tes!L8=0,0,11630*1000*SER_hh_tes!L8/SER_hh_num!L8)</f>
        <v>38032.393323140961</v>
      </c>
      <c r="M8" s="132">
        <f>IF(SER_hh_tes!M8=0,0,11630*1000*SER_hh_tes!M8/SER_hh_num!M8)</f>
        <v>41127.298180385784</v>
      </c>
      <c r="N8" s="132">
        <f>IF(SER_hh_tes!N8=0,0,11630*1000*SER_hh_tes!N8/SER_hh_num!N8)</f>
        <v>42397.586216592383</v>
      </c>
      <c r="O8" s="132">
        <f>IF(SER_hh_tes!O8=0,0,11630*1000*SER_hh_tes!O8/SER_hh_num!O8)</f>
        <v>45660.021832624108</v>
      </c>
      <c r="P8" s="132">
        <f>IF(SER_hh_tes!P8=0,0,11630*1000*SER_hh_tes!P8/SER_hh_num!P8)</f>
        <v>50473.252513544277</v>
      </c>
      <c r="Q8" s="132">
        <f>IF(SER_hh_tes!Q8=0,0,11630*1000*SER_hh_tes!Q8/SER_hh_num!Q8)</f>
        <v>53023.04400422964</v>
      </c>
      <c r="R8" s="132">
        <f>IF(SER_hh_tes!R8=0,0,11630*1000*SER_hh_tes!R8/SER_hh_num!R8)</f>
        <v>50873.550641470305</v>
      </c>
      <c r="S8" s="132">
        <f>IF(SER_hh_tes!S8=0,0,11630*1000*SER_hh_tes!S8/SER_hh_num!S8)</f>
        <v>49911.014944872004</v>
      </c>
      <c r="T8" s="132">
        <f>IF(SER_hh_tes!T8=0,0,11630*1000*SER_hh_tes!T8/SER_hh_num!T8)</f>
        <v>50872.239962025073</v>
      </c>
      <c r="U8" s="132">
        <f>IF(SER_hh_tes!U8=0,0,11630*1000*SER_hh_tes!U8/SER_hh_num!U8)</f>
        <v>52112.682887112227</v>
      </c>
      <c r="V8" s="132">
        <f>IF(SER_hh_tes!V8=0,0,11630*1000*SER_hh_tes!V8/SER_hh_num!V8)</f>
        <v>50343.444980116561</v>
      </c>
      <c r="W8" s="132">
        <f>IF(SER_hh_tes!W8=0,0,11630*1000*SER_hh_tes!W8/SER_hh_num!W8)</f>
        <v>54322.68731460959</v>
      </c>
      <c r="X8" s="132">
        <f>IF(SER_hh_tes!X8=0,0,11630*1000*SER_hh_tes!X8/SER_hh_num!X8)</f>
        <v>59029.242624880899</v>
      </c>
      <c r="Y8" s="132">
        <f>IF(SER_hh_tes!Y8=0,0,11630*1000*SER_hh_tes!Y8/SER_hh_num!Y8)</f>
        <v>62089.978995877682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14199.370677453928</v>
      </c>
      <c r="C9" s="132">
        <f>IF(SER_hh_tes!C9=0,0,11630*1000*SER_hh_tes!C9/SER_hh_num!C9)</f>
        <v>16144.396703347855</v>
      </c>
      <c r="D9" s="132">
        <f>IF(SER_hh_tes!D9=0,0,11630*1000*SER_hh_tes!D9/SER_hh_num!D9)</f>
        <v>20493.057837606015</v>
      </c>
      <c r="E9" s="132">
        <f>IF(SER_hh_tes!E9=0,0,11630*1000*SER_hh_tes!E9/SER_hh_num!E9)</f>
        <v>22290.86789801946</v>
      </c>
      <c r="F9" s="132">
        <f>IF(SER_hh_tes!F9=0,0,11630*1000*SER_hh_tes!F9/SER_hh_num!F9)</f>
        <v>28551.748728038332</v>
      </c>
      <c r="G9" s="132">
        <f>IF(SER_hh_tes!G9=0,0,11630*1000*SER_hh_tes!G9/SER_hh_num!G9)</f>
        <v>28781.76174949899</v>
      </c>
      <c r="H9" s="132">
        <f>IF(SER_hh_tes!H9=0,0,11630*1000*SER_hh_tes!H9/SER_hh_num!H9)</f>
        <v>33795.499818592019</v>
      </c>
      <c r="I9" s="132">
        <f>IF(SER_hh_tes!I9=0,0,11630*1000*SER_hh_tes!I9/SER_hh_num!I9)</f>
        <v>35918.557430684188</v>
      </c>
      <c r="J9" s="132">
        <f>IF(SER_hh_tes!J9=0,0,11630*1000*SER_hh_tes!J9/SER_hh_num!J9)</f>
        <v>36927.80891340068</v>
      </c>
      <c r="K9" s="132">
        <f>IF(SER_hh_tes!K9=0,0,11630*1000*SER_hh_tes!K9/SER_hh_num!K9)</f>
        <v>40533.022948371901</v>
      </c>
      <c r="L9" s="132">
        <f>IF(SER_hh_tes!L9=0,0,11630*1000*SER_hh_tes!L9/SER_hh_num!L9)</f>
        <v>36149.594936531823</v>
      </c>
      <c r="M9" s="132">
        <f>IF(SER_hh_tes!M9=0,0,11630*1000*SER_hh_tes!M9/SER_hh_num!M9)</f>
        <v>41319.777590895035</v>
      </c>
      <c r="N9" s="132">
        <f>IF(SER_hh_tes!N9=0,0,11630*1000*SER_hh_tes!N9/SER_hh_num!N9)</f>
        <v>43181.802091286532</v>
      </c>
      <c r="O9" s="132">
        <f>IF(SER_hh_tes!O9=0,0,11630*1000*SER_hh_tes!O9/SER_hh_num!O9)</f>
        <v>43149.631806711121</v>
      </c>
      <c r="P9" s="132">
        <f>IF(SER_hh_tes!P9=0,0,11630*1000*SER_hh_tes!P9/SER_hh_num!P9)</f>
        <v>45241.563320919158</v>
      </c>
      <c r="Q9" s="132">
        <f>IF(SER_hh_tes!Q9=0,0,11630*1000*SER_hh_tes!Q9/SER_hh_num!Q9)</f>
        <v>48622.429129674638</v>
      </c>
      <c r="R9" s="132">
        <f>IF(SER_hh_tes!R9=0,0,11630*1000*SER_hh_tes!R9/SER_hh_num!R9)</f>
        <v>51203.148421247301</v>
      </c>
      <c r="S9" s="132">
        <f>IF(SER_hh_tes!S9=0,0,11630*1000*SER_hh_tes!S9/SER_hh_num!S9)</f>
        <v>51019.269273426224</v>
      </c>
      <c r="T9" s="132">
        <f>IF(SER_hh_tes!T9=0,0,11630*1000*SER_hh_tes!T9/SER_hh_num!T9)</f>
        <v>55389.236236484336</v>
      </c>
      <c r="U9" s="132">
        <f>IF(SER_hh_tes!U9=0,0,11630*1000*SER_hh_tes!U9/SER_hh_num!U9)</f>
        <v>52565.735360816303</v>
      </c>
      <c r="V9" s="132">
        <f>IF(SER_hh_tes!V9=0,0,11630*1000*SER_hh_tes!V9/SER_hh_num!V9)</f>
        <v>40387.746784535389</v>
      </c>
      <c r="W9" s="132">
        <f>IF(SER_hh_tes!W9=0,0,11630*1000*SER_hh_tes!W9/SER_hh_num!W9)</f>
        <v>58324.066118216491</v>
      </c>
      <c r="X9" s="132">
        <f>IF(SER_hh_tes!X9=0,0,11630*1000*SER_hh_tes!X9/SER_hh_num!X9)</f>
        <v>56869.15074643289</v>
      </c>
      <c r="Y9" s="132">
        <f>IF(SER_hh_tes!Y9=0,0,11630*1000*SER_hh_tes!Y9/SER_hh_num!Y9)</f>
        <v>60146.939811202385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0</v>
      </c>
      <c r="C10" s="132">
        <f>IF(SER_hh_tes!C10=0,0,11630*1000*SER_hh_tes!C10/SER_hh_num!C10)</f>
        <v>0</v>
      </c>
      <c r="D10" s="132">
        <f>IF(SER_hh_tes!D10=0,0,11630*1000*SER_hh_tes!D10/SER_hh_num!D10)</f>
        <v>0</v>
      </c>
      <c r="E10" s="132">
        <f>IF(SER_hh_tes!E10=0,0,11630*1000*SER_hh_tes!E10/SER_hh_num!E10)</f>
        <v>0</v>
      </c>
      <c r="F10" s="132">
        <f>IF(SER_hh_tes!F10=0,0,11630*1000*SER_hh_tes!F10/SER_hh_num!F10)</f>
        <v>0</v>
      </c>
      <c r="G10" s="132">
        <f>IF(SER_hh_tes!G10=0,0,11630*1000*SER_hh_tes!G10/SER_hh_num!G10)</f>
        <v>0</v>
      </c>
      <c r="H10" s="132">
        <f>IF(SER_hh_tes!H10=0,0,11630*1000*SER_hh_tes!H10/SER_hh_num!H10)</f>
        <v>0</v>
      </c>
      <c r="I10" s="132">
        <f>IF(SER_hh_tes!I10=0,0,11630*1000*SER_hh_tes!I10/SER_hh_num!I10)</f>
        <v>0</v>
      </c>
      <c r="J10" s="132">
        <f>IF(SER_hh_tes!J10=0,0,11630*1000*SER_hh_tes!J10/SER_hh_num!J10)</f>
        <v>0</v>
      </c>
      <c r="K10" s="132">
        <f>IF(SER_hh_tes!K10=0,0,11630*1000*SER_hh_tes!K10/SER_hh_num!K10)</f>
        <v>0</v>
      </c>
      <c r="L10" s="132">
        <f>IF(SER_hh_tes!L10=0,0,11630*1000*SER_hh_tes!L10/SER_hh_num!L10)</f>
        <v>0</v>
      </c>
      <c r="M10" s="132">
        <f>IF(SER_hh_tes!M10=0,0,11630*1000*SER_hh_tes!M10/SER_hh_num!M10)</f>
        <v>58812.438588401797</v>
      </c>
      <c r="N10" s="132">
        <f>IF(SER_hh_tes!N10=0,0,11630*1000*SER_hh_tes!N10/SER_hh_num!N10)</f>
        <v>52782.855928157573</v>
      </c>
      <c r="O10" s="132">
        <f>IF(SER_hh_tes!O10=0,0,11630*1000*SER_hh_tes!O10/SER_hh_num!O10)</f>
        <v>38810.300320587703</v>
      </c>
      <c r="P10" s="132">
        <f>IF(SER_hh_tes!P10=0,0,11630*1000*SER_hh_tes!P10/SER_hh_num!P10)</f>
        <v>48787.408067536911</v>
      </c>
      <c r="Q10" s="132">
        <f>IF(SER_hh_tes!Q10=0,0,11630*1000*SER_hh_tes!Q10/SER_hh_num!Q10)</f>
        <v>49176.925524919541</v>
      </c>
      <c r="R10" s="132">
        <f>IF(SER_hh_tes!R10=0,0,11630*1000*SER_hh_tes!R10/SER_hh_num!R10)</f>
        <v>45713.981268134936</v>
      </c>
      <c r="S10" s="132">
        <f>IF(SER_hh_tes!S10=0,0,11630*1000*SER_hh_tes!S10/SER_hh_num!S10)</f>
        <v>58541.456023322244</v>
      </c>
      <c r="T10" s="132">
        <f>IF(SER_hh_tes!T10=0,0,11630*1000*SER_hh_tes!T10/SER_hh_num!T10)</f>
        <v>54784.956345994877</v>
      </c>
      <c r="U10" s="132">
        <f>IF(SER_hh_tes!U10=0,0,11630*1000*SER_hh_tes!U10/SER_hh_num!U10)</f>
        <v>51355.221131933547</v>
      </c>
      <c r="V10" s="132">
        <f>IF(SER_hh_tes!V10=0,0,11630*1000*SER_hh_tes!V10/SER_hh_num!V10)</f>
        <v>39023.98816620389</v>
      </c>
      <c r="W10" s="132">
        <f>IF(SER_hh_tes!W10=0,0,11630*1000*SER_hh_tes!W10/SER_hh_num!W10)</f>
        <v>48889.743621098707</v>
      </c>
      <c r="X10" s="132">
        <f>IF(SER_hh_tes!X10=0,0,11630*1000*SER_hh_tes!X10/SER_hh_num!X10)</f>
        <v>74928.81921097236</v>
      </c>
      <c r="Y10" s="132">
        <f>IF(SER_hh_tes!Y10=0,0,11630*1000*SER_hh_tes!Y10/SER_hh_num!Y10)</f>
        <v>55688.534711702778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15739.590435439331</v>
      </c>
      <c r="C11" s="132">
        <f>IF(SER_hh_tes!C11=0,0,11630*1000*SER_hh_tes!C11/SER_hh_num!C11)</f>
        <v>16900.533452311756</v>
      </c>
      <c r="D11" s="132">
        <f>IF(SER_hh_tes!D11=0,0,11630*1000*SER_hh_tes!D11/SER_hh_num!D11)</f>
        <v>19085.221727021682</v>
      </c>
      <c r="E11" s="132">
        <f>IF(SER_hh_tes!E11=0,0,11630*1000*SER_hh_tes!E11/SER_hh_num!E11)</f>
        <v>22218.450689930592</v>
      </c>
      <c r="F11" s="132">
        <f>IF(SER_hh_tes!F11=0,0,11630*1000*SER_hh_tes!F11/SER_hh_num!F11)</f>
        <v>26371.496745668956</v>
      </c>
      <c r="G11" s="132">
        <f>IF(SER_hh_tes!G11=0,0,11630*1000*SER_hh_tes!G11/SER_hh_num!G11)</f>
        <v>30800.411135214377</v>
      </c>
      <c r="H11" s="132">
        <f>IF(SER_hh_tes!H11=0,0,11630*1000*SER_hh_tes!H11/SER_hh_num!H11)</f>
        <v>33975.626618264054</v>
      </c>
      <c r="I11" s="132">
        <f>IF(SER_hh_tes!I11=0,0,11630*1000*SER_hh_tes!I11/SER_hh_num!I11)</f>
        <v>36058.296808321385</v>
      </c>
      <c r="J11" s="132">
        <f>IF(SER_hh_tes!J11=0,0,11630*1000*SER_hh_tes!J11/SER_hh_num!J11)</f>
        <v>37035.915843380033</v>
      </c>
      <c r="K11" s="132">
        <f>IF(SER_hh_tes!K11=0,0,11630*1000*SER_hh_tes!K11/SER_hh_num!K11)</f>
        <v>36326.883569521</v>
      </c>
      <c r="L11" s="132">
        <f>IF(SER_hh_tes!L11=0,0,11630*1000*SER_hh_tes!L11/SER_hh_num!L11)</f>
        <v>33442.704571643822</v>
      </c>
      <c r="M11" s="132">
        <f>IF(SER_hh_tes!M11=0,0,11630*1000*SER_hh_tes!M11/SER_hh_num!M11)</f>
        <v>46164.45232362207</v>
      </c>
      <c r="N11" s="132">
        <f>IF(SER_hh_tes!N11=0,0,11630*1000*SER_hh_tes!N11/SER_hh_num!N11)</f>
        <v>46742.937049043561</v>
      </c>
      <c r="O11" s="132">
        <f>IF(SER_hh_tes!O11=0,0,11630*1000*SER_hh_tes!O11/SER_hh_num!O11)</f>
        <v>40696.917517256879</v>
      </c>
      <c r="P11" s="132">
        <f>IF(SER_hh_tes!P11=0,0,11630*1000*SER_hh_tes!P11/SER_hh_num!P11)</f>
        <v>46644.313368153555</v>
      </c>
      <c r="Q11" s="132">
        <f>IF(SER_hh_tes!Q11=0,0,11630*1000*SER_hh_tes!Q11/SER_hh_num!Q11)</f>
        <v>53948.25676504767</v>
      </c>
      <c r="R11" s="132">
        <f>IF(SER_hh_tes!R11=0,0,11630*1000*SER_hh_tes!R11/SER_hh_num!R11)</f>
        <v>46724.50037283884</v>
      </c>
      <c r="S11" s="132">
        <f>IF(SER_hh_tes!S11=0,0,11630*1000*SER_hh_tes!S11/SER_hh_num!S11)</f>
        <v>50439.808794048819</v>
      </c>
      <c r="T11" s="132">
        <f>IF(SER_hh_tes!T11=0,0,11630*1000*SER_hh_tes!T11/SER_hh_num!T11)</f>
        <v>56109.044058205283</v>
      </c>
      <c r="U11" s="132">
        <f>IF(SER_hh_tes!U11=0,0,11630*1000*SER_hh_tes!U11/SER_hh_num!U11)</f>
        <v>57119.552894920984</v>
      </c>
      <c r="V11" s="132">
        <f>IF(SER_hh_tes!V11=0,0,11630*1000*SER_hh_tes!V11/SER_hh_num!V11)</f>
        <v>46441.348900795019</v>
      </c>
      <c r="W11" s="132">
        <f>IF(SER_hh_tes!W11=0,0,11630*1000*SER_hh_tes!W11/SER_hh_num!W11)</f>
        <v>48889.180930606562</v>
      </c>
      <c r="X11" s="132">
        <f>IF(SER_hh_tes!X11=0,0,11630*1000*SER_hh_tes!X11/SER_hh_num!X11)</f>
        <v>61455.947778967398</v>
      </c>
      <c r="Y11" s="132">
        <f>IF(SER_hh_tes!Y11=0,0,11630*1000*SER_hh_tes!Y11/SER_hh_num!Y11)</f>
        <v>62191.444991798511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12950.042155647943</v>
      </c>
      <c r="C12" s="132">
        <f>IF(SER_hh_tes!C12=0,0,11630*1000*SER_hh_tes!C12/SER_hh_num!C12)</f>
        <v>16325.777780505088</v>
      </c>
      <c r="D12" s="132">
        <f>IF(SER_hh_tes!D12=0,0,11630*1000*SER_hh_tes!D12/SER_hh_num!D12)</f>
        <v>22116.406270622767</v>
      </c>
      <c r="E12" s="132">
        <f>IF(SER_hh_tes!E12=0,0,11630*1000*SER_hh_tes!E12/SER_hh_num!E12)</f>
        <v>22399.470004618768</v>
      </c>
      <c r="F12" s="132">
        <f>IF(SER_hh_tes!F12=0,0,11630*1000*SER_hh_tes!F12/SER_hh_num!F12)</f>
        <v>30349.651922710142</v>
      </c>
      <c r="G12" s="132">
        <f>IF(SER_hh_tes!G12=0,0,11630*1000*SER_hh_tes!G12/SER_hh_num!G12)</f>
        <v>28855.948250912032</v>
      </c>
      <c r="H12" s="132">
        <f>IF(SER_hh_tes!H12=0,0,11630*1000*SER_hh_tes!H12/SER_hh_num!H12)</f>
        <v>34089.775181652971</v>
      </c>
      <c r="I12" s="132">
        <f>IF(SER_hh_tes!I12=0,0,11630*1000*SER_hh_tes!I12/SER_hh_num!I12)</f>
        <v>37765.721793741235</v>
      </c>
      <c r="J12" s="132">
        <f>IF(SER_hh_tes!J12=0,0,11630*1000*SER_hh_tes!J12/SER_hh_num!J12)</f>
        <v>35103.086650897676</v>
      </c>
      <c r="K12" s="132">
        <f>IF(SER_hh_tes!K12=0,0,11630*1000*SER_hh_tes!K12/SER_hh_num!K12)</f>
        <v>31778.555019054667</v>
      </c>
      <c r="L12" s="132">
        <f>IF(SER_hh_tes!L12=0,0,11630*1000*SER_hh_tes!L12/SER_hh_num!L12)</f>
        <v>42025.429537961718</v>
      </c>
      <c r="M12" s="132">
        <f>IF(SER_hh_tes!M12=0,0,11630*1000*SER_hh_tes!M12/SER_hh_num!M12)</f>
        <v>36078.796801562457</v>
      </c>
      <c r="N12" s="132">
        <f>IF(SER_hh_tes!N12=0,0,11630*1000*SER_hh_tes!N12/SER_hh_num!N12)</f>
        <v>47025.822536614978</v>
      </c>
      <c r="O12" s="132">
        <f>IF(SER_hh_tes!O12=0,0,11630*1000*SER_hh_tes!O12/SER_hh_num!O12)</f>
        <v>47081.018163521549</v>
      </c>
      <c r="P12" s="132">
        <f>IF(SER_hh_tes!P12=0,0,11630*1000*SER_hh_tes!P12/SER_hh_num!P12)</f>
        <v>50074.773482706652</v>
      </c>
      <c r="Q12" s="132">
        <f>IF(SER_hh_tes!Q12=0,0,11630*1000*SER_hh_tes!Q12/SER_hh_num!Q12)</f>
        <v>49286.436101875559</v>
      </c>
      <c r="R12" s="132">
        <f>IF(SER_hh_tes!R12=0,0,11630*1000*SER_hh_tes!R12/SER_hh_num!R12)</f>
        <v>47242.540041095526</v>
      </c>
      <c r="S12" s="132">
        <f>IF(SER_hh_tes!S12=0,0,11630*1000*SER_hh_tes!S12/SER_hh_num!S12)</f>
        <v>52458.437326108935</v>
      </c>
      <c r="T12" s="132">
        <f>IF(SER_hh_tes!T12=0,0,11630*1000*SER_hh_tes!T12/SER_hh_num!T12)</f>
        <v>52743.265441248674</v>
      </c>
      <c r="U12" s="132">
        <f>IF(SER_hh_tes!U12=0,0,11630*1000*SER_hh_tes!U12/SER_hh_num!U12)</f>
        <v>52379.737506904559</v>
      </c>
      <c r="V12" s="132">
        <f>IF(SER_hh_tes!V12=0,0,11630*1000*SER_hh_tes!V12/SER_hh_num!V12)</f>
        <v>52070.639514553775</v>
      </c>
      <c r="W12" s="132">
        <f>IF(SER_hh_tes!W12=0,0,11630*1000*SER_hh_tes!W12/SER_hh_num!W12)</f>
        <v>59239.739901805435</v>
      </c>
      <c r="X12" s="132">
        <f>IF(SER_hh_tes!X12=0,0,11630*1000*SER_hh_tes!X12/SER_hh_num!X12)</f>
        <v>61072.558399266221</v>
      </c>
      <c r="Y12" s="132">
        <f>IF(SER_hh_tes!Y12=0,0,11630*1000*SER_hh_tes!Y12/SER_hh_num!Y12)</f>
        <v>50241.189039365578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14210.278681729509</v>
      </c>
      <c r="C13" s="132">
        <f>IF(SER_hh_tes!C13=0,0,11630*1000*SER_hh_tes!C13/SER_hh_num!C13)</f>
        <v>16483.28071003524</v>
      </c>
      <c r="D13" s="132">
        <f>IF(SER_hh_tes!D13=0,0,11630*1000*SER_hh_tes!D13/SER_hh_num!D13)</f>
        <v>15050.380190400096</v>
      </c>
      <c r="E13" s="132">
        <f>IF(SER_hh_tes!E13=0,0,11630*1000*SER_hh_tes!E13/SER_hh_num!E13)</f>
        <v>25929.646334567969</v>
      </c>
      <c r="F13" s="132">
        <f>IF(SER_hh_tes!F13=0,0,11630*1000*SER_hh_tes!F13/SER_hh_num!F13)</f>
        <v>24499.185927791317</v>
      </c>
      <c r="G13" s="132">
        <f>IF(SER_hh_tes!G13=0,0,11630*1000*SER_hh_tes!G13/SER_hh_num!G13)</f>
        <v>31468.677979246666</v>
      </c>
      <c r="H13" s="132">
        <f>IF(SER_hh_tes!H13=0,0,11630*1000*SER_hh_tes!H13/SER_hh_num!H13)</f>
        <v>34448.900388176306</v>
      </c>
      <c r="I13" s="132">
        <f>IF(SER_hh_tes!I13=0,0,11630*1000*SER_hh_tes!I13/SER_hh_num!I13)</f>
        <v>35716.953885904346</v>
      </c>
      <c r="J13" s="132">
        <f>IF(SER_hh_tes!J13=0,0,11630*1000*SER_hh_tes!J13/SER_hh_num!J13)</f>
        <v>38881.044186580744</v>
      </c>
      <c r="K13" s="132">
        <f>IF(SER_hh_tes!K13=0,0,11630*1000*SER_hh_tes!K13/SER_hh_num!K13)</f>
        <v>37193.174775116364</v>
      </c>
      <c r="L13" s="132">
        <f>IF(SER_hh_tes!L13=0,0,11630*1000*SER_hh_tes!L13/SER_hh_num!L13)</f>
        <v>39295.159405190301</v>
      </c>
      <c r="M13" s="132">
        <f>IF(SER_hh_tes!M13=0,0,11630*1000*SER_hh_tes!M13/SER_hh_num!M13)</f>
        <v>39713.767418288488</v>
      </c>
      <c r="N13" s="132">
        <f>IF(SER_hh_tes!N13=0,0,11630*1000*SER_hh_tes!N13/SER_hh_num!N13)</f>
        <v>43398.141060663096</v>
      </c>
      <c r="O13" s="132">
        <f>IF(SER_hh_tes!O13=0,0,11630*1000*SER_hh_tes!O13/SER_hh_num!O13)</f>
        <v>45166.072071582843</v>
      </c>
      <c r="P13" s="132">
        <f>IF(SER_hh_tes!P13=0,0,11630*1000*SER_hh_tes!P13/SER_hh_num!P13)</f>
        <v>51728.860887670016</v>
      </c>
      <c r="Q13" s="132">
        <f>IF(SER_hh_tes!Q13=0,0,11630*1000*SER_hh_tes!Q13/SER_hh_num!Q13)</f>
        <v>51294.864004146468</v>
      </c>
      <c r="R13" s="132">
        <f>IF(SER_hh_tes!R13=0,0,11630*1000*SER_hh_tes!R13/SER_hh_num!R13)</f>
        <v>50033.730847259285</v>
      </c>
      <c r="S13" s="132">
        <f>IF(SER_hh_tes!S13=0,0,11630*1000*SER_hh_tes!S13/SER_hh_num!S13)</f>
        <v>50673.865300345205</v>
      </c>
      <c r="T13" s="132">
        <f>IF(SER_hh_tes!T13=0,0,11630*1000*SER_hh_tes!T13/SER_hh_num!T13)</f>
        <v>51935.745338555513</v>
      </c>
      <c r="U13" s="132">
        <f>IF(SER_hh_tes!U13=0,0,11630*1000*SER_hh_tes!U13/SER_hh_num!U13)</f>
        <v>52652.170623061364</v>
      </c>
      <c r="V13" s="132">
        <f>IF(SER_hh_tes!V13=0,0,11630*1000*SER_hh_tes!V13/SER_hh_num!V13)</f>
        <v>52383.104270272663</v>
      </c>
      <c r="W13" s="132">
        <f>IF(SER_hh_tes!W13=0,0,11630*1000*SER_hh_tes!W13/SER_hh_num!W13)</f>
        <v>53597.293470628843</v>
      </c>
      <c r="X13" s="132">
        <f>IF(SER_hh_tes!X13=0,0,11630*1000*SER_hh_tes!X13/SER_hh_num!X13)</f>
        <v>59847.468605967639</v>
      </c>
      <c r="Y13" s="132">
        <f>IF(SER_hh_tes!Y13=0,0,11630*1000*SER_hh_tes!Y13/SER_hh_num!Y13)</f>
        <v>61305.162849726017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15719.201286140336</v>
      </c>
      <c r="C14" s="65">
        <f>IF(SER_hh_tes!C14=0,0,11630*1000*SER_hh_tes!C14/SER_hh_num!C14)</f>
        <v>16842.395903853267</v>
      </c>
      <c r="D14" s="65">
        <f>IF(SER_hh_tes!D14=0,0,11630*1000*SER_hh_tes!D14/SER_hh_num!D14)</f>
        <v>18847.704536450226</v>
      </c>
      <c r="E14" s="65">
        <f>IF(SER_hh_tes!E14=0,0,11630*1000*SER_hh_tes!E14/SER_hh_num!E14)</f>
        <v>20950.314493402293</v>
      </c>
      <c r="F14" s="65">
        <f>IF(SER_hh_tes!F14=0,0,11630*1000*SER_hh_tes!F14/SER_hh_num!F14)</f>
        <v>27804.283874272627</v>
      </c>
      <c r="G14" s="65">
        <f>IF(SER_hh_tes!G14=0,0,11630*1000*SER_hh_tes!G14/SER_hh_num!G14)</f>
        <v>33752.644218205118</v>
      </c>
      <c r="H14" s="65">
        <f>IF(SER_hh_tes!H14=0,0,11630*1000*SER_hh_tes!H14/SER_hh_num!H14)</f>
        <v>33988.737243260468</v>
      </c>
      <c r="I14" s="65">
        <f>IF(SER_hh_tes!I14=0,0,11630*1000*SER_hh_tes!I14/SER_hh_num!I14)</f>
        <v>39624.363177783423</v>
      </c>
      <c r="J14" s="65">
        <f>IF(SER_hh_tes!J14=0,0,11630*1000*SER_hh_tes!J14/SER_hh_num!J14)</f>
        <v>38963.763425131663</v>
      </c>
      <c r="K14" s="65">
        <f>IF(SER_hh_tes!K14=0,0,11630*1000*SER_hh_tes!K14/SER_hh_num!K14)</f>
        <v>41420.602261210981</v>
      </c>
      <c r="L14" s="65">
        <f>IF(SER_hh_tes!L14=0,0,11630*1000*SER_hh_tes!L14/SER_hh_num!L14)</f>
        <v>31795.354876399993</v>
      </c>
      <c r="M14" s="65">
        <f>IF(SER_hh_tes!M14=0,0,11630*1000*SER_hh_tes!M14/SER_hh_num!M14)</f>
        <v>43221.720057735954</v>
      </c>
      <c r="N14" s="65">
        <f>IF(SER_hh_tes!N14=0,0,11630*1000*SER_hh_tes!N14/SER_hh_num!N14)</f>
        <v>42783.334679075713</v>
      </c>
      <c r="O14" s="65">
        <f>IF(SER_hh_tes!O14=0,0,11630*1000*SER_hh_tes!O14/SER_hh_num!O14)</f>
        <v>17543.226869957896</v>
      </c>
      <c r="P14" s="65">
        <f>IF(SER_hh_tes!P14=0,0,11630*1000*SER_hh_tes!P14/SER_hh_num!P14)</f>
        <v>61702.560634149333</v>
      </c>
      <c r="Q14" s="65">
        <f>IF(SER_hh_tes!Q14=0,0,11630*1000*SER_hh_tes!Q14/SER_hh_num!Q14)</f>
        <v>72365.61971240009</v>
      </c>
      <c r="R14" s="65">
        <f>IF(SER_hh_tes!R14=0,0,11630*1000*SER_hh_tes!R14/SER_hh_num!R14)</f>
        <v>33545.974200044569</v>
      </c>
      <c r="S14" s="65">
        <f>IF(SER_hh_tes!S14=0,0,11630*1000*SER_hh_tes!S14/SER_hh_num!S14)</f>
        <v>33935.793279979196</v>
      </c>
      <c r="T14" s="65">
        <f>IF(SER_hh_tes!T14=0,0,11630*1000*SER_hh_tes!T14/SER_hh_num!T14)</f>
        <v>65996.439715672706</v>
      </c>
      <c r="U14" s="65">
        <f>IF(SER_hh_tes!U14=0,0,11630*1000*SER_hh_tes!U14/SER_hh_num!U14)</f>
        <v>71881.767684753388</v>
      </c>
      <c r="V14" s="65">
        <f>IF(SER_hh_tes!V14=0,0,11630*1000*SER_hh_tes!V14/SER_hh_num!V14)</f>
        <v>40248.794665046691</v>
      </c>
      <c r="W14" s="65">
        <f>IF(SER_hh_tes!W14=0,0,11630*1000*SER_hh_tes!W14/SER_hh_num!W14)</f>
        <v>43318.883571099053</v>
      </c>
      <c r="X14" s="65">
        <f>IF(SER_hh_tes!X14=0,0,11630*1000*SER_hh_tes!X14/SER_hh_num!X14)</f>
        <v>59681.274929572428</v>
      </c>
      <c r="Y14" s="65">
        <f>IF(SER_hh_tes!Y14=0,0,11630*1000*SER_hh_tes!Y14/SER_hh_num!Y14)</f>
        <v>67470.864015285653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291.44368252776673</v>
      </c>
      <c r="C15" s="134">
        <f>IF(SER_hh_tes!C15=0,0,11630*1000*SER_hh_tes!C15/SER_hh_num!C15)</f>
        <v>325.33133782244107</v>
      </c>
      <c r="D15" s="134">
        <f>IF(SER_hh_tes!D15=0,0,11630*1000*SER_hh_tes!D15/SER_hh_num!D15)</f>
        <v>354.63350522676228</v>
      </c>
      <c r="E15" s="134">
        <f>IF(SER_hh_tes!E15=0,0,11630*1000*SER_hh_tes!E15/SER_hh_num!E15)</f>
        <v>389.0087309231327</v>
      </c>
      <c r="F15" s="134">
        <f>IF(SER_hh_tes!F15=0,0,11630*1000*SER_hh_tes!F15/SER_hh_num!F15)</f>
        <v>505.27165640210444</v>
      </c>
      <c r="G15" s="134">
        <f>IF(SER_hh_tes!G15=0,0,11630*1000*SER_hh_tes!G15/SER_hh_num!G15)</f>
        <v>581.2115681796638</v>
      </c>
      <c r="H15" s="134">
        <f>IF(SER_hh_tes!H15=0,0,11630*1000*SER_hh_tes!H15/SER_hh_num!H15)</f>
        <v>606.39627951049897</v>
      </c>
      <c r="I15" s="134">
        <f>IF(SER_hh_tes!I15=0,0,11630*1000*SER_hh_tes!I15/SER_hh_num!I15)</f>
        <v>624.15674862345452</v>
      </c>
      <c r="J15" s="134">
        <f>IF(SER_hh_tes!J15=0,0,11630*1000*SER_hh_tes!J15/SER_hh_num!J15)</f>
        <v>547.89575361862524</v>
      </c>
      <c r="K15" s="134">
        <f>IF(SER_hh_tes!K15=0,0,11630*1000*SER_hh_tes!K15/SER_hh_num!K15)</f>
        <v>721.77051104182442</v>
      </c>
      <c r="L15" s="134">
        <f>IF(SER_hh_tes!L15=0,0,11630*1000*SER_hh_tes!L15/SER_hh_num!L15)</f>
        <v>571.7633357986374</v>
      </c>
      <c r="M15" s="134">
        <f>IF(SER_hh_tes!M15=0,0,11630*1000*SER_hh_tes!M15/SER_hh_num!M15)</f>
        <v>580.81009468109369</v>
      </c>
      <c r="N15" s="134">
        <f>IF(SER_hh_tes!N15=0,0,11630*1000*SER_hh_tes!N15/SER_hh_num!N15)</f>
        <v>588.27013990822024</v>
      </c>
      <c r="O15" s="134">
        <f>IF(SER_hh_tes!O15=0,0,11630*1000*SER_hh_tes!O15/SER_hh_num!O15)</f>
        <v>612.46112441936214</v>
      </c>
      <c r="P15" s="134">
        <f>IF(SER_hh_tes!P15=0,0,11630*1000*SER_hh_tes!P15/SER_hh_num!P15)</f>
        <v>641.15768891639573</v>
      </c>
      <c r="Q15" s="134">
        <f>IF(SER_hh_tes!Q15=0,0,11630*1000*SER_hh_tes!Q15/SER_hh_num!Q15)</f>
        <v>724.41643807693674</v>
      </c>
      <c r="R15" s="134">
        <f>IF(SER_hh_tes!R15=0,0,11630*1000*SER_hh_tes!R15/SER_hh_num!R15)</f>
        <v>696.45219787880274</v>
      </c>
      <c r="S15" s="134">
        <f>IF(SER_hh_tes!S15=0,0,11630*1000*SER_hh_tes!S15/SER_hh_num!S15)</f>
        <v>700.23195149287244</v>
      </c>
      <c r="T15" s="134">
        <f>IF(SER_hh_tes!T15=0,0,11630*1000*SER_hh_tes!T15/SER_hh_num!T15)</f>
        <v>754.86724355146578</v>
      </c>
      <c r="U15" s="134">
        <f>IF(SER_hh_tes!U15=0,0,11630*1000*SER_hh_tes!U15/SER_hh_num!U15)</f>
        <v>729.87922820983329</v>
      </c>
      <c r="V15" s="134">
        <f>IF(SER_hh_tes!V15=0,0,11630*1000*SER_hh_tes!V15/SER_hh_num!V15)</f>
        <v>594.29287301267698</v>
      </c>
      <c r="W15" s="134">
        <f>IF(SER_hh_tes!W15=0,0,11630*1000*SER_hh_tes!W15/SER_hh_num!W15)</f>
        <v>782.85204985075347</v>
      </c>
      <c r="X15" s="134">
        <f>IF(SER_hh_tes!X15=0,0,11630*1000*SER_hh_tes!X15/SER_hh_num!X15)</f>
        <v>787.8757286348432</v>
      </c>
      <c r="Y15" s="134">
        <f>IF(SER_hh_tes!Y15=0,0,11630*1000*SER_hh_tes!Y15/SER_hh_num!Y15)</f>
        <v>817.17373640699725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23204.711081818121</v>
      </c>
      <c r="C16" s="130">
        <f>IF(SER_hh_tes!C16=0,0,11630*1000*SER_hh_tes!C16/SER_hh_num!C16)</f>
        <v>23069.085942562517</v>
      </c>
      <c r="D16" s="130">
        <f>IF(SER_hh_tes!D16=0,0,11630*1000*SER_hh_tes!D16/SER_hh_num!D16)</f>
        <v>20711.002478756956</v>
      </c>
      <c r="E16" s="130">
        <f>IF(SER_hh_tes!E16=0,0,11630*1000*SER_hh_tes!E16/SER_hh_num!E16)</f>
        <v>29556.344465979993</v>
      </c>
      <c r="F16" s="130">
        <f>IF(SER_hh_tes!F16=0,0,11630*1000*SER_hh_tes!F16/SER_hh_num!F16)</f>
        <v>24718.418097877817</v>
      </c>
      <c r="G16" s="130">
        <f>IF(SER_hh_tes!G16=0,0,11630*1000*SER_hh_tes!G16/SER_hh_num!G16)</f>
        <v>27339.867391907748</v>
      </c>
      <c r="H16" s="130">
        <f>IF(SER_hh_tes!H16=0,0,11630*1000*SER_hh_tes!H16/SER_hh_num!H16)</f>
        <v>33169.128309094733</v>
      </c>
      <c r="I16" s="130">
        <f>IF(SER_hh_tes!I16=0,0,11630*1000*SER_hh_tes!I16/SER_hh_num!I16)</f>
        <v>21637.664145614126</v>
      </c>
      <c r="J16" s="130">
        <f>IF(SER_hh_tes!J16=0,0,11630*1000*SER_hh_tes!J16/SER_hh_num!J16)</f>
        <v>21181.247708444793</v>
      </c>
      <c r="K16" s="130">
        <f>IF(SER_hh_tes!K16=0,0,11630*1000*SER_hh_tes!K16/SER_hh_num!K16)</f>
        <v>25932.679930345621</v>
      </c>
      <c r="L16" s="130">
        <f>IF(SER_hh_tes!L16=0,0,11630*1000*SER_hh_tes!L16/SER_hh_num!L16)</f>
        <v>35793.064608735585</v>
      </c>
      <c r="M16" s="130">
        <f>IF(SER_hh_tes!M16=0,0,11630*1000*SER_hh_tes!M16/SER_hh_num!M16)</f>
        <v>23649.658878227438</v>
      </c>
      <c r="N16" s="130">
        <f>IF(SER_hh_tes!N16=0,0,11630*1000*SER_hh_tes!N16/SER_hh_num!N16)</f>
        <v>24985.806658437785</v>
      </c>
      <c r="O16" s="130">
        <f>IF(SER_hh_tes!O16=0,0,11630*1000*SER_hh_tes!O16/SER_hh_num!O16)</f>
        <v>32510.911702821224</v>
      </c>
      <c r="P16" s="130">
        <f>IF(SER_hh_tes!P16=0,0,11630*1000*SER_hh_tes!P16/SER_hh_num!P16)</f>
        <v>21984.328619159602</v>
      </c>
      <c r="Q16" s="130">
        <f>IF(SER_hh_tes!Q16=0,0,11630*1000*SER_hh_tes!Q16/SER_hh_num!Q16)</f>
        <v>25921.154960227937</v>
      </c>
      <c r="R16" s="130">
        <f>IF(SER_hh_tes!R16=0,0,11630*1000*SER_hh_tes!R16/SER_hh_num!R16)</f>
        <v>38968.081045624356</v>
      </c>
      <c r="S16" s="130">
        <f>IF(SER_hh_tes!S16=0,0,11630*1000*SER_hh_tes!S16/SER_hh_num!S16)</f>
        <v>37201.299456319983</v>
      </c>
      <c r="T16" s="130">
        <f>IF(SER_hh_tes!T16=0,0,11630*1000*SER_hh_tes!T16/SER_hh_num!T16)</f>
        <v>32022.628554431209</v>
      </c>
      <c r="U16" s="130">
        <f>IF(SER_hh_tes!U16=0,0,11630*1000*SER_hh_tes!U16/SER_hh_num!U16)</f>
        <v>25277.996956539522</v>
      </c>
      <c r="V16" s="130">
        <f>IF(SER_hh_tes!V16=0,0,11630*1000*SER_hh_tes!V16/SER_hh_num!V16)</f>
        <v>36369.867662624602</v>
      </c>
      <c r="W16" s="130">
        <f>IF(SER_hh_tes!W16=0,0,11630*1000*SER_hh_tes!W16/SER_hh_num!W16)</f>
        <v>22653.839409711185</v>
      </c>
      <c r="X16" s="130">
        <f>IF(SER_hh_tes!X16=0,0,11630*1000*SER_hh_tes!X16/SER_hh_num!X16)</f>
        <v>41665.08564578525</v>
      </c>
      <c r="Y16" s="130">
        <f>IF(SER_hh_tes!Y16=0,0,11630*1000*SER_hh_tes!Y16/SER_hh_num!Y16)</f>
        <v>34140.667150143432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23204.711081818121</v>
      </c>
      <c r="C17" s="132">
        <f>IF(SER_hh_tes!C17=0,0,11630*1000*SER_hh_tes!C17/SER_hh_num!C17)</f>
        <v>23069.085942566173</v>
      </c>
      <c r="D17" s="132">
        <f>IF(SER_hh_tes!D17=0,0,11630*1000*SER_hh_tes!D17/SER_hh_num!D17)</f>
        <v>20711.002477168051</v>
      </c>
      <c r="E17" s="132">
        <f>IF(SER_hh_tes!E17=0,0,11630*1000*SER_hh_tes!E17/SER_hh_num!E17)</f>
        <v>29556.344463734633</v>
      </c>
      <c r="F17" s="132">
        <f>IF(SER_hh_tes!F17=0,0,11630*1000*SER_hh_tes!F17/SER_hh_num!F17)</f>
        <v>24718.418098197475</v>
      </c>
      <c r="G17" s="132">
        <f>IF(SER_hh_tes!G17=0,0,11630*1000*SER_hh_tes!G17/SER_hh_num!G17)</f>
        <v>27339.867395321191</v>
      </c>
      <c r="H17" s="132">
        <f>IF(SER_hh_tes!H17=0,0,11630*1000*SER_hh_tes!H17/SER_hh_num!H17)</f>
        <v>33169.128313836089</v>
      </c>
      <c r="I17" s="132">
        <f>IF(SER_hh_tes!I17=0,0,11630*1000*SER_hh_tes!I17/SER_hh_num!I17)</f>
        <v>21637.664146399897</v>
      </c>
      <c r="J17" s="132">
        <f>IF(SER_hh_tes!J17=0,0,11630*1000*SER_hh_tes!J17/SER_hh_num!J17)</f>
        <v>21181.247707469916</v>
      </c>
      <c r="K17" s="132">
        <f>IF(SER_hh_tes!K17=0,0,11630*1000*SER_hh_tes!K17/SER_hh_num!K17)</f>
        <v>25932.679928509348</v>
      </c>
      <c r="L17" s="132">
        <f>IF(SER_hh_tes!L17=0,0,11630*1000*SER_hh_tes!L17/SER_hh_num!L17)</f>
        <v>35793.064605506734</v>
      </c>
      <c r="M17" s="132">
        <f>IF(SER_hh_tes!M17=0,0,11630*1000*SER_hh_tes!M17/SER_hh_num!M17)</f>
        <v>23649.658876080757</v>
      </c>
      <c r="N17" s="132">
        <f>IF(SER_hh_tes!N17=0,0,11630*1000*SER_hh_tes!N17/SER_hh_num!N17)</f>
        <v>24985.806656273649</v>
      </c>
      <c r="O17" s="132">
        <f>IF(SER_hh_tes!O17=0,0,11630*1000*SER_hh_tes!O17/SER_hh_num!O17)</f>
        <v>32510.911704347833</v>
      </c>
      <c r="P17" s="132">
        <f>IF(SER_hh_tes!P17=0,0,11630*1000*SER_hh_tes!P17/SER_hh_num!P17)</f>
        <v>21984.328625676389</v>
      </c>
      <c r="Q17" s="132">
        <f>IF(SER_hh_tes!Q17=0,0,11630*1000*SER_hh_tes!Q17/SER_hh_num!Q17)</f>
        <v>25921.154971598207</v>
      </c>
      <c r="R17" s="132">
        <f>IF(SER_hh_tes!R17=0,0,11630*1000*SER_hh_tes!R17/SER_hh_num!R17)</f>
        <v>38968.081057765921</v>
      </c>
      <c r="S17" s="132">
        <f>IF(SER_hh_tes!S17=0,0,11630*1000*SER_hh_tes!S17/SER_hh_num!S17)</f>
        <v>37201.299456648274</v>
      </c>
      <c r="T17" s="132">
        <f>IF(SER_hh_tes!T17=0,0,11630*1000*SER_hh_tes!T17/SER_hh_num!T17)</f>
        <v>31745.251985809413</v>
      </c>
      <c r="U17" s="132">
        <f>IF(SER_hh_tes!U17=0,0,11630*1000*SER_hh_tes!U17/SER_hh_num!U17)</f>
        <v>25277.99695084909</v>
      </c>
      <c r="V17" s="132">
        <f>IF(SER_hh_tes!V17=0,0,11630*1000*SER_hh_tes!V17/SER_hh_num!V17)</f>
        <v>34970.927274260634</v>
      </c>
      <c r="W17" s="132">
        <f>IF(SER_hh_tes!W17=0,0,11630*1000*SER_hh_tes!W17/SER_hh_num!W17)</f>
        <v>22916.598569719183</v>
      </c>
      <c r="X17" s="132">
        <f>IF(SER_hh_tes!X17=0,0,11630*1000*SER_hh_tes!X17/SER_hh_num!X17)</f>
        <v>42086.549271755495</v>
      </c>
      <c r="Y17" s="132">
        <f>IF(SER_hh_tes!Y17=0,0,11630*1000*SER_hh_tes!Y17/SER_hh_num!Y17)</f>
        <v>34424.981010396245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23204.711081818121</v>
      </c>
      <c r="C18" s="132">
        <f>IF(SER_hh_tes!C18=0,0,11630*1000*SER_hh_tes!C18/SER_hh_num!C18)</f>
        <v>23069.085942562506</v>
      </c>
      <c r="D18" s="132">
        <f>IF(SER_hh_tes!D18=0,0,11630*1000*SER_hh_tes!D18/SER_hh_num!D18)</f>
        <v>20711.002478760223</v>
      </c>
      <c r="E18" s="132">
        <f>IF(SER_hh_tes!E18=0,0,11630*1000*SER_hh_tes!E18/SER_hh_num!E18)</f>
        <v>29556.344465984235</v>
      </c>
      <c r="F18" s="132">
        <f>IF(SER_hh_tes!F18=0,0,11630*1000*SER_hh_tes!F18/SER_hh_num!F18)</f>
        <v>24718.418097877118</v>
      </c>
      <c r="G18" s="132">
        <f>IF(SER_hh_tes!G18=0,0,11630*1000*SER_hh_tes!G18/SER_hh_num!G18)</f>
        <v>27339.867391900127</v>
      </c>
      <c r="H18" s="132">
        <f>IF(SER_hh_tes!H18=0,0,11630*1000*SER_hh_tes!H18/SER_hh_num!H18)</f>
        <v>33169.128309083593</v>
      </c>
      <c r="I18" s="132">
        <f>IF(SER_hh_tes!I18=0,0,11630*1000*SER_hh_tes!I18/SER_hh_num!I18)</f>
        <v>21637.66414561178</v>
      </c>
      <c r="J18" s="132">
        <f>IF(SER_hh_tes!J18=0,0,11630*1000*SER_hh_tes!J18/SER_hh_num!J18)</f>
        <v>21181.247708448136</v>
      </c>
      <c r="K18" s="132">
        <f>IF(SER_hh_tes!K18=0,0,11630*1000*SER_hh_tes!K18/SER_hh_num!K18)</f>
        <v>25932.679930353217</v>
      </c>
      <c r="L18" s="132">
        <f>IF(SER_hh_tes!L18=0,0,11630*1000*SER_hh_tes!L18/SER_hh_num!L18)</f>
        <v>35793.064608749235</v>
      </c>
      <c r="M18" s="132">
        <f>IF(SER_hh_tes!M18=0,0,11630*1000*SER_hh_tes!M18/SER_hh_num!M18)</f>
        <v>23649.658878237897</v>
      </c>
      <c r="N18" s="132">
        <f>IF(SER_hh_tes!N18=0,0,11630*1000*SER_hh_tes!N18/SER_hh_num!N18)</f>
        <v>24985.806658448935</v>
      </c>
      <c r="O18" s="132">
        <f>IF(SER_hh_tes!O18=0,0,11630*1000*SER_hh_tes!O18/SER_hh_num!O18)</f>
        <v>32510.911702812304</v>
      </c>
      <c r="P18" s="132">
        <f>IF(SER_hh_tes!P18=0,0,11630*1000*SER_hh_tes!P18/SER_hh_num!P18)</f>
        <v>21984.328619116863</v>
      </c>
      <c r="Q18" s="132">
        <f>IF(SER_hh_tes!Q18=0,0,11630*1000*SER_hh_tes!Q18/SER_hh_num!Q18)</f>
        <v>25921.154960140331</v>
      </c>
      <c r="R18" s="132">
        <f>IF(SER_hh_tes!R18=0,0,11630*1000*SER_hh_tes!R18/SER_hh_num!R18)</f>
        <v>38968.0810455108</v>
      </c>
      <c r="S18" s="132">
        <f>IF(SER_hh_tes!S18=0,0,11630*1000*SER_hh_tes!S18/SER_hh_num!S18)</f>
        <v>37201.299456316548</v>
      </c>
      <c r="T18" s="132">
        <f>IF(SER_hh_tes!T18=0,0,11630*1000*SER_hh_tes!T18/SER_hh_num!T18)</f>
        <v>32025.855873983066</v>
      </c>
      <c r="U18" s="132">
        <f>IF(SER_hh_tes!U18=0,0,11630*1000*SER_hh_tes!U18/SER_hh_num!U18)</f>
        <v>25277.996956613384</v>
      </c>
      <c r="V18" s="132">
        <f>IF(SER_hh_tes!V18=0,0,11630*1000*SER_hh_tes!V18/SER_hh_num!V18)</f>
        <v>36388.744526314418</v>
      </c>
      <c r="W18" s="132">
        <f>IF(SER_hh_tes!W18=0,0,11630*1000*SER_hh_tes!W18/SER_hh_num!W18)</f>
        <v>22650.263437115616</v>
      </c>
      <c r="X18" s="132">
        <f>IF(SER_hh_tes!X18=0,0,11630*1000*SER_hh_tes!X18/SER_hh_num!X18)</f>
        <v>41659.164923967786</v>
      </c>
      <c r="Y18" s="132">
        <f>IF(SER_hh_tes!Y18=0,0,11630*1000*SER_hh_tes!Y18/SER_hh_num!Y18)</f>
        <v>34136.566825886046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8282.8819945912946</v>
      </c>
      <c r="C19" s="130">
        <f>IF(SER_hh_tes!C19=0,0,11630*1000*SER_hh_tes!C19/SER_hh_num!C19)</f>
        <v>8422.3484222899206</v>
      </c>
      <c r="D19" s="130">
        <f>IF(SER_hh_tes!D19=0,0,11630*1000*SER_hh_tes!D19/SER_hh_num!D19)</f>
        <v>8621.9168119548194</v>
      </c>
      <c r="E19" s="130">
        <f>IF(SER_hh_tes!E19=0,0,11630*1000*SER_hh_tes!E19/SER_hh_num!E19)</f>
        <v>8587.5396007167601</v>
      </c>
      <c r="F19" s="130">
        <f>IF(SER_hh_tes!F19=0,0,11630*1000*SER_hh_tes!F19/SER_hh_num!F19)</f>
        <v>8692.2040178192819</v>
      </c>
      <c r="G19" s="130">
        <f>IF(SER_hh_tes!G19=0,0,11630*1000*SER_hh_tes!G19/SER_hh_num!G19)</f>
        <v>8759.3780006307752</v>
      </c>
      <c r="H19" s="130">
        <f>IF(SER_hh_tes!H19=0,0,11630*1000*SER_hh_tes!H19/SER_hh_num!H19)</f>
        <v>8674.1850434198514</v>
      </c>
      <c r="I19" s="130">
        <f>IF(SER_hh_tes!I19=0,0,11630*1000*SER_hh_tes!I19/SER_hh_num!I19)</f>
        <v>8810.445568430805</v>
      </c>
      <c r="J19" s="130">
        <f>IF(SER_hh_tes!J19=0,0,11630*1000*SER_hh_tes!J19/SER_hh_num!J19)</f>
        <v>8842.969103859301</v>
      </c>
      <c r="K19" s="130">
        <f>IF(SER_hh_tes!K19=0,0,11630*1000*SER_hh_tes!K19/SER_hh_num!K19)</f>
        <v>9011.0320089476845</v>
      </c>
      <c r="L19" s="130">
        <f>IF(SER_hh_tes!L19=0,0,11630*1000*SER_hh_tes!L19/SER_hh_num!L19)</f>
        <v>9090.4391344123051</v>
      </c>
      <c r="M19" s="130">
        <f>IF(SER_hh_tes!M19=0,0,11630*1000*SER_hh_tes!M19/SER_hh_num!M19)</f>
        <v>9451.5488455070026</v>
      </c>
      <c r="N19" s="130">
        <f>IF(SER_hh_tes!N19=0,0,11630*1000*SER_hh_tes!N19/SER_hh_num!N19)</f>
        <v>9370.1647436381245</v>
      </c>
      <c r="O19" s="130">
        <f>IF(SER_hh_tes!O19=0,0,11630*1000*SER_hh_tes!O19/SER_hh_num!O19)</f>
        <v>9489.0198990142653</v>
      </c>
      <c r="P19" s="130">
        <f>IF(SER_hh_tes!P19=0,0,11630*1000*SER_hh_tes!P19/SER_hh_num!P19)</f>
        <v>9579.0548834737056</v>
      </c>
      <c r="Q19" s="130">
        <f>IF(SER_hh_tes!Q19=0,0,11630*1000*SER_hh_tes!Q19/SER_hh_num!Q19)</f>
        <v>9662.0232108659166</v>
      </c>
      <c r="R19" s="130">
        <f>IF(SER_hh_tes!R19=0,0,11630*1000*SER_hh_tes!R19/SER_hh_num!R19)</f>
        <v>9734.0266643441992</v>
      </c>
      <c r="S19" s="130">
        <f>IF(SER_hh_tes!S19=0,0,11630*1000*SER_hh_tes!S19/SER_hh_num!S19)</f>
        <v>9631.0960937855325</v>
      </c>
      <c r="T19" s="130">
        <f>IF(SER_hh_tes!T19=0,0,11630*1000*SER_hh_tes!T19/SER_hh_num!T19)</f>
        <v>9611.0174697381499</v>
      </c>
      <c r="U19" s="130">
        <f>IF(SER_hh_tes!U19=0,0,11630*1000*SER_hh_tes!U19/SER_hh_num!U19)</f>
        <v>9640.4178989710927</v>
      </c>
      <c r="V19" s="130">
        <f>IF(SER_hh_tes!V19=0,0,11630*1000*SER_hh_tes!V19/SER_hh_num!V19)</f>
        <v>8384.8975323869872</v>
      </c>
      <c r="W19" s="130">
        <f>IF(SER_hh_tes!W19=0,0,11630*1000*SER_hh_tes!W19/SER_hh_num!W19)</f>
        <v>9199.6413909223484</v>
      </c>
      <c r="X19" s="130">
        <f>IF(SER_hh_tes!X19=0,0,11630*1000*SER_hh_tes!X19/SER_hh_num!X19)</f>
        <v>9608.28594847768</v>
      </c>
      <c r="Y19" s="130">
        <f>IF(SER_hh_tes!Y19=0,0,11630*1000*SER_hh_tes!Y19/SER_hh_num!Y19)</f>
        <v>9731.0178479102233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8451.7081279752965</v>
      </c>
      <c r="C21" s="132">
        <f>IF(SER_hh_tes!C21=0,0,11630*1000*SER_hh_tes!C21/SER_hh_num!C21)</f>
        <v>8246.8267072047984</v>
      </c>
      <c r="D21" s="132">
        <f>IF(SER_hh_tes!D21=0,0,11630*1000*SER_hh_tes!D21/SER_hh_num!D21)</f>
        <v>8347.7169085252008</v>
      </c>
      <c r="E21" s="132">
        <f>IF(SER_hh_tes!E21=0,0,11630*1000*SER_hh_tes!E21/SER_hh_num!E21)</f>
        <v>8411.9525573682058</v>
      </c>
      <c r="F21" s="132">
        <f>IF(SER_hh_tes!F21=0,0,11630*1000*SER_hh_tes!F21/SER_hh_num!F21)</f>
        <v>8580.3011861280484</v>
      </c>
      <c r="G21" s="132">
        <f>IF(SER_hh_tes!G21=0,0,11630*1000*SER_hh_tes!G21/SER_hh_num!G21)</f>
        <v>8603.0447556198615</v>
      </c>
      <c r="H21" s="132">
        <f>IF(SER_hh_tes!H21=0,0,11630*1000*SER_hh_tes!H21/SER_hh_num!H21)</f>
        <v>8556.5559830297625</v>
      </c>
      <c r="I21" s="132">
        <f>IF(SER_hh_tes!I21=0,0,11630*1000*SER_hh_tes!I21/SER_hh_num!I21)</f>
        <v>8744.6804515412387</v>
      </c>
      <c r="J21" s="132">
        <f>IF(SER_hh_tes!J21=0,0,11630*1000*SER_hh_tes!J21/SER_hh_num!J21)</f>
        <v>8754.7753600696105</v>
      </c>
      <c r="K21" s="132">
        <f>IF(SER_hh_tes!K21=0,0,11630*1000*SER_hh_tes!K21/SER_hh_num!K21)</f>
        <v>8964.2255689247158</v>
      </c>
      <c r="L21" s="132">
        <f>IF(SER_hh_tes!L21=0,0,11630*1000*SER_hh_tes!L21/SER_hh_num!L21)</f>
        <v>8856.830620807199</v>
      </c>
      <c r="M21" s="132">
        <f>IF(SER_hh_tes!M21=0,0,11630*1000*SER_hh_tes!M21/SER_hh_num!M21)</f>
        <v>9096.8718547229782</v>
      </c>
      <c r="N21" s="132">
        <f>IF(SER_hh_tes!N21=0,0,11630*1000*SER_hh_tes!N21/SER_hh_num!N21)</f>
        <v>9097.9687556795452</v>
      </c>
      <c r="O21" s="132">
        <f>IF(SER_hh_tes!O21=0,0,11630*1000*SER_hh_tes!O21/SER_hh_num!O21)</f>
        <v>9106.886571731995</v>
      </c>
      <c r="P21" s="132">
        <f>IF(SER_hh_tes!P21=0,0,11630*1000*SER_hh_tes!P21/SER_hh_num!P21)</f>
        <v>9158.2490935300957</v>
      </c>
      <c r="Q21" s="132">
        <f>IF(SER_hh_tes!Q21=0,0,11630*1000*SER_hh_tes!Q21/SER_hh_num!Q21)</f>
        <v>9266.6867619680088</v>
      </c>
      <c r="R21" s="132">
        <f>IF(SER_hh_tes!R21=0,0,11630*1000*SER_hh_tes!R21/SER_hh_num!R21)</f>
        <v>9291.700672027524</v>
      </c>
      <c r="S21" s="132">
        <f>IF(SER_hh_tes!S21=0,0,11630*1000*SER_hh_tes!S21/SER_hh_num!S21)</f>
        <v>9170.749178484848</v>
      </c>
      <c r="T21" s="132">
        <f>IF(SER_hh_tes!T21=0,0,11630*1000*SER_hh_tes!T21/SER_hh_num!T21)</f>
        <v>8970.9033432510423</v>
      </c>
      <c r="U21" s="132">
        <f>IF(SER_hh_tes!U21=0,0,11630*1000*SER_hh_tes!U21/SER_hh_num!U21)</f>
        <v>8984.9074825428579</v>
      </c>
      <c r="V21" s="132">
        <f>IF(SER_hh_tes!V21=0,0,11630*1000*SER_hh_tes!V21/SER_hh_num!V21)</f>
        <v>8683.3419912371082</v>
      </c>
      <c r="W21" s="132">
        <f>IF(SER_hh_tes!W21=0,0,11630*1000*SER_hh_tes!W21/SER_hh_num!W21)</f>
        <v>8328.3370989285959</v>
      </c>
      <c r="X21" s="132">
        <f>IF(SER_hh_tes!X21=0,0,11630*1000*SER_hh_tes!X21/SER_hh_num!X21)</f>
        <v>9128.1392149269213</v>
      </c>
      <c r="Y21" s="132">
        <f>IF(SER_hh_tes!Y21=0,0,11630*1000*SER_hh_tes!Y21/SER_hh_num!Y21)</f>
        <v>8868.767870537351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8380.738811359819</v>
      </c>
      <c r="C22" s="132">
        <f>IF(SER_hh_tes!C22=0,0,11630*1000*SER_hh_tes!C22/SER_hh_num!C22)</f>
        <v>8366.0960341346363</v>
      </c>
      <c r="D22" s="132">
        <f>IF(SER_hh_tes!D22=0,0,11630*1000*SER_hh_tes!D22/SER_hh_num!D22)</f>
        <v>8361.2805095204094</v>
      </c>
      <c r="E22" s="132">
        <f>IF(SER_hh_tes!E22=0,0,11630*1000*SER_hh_tes!E22/SER_hh_num!E22)</f>
        <v>8467.1176966583971</v>
      </c>
      <c r="F22" s="132">
        <f>IF(SER_hh_tes!F22=0,0,11630*1000*SER_hh_tes!F22/SER_hh_num!F22)</f>
        <v>8506.7832446135089</v>
      </c>
      <c r="G22" s="132">
        <f>IF(SER_hh_tes!G22=0,0,11630*1000*SER_hh_tes!G22/SER_hh_num!G22)</f>
        <v>8571.4216122296184</v>
      </c>
      <c r="H22" s="132">
        <f>IF(SER_hh_tes!H22=0,0,11630*1000*SER_hh_tes!H22/SER_hh_num!H22)</f>
        <v>8652.2258936351573</v>
      </c>
      <c r="I22" s="132">
        <f>IF(SER_hh_tes!I22=0,0,11630*1000*SER_hh_tes!I22/SER_hh_num!I22)</f>
        <v>8763.8427950619807</v>
      </c>
      <c r="J22" s="132">
        <f>IF(SER_hh_tes!J22=0,0,11630*1000*SER_hh_tes!J22/SER_hh_num!J22)</f>
        <v>8745.1289934693614</v>
      </c>
      <c r="K22" s="132">
        <f>IF(SER_hh_tes!K22=0,0,11630*1000*SER_hh_tes!K22/SER_hh_num!K22)</f>
        <v>8721.6708045351279</v>
      </c>
      <c r="L22" s="132">
        <f>IF(SER_hh_tes!L22=0,0,11630*1000*SER_hh_tes!L22/SER_hh_num!L22)</f>
        <v>8820.8780292997253</v>
      </c>
      <c r="M22" s="132">
        <f>IF(SER_hh_tes!M22=0,0,11630*1000*SER_hh_tes!M22/SER_hh_num!M22)</f>
        <v>9081.8934753264057</v>
      </c>
      <c r="N22" s="132">
        <f>IF(SER_hh_tes!N22=0,0,11630*1000*SER_hh_tes!N22/SER_hh_num!N22)</f>
        <v>9048.8396931850857</v>
      </c>
      <c r="O22" s="132">
        <f>IF(SER_hh_tes!O22=0,0,11630*1000*SER_hh_tes!O22/SER_hh_num!O22)</f>
        <v>9236.7621514011844</v>
      </c>
      <c r="P22" s="132">
        <f>IF(SER_hh_tes!P22=0,0,11630*1000*SER_hh_tes!P22/SER_hh_num!P22)</f>
        <v>9213.0117788445841</v>
      </c>
      <c r="Q22" s="132">
        <f>IF(SER_hh_tes!Q22=0,0,11630*1000*SER_hh_tes!Q22/SER_hh_num!Q22)</f>
        <v>9255.0123421686239</v>
      </c>
      <c r="R22" s="132">
        <f>IF(SER_hh_tes!R22=0,0,11630*1000*SER_hh_tes!R22/SER_hh_num!R22)</f>
        <v>9125.3310847935281</v>
      </c>
      <c r="S22" s="132">
        <f>IF(SER_hh_tes!S22=0,0,11630*1000*SER_hh_tes!S22/SER_hh_num!S22)</f>
        <v>9145.709728994696</v>
      </c>
      <c r="T22" s="132">
        <f>IF(SER_hh_tes!T22=0,0,11630*1000*SER_hh_tes!T22/SER_hh_num!T22)</f>
        <v>9071.7401877715401</v>
      </c>
      <c r="U22" s="132">
        <f>IF(SER_hh_tes!U22=0,0,11630*1000*SER_hh_tes!U22/SER_hh_num!U22)</f>
        <v>8890.1325079022226</v>
      </c>
      <c r="V22" s="132">
        <f>IF(SER_hh_tes!V22=0,0,11630*1000*SER_hh_tes!V22/SER_hh_num!V22)</f>
        <v>8089.0683647249298</v>
      </c>
      <c r="W22" s="132">
        <f>IF(SER_hh_tes!W22=0,0,11630*1000*SER_hh_tes!W22/SER_hh_num!W22)</f>
        <v>8691.9889293081305</v>
      </c>
      <c r="X22" s="132">
        <f>IF(SER_hh_tes!X22=0,0,11630*1000*SER_hh_tes!X22/SER_hh_num!X22)</f>
        <v>8978.9458476146101</v>
      </c>
      <c r="Y22" s="132">
        <f>IF(SER_hh_tes!Y22=0,0,11630*1000*SER_hh_tes!Y22/SER_hh_num!Y22)</f>
        <v>8989.2594795985206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8033.899001250893</v>
      </c>
      <c r="C23" s="132">
        <f>IF(SER_hh_tes!C23=0,0,11630*1000*SER_hh_tes!C23/SER_hh_num!C23)</f>
        <v>8407.4877786567959</v>
      </c>
      <c r="D23" s="132">
        <f>IF(SER_hh_tes!D23=0,0,11630*1000*SER_hh_tes!D23/SER_hh_num!D23)</f>
        <v>8517.8483592415978</v>
      </c>
      <c r="E23" s="132">
        <f>IF(SER_hh_tes!E23=0,0,11630*1000*SER_hh_tes!E23/SER_hh_num!E23)</f>
        <v>8449.1458678185281</v>
      </c>
      <c r="F23" s="132">
        <f>IF(SER_hh_tes!F23=0,0,11630*1000*SER_hh_tes!F23/SER_hh_num!F23)</f>
        <v>8438.7339626474768</v>
      </c>
      <c r="G23" s="132">
        <f>IF(SER_hh_tes!G23=0,0,11630*1000*SER_hh_tes!G23/SER_hh_num!G23)</f>
        <v>8499.5127279580156</v>
      </c>
      <c r="H23" s="132">
        <f>IF(SER_hh_tes!H23=0,0,11630*1000*SER_hh_tes!H23/SER_hh_num!H23)</f>
        <v>8490.56951455936</v>
      </c>
      <c r="I23" s="132">
        <f>IF(SER_hh_tes!I23=0,0,11630*1000*SER_hh_tes!I23/SER_hh_num!I23)</f>
        <v>8795.9613434843995</v>
      </c>
      <c r="J23" s="132">
        <f>IF(SER_hh_tes!J23=0,0,11630*1000*SER_hh_tes!J23/SER_hh_num!J23)</f>
        <v>8793.522197324286</v>
      </c>
      <c r="K23" s="132">
        <f>IF(SER_hh_tes!K23=0,0,11630*1000*SER_hh_tes!K23/SER_hh_num!K23)</f>
        <v>8766.4132750418848</v>
      </c>
      <c r="L23" s="132">
        <f>IF(SER_hh_tes!L23=0,0,11630*1000*SER_hh_tes!L23/SER_hh_num!L23)</f>
        <v>8936.593053007884</v>
      </c>
      <c r="M23" s="132">
        <f>IF(SER_hh_tes!M23=0,0,11630*1000*SER_hh_tes!M23/SER_hh_num!M23)</f>
        <v>9125.4474839980376</v>
      </c>
      <c r="N23" s="132">
        <f>IF(SER_hh_tes!N23=0,0,11630*1000*SER_hh_tes!N23/SER_hh_num!N23)</f>
        <v>9171.4798476288925</v>
      </c>
      <c r="O23" s="132">
        <f>IF(SER_hh_tes!O23=0,0,11630*1000*SER_hh_tes!O23/SER_hh_num!O23)</f>
        <v>9248.0804092686449</v>
      </c>
      <c r="P23" s="132">
        <f>IF(SER_hh_tes!P23=0,0,11630*1000*SER_hh_tes!P23/SER_hh_num!P23)</f>
        <v>9095.0802792202394</v>
      </c>
      <c r="Q23" s="132">
        <f>IF(SER_hh_tes!Q23=0,0,11630*1000*SER_hh_tes!Q23/SER_hh_num!Q23)</f>
        <v>9075.4824968206485</v>
      </c>
      <c r="R23" s="132">
        <f>IF(SER_hh_tes!R23=0,0,11630*1000*SER_hh_tes!R23/SER_hh_num!R23)</f>
        <v>9242.5690583664837</v>
      </c>
      <c r="S23" s="132">
        <f>IF(SER_hh_tes!S23=0,0,11630*1000*SER_hh_tes!S23/SER_hh_num!S23)</f>
        <v>9293.3936686814031</v>
      </c>
      <c r="T23" s="132">
        <f>IF(SER_hh_tes!T23=0,0,11630*1000*SER_hh_tes!T23/SER_hh_num!T23)</f>
        <v>9254.5654714819211</v>
      </c>
      <c r="U23" s="132">
        <f>IF(SER_hh_tes!U23=0,0,11630*1000*SER_hh_tes!U23/SER_hh_num!U23)</f>
        <v>9285.6518782887215</v>
      </c>
      <c r="V23" s="132">
        <f>IF(SER_hh_tes!V23=0,0,11630*1000*SER_hh_tes!V23/SER_hh_num!V23)</f>
        <v>7727.360530664926</v>
      </c>
      <c r="W23" s="132">
        <f>IF(SER_hh_tes!W23=0,0,11630*1000*SER_hh_tes!W23/SER_hh_num!W23)</f>
        <v>8629.8936133311418</v>
      </c>
      <c r="X23" s="132">
        <f>IF(SER_hh_tes!X23=0,0,11630*1000*SER_hh_tes!X23/SER_hh_num!X23)</f>
        <v>8830.7554563581489</v>
      </c>
      <c r="Y23" s="132">
        <f>IF(SER_hh_tes!Y23=0,0,11630*1000*SER_hh_tes!Y23/SER_hh_num!Y23)</f>
        <v>9161.3232158878218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6901.8926724218481</v>
      </c>
      <c r="C25" s="132">
        <f>IF(SER_hh_tes!C25=0,0,11630*1000*SER_hh_tes!C25/SER_hh_num!C25)</f>
        <v>8612.5878764672852</v>
      </c>
      <c r="D25" s="132">
        <f>IF(SER_hh_tes!D25=0,0,11630*1000*SER_hh_tes!D25/SER_hh_num!D25)</f>
        <v>8985.2266557515704</v>
      </c>
      <c r="E25" s="132">
        <f>IF(SER_hh_tes!E25=0,0,11630*1000*SER_hh_tes!E25/SER_hh_num!E25)</f>
        <v>9269.2831557620138</v>
      </c>
      <c r="F25" s="132">
        <f>IF(SER_hh_tes!F25=0,0,11630*1000*SER_hh_tes!F25/SER_hh_num!F25)</f>
        <v>8986.9039901395572</v>
      </c>
      <c r="G25" s="132">
        <f>IF(SER_hh_tes!G25=0,0,11630*1000*SER_hh_tes!G25/SER_hh_num!G25)</f>
        <v>8013.6360930197425</v>
      </c>
      <c r="H25" s="132">
        <f>IF(SER_hh_tes!H25=0,0,11630*1000*SER_hh_tes!H25/SER_hh_num!H25)</f>
        <v>8586.0551634908643</v>
      </c>
      <c r="I25" s="132">
        <f>IF(SER_hh_tes!I25=0,0,11630*1000*SER_hh_tes!I25/SER_hh_num!I25)</f>
        <v>10093.830988017184</v>
      </c>
      <c r="J25" s="132">
        <f>IF(SER_hh_tes!J25=0,0,11630*1000*SER_hh_tes!J25/SER_hh_num!J25)</f>
        <v>7292.1939592601102</v>
      </c>
      <c r="K25" s="132">
        <f>IF(SER_hh_tes!K25=0,0,11630*1000*SER_hh_tes!K25/SER_hh_num!K25)</f>
        <v>8703.4800018818896</v>
      </c>
      <c r="L25" s="132">
        <f>IF(SER_hh_tes!L25=0,0,11630*1000*SER_hh_tes!L25/SER_hh_num!L25)</f>
        <v>8477.4076383635038</v>
      </c>
      <c r="M25" s="132">
        <f>IF(SER_hh_tes!M25=0,0,11630*1000*SER_hh_tes!M25/SER_hh_num!M25)</f>
        <v>7978.8749685557805</v>
      </c>
      <c r="N25" s="132">
        <f>IF(SER_hh_tes!N25=0,0,11630*1000*SER_hh_tes!N25/SER_hh_num!N25)</f>
        <v>9132.6190363241512</v>
      </c>
      <c r="O25" s="132">
        <f>IF(SER_hh_tes!O25=0,0,11630*1000*SER_hh_tes!O25/SER_hh_num!O25)</f>
        <v>9826.6049186844975</v>
      </c>
      <c r="P25" s="132">
        <f>IF(SER_hh_tes!P25=0,0,11630*1000*SER_hh_tes!P25/SER_hh_num!P25)</f>
        <v>9345.637350722729</v>
      </c>
      <c r="Q25" s="132">
        <f>IF(SER_hh_tes!Q25=0,0,11630*1000*SER_hh_tes!Q25/SER_hh_num!Q25)</f>
        <v>9567.068530400722</v>
      </c>
      <c r="R25" s="132">
        <f>IF(SER_hh_tes!R25=0,0,11630*1000*SER_hh_tes!R25/SER_hh_num!R25)</f>
        <v>9136.1057454036873</v>
      </c>
      <c r="S25" s="132">
        <f>IF(SER_hh_tes!S25=0,0,11630*1000*SER_hh_tes!S25/SER_hh_num!S25)</f>
        <v>9648.6021987796557</v>
      </c>
      <c r="T25" s="132">
        <f>IF(SER_hh_tes!T25=0,0,11630*1000*SER_hh_tes!T25/SER_hh_num!T25)</f>
        <v>9716.9588194107146</v>
      </c>
      <c r="U25" s="132">
        <f>IF(SER_hh_tes!U25=0,0,11630*1000*SER_hh_tes!U25/SER_hh_num!U25)</f>
        <v>8498.4282099789343</v>
      </c>
      <c r="V25" s="132">
        <f>IF(SER_hh_tes!V25=0,0,11630*1000*SER_hh_tes!V25/SER_hh_num!V25)</f>
        <v>7620.8150268142072</v>
      </c>
      <c r="W25" s="132">
        <f>IF(SER_hh_tes!W25=0,0,11630*1000*SER_hh_tes!W25/SER_hh_num!W25)</f>
        <v>9169.8884619646706</v>
      </c>
      <c r="X25" s="132">
        <f>IF(SER_hh_tes!X25=0,0,11630*1000*SER_hh_tes!X25/SER_hh_num!X25)</f>
        <v>9411.7762315392429</v>
      </c>
      <c r="Y25" s="132">
        <f>IF(SER_hh_tes!Y25=0,0,11630*1000*SER_hh_tes!Y25/SER_hh_num!Y25)</f>
        <v>7304.8042634349076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7341.6519120151879</v>
      </c>
      <c r="C26" s="65">
        <f>IF(SER_hh_tes!C26=0,0,11630*1000*SER_hh_tes!C26/SER_hh_num!C26)</f>
        <v>7571.7786017363305</v>
      </c>
      <c r="D26" s="65">
        <f>IF(SER_hh_tes!D26=0,0,11630*1000*SER_hh_tes!D26/SER_hh_num!D26)</f>
        <v>7878.3046820567733</v>
      </c>
      <c r="E26" s="65">
        <f>IF(SER_hh_tes!E26=0,0,11630*1000*SER_hh_tes!E26/SER_hh_num!E26)</f>
        <v>7773.1319995423446</v>
      </c>
      <c r="F26" s="65">
        <f>IF(SER_hh_tes!F26=0,0,11630*1000*SER_hh_tes!F26/SER_hh_num!F26)</f>
        <v>7923.8198570416116</v>
      </c>
      <c r="G26" s="65">
        <f>IF(SER_hh_tes!G26=0,0,11630*1000*SER_hh_tes!G26/SER_hh_num!G26)</f>
        <v>7983.8984086215423</v>
      </c>
      <c r="H26" s="65">
        <f>IF(SER_hh_tes!H26=0,0,11630*1000*SER_hh_tes!H26/SER_hh_num!H26)</f>
        <v>7807.2164768030434</v>
      </c>
      <c r="I26" s="65">
        <f>IF(SER_hh_tes!I26=0,0,11630*1000*SER_hh_tes!I26/SER_hh_num!I26)</f>
        <v>7847.4792794665</v>
      </c>
      <c r="J26" s="65">
        <f>IF(SER_hh_tes!J26=0,0,11630*1000*SER_hh_tes!J26/SER_hh_num!J26)</f>
        <v>7782.817941619458</v>
      </c>
      <c r="K26" s="65">
        <f>IF(SER_hh_tes!K26=0,0,11630*1000*SER_hh_tes!K26/SER_hh_num!K26)</f>
        <v>7844.0483736490205</v>
      </c>
      <c r="L26" s="65">
        <f>IF(SER_hh_tes!L26=0,0,11630*1000*SER_hh_tes!L26/SER_hh_num!L26)</f>
        <v>7433.0441604038269</v>
      </c>
      <c r="M26" s="65">
        <f>IF(SER_hh_tes!M26=0,0,11630*1000*SER_hh_tes!M26/SER_hh_num!M26)</f>
        <v>7444.3054745861264</v>
      </c>
      <c r="N26" s="65">
        <f>IF(SER_hh_tes!N26=0,0,11630*1000*SER_hh_tes!N26/SER_hh_num!N26)</f>
        <v>6979.336190250121</v>
      </c>
      <c r="O26" s="65">
        <f>IF(SER_hh_tes!O26=0,0,11630*1000*SER_hh_tes!O26/SER_hh_num!O26)</f>
        <v>6863.615995576587</v>
      </c>
      <c r="P26" s="65">
        <f>IF(SER_hh_tes!P26=0,0,11630*1000*SER_hh_tes!P26/SER_hh_num!P26)</f>
        <v>6897.4077347007888</v>
      </c>
      <c r="Q26" s="65">
        <f>IF(SER_hh_tes!Q26=0,0,11630*1000*SER_hh_tes!Q26/SER_hh_num!Q26)</f>
        <v>6873.9494111674767</v>
      </c>
      <c r="R26" s="65">
        <f>IF(SER_hh_tes!R26=0,0,11630*1000*SER_hh_tes!R26/SER_hh_num!R26)</f>
        <v>6824.8844507567246</v>
      </c>
      <c r="S26" s="65">
        <f>IF(SER_hh_tes!S26=0,0,11630*1000*SER_hh_tes!S26/SER_hh_num!S26)</f>
        <v>6442.4209586728202</v>
      </c>
      <c r="T26" s="65">
        <f>IF(SER_hh_tes!T26=0,0,11630*1000*SER_hh_tes!T26/SER_hh_num!T26)</f>
        <v>6228.0125454424733</v>
      </c>
      <c r="U26" s="65">
        <f>IF(SER_hh_tes!U26=0,0,11630*1000*SER_hh_tes!U26/SER_hh_num!U26)</f>
        <v>6164.824607595041</v>
      </c>
      <c r="V26" s="65">
        <f>IF(SER_hh_tes!V26=0,0,11630*1000*SER_hh_tes!V26/SER_hh_num!V26)</f>
        <v>4584.2438336049909</v>
      </c>
      <c r="W26" s="65">
        <f>IF(SER_hh_tes!W26=0,0,11630*1000*SER_hh_tes!W26/SER_hh_num!W26)</f>
        <v>5318.2700396764421</v>
      </c>
      <c r="X26" s="65">
        <f>IF(SER_hh_tes!X26=0,0,11630*1000*SER_hh_tes!X26/SER_hh_num!X26)</f>
        <v>5449.6747653823613</v>
      </c>
      <c r="Y26" s="65">
        <f>IF(SER_hh_tes!Y26=0,0,11630*1000*SER_hh_tes!Y26/SER_hh_num!Y26)</f>
        <v>5595.8487981324779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530.88842852625328</v>
      </c>
      <c r="C27" s="145">
        <f>IF(SER_hh_tes!C27=0,0,11630*1000*SER_hh_tes!C27/SER_hh_num!C19)</f>
        <v>529.60554794017855</v>
      </c>
      <c r="D27" s="145">
        <f>IF(SER_hh_tes!D27=0,0,11630*1000*SER_hh_tes!D27/SER_hh_num!D19)</f>
        <v>538.21771476050981</v>
      </c>
      <c r="E27" s="145">
        <f>IF(SER_hh_tes!E27=0,0,11630*1000*SER_hh_tes!E27/SER_hh_num!E19)</f>
        <v>550.9163387887728</v>
      </c>
      <c r="F27" s="145">
        <f>IF(SER_hh_tes!F27=0,0,11630*1000*SER_hh_tes!F27/SER_hh_num!F19)</f>
        <v>557.56973578480347</v>
      </c>
      <c r="G27" s="145">
        <f>IF(SER_hh_tes!G27=0,0,11630*1000*SER_hh_tes!G27/SER_hh_num!G19)</f>
        <v>586.16693601563475</v>
      </c>
      <c r="H27" s="145">
        <f>IF(SER_hh_tes!H27=0,0,11630*1000*SER_hh_tes!H27/SER_hh_num!H19)</f>
        <v>601.56987910238308</v>
      </c>
      <c r="I27" s="145">
        <f>IF(SER_hh_tes!I27=0,0,11630*1000*SER_hh_tes!I27/SER_hh_num!I19)</f>
        <v>639.34309845137136</v>
      </c>
      <c r="J27" s="145">
        <f>IF(SER_hh_tes!J27=0,0,11630*1000*SER_hh_tes!J27/SER_hh_num!J19)</f>
        <v>752.70395104341219</v>
      </c>
      <c r="K27" s="145">
        <f>IF(SER_hh_tes!K27=0,0,11630*1000*SER_hh_tes!K27/SER_hh_num!K19)</f>
        <v>864.76698031200908</v>
      </c>
      <c r="L27" s="145">
        <f>IF(SER_hh_tes!L27=0,0,11630*1000*SER_hh_tes!L27/SER_hh_num!L19)</f>
        <v>1187.2556866348943</v>
      </c>
      <c r="M27" s="145">
        <f>IF(SER_hh_tes!M27=0,0,11630*1000*SER_hh_tes!M27/SER_hh_num!M19)</f>
        <v>1462.9963352506225</v>
      </c>
      <c r="N27" s="145">
        <f>IF(SER_hh_tes!N27=0,0,11630*1000*SER_hh_tes!N27/SER_hh_num!N19)</f>
        <v>1654.9277288819815</v>
      </c>
      <c r="O27" s="145">
        <f>IF(SER_hh_tes!O27=0,0,11630*1000*SER_hh_tes!O27/SER_hh_num!O19)</f>
        <v>1778.9705656467929</v>
      </c>
      <c r="P27" s="145">
        <f>IF(SER_hh_tes!P27=0,0,11630*1000*SER_hh_tes!P27/SER_hh_num!P19)</f>
        <v>1866.2071674172682</v>
      </c>
      <c r="Q27" s="145">
        <f>IF(SER_hh_tes!Q27=0,0,11630*1000*SER_hh_tes!Q27/SER_hh_num!Q19)</f>
        <v>1935.9562275196679</v>
      </c>
      <c r="R27" s="145">
        <f>IF(SER_hh_tes!R27=0,0,11630*1000*SER_hh_tes!R27/SER_hh_num!R19)</f>
        <v>2013.050313705693</v>
      </c>
      <c r="S27" s="145">
        <f>IF(SER_hh_tes!S27=0,0,11630*1000*SER_hh_tes!S27/SER_hh_num!S19)</f>
        <v>2091.1555267539679</v>
      </c>
      <c r="T27" s="145">
        <f>IF(SER_hh_tes!T27=0,0,11630*1000*SER_hh_tes!T27/SER_hh_num!T19)</f>
        <v>2183.1440223896652</v>
      </c>
      <c r="U27" s="145">
        <f>IF(SER_hh_tes!U27=0,0,11630*1000*SER_hh_tes!U27/SER_hh_num!U19)</f>
        <v>2255.3628516196595</v>
      </c>
      <c r="V27" s="145">
        <f>IF(SER_hh_tes!V27=0,0,11630*1000*SER_hh_tes!V27/SER_hh_num!V19)</f>
        <v>2342.6136286283368</v>
      </c>
      <c r="W27" s="145">
        <f>IF(SER_hh_tes!W27=0,0,11630*1000*SER_hh_tes!W27/SER_hh_num!W19)</f>
        <v>2440.6841633096901</v>
      </c>
      <c r="X27" s="145">
        <f>IF(SER_hh_tes!X27=0,0,11630*1000*SER_hh_tes!X27/SER_hh_num!X19)</f>
        <v>2654.0363965228917</v>
      </c>
      <c r="Y27" s="145">
        <f>IF(SER_hh_tes!Y27=0,0,11630*1000*SER_hh_tes!Y27/SER_hh_num!Y19)</f>
        <v>2666.5262062287875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6884.647948051429</v>
      </c>
      <c r="C28" s="146">
        <f>IF(SER_hh_tes!C27=0,0,11630*1000*SER_hh_tes!C27/SER_hh_num!C27)</f>
        <v>6827.9463140818234</v>
      </c>
      <c r="D28" s="146">
        <f>IF(SER_hh_tes!D27=0,0,11630*1000*SER_hh_tes!D27/SER_hh_num!D27)</f>
        <v>6877.8593955112829</v>
      </c>
      <c r="E28" s="146">
        <f>IF(SER_hh_tes!E27=0,0,11630*1000*SER_hh_tes!E27/SER_hh_num!E27)</f>
        <v>7272.5683987654065</v>
      </c>
      <c r="F28" s="146">
        <f>IF(SER_hh_tes!F27=0,0,11630*1000*SER_hh_tes!F27/SER_hh_num!F27)</f>
        <v>7348.2844041129729</v>
      </c>
      <c r="G28" s="146">
        <f>IF(SER_hh_tes!G27=0,0,11630*1000*SER_hh_tes!G27/SER_hh_num!G27)</f>
        <v>6979.9275822167046</v>
      </c>
      <c r="H28" s="146">
        <f>IF(SER_hh_tes!H27=0,0,11630*1000*SER_hh_tes!H27/SER_hh_num!H27)</f>
        <v>7151.8497660385883</v>
      </c>
      <c r="I28" s="146">
        <f>IF(SER_hh_tes!I27=0,0,11630*1000*SER_hh_tes!I27/SER_hh_num!I27)</f>
        <v>7211.8365519566687</v>
      </c>
      <c r="J28" s="146">
        <f>IF(SER_hh_tes!J27=0,0,11630*1000*SER_hh_tes!J27/SER_hh_num!J27)</f>
        <v>7290.656503477464</v>
      </c>
      <c r="K28" s="146">
        <f>IF(SER_hh_tes!K27=0,0,11630*1000*SER_hh_tes!K27/SER_hh_num!K27)</f>
        <v>7317.2499974401862</v>
      </c>
      <c r="L28" s="146">
        <f>IF(SER_hh_tes!L27=0,0,11630*1000*SER_hh_tes!L27/SER_hh_num!L27)</f>
        <v>7856.7355435043573</v>
      </c>
      <c r="M28" s="146">
        <f>IF(SER_hh_tes!M27=0,0,11630*1000*SER_hh_tes!M27/SER_hh_num!M27)</f>
        <v>8506.0327952419339</v>
      </c>
      <c r="N28" s="146">
        <f>IF(SER_hh_tes!N27=0,0,11630*1000*SER_hh_tes!N27/SER_hh_num!N27)</f>
        <v>8452.066983713541</v>
      </c>
      <c r="O28" s="146">
        <f>IF(SER_hh_tes!O27=0,0,11630*1000*SER_hh_tes!O27/SER_hh_num!O27)</f>
        <v>8688.8932589070409</v>
      </c>
      <c r="P28" s="146">
        <f>IF(SER_hh_tes!P27=0,0,11630*1000*SER_hh_tes!P27/SER_hh_num!P27)</f>
        <v>8713.9885297012952</v>
      </c>
      <c r="Q28" s="146">
        <f>IF(SER_hh_tes!Q27=0,0,11630*1000*SER_hh_tes!Q27/SER_hh_num!Q27)</f>
        <v>8742.4340909595539</v>
      </c>
      <c r="R28" s="146">
        <f>IF(SER_hh_tes!R27=0,0,11630*1000*SER_hh_tes!R27/SER_hh_num!R27)</f>
        <v>8714.4992571934745</v>
      </c>
      <c r="S28" s="146">
        <f>IF(SER_hh_tes!S27=0,0,11630*1000*SER_hh_tes!S27/SER_hh_num!S27)</f>
        <v>8660.0099815454651</v>
      </c>
      <c r="T28" s="146">
        <f>IF(SER_hh_tes!T27=0,0,11630*1000*SER_hh_tes!T27/SER_hh_num!T27)</f>
        <v>8914.1711840835105</v>
      </c>
      <c r="U28" s="146">
        <f>IF(SER_hh_tes!U27=0,0,11630*1000*SER_hh_tes!U27/SER_hh_num!U27)</f>
        <v>8918.6679538097815</v>
      </c>
      <c r="V28" s="146">
        <f>IF(SER_hh_tes!V27=0,0,11630*1000*SER_hh_tes!V27/SER_hh_num!V27)</f>
        <v>8032.9927578967254</v>
      </c>
      <c r="W28" s="146">
        <f>IF(SER_hh_tes!W27=0,0,11630*1000*SER_hh_tes!W27/SER_hh_num!W27)</f>
        <v>8493.4478391313442</v>
      </c>
      <c r="X28" s="146">
        <f>IF(SER_hh_tes!X27=0,0,11630*1000*SER_hh_tes!X27/SER_hh_num!X27)</f>
        <v>8244.7623980392109</v>
      </c>
      <c r="Y28" s="146">
        <f>IF(SER_hh_tes!Y27=0,0,11630*1000*SER_hh_tes!Y27/SER_hh_num!Y27)</f>
        <v>8411.2602810000644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7528.0692661599387</v>
      </c>
      <c r="C29" s="130">
        <f>IF(SER_hh_tes!C29=0,0,11630*1000*SER_hh_tes!C29/SER_hh_num!C29)</f>
        <v>7851.2373467735561</v>
      </c>
      <c r="D29" s="130">
        <f>IF(SER_hh_tes!D29=0,0,11630*1000*SER_hh_tes!D29/SER_hh_num!D29)</f>
        <v>8476.7737777192979</v>
      </c>
      <c r="E29" s="130">
        <f>IF(SER_hh_tes!E29=0,0,11630*1000*SER_hh_tes!E29/SER_hh_num!E29)</f>
        <v>8751.7419735140174</v>
      </c>
      <c r="F29" s="130">
        <f>IF(SER_hh_tes!F29=0,0,11630*1000*SER_hh_tes!F29/SER_hh_num!F29)</f>
        <v>8841.0224167822525</v>
      </c>
      <c r="G29" s="130">
        <f>IF(SER_hh_tes!G29=0,0,11630*1000*SER_hh_tes!G29/SER_hh_num!G29)</f>
        <v>8833.4494175211785</v>
      </c>
      <c r="H29" s="130">
        <f>IF(SER_hh_tes!H29=0,0,11630*1000*SER_hh_tes!H29/SER_hh_num!H29)</f>
        <v>8984.8709065391722</v>
      </c>
      <c r="I29" s="130">
        <f>IF(SER_hh_tes!I29=0,0,11630*1000*SER_hh_tes!I29/SER_hh_num!I29)</f>
        <v>8953.6784048626832</v>
      </c>
      <c r="J29" s="130">
        <f>IF(SER_hh_tes!J29=0,0,11630*1000*SER_hh_tes!J29/SER_hh_num!J29)</f>
        <v>9208.8029012823372</v>
      </c>
      <c r="K29" s="130">
        <f>IF(SER_hh_tes!K29=0,0,11630*1000*SER_hh_tes!K29/SER_hh_num!K29)</f>
        <v>9129.8502446990351</v>
      </c>
      <c r="L29" s="130">
        <f>IF(SER_hh_tes!L29=0,0,11630*1000*SER_hh_tes!L29/SER_hh_num!L29)</f>
        <v>9280.232872815779</v>
      </c>
      <c r="M29" s="130">
        <f>IF(SER_hh_tes!M29=0,0,11630*1000*SER_hh_tes!M29/SER_hh_num!M29)</f>
        <v>9213.2168988303092</v>
      </c>
      <c r="N29" s="130">
        <f>IF(SER_hh_tes!N29=0,0,11630*1000*SER_hh_tes!N29/SER_hh_num!N29)</f>
        <v>9210.6914798059279</v>
      </c>
      <c r="O29" s="130">
        <f>IF(SER_hh_tes!O29=0,0,11630*1000*SER_hh_tes!O29/SER_hh_num!O29)</f>
        <v>8577.6487049671759</v>
      </c>
      <c r="P29" s="130">
        <f>IF(SER_hh_tes!P29=0,0,11630*1000*SER_hh_tes!P29/SER_hh_num!P29)</f>
        <v>9150.2507759098844</v>
      </c>
      <c r="Q29" s="130">
        <f>IF(SER_hh_tes!Q29=0,0,11630*1000*SER_hh_tes!Q29/SER_hh_num!Q29)</f>
        <v>9246.5019522840994</v>
      </c>
      <c r="R29" s="130">
        <f>IF(SER_hh_tes!R29=0,0,11630*1000*SER_hh_tes!R29/SER_hh_num!R29)</f>
        <v>9446.8066805503313</v>
      </c>
      <c r="S29" s="130">
        <f>IF(SER_hh_tes!S29=0,0,11630*1000*SER_hh_tes!S29/SER_hh_num!S29)</f>
        <v>9690.974864815269</v>
      </c>
      <c r="T29" s="130">
        <f>IF(SER_hh_tes!T29=0,0,11630*1000*SER_hh_tes!T29/SER_hh_num!T29)</f>
        <v>9792.7189605614822</v>
      </c>
      <c r="U29" s="130">
        <f>IF(SER_hh_tes!U29=0,0,11630*1000*SER_hh_tes!U29/SER_hh_num!U29)</f>
        <v>9811.936914656204</v>
      </c>
      <c r="V29" s="130">
        <f>IF(SER_hh_tes!V29=0,0,11630*1000*SER_hh_tes!V29/SER_hh_num!V29)</f>
        <v>9260.8005793530392</v>
      </c>
      <c r="W29" s="130">
        <f>IF(SER_hh_tes!W29=0,0,11630*1000*SER_hh_tes!W29/SER_hh_num!W29)</f>
        <v>9488.1146879141506</v>
      </c>
      <c r="X29" s="130">
        <f>IF(SER_hh_tes!X29=0,0,11630*1000*SER_hh_tes!X29/SER_hh_num!X29)</f>
        <v>10007.752941163157</v>
      </c>
      <c r="Y29" s="130">
        <f>IF(SER_hh_tes!Y29=0,0,11630*1000*SER_hh_tes!Y29/SER_hh_num!Y29)</f>
        <v>10158.624710042634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8727.1564592181876</v>
      </c>
      <c r="C30" s="132">
        <f>IF(SER_hh_tes!C30=0,0,11630*1000*SER_hh_tes!C30/SER_hh_num!C30)</f>
        <v>6214.9555583986194</v>
      </c>
      <c r="D30" s="132">
        <f>IF(SER_hh_tes!D30=0,0,11630*1000*SER_hh_tes!D30/SER_hh_num!D30)</f>
        <v>8762.3319612477499</v>
      </c>
      <c r="E30" s="132">
        <f>IF(SER_hh_tes!E30=0,0,11630*1000*SER_hh_tes!E30/SER_hh_num!E30)</f>
        <v>8242.9997446557281</v>
      </c>
      <c r="F30" s="132">
        <f>IF(SER_hh_tes!F30=0,0,11630*1000*SER_hh_tes!F30/SER_hh_num!F30)</f>
        <v>8164.6414983463837</v>
      </c>
      <c r="G30" s="132">
        <f>IF(SER_hh_tes!G30=0,0,11630*1000*SER_hh_tes!G30/SER_hh_num!G30)</f>
        <v>10318.374104025206</v>
      </c>
      <c r="H30" s="132">
        <f>IF(SER_hh_tes!H30=0,0,11630*1000*SER_hh_tes!H30/SER_hh_num!H30)</f>
        <v>8687.7832780157187</v>
      </c>
      <c r="I30" s="132">
        <f>IF(SER_hh_tes!I30=0,0,11630*1000*SER_hh_tes!I30/SER_hh_num!I30)</f>
        <v>8788.4259544771376</v>
      </c>
      <c r="J30" s="132">
        <f>IF(SER_hh_tes!J30=0,0,11630*1000*SER_hh_tes!J30/SER_hh_num!J30)</f>
        <v>10332.845269832902</v>
      </c>
      <c r="K30" s="132">
        <f>IF(SER_hh_tes!K30=0,0,11630*1000*SER_hh_tes!K30/SER_hh_num!K30)</f>
        <v>11010.341484013588</v>
      </c>
      <c r="L30" s="132">
        <f>IF(SER_hh_tes!L30=0,0,11630*1000*SER_hh_tes!L30/SER_hh_num!L30)</f>
        <v>6424.5925201147675</v>
      </c>
      <c r="M30" s="132">
        <f>IF(SER_hh_tes!M30=0,0,11630*1000*SER_hh_tes!M30/SER_hh_num!M30)</f>
        <v>7657.7048410520329</v>
      </c>
      <c r="N30" s="132">
        <f>IF(SER_hh_tes!N30=0,0,11630*1000*SER_hh_tes!N30/SER_hh_num!N30)</f>
        <v>6741.3177291863158</v>
      </c>
      <c r="O30" s="132">
        <f>IF(SER_hh_tes!O30=0,0,11630*1000*SER_hh_tes!O30/SER_hh_num!O30)</f>
        <v>6755.7297514408228</v>
      </c>
      <c r="P30" s="132">
        <f>IF(SER_hh_tes!P30=0,0,11630*1000*SER_hh_tes!P30/SER_hh_num!P30)</f>
        <v>10322.62444760405</v>
      </c>
      <c r="Q30" s="132">
        <f>IF(SER_hh_tes!Q30=0,0,11630*1000*SER_hh_tes!Q30/SER_hh_num!Q30)</f>
        <v>10131.795232947434</v>
      </c>
      <c r="R30" s="132">
        <f>IF(SER_hh_tes!R30=0,0,11630*1000*SER_hh_tes!R30/SER_hh_num!R30)</f>
        <v>8984.5500584831098</v>
      </c>
      <c r="S30" s="132">
        <f>IF(SER_hh_tes!S30=0,0,11630*1000*SER_hh_tes!S30/SER_hh_num!S30)</f>
        <v>8732.2969325891936</v>
      </c>
      <c r="T30" s="132">
        <f>IF(SER_hh_tes!T30=0,0,11630*1000*SER_hh_tes!T30/SER_hh_num!T30)</f>
        <v>11156.76046141744</v>
      </c>
      <c r="U30" s="132">
        <f>IF(SER_hh_tes!U30=0,0,11630*1000*SER_hh_tes!U30/SER_hh_num!U30)</f>
        <v>11113.051326327888</v>
      </c>
      <c r="V30" s="132">
        <f>IF(SER_hh_tes!V30=0,0,11630*1000*SER_hh_tes!V30/SER_hh_num!V30)</f>
        <v>8155.5753747760409</v>
      </c>
      <c r="W30" s="132">
        <f>IF(SER_hh_tes!W30=0,0,11630*1000*SER_hh_tes!W30/SER_hh_num!W30)</f>
        <v>7684.7135710113298</v>
      </c>
      <c r="X30" s="132">
        <f>IF(SER_hh_tes!X30=0,0,11630*1000*SER_hh_tes!X30/SER_hh_num!X30)</f>
        <v>10737.525911430164</v>
      </c>
      <c r="Y30" s="132">
        <f>IF(SER_hh_tes!Y30=0,0,11630*1000*SER_hh_tes!Y30/SER_hh_num!Y30)</f>
        <v>10187.444331354516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7455.9694039425176</v>
      </c>
      <c r="C31" s="132">
        <f>IF(SER_hh_tes!C31=0,0,11630*1000*SER_hh_tes!C31/SER_hh_num!C31)</f>
        <v>7846.3187718248764</v>
      </c>
      <c r="D31" s="132">
        <f>IF(SER_hh_tes!D31=0,0,11630*1000*SER_hh_tes!D31/SER_hh_num!D31)</f>
        <v>8428.5932764985009</v>
      </c>
      <c r="E31" s="132">
        <f>IF(SER_hh_tes!E31=0,0,11630*1000*SER_hh_tes!E31/SER_hh_num!E31)</f>
        <v>8364.7199484478606</v>
      </c>
      <c r="F31" s="132">
        <f>IF(SER_hh_tes!F31=0,0,11630*1000*SER_hh_tes!F31/SER_hh_num!F31)</f>
        <v>8870.0225754906114</v>
      </c>
      <c r="G31" s="132">
        <f>IF(SER_hh_tes!G31=0,0,11630*1000*SER_hh_tes!G31/SER_hh_num!G31)</f>
        <v>9024.8494356245828</v>
      </c>
      <c r="H31" s="132">
        <f>IF(SER_hh_tes!H31=0,0,11630*1000*SER_hh_tes!H31/SER_hh_num!H31)</f>
        <v>9050.3625635798526</v>
      </c>
      <c r="I31" s="132">
        <f>IF(SER_hh_tes!I31=0,0,11630*1000*SER_hh_tes!I31/SER_hh_num!I31)</f>
        <v>8966.1498369383244</v>
      </c>
      <c r="J31" s="132">
        <f>IF(SER_hh_tes!J31=0,0,11630*1000*SER_hh_tes!J31/SER_hh_num!J31)</f>
        <v>8648.2243980431085</v>
      </c>
      <c r="K31" s="132">
        <f>IF(SER_hh_tes!K31=0,0,11630*1000*SER_hh_tes!K31/SER_hh_num!K31)</f>
        <v>8739.4528199988872</v>
      </c>
      <c r="L31" s="132">
        <f>IF(SER_hh_tes!L31=0,0,11630*1000*SER_hh_tes!L31/SER_hh_num!L31)</f>
        <v>9732.4398202680986</v>
      </c>
      <c r="M31" s="132">
        <f>IF(SER_hh_tes!M31=0,0,11630*1000*SER_hh_tes!M31/SER_hh_num!M31)</f>
        <v>9094.2904763228544</v>
      </c>
      <c r="N31" s="132">
        <f>IF(SER_hh_tes!N31=0,0,11630*1000*SER_hh_tes!N31/SER_hh_num!N31)</f>
        <v>8520.6349557024969</v>
      </c>
      <c r="O31" s="132">
        <f>IF(SER_hh_tes!O31=0,0,11630*1000*SER_hh_tes!O31/SER_hh_num!O31)</f>
        <v>9425.3146711609188</v>
      </c>
      <c r="P31" s="132">
        <f>IF(SER_hh_tes!P31=0,0,11630*1000*SER_hh_tes!P31/SER_hh_num!P31)</f>
        <v>8882.0060029927299</v>
      </c>
      <c r="Q31" s="132">
        <f>IF(SER_hh_tes!Q31=0,0,11630*1000*SER_hh_tes!Q31/SER_hh_num!Q31)</f>
        <v>9402.0906052412629</v>
      </c>
      <c r="R31" s="132">
        <f>IF(SER_hh_tes!R31=0,0,11630*1000*SER_hh_tes!R31/SER_hh_num!R31)</f>
        <v>9564.607340692397</v>
      </c>
      <c r="S31" s="132">
        <f>IF(SER_hh_tes!S31=0,0,11630*1000*SER_hh_tes!S31/SER_hh_num!S31)</f>
        <v>9590.6618097193241</v>
      </c>
      <c r="T31" s="132">
        <f>IF(SER_hh_tes!T31=0,0,11630*1000*SER_hh_tes!T31/SER_hh_num!T31)</f>
        <v>9705.9225908209919</v>
      </c>
      <c r="U31" s="132">
        <f>IF(SER_hh_tes!U31=0,0,11630*1000*SER_hh_tes!U31/SER_hh_num!U31)</f>
        <v>10110.508096764559</v>
      </c>
      <c r="V31" s="132">
        <f>IF(SER_hh_tes!V31=0,0,11630*1000*SER_hh_tes!V31/SER_hh_num!V31)</f>
        <v>9677.4833163082658</v>
      </c>
      <c r="W31" s="132">
        <f>IF(SER_hh_tes!W31=0,0,11630*1000*SER_hh_tes!W31/SER_hh_num!W31)</f>
        <v>9585.7703769982982</v>
      </c>
      <c r="X31" s="132">
        <f>IF(SER_hh_tes!X31=0,0,11630*1000*SER_hh_tes!X31/SER_hh_num!X31)</f>
        <v>9586.3116819645093</v>
      </c>
      <c r="Y31" s="132">
        <f>IF(SER_hh_tes!Y31=0,0,11630*1000*SER_hh_tes!Y31/SER_hh_num!Y31)</f>
        <v>10227.399938688723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15758.42909759615</v>
      </c>
      <c r="O32" s="132">
        <f>IF(SER_hh_tes!O32=0,0,11630*1000*SER_hh_tes!O32/SER_hh_num!O32)</f>
        <v>8588.9627241746657</v>
      </c>
      <c r="P32" s="132">
        <f>IF(SER_hh_tes!P32=0,0,11630*1000*SER_hh_tes!P32/SER_hh_num!P32)</f>
        <v>8638.6120305719542</v>
      </c>
      <c r="Q32" s="132">
        <f>IF(SER_hh_tes!Q32=0,0,11630*1000*SER_hh_tes!Q32/SER_hh_num!Q32)</f>
        <v>9741.2134029765039</v>
      </c>
      <c r="R32" s="132">
        <f>IF(SER_hh_tes!R32=0,0,11630*1000*SER_hh_tes!R32/SER_hh_num!R32)</f>
        <v>8630.3012799262706</v>
      </c>
      <c r="S32" s="132">
        <f>IF(SER_hh_tes!S32=0,0,11630*1000*SER_hh_tes!S32/SER_hh_num!S32)</f>
        <v>9503.112737716534</v>
      </c>
      <c r="T32" s="132">
        <f>IF(SER_hh_tes!T32=0,0,11630*1000*SER_hh_tes!T32/SER_hh_num!T32)</f>
        <v>10433.286686375375</v>
      </c>
      <c r="U32" s="132">
        <f>IF(SER_hh_tes!U32=0,0,11630*1000*SER_hh_tes!U32/SER_hh_num!U32)</f>
        <v>10296.417227000962</v>
      </c>
      <c r="V32" s="132">
        <f>IF(SER_hh_tes!V32=0,0,11630*1000*SER_hh_tes!V32/SER_hh_num!V32)</f>
        <v>7715.8934763780271</v>
      </c>
      <c r="W32" s="132">
        <f>IF(SER_hh_tes!W32=0,0,11630*1000*SER_hh_tes!W32/SER_hh_num!W32)</f>
        <v>9772.757754160215</v>
      </c>
      <c r="X32" s="132">
        <f>IF(SER_hh_tes!X32=0,0,11630*1000*SER_hh_tes!X32/SER_hh_num!X32)</f>
        <v>9885.6346535384764</v>
      </c>
      <c r="Y32" s="132">
        <f>IF(SER_hh_tes!Y32=0,0,11630*1000*SER_hh_tes!Y32/SER_hh_num!Y32)</f>
        <v>10267.447220976921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7243.0727588333939</v>
      </c>
      <c r="C33" s="68">
        <f>IF(SER_hh_tes!C33=0,0,11630*1000*SER_hh_tes!C33/SER_hh_num!C33)</f>
        <v>8228.8350916564596</v>
      </c>
      <c r="D33" s="68">
        <f>IF(SER_hh_tes!D33=0,0,11630*1000*SER_hh_tes!D33/SER_hh_num!D33)</f>
        <v>8399.8016601489089</v>
      </c>
      <c r="E33" s="68">
        <f>IF(SER_hh_tes!E33=0,0,11630*1000*SER_hh_tes!E33/SER_hh_num!E33)</f>
        <v>8978.2697207171259</v>
      </c>
      <c r="F33" s="68">
        <f>IF(SER_hh_tes!F33=0,0,11630*1000*SER_hh_tes!F33/SER_hh_num!F33)</f>
        <v>9151.1298643597347</v>
      </c>
      <c r="G33" s="68">
        <f>IF(SER_hh_tes!G33=0,0,11630*1000*SER_hh_tes!G33/SER_hh_num!G33)</f>
        <v>7910.7169336586212</v>
      </c>
      <c r="H33" s="68">
        <f>IF(SER_hh_tes!H33=0,0,11630*1000*SER_hh_tes!H33/SER_hh_num!H33)</f>
        <v>9164.4186054369329</v>
      </c>
      <c r="I33" s="68">
        <f>IF(SER_hh_tes!I33=0,0,11630*1000*SER_hh_tes!I33/SER_hh_num!I33)</f>
        <v>9063.2966195842655</v>
      </c>
      <c r="J33" s="68">
        <f>IF(SER_hh_tes!J33=0,0,11630*1000*SER_hh_tes!J33/SER_hh_num!J33)</f>
        <v>8595.5059996781911</v>
      </c>
      <c r="K33" s="68">
        <f>IF(SER_hh_tes!K33=0,0,11630*1000*SER_hh_tes!K33/SER_hh_num!K33)</f>
        <v>8227.2995777202432</v>
      </c>
      <c r="L33" s="68">
        <f>IF(SER_hh_tes!L33=0,0,11630*1000*SER_hh_tes!L33/SER_hh_num!L33)</f>
        <v>10107.813565066263</v>
      </c>
      <c r="M33" s="68">
        <f>IF(SER_hh_tes!M33=0,0,11630*1000*SER_hh_tes!M33/SER_hh_num!M33)</f>
        <v>9626.3598483675851</v>
      </c>
      <c r="N33" s="68">
        <f>IF(SER_hh_tes!N33=0,0,11630*1000*SER_hh_tes!N33/SER_hh_num!N33)</f>
        <v>9177.2428270731198</v>
      </c>
      <c r="O33" s="68">
        <f>IF(SER_hh_tes!O33=0,0,11630*1000*SER_hh_tes!O33/SER_hh_num!O33)</f>
        <v>8884.8402335356895</v>
      </c>
      <c r="P33" s="68">
        <f>IF(SER_hh_tes!P33=0,0,11630*1000*SER_hh_tes!P33/SER_hh_num!P33)</f>
        <v>8876.7805720934666</v>
      </c>
      <c r="Q33" s="68">
        <f>IF(SER_hh_tes!Q33=0,0,11630*1000*SER_hh_tes!Q33/SER_hh_num!Q33)</f>
        <v>8720.7566796973424</v>
      </c>
      <c r="R33" s="68">
        <f>IF(SER_hh_tes!R33=0,0,11630*1000*SER_hh_tes!R33/SER_hh_num!R33)</f>
        <v>9728.8987746393523</v>
      </c>
      <c r="S33" s="68">
        <f>IF(SER_hh_tes!S33=0,0,11630*1000*SER_hh_tes!S33/SER_hh_num!S33)</f>
        <v>10221.887327397077</v>
      </c>
      <c r="T33" s="68">
        <f>IF(SER_hh_tes!T33=0,0,11630*1000*SER_hh_tes!T33/SER_hh_num!T33)</f>
        <v>9033.5987359208921</v>
      </c>
      <c r="U33" s="68">
        <f>IF(SER_hh_tes!U33=0,0,11630*1000*SER_hh_tes!U33/SER_hh_num!U33)</f>
        <v>9008.4436520096551</v>
      </c>
      <c r="V33" s="68">
        <f>IF(SER_hh_tes!V33=0,0,11630*1000*SER_hh_tes!V33/SER_hh_num!V33)</f>
        <v>9673.4042665123397</v>
      </c>
      <c r="W33" s="68">
        <f>IF(SER_hh_tes!W33=0,0,11630*1000*SER_hh_tes!W33/SER_hh_num!W33)</f>
        <v>10011.044622331949</v>
      </c>
      <c r="X33" s="68">
        <f>IF(SER_hh_tes!X33=0,0,11630*1000*SER_hh_tes!X33/SER_hh_num!X33)</f>
        <v>9904.2440844121993</v>
      </c>
      <c r="Y33" s="68">
        <f>IF(SER_hh_tes!Y33=0,0,11630*1000*SER_hh_tes!Y33/SER_hh_num!Y33)</f>
        <v>10117.361331358306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8161.7144635352524</v>
      </c>
      <c r="C3" s="125">
        <f>IF(SER_hh_emi!C3=0,0,1000000*SER_hh_emi!C3/SER_hh_num!C3)</f>
        <v>8683.7061178557688</v>
      </c>
      <c r="D3" s="125">
        <f>IF(SER_hh_emi!D3=0,0,1000000*SER_hh_emi!D3/SER_hh_num!D3)</f>
        <v>9259.1080546029716</v>
      </c>
      <c r="E3" s="125">
        <f>IF(SER_hh_emi!E3=0,0,1000000*SER_hh_emi!E3/SER_hh_num!E3)</f>
        <v>9626.8456411829575</v>
      </c>
      <c r="F3" s="125">
        <f>IF(SER_hh_emi!F3=0,0,1000000*SER_hh_emi!F3/SER_hh_num!F3)</f>
        <v>11557.203048603802</v>
      </c>
      <c r="G3" s="125">
        <f>IF(SER_hh_emi!G3=0,0,1000000*SER_hh_emi!G3/SER_hh_num!G3)</f>
        <v>12737.565382282941</v>
      </c>
      <c r="H3" s="125">
        <f>IF(SER_hh_emi!H3=0,0,1000000*SER_hh_emi!H3/SER_hh_num!H3)</f>
        <v>11842.556021587352</v>
      </c>
      <c r="I3" s="125">
        <f>IF(SER_hh_emi!I3=0,0,1000000*SER_hh_emi!I3/SER_hh_num!I3)</f>
        <v>10767.576400467595</v>
      </c>
      <c r="J3" s="125">
        <f>IF(SER_hh_emi!J3=0,0,1000000*SER_hh_emi!J3/SER_hh_num!J3)</f>
        <v>8811.3285423823563</v>
      </c>
      <c r="K3" s="125">
        <f>IF(SER_hh_emi!K3=0,0,1000000*SER_hh_emi!K3/SER_hh_num!K3)</f>
        <v>9973.288563142547</v>
      </c>
      <c r="L3" s="125">
        <f>IF(SER_hh_emi!L3=0,0,1000000*SER_hh_emi!L3/SER_hh_num!L3)</f>
        <v>6771.6615090045725</v>
      </c>
      <c r="M3" s="125">
        <f>IF(SER_hh_emi!M3=0,0,1000000*SER_hh_emi!M3/SER_hh_num!M3)</f>
        <v>6025.4442646705811</v>
      </c>
      <c r="N3" s="125">
        <f>IF(SER_hh_emi!N3=0,0,1000000*SER_hh_emi!N3/SER_hh_num!N3)</f>
        <v>5295.7175118616888</v>
      </c>
      <c r="O3" s="125">
        <f>IF(SER_hh_emi!O3=0,0,1000000*SER_hh_emi!O3/SER_hh_num!O3)</f>
        <v>5165.8359210365788</v>
      </c>
      <c r="P3" s="125">
        <f>IF(SER_hh_emi!P3=0,0,1000000*SER_hh_emi!P3/SER_hh_num!P3)</f>
        <v>5369.2280618364839</v>
      </c>
      <c r="Q3" s="125">
        <f>IF(SER_hh_emi!Q3=0,0,1000000*SER_hh_emi!Q3/SER_hh_num!Q3)</f>
        <v>5849.5566399815334</v>
      </c>
      <c r="R3" s="125">
        <f>IF(SER_hh_emi!R3=0,0,1000000*SER_hh_emi!R3/SER_hh_num!R3)</f>
        <v>5569.4901934139452</v>
      </c>
      <c r="S3" s="125">
        <f>IF(SER_hh_emi!S3=0,0,1000000*SER_hh_emi!S3/SER_hh_num!S3)</f>
        <v>5478.1233182991555</v>
      </c>
      <c r="T3" s="125">
        <f>IF(SER_hh_emi!T3=0,0,1000000*SER_hh_emi!T3/SER_hh_num!T3)</f>
        <v>5867.9070995843549</v>
      </c>
      <c r="U3" s="125">
        <f>IF(SER_hh_emi!U3=0,0,1000000*SER_hh_emi!U3/SER_hh_num!U3)</f>
        <v>5698.5316529691818</v>
      </c>
      <c r="V3" s="125">
        <f>IF(SER_hh_emi!V3=0,0,1000000*SER_hh_emi!V3/SER_hh_num!V3)</f>
        <v>4464.6990469612274</v>
      </c>
      <c r="W3" s="125">
        <f>IF(SER_hh_emi!W3=0,0,1000000*SER_hh_emi!W3/SER_hh_num!W3)</f>
        <v>4730.9102668131081</v>
      </c>
      <c r="X3" s="125">
        <f>IF(SER_hh_emi!X3=0,0,1000000*SER_hh_emi!X3/SER_hh_num!X3)</f>
        <v>4782.4630053633682</v>
      </c>
      <c r="Y3" s="125">
        <f>IF(SER_hh_emi!Y3=0,0,1000000*SER_hh_emi!Y3/SER_hh_num!Y3)</f>
        <v>4621.2182083167636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5502.3299443610977</v>
      </c>
      <c r="C4" s="130">
        <f>IF(SER_hh_emi!C4=0,0,1000000*SER_hh_emi!C4/SER_hh_num!C4)</f>
        <v>6345.7681616557102</v>
      </c>
      <c r="D4" s="130">
        <f>IF(SER_hh_emi!D4=0,0,1000000*SER_hh_emi!D4/SER_hh_num!D4)</f>
        <v>6685.2301008966569</v>
      </c>
      <c r="E4" s="130">
        <f>IF(SER_hh_emi!E4=0,0,1000000*SER_hh_emi!E4/SER_hh_num!E4)</f>
        <v>7026.3399870476769</v>
      </c>
      <c r="F4" s="130">
        <f>IF(SER_hh_emi!F4=0,0,1000000*SER_hh_emi!F4/SER_hh_num!F4)</f>
        <v>8821.1448049738792</v>
      </c>
      <c r="G4" s="130">
        <f>IF(SER_hh_emi!G4=0,0,1000000*SER_hh_emi!G4/SER_hh_num!G4)</f>
        <v>9512.2765298395079</v>
      </c>
      <c r="H4" s="130">
        <f>IF(SER_hh_emi!H4=0,0,1000000*SER_hh_emi!H4/SER_hh_num!H4)</f>
        <v>8840.1868235300044</v>
      </c>
      <c r="I4" s="130">
        <f>IF(SER_hh_emi!I4=0,0,1000000*SER_hh_emi!I4/SER_hh_num!I4)</f>
        <v>7732.2192772565913</v>
      </c>
      <c r="J4" s="130">
        <f>IF(SER_hh_emi!J4=0,0,1000000*SER_hh_emi!J4/SER_hh_num!J4)</f>
        <v>5634.1743685250585</v>
      </c>
      <c r="K4" s="130">
        <f>IF(SER_hh_emi!K4=0,0,1000000*SER_hh_emi!K4/SER_hh_num!K4)</f>
        <v>6896.6188870009028</v>
      </c>
      <c r="L4" s="130">
        <f>IF(SER_hh_emi!L4=0,0,1000000*SER_hh_emi!L4/SER_hh_num!L4)</f>
        <v>4449.713561515593</v>
      </c>
      <c r="M4" s="130">
        <f>IF(SER_hh_emi!M4=0,0,1000000*SER_hh_emi!M4/SER_hh_num!M4)</f>
        <v>3681.1465826046287</v>
      </c>
      <c r="N4" s="130">
        <f>IF(SER_hh_emi!N4=0,0,1000000*SER_hh_emi!N4/SER_hh_num!N4)</f>
        <v>3005.3831239700135</v>
      </c>
      <c r="O4" s="130">
        <f>IF(SER_hh_emi!O4=0,0,1000000*SER_hh_emi!O4/SER_hh_num!O4)</f>
        <v>2732.4307554820134</v>
      </c>
      <c r="P4" s="130">
        <f>IF(SER_hh_emi!P4=0,0,1000000*SER_hh_emi!P4/SER_hh_num!P4)</f>
        <v>2559.7829753856645</v>
      </c>
      <c r="Q4" s="130">
        <f>IF(SER_hh_emi!Q4=0,0,1000000*SER_hh_emi!Q4/SER_hh_num!Q4)</f>
        <v>2888.7732894863766</v>
      </c>
      <c r="R4" s="130">
        <f>IF(SER_hh_emi!R4=0,0,1000000*SER_hh_emi!R4/SER_hh_num!R4)</f>
        <v>2636.0478894857524</v>
      </c>
      <c r="S4" s="130">
        <f>IF(SER_hh_emi!S4=0,0,1000000*SER_hh_emi!S4/SER_hh_num!S4)</f>
        <v>2511.3961326718431</v>
      </c>
      <c r="T4" s="130">
        <f>IF(SER_hh_emi!T4=0,0,1000000*SER_hh_emi!T4/SER_hh_num!T4)</f>
        <v>2580.7901084487848</v>
      </c>
      <c r="U4" s="130">
        <f>IF(SER_hh_emi!U4=0,0,1000000*SER_hh_emi!U4/SER_hh_num!U4)</f>
        <v>2450.6215784350425</v>
      </c>
      <c r="V4" s="130">
        <f>IF(SER_hh_emi!V4=0,0,1000000*SER_hh_emi!V4/SER_hh_num!V4)</f>
        <v>1813.9120121821265</v>
      </c>
      <c r="W4" s="130">
        <f>IF(SER_hh_emi!W4=0,0,1000000*SER_hh_emi!W4/SER_hh_num!W4)</f>
        <v>2183.1067535207108</v>
      </c>
      <c r="X4" s="130">
        <f>IF(SER_hh_emi!X4=0,0,1000000*SER_hh_emi!X4/SER_hh_num!X4)</f>
        <v>1982.3857020159708</v>
      </c>
      <c r="Y4" s="130">
        <f>IF(SER_hh_emi!Y4=0,0,1000000*SER_hh_emi!Y4/SER_hh_num!Y4)</f>
        <v>1828.134899688931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0</v>
      </c>
      <c r="C5" s="132">
        <f>IF(SER_hh_emi!C5=0,0,1000000*SER_hh_emi!C5/SER_hh_num!C5)</f>
        <v>0</v>
      </c>
      <c r="D5" s="132">
        <f>IF(SER_hh_emi!D5=0,0,1000000*SER_hh_emi!D5/SER_hh_num!D5)</f>
        <v>0</v>
      </c>
      <c r="E5" s="132">
        <f>IF(SER_hh_emi!E5=0,0,1000000*SER_hh_emi!E5/SER_hh_num!E5)</f>
        <v>0</v>
      </c>
      <c r="F5" s="132">
        <f>IF(SER_hh_emi!F5=0,0,1000000*SER_hh_emi!F5/SER_hh_num!F5)</f>
        <v>0</v>
      </c>
      <c r="G5" s="132">
        <f>IF(SER_hh_emi!G5=0,0,1000000*SER_hh_emi!G5/SER_hh_num!G5)</f>
        <v>0</v>
      </c>
      <c r="H5" s="132">
        <f>IF(SER_hh_emi!H5=0,0,1000000*SER_hh_emi!H5/SER_hh_num!H5)</f>
        <v>0</v>
      </c>
      <c r="I5" s="132">
        <f>IF(SER_hh_emi!I5=0,0,1000000*SER_hh_emi!I5/SER_hh_num!I5)</f>
        <v>0</v>
      </c>
      <c r="J5" s="132">
        <f>IF(SER_hh_emi!J5=0,0,1000000*SER_hh_emi!J5/SER_hh_num!J5)</f>
        <v>0</v>
      </c>
      <c r="K5" s="132">
        <f>IF(SER_hh_emi!K5=0,0,1000000*SER_hh_emi!K5/SER_hh_num!K5)</f>
        <v>0</v>
      </c>
      <c r="L5" s="132">
        <f>IF(SER_hh_emi!L5=0,0,1000000*SER_hh_emi!L5/SER_hh_num!L5)</f>
        <v>0</v>
      </c>
      <c r="M5" s="132">
        <f>IF(SER_hh_emi!M5=0,0,1000000*SER_hh_emi!M5/SER_hh_num!M5)</f>
        <v>0</v>
      </c>
      <c r="N5" s="132">
        <f>IF(SER_hh_emi!N5=0,0,1000000*SER_hh_emi!N5/SER_hh_num!N5)</f>
        <v>0</v>
      </c>
      <c r="O5" s="132">
        <f>IF(SER_hh_emi!O5=0,0,1000000*SER_hh_emi!O5/SER_hh_num!O5)</f>
        <v>0</v>
      </c>
      <c r="P5" s="132">
        <f>IF(SER_hh_emi!P5=0,0,1000000*SER_hh_emi!P5/SER_hh_num!P5)</f>
        <v>0</v>
      </c>
      <c r="Q5" s="132">
        <f>IF(SER_hh_emi!Q5=0,0,1000000*SER_hh_emi!Q5/SER_hh_num!Q5)</f>
        <v>0</v>
      </c>
      <c r="R5" s="132">
        <f>IF(SER_hh_emi!R5=0,0,1000000*SER_hh_emi!R5/SER_hh_num!R5)</f>
        <v>0</v>
      </c>
      <c r="S5" s="132">
        <f>IF(SER_hh_emi!S5=0,0,1000000*SER_hh_emi!S5/SER_hh_num!S5)</f>
        <v>0</v>
      </c>
      <c r="T5" s="132">
        <f>IF(SER_hh_emi!T5=0,0,1000000*SER_hh_emi!T5/SER_hh_num!T5)</f>
        <v>0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0</v>
      </c>
      <c r="Y5" s="132">
        <f>IF(SER_hh_emi!Y5=0,0,1000000*SER_hh_emi!Y5/SER_hh_num!Y5)</f>
        <v>0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9172.7276941680575</v>
      </c>
      <c r="C7" s="132">
        <f>IF(SER_hh_emi!C7=0,0,1000000*SER_hh_emi!C7/SER_hh_num!C7)</f>
        <v>10407.199277700483</v>
      </c>
      <c r="D7" s="132">
        <f>IF(SER_hh_emi!D7=0,0,1000000*SER_hh_emi!D7/SER_hh_num!D7)</f>
        <v>11240.886412881764</v>
      </c>
      <c r="E7" s="132">
        <f>IF(SER_hh_emi!E7=0,0,1000000*SER_hh_emi!E7/SER_hh_num!E7)</f>
        <v>12636.926100468738</v>
      </c>
      <c r="F7" s="132">
        <f>IF(SER_hh_emi!F7=0,0,1000000*SER_hh_emi!F7/SER_hh_num!F7)</f>
        <v>16916.262056651463</v>
      </c>
      <c r="G7" s="132">
        <f>IF(SER_hh_emi!G7=0,0,1000000*SER_hh_emi!G7/SER_hh_num!G7)</f>
        <v>20495.259992815911</v>
      </c>
      <c r="H7" s="132">
        <f>IF(SER_hh_emi!H7=0,0,1000000*SER_hh_emi!H7/SER_hh_num!H7)</f>
        <v>21193.14697593157</v>
      </c>
      <c r="I7" s="132">
        <f>IF(SER_hh_emi!I7=0,0,1000000*SER_hh_emi!I7/SER_hh_num!I7)</f>
        <v>21658.709657148436</v>
      </c>
      <c r="J7" s="132">
        <f>IF(SER_hh_emi!J7=0,0,1000000*SER_hh_emi!J7/SER_hh_num!J7)</f>
        <v>17876.05607169932</v>
      </c>
      <c r="K7" s="132">
        <f>IF(SER_hh_emi!K7=0,0,1000000*SER_hh_emi!K7/SER_hh_num!K7)</f>
        <v>26921.782110857323</v>
      </c>
      <c r="L7" s="132">
        <f>IF(SER_hh_emi!L7=0,0,1000000*SER_hh_emi!L7/SER_hh_num!L7)</f>
        <v>20822.580870501217</v>
      </c>
      <c r="M7" s="132">
        <f>IF(SER_hh_emi!M7=0,0,1000000*SER_hh_emi!M7/SER_hh_num!M7)</f>
        <v>19444.615509518953</v>
      </c>
      <c r="N7" s="132">
        <f>IF(SER_hh_emi!N7=0,0,1000000*SER_hh_emi!N7/SER_hh_num!N7)</f>
        <v>19296.992057845586</v>
      </c>
      <c r="O7" s="132">
        <f>IF(SER_hh_emi!O7=0,0,1000000*SER_hh_emi!O7/SER_hh_num!O7)</f>
        <v>21710.206211165743</v>
      </c>
      <c r="P7" s="132">
        <f>IF(SER_hh_emi!P7=0,0,1000000*SER_hh_emi!P7/SER_hh_num!P7)</f>
        <v>23001.194010786247</v>
      </c>
      <c r="Q7" s="132">
        <f>IF(SER_hh_emi!Q7=0,0,1000000*SER_hh_emi!Q7/SER_hh_num!Q7)</f>
        <v>29734.104978770567</v>
      </c>
      <c r="R7" s="132">
        <f>IF(SER_hh_emi!R7=0,0,1000000*SER_hh_emi!R7/SER_hh_num!R7)</f>
        <v>22492.219583480095</v>
      </c>
      <c r="S7" s="132">
        <f>IF(SER_hh_emi!S7=0,0,1000000*SER_hh_emi!S7/SER_hh_num!S7)</f>
        <v>20841.66852263502</v>
      </c>
      <c r="T7" s="132">
        <f>IF(SER_hh_emi!T7=0,0,1000000*SER_hh_emi!T7/SER_hh_num!T7)</f>
        <v>22554.344303830716</v>
      </c>
      <c r="U7" s="132">
        <f>IF(SER_hh_emi!U7=0,0,1000000*SER_hh_emi!U7/SER_hh_num!U7)</f>
        <v>22126.302639128935</v>
      </c>
      <c r="V7" s="132">
        <f>IF(SER_hh_emi!V7=0,0,1000000*SER_hh_emi!V7/SER_hh_num!V7)</f>
        <v>20357.876786072793</v>
      </c>
      <c r="W7" s="132">
        <f>IF(SER_hh_emi!W7=0,0,1000000*SER_hh_emi!W7/SER_hh_num!W7)</f>
        <v>21537.370375870854</v>
      </c>
      <c r="X7" s="132">
        <f>IF(SER_hh_emi!X7=0,0,1000000*SER_hh_emi!X7/SER_hh_num!X7)</f>
        <v>22629.512515913877</v>
      </c>
      <c r="Y7" s="132">
        <f>IF(SER_hh_emi!Y7=0,0,1000000*SER_hh_emi!Y7/SER_hh_num!Y7)</f>
        <v>22349.460204504379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2798.3776959241518</v>
      </c>
      <c r="C8" s="132">
        <f>IF(SER_hh_emi!C8=0,0,1000000*SER_hh_emi!C8/SER_hh_num!C8)</f>
        <v>3136.7910419177419</v>
      </c>
      <c r="D8" s="132">
        <f>IF(SER_hh_emi!D8=0,0,1000000*SER_hh_emi!D8/SER_hh_num!D8)</f>
        <v>3743.8900870739844</v>
      </c>
      <c r="E8" s="132">
        <f>IF(SER_hh_emi!E8=0,0,1000000*SER_hh_emi!E8/SER_hh_num!E8)</f>
        <v>4381.9841927320604</v>
      </c>
      <c r="F8" s="132">
        <f>IF(SER_hh_emi!F8=0,0,1000000*SER_hh_emi!F8/SER_hh_num!F8)</f>
        <v>4803.2980989125635</v>
      </c>
      <c r="G8" s="132">
        <f>IF(SER_hh_emi!G8=0,0,1000000*SER_hh_emi!G8/SER_hh_num!G8)</f>
        <v>4975.1247352952278</v>
      </c>
      <c r="H8" s="132">
        <f>IF(SER_hh_emi!H8=0,0,1000000*SER_hh_emi!H8/SER_hh_num!H8)</f>
        <v>5418.7168235057761</v>
      </c>
      <c r="I8" s="132">
        <f>IF(SER_hh_emi!I8=0,0,1000000*SER_hh_emi!I8/SER_hh_num!I8)</f>
        <v>5432.5081085676302</v>
      </c>
      <c r="J8" s="132">
        <f>IF(SER_hh_emi!J8=0,0,1000000*SER_hh_emi!J8/SER_hh_num!J8)</f>
        <v>5492.4878656754772</v>
      </c>
      <c r="K8" s="132">
        <f>IF(SER_hh_emi!K8=0,0,1000000*SER_hh_emi!K8/SER_hh_num!K8)</f>
        <v>5009.0893365459442</v>
      </c>
      <c r="L8" s="132">
        <f>IF(SER_hh_emi!L8=0,0,1000000*SER_hh_emi!L8/SER_hh_num!L8)</f>
        <v>4887.0316464428452</v>
      </c>
      <c r="M8" s="132">
        <f>IF(SER_hh_emi!M8=0,0,1000000*SER_hh_emi!M8/SER_hh_num!M8)</f>
        <v>5027.6720569157342</v>
      </c>
      <c r="N8" s="132">
        <f>IF(SER_hh_emi!N8=0,0,1000000*SER_hh_emi!N8/SER_hh_num!N8)</f>
        <v>4967.335430026762</v>
      </c>
      <c r="O8" s="132">
        <f>IF(SER_hh_emi!O8=0,0,1000000*SER_hh_emi!O8/SER_hh_num!O8)</f>
        <v>5147.1631587259353</v>
      </c>
      <c r="P8" s="132">
        <f>IF(SER_hh_emi!P8=0,0,1000000*SER_hh_emi!P8/SER_hh_num!P8)</f>
        <v>5592.2071455739879</v>
      </c>
      <c r="Q8" s="132">
        <f>IF(SER_hh_emi!Q8=0,0,1000000*SER_hh_emi!Q8/SER_hh_num!Q8)</f>
        <v>5753.0280010674451</v>
      </c>
      <c r="R8" s="132">
        <f>IF(SER_hh_emi!R8=0,0,1000000*SER_hh_emi!R8/SER_hh_num!R8)</f>
        <v>5413.8394260880332</v>
      </c>
      <c r="S8" s="132">
        <f>IF(SER_hh_emi!S8=0,0,1000000*SER_hh_emi!S8/SER_hh_num!S8)</f>
        <v>5221.8336848384643</v>
      </c>
      <c r="T8" s="132">
        <f>IF(SER_hh_emi!T8=0,0,1000000*SER_hh_emi!T8/SER_hh_num!T8)</f>
        <v>5242.6900915740835</v>
      </c>
      <c r="U8" s="132">
        <f>IF(SER_hh_emi!U8=0,0,1000000*SER_hh_emi!U8/SER_hh_num!U8)</f>
        <v>5235.5341268772445</v>
      </c>
      <c r="V8" s="132">
        <f>IF(SER_hh_emi!V8=0,0,1000000*SER_hh_emi!V8/SER_hh_num!V8)</f>
        <v>4865.7500920358934</v>
      </c>
      <c r="W8" s="132">
        <f>IF(SER_hh_emi!W8=0,0,1000000*SER_hh_emi!W8/SER_hh_num!W8)</f>
        <v>5021.4147917590553</v>
      </c>
      <c r="X8" s="132">
        <f>IF(SER_hh_emi!X8=0,0,1000000*SER_hh_emi!X8/SER_hh_num!X8)</f>
        <v>5211.4791241789644</v>
      </c>
      <c r="Y8" s="132">
        <f>IF(SER_hh_emi!Y8=0,0,1000000*SER_hh_emi!Y8/SER_hh_num!Y8)</f>
        <v>5236.2272171560762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5840.685740817722</v>
      </c>
      <c r="C9" s="132">
        <f>IF(SER_hh_emi!C9=0,0,1000000*SER_hh_emi!C9/SER_hh_num!C9)</f>
        <v>6809.6248505089507</v>
      </c>
      <c r="D9" s="132">
        <f>IF(SER_hh_emi!D9=0,0,1000000*SER_hh_emi!D9/SER_hh_num!D9)</f>
        <v>8537.5050038445224</v>
      </c>
      <c r="E9" s="132">
        <f>IF(SER_hh_emi!E9=0,0,1000000*SER_hh_emi!E9/SER_hh_num!E9)</f>
        <v>9217.5566473404342</v>
      </c>
      <c r="F9" s="132">
        <f>IF(SER_hh_emi!F9=0,0,1000000*SER_hh_emi!F9/SER_hh_num!F9)</f>
        <v>11742.533037868567</v>
      </c>
      <c r="G9" s="132">
        <f>IF(SER_hh_emi!G9=0,0,1000000*SER_hh_emi!G9/SER_hh_num!G9)</f>
        <v>11801.765030491451</v>
      </c>
      <c r="H9" s="132">
        <f>IF(SER_hh_emi!H9=0,0,1000000*SER_hh_emi!H9/SER_hh_num!H9)</f>
        <v>13732.200587223377</v>
      </c>
      <c r="I9" s="132">
        <f>IF(SER_hh_emi!I9=0,0,1000000*SER_hh_emi!I9/SER_hh_num!I9)</f>
        <v>14410.117478317745</v>
      </c>
      <c r="J9" s="132">
        <f>IF(SER_hh_emi!J9=0,0,1000000*SER_hh_emi!J9/SER_hh_num!J9)</f>
        <v>14590.945762873693</v>
      </c>
      <c r="K9" s="132">
        <f>IF(SER_hh_emi!K9=0,0,1000000*SER_hh_emi!K9/SER_hh_num!K9)</f>
        <v>15785.726895140502</v>
      </c>
      <c r="L9" s="132">
        <f>IF(SER_hh_emi!L9=0,0,1000000*SER_hh_emi!L9/SER_hh_num!L9)</f>
        <v>13894.151863115652</v>
      </c>
      <c r="M9" s="132">
        <f>IF(SER_hh_emi!M9=0,0,1000000*SER_hh_emi!M9/SER_hh_num!M9)</f>
        <v>15641.963271272674</v>
      </c>
      <c r="N9" s="132">
        <f>IF(SER_hh_emi!N9=0,0,1000000*SER_hh_emi!N9/SER_hh_num!N9)</f>
        <v>16129.006434165021</v>
      </c>
      <c r="O9" s="132">
        <f>IF(SER_hh_emi!O9=0,0,1000000*SER_hh_emi!O9/SER_hh_num!O9)</f>
        <v>15907.714556571658</v>
      </c>
      <c r="P9" s="132">
        <f>IF(SER_hh_emi!P9=0,0,1000000*SER_hh_emi!P9/SER_hh_num!P9)</f>
        <v>16635.165981963819</v>
      </c>
      <c r="Q9" s="132">
        <f>IF(SER_hh_emi!Q9=0,0,1000000*SER_hh_emi!Q9/SER_hh_num!Q9)</f>
        <v>17495.952235005709</v>
      </c>
      <c r="R9" s="132">
        <f>IF(SER_hh_emi!R9=0,0,1000000*SER_hh_emi!R9/SER_hh_num!R9)</f>
        <v>17728.431588659205</v>
      </c>
      <c r="S9" s="132">
        <f>IF(SER_hh_emi!S9=0,0,1000000*SER_hh_emi!S9/SER_hh_num!S9)</f>
        <v>17063.35308394047</v>
      </c>
      <c r="T9" s="132">
        <f>IF(SER_hh_emi!T9=0,0,1000000*SER_hh_emi!T9/SER_hh_num!T9)</f>
        <v>18172.021618361458</v>
      </c>
      <c r="U9" s="132">
        <f>IF(SER_hh_emi!U9=0,0,1000000*SER_hh_emi!U9/SER_hh_num!U9)</f>
        <v>17091.523891456305</v>
      </c>
      <c r="V9" s="132">
        <f>IF(SER_hh_emi!V9=0,0,1000000*SER_hh_emi!V9/SER_hh_num!V9)</f>
        <v>12895.795673638748</v>
      </c>
      <c r="W9" s="132">
        <f>IF(SER_hh_emi!W9=0,0,1000000*SER_hh_emi!W9/SER_hh_num!W9)</f>
        <v>18301.384050314464</v>
      </c>
      <c r="X9" s="132">
        <f>IF(SER_hh_emi!X9=0,0,1000000*SER_hh_emi!X9/SER_hh_num!X9)</f>
        <v>17372.952539028251</v>
      </c>
      <c r="Y9" s="132">
        <f>IF(SER_hh_emi!Y9=0,0,1000000*SER_hh_emi!Y9/SER_hh_num!Y9)</f>
        <v>17906.597354764504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9.4191839820768255</v>
      </c>
      <c r="C16" s="130">
        <f>IF(SER_hh_emi!C16=0,0,1000000*SER_hh_emi!C16/SER_hh_num!C16)</f>
        <v>9.5598493324886817</v>
      </c>
      <c r="D16" s="130">
        <f>IF(SER_hh_emi!D16=0,0,1000000*SER_hh_emi!D16/SER_hh_num!D16)</f>
        <v>7.8057022540509751</v>
      </c>
      <c r="E16" s="130">
        <f>IF(SER_hh_emi!E16=0,0,1000000*SER_hh_emi!E16/SER_hh_num!E16)</f>
        <v>10.144584490372301</v>
      </c>
      <c r="F16" s="130">
        <f>IF(SER_hh_emi!F16=0,0,1000000*SER_hh_emi!F16/SER_hh_num!F16)</f>
        <v>9.5889537472152622</v>
      </c>
      <c r="G16" s="130">
        <f>IF(SER_hh_emi!G16=0,0,1000000*SER_hh_emi!G16/SER_hh_num!G16)</f>
        <v>10.583254035610427</v>
      </c>
      <c r="H16" s="130">
        <f>IF(SER_hh_emi!H16=0,0,1000000*SER_hh_emi!H16/SER_hh_num!H16)</f>
        <v>13.19029898075404</v>
      </c>
      <c r="I16" s="130">
        <f>IF(SER_hh_emi!I16=0,0,1000000*SER_hh_emi!I16/SER_hh_num!I16)</f>
        <v>10.601834689075158</v>
      </c>
      <c r="J16" s="130">
        <f>IF(SER_hh_emi!J16=0,0,1000000*SER_hh_emi!J16/SER_hh_num!J16)</f>
        <v>11.672050026263848</v>
      </c>
      <c r="K16" s="130">
        <f>IF(SER_hh_emi!K16=0,0,1000000*SER_hh_emi!K16/SER_hh_num!K16)</f>
        <v>17.017129046919973</v>
      </c>
      <c r="L16" s="130">
        <f>IF(SER_hh_emi!L16=0,0,1000000*SER_hh_emi!L16/SER_hh_num!L16)</f>
        <v>23.83365539212215</v>
      </c>
      <c r="M16" s="130">
        <f>IF(SER_hh_emi!M16=0,0,1000000*SER_hh_emi!M16/SER_hh_num!M16)</f>
        <v>17.910630070016577</v>
      </c>
      <c r="N16" s="130">
        <f>IF(SER_hh_emi!N16=0,0,1000000*SER_hh_emi!N16/SER_hh_num!N16)</f>
        <v>19.8294769239441</v>
      </c>
      <c r="O16" s="130">
        <f>IF(SER_hh_emi!O16=0,0,1000000*SER_hh_emi!O16/SER_hh_num!O16)</f>
        <v>28.827623416126048</v>
      </c>
      <c r="P16" s="130">
        <f>IF(SER_hh_emi!P16=0,0,1000000*SER_hh_emi!P16/SER_hh_num!P16)</f>
        <v>21.487693920361391</v>
      </c>
      <c r="Q16" s="130">
        <f>IF(SER_hh_emi!Q16=0,0,1000000*SER_hh_emi!Q16/SER_hh_num!Q16)</f>
        <v>29.210635537695502</v>
      </c>
      <c r="R16" s="130">
        <f>IF(SER_hh_emi!R16=0,0,1000000*SER_hh_emi!R16/SER_hh_num!R16)</f>
        <v>52.182365766019629</v>
      </c>
      <c r="S16" s="130">
        <f>IF(SER_hh_emi!S16=0,0,1000000*SER_hh_emi!S16/SER_hh_num!S16)</f>
        <v>54.767057993817794</v>
      </c>
      <c r="T16" s="130">
        <f>IF(SER_hh_emi!T16=0,0,1000000*SER_hh_emi!T16/SER_hh_num!T16)</f>
        <v>51.051375090913595</v>
      </c>
      <c r="U16" s="130">
        <f>IF(SER_hh_emi!U16=0,0,1000000*SER_hh_emi!U16/SER_hh_num!U16)</f>
        <v>44.590658852771746</v>
      </c>
      <c r="V16" s="130">
        <f>IF(SER_hh_emi!V16=0,0,1000000*SER_hh_emi!V16/SER_hh_num!V16)</f>
        <v>63.38244255118677</v>
      </c>
      <c r="W16" s="130">
        <f>IF(SER_hh_emi!W16=0,0,1000000*SER_hh_emi!W16/SER_hh_num!W16)</f>
        <v>41.416918459928496</v>
      </c>
      <c r="X16" s="130">
        <f>IF(SER_hh_emi!X16=0,0,1000000*SER_hh_emi!X16/SER_hh_num!X16)</f>
        <v>77.570141671722425</v>
      </c>
      <c r="Y16" s="130">
        <f>IF(SER_hh_emi!Y16=0,0,1000000*SER_hh_emi!Y16/SER_hh_num!Y16)</f>
        <v>64.248775042970792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4157.681718989872</v>
      </c>
      <c r="C17" s="132">
        <f>IF(SER_hh_emi!C17=0,0,1000000*SER_hh_emi!C17/SER_hh_num!C17)</f>
        <v>4260.7834699708319</v>
      </c>
      <c r="D17" s="132">
        <f>IF(SER_hh_emi!D17=0,0,1000000*SER_hh_emi!D17/SER_hh_num!D17)</f>
        <v>3805.8002569139621</v>
      </c>
      <c r="E17" s="132">
        <f>IF(SER_hh_emi!E17=0,0,1000000*SER_hh_emi!E17/SER_hh_num!E17)</f>
        <v>5380.3696730528718</v>
      </c>
      <c r="F17" s="132">
        <f>IF(SER_hh_emi!F17=0,0,1000000*SER_hh_emi!F17/SER_hh_num!F17)</f>
        <v>4380.1008981076502</v>
      </c>
      <c r="G17" s="132">
        <f>IF(SER_hh_emi!G17=0,0,1000000*SER_hh_emi!G17/SER_hh_num!G17)</f>
        <v>4749.9406168570931</v>
      </c>
      <c r="H17" s="132">
        <f>IF(SER_hh_emi!H17=0,0,1000000*SER_hh_emi!H17/SER_hh_num!H17)</f>
        <v>5626.8664807336563</v>
      </c>
      <c r="I17" s="132">
        <f>IF(SER_hh_emi!I17=0,0,1000000*SER_hh_emi!I17/SER_hh_num!I17)</f>
        <v>3558.7687246545174</v>
      </c>
      <c r="J17" s="132">
        <f>IF(SER_hh_emi!J17=0,0,1000000*SER_hh_emi!J17/SER_hh_num!J17)</f>
        <v>3410.7870742461359</v>
      </c>
      <c r="K17" s="132">
        <f>IF(SER_hh_emi!K17=0,0,1000000*SER_hh_emi!K17/SER_hh_num!K17)</f>
        <v>4130.5533730919933</v>
      </c>
      <c r="L17" s="132">
        <f>IF(SER_hh_emi!L17=0,0,1000000*SER_hh_emi!L17/SER_hh_num!L17)</f>
        <v>5663.740721380922</v>
      </c>
      <c r="M17" s="132">
        <f>IF(SER_hh_emi!M17=0,0,1000000*SER_hh_emi!M17/SER_hh_num!M17)</f>
        <v>3693.8014377616764</v>
      </c>
      <c r="N17" s="132">
        <f>IF(SER_hh_emi!N17=0,0,1000000*SER_hh_emi!N17/SER_hh_num!N17)</f>
        <v>3865.7569371614568</v>
      </c>
      <c r="O17" s="132">
        <f>IF(SER_hh_emi!O17=0,0,1000000*SER_hh_emi!O17/SER_hh_num!O17)</f>
        <v>4959.0132206645685</v>
      </c>
      <c r="P17" s="132">
        <f>IF(SER_hh_emi!P17=0,0,1000000*SER_hh_emi!P17/SER_hh_num!P17)</f>
        <v>3298.0540435749499</v>
      </c>
      <c r="Q17" s="132">
        <f>IF(SER_hh_emi!Q17=0,0,1000000*SER_hh_emi!Q17/SER_hh_num!Q17)</f>
        <v>3820.3270520199981</v>
      </c>
      <c r="R17" s="132">
        <f>IF(SER_hh_emi!R17=0,0,1000000*SER_hh_emi!R17/SER_hh_num!R17)</f>
        <v>5631.3895632836029</v>
      </c>
      <c r="S17" s="132">
        <f>IF(SER_hh_emi!S17=0,0,1000000*SER_hh_emi!S17/SER_hh_num!S17)</f>
        <v>5285.4682096159768</v>
      </c>
      <c r="T17" s="132">
        <f>IF(SER_hh_emi!T17=0,0,1000000*SER_hh_emi!T17/SER_hh_num!T17)</f>
        <v>4438.7344100725877</v>
      </c>
      <c r="U17" s="132">
        <f>IF(SER_hh_emi!U17=0,0,1000000*SER_hh_emi!U17/SER_hh_num!U17)</f>
        <v>3479.8691992044273</v>
      </c>
      <c r="V17" s="132">
        <f>IF(SER_hh_emi!V17=0,0,1000000*SER_hh_emi!V17/SER_hh_num!V17)</f>
        <v>4760.5747439324523</v>
      </c>
      <c r="W17" s="132">
        <f>IF(SER_hh_emi!W17=0,0,1000000*SER_hh_emi!W17/SER_hh_num!W17)</f>
        <v>3084.6937931565963</v>
      </c>
      <c r="X17" s="132">
        <f>IF(SER_hh_emi!X17=0,0,1000000*SER_hh_emi!X17/SER_hh_num!X17)</f>
        <v>5599.3619407057422</v>
      </c>
      <c r="Y17" s="132">
        <f>IF(SER_hh_emi!Y17=0,0,1000000*SER_hh_emi!Y17/SER_hh_num!Y17)</f>
        <v>4519.2177244022705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1753.9661080676583</v>
      </c>
      <c r="C19" s="130">
        <f>IF(SER_hh_emi!C19=0,0,1000000*SER_hh_emi!C19/SER_hh_num!C19)</f>
        <v>1638.9234566494695</v>
      </c>
      <c r="D19" s="130">
        <f>IF(SER_hh_emi!D19=0,0,1000000*SER_hh_emi!D19/SER_hh_num!D19)</f>
        <v>1534.9835366414093</v>
      </c>
      <c r="E19" s="130">
        <f>IF(SER_hh_emi!E19=0,0,1000000*SER_hh_emi!E19/SER_hh_num!E19)</f>
        <v>1467.3484418754767</v>
      </c>
      <c r="F19" s="130">
        <f>IF(SER_hh_emi!F19=0,0,1000000*SER_hh_emi!F19/SER_hh_num!F19)</f>
        <v>1413.5143489477371</v>
      </c>
      <c r="G19" s="130">
        <f>IF(SER_hh_emi!G19=0,0,1000000*SER_hh_emi!G19/SER_hh_num!G19)</f>
        <v>1376.062332051755</v>
      </c>
      <c r="H19" s="130">
        <f>IF(SER_hh_emi!H19=0,0,1000000*SER_hh_emi!H19/SER_hh_num!H19)</f>
        <v>1341.6333586178982</v>
      </c>
      <c r="I19" s="130">
        <f>IF(SER_hh_emi!I19=0,0,1000000*SER_hh_emi!I19/SER_hh_num!I19)</f>
        <v>1314.4720820394436</v>
      </c>
      <c r="J19" s="130">
        <f>IF(SER_hh_emi!J19=0,0,1000000*SER_hh_emi!J19/SER_hh_num!J19)</f>
        <v>1278.007445883497</v>
      </c>
      <c r="K19" s="130">
        <f>IF(SER_hh_emi!K19=0,0,1000000*SER_hh_emi!K19/SER_hh_num!K19)</f>
        <v>1252.4616569372185</v>
      </c>
      <c r="L19" s="130">
        <f>IF(SER_hh_emi!L19=0,0,1000000*SER_hh_emi!L19/SER_hh_num!L19)</f>
        <v>1263.9056391413142</v>
      </c>
      <c r="M19" s="130">
        <f>IF(SER_hh_emi!M19=0,0,1000000*SER_hh_emi!M19/SER_hh_num!M19)</f>
        <v>1285.1608730324842</v>
      </c>
      <c r="N19" s="130">
        <f>IF(SER_hh_emi!N19=0,0,1000000*SER_hh_emi!N19/SER_hh_num!N19)</f>
        <v>1286.3788675430114</v>
      </c>
      <c r="O19" s="130">
        <f>IF(SER_hh_emi!O19=0,0,1000000*SER_hh_emi!O19/SER_hh_num!O19)</f>
        <v>1282.3110574561586</v>
      </c>
      <c r="P19" s="130">
        <f>IF(SER_hh_emi!P19=0,0,1000000*SER_hh_emi!P19/SER_hh_num!P19)</f>
        <v>1278.1583402364938</v>
      </c>
      <c r="Q19" s="130">
        <f>IF(SER_hh_emi!Q19=0,0,1000000*SER_hh_emi!Q19/SER_hh_num!Q19)</f>
        <v>1284.2309118840449</v>
      </c>
      <c r="R19" s="130">
        <f>IF(SER_hh_emi!R19=0,0,1000000*SER_hh_emi!R19/SER_hh_num!R19)</f>
        <v>1297.5349688258393</v>
      </c>
      <c r="S19" s="130">
        <f>IF(SER_hh_emi!S19=0,0,1000000*SER_hh_emi!S19/SER_hh_num!S19)</f>
        <v>1318.705892098176</v>
      </c>
      <c r="T19" s="130">
        <f>IF(SER_hh_emi!T19=0,0,1000000*SER_hh_emi!T19/SER_hh_num!T19)</f>
        <v>1324.6321009854787</v>
      </c>
      <c r="U19" s="130">
        <f>IF(SER_hh_emi!U19=0,0,1000000*SER_hh_emi!U19/SER_hh_num!U19)</f>
        <v>1326.4060198279772</v>
      </c>
      <c r="V19" s="130">
        <f>IF(SER_hh_emi!V19=0,0,1000000*SER_hh_emi!V19/SER_hh_num!V19)</f>
        <v>1178.8142440459712</v>
      </c>
      <c r="W19" s="130">
        <f>IF(SER_hh_emi!W19=0,0,1000000*SER_hh_emi!W19/SER_hh_num!W19)</f>
        <v>1246.8556857311091</v>
      </c>
      <c r="X19" s="130">
        <f>IF(SER_hh_emi!X19=0,0,1000000*SER_hh_emi!X19/SER_hh_num!X19)</f>
        <v>1271.7689431938866</v>
      </c>
      <c r="Y19" s="130">
        <f>IF(SER_hh_emi!Y19=0,0,1000000*SER_hh_emi!Y19/SER_hh_num!Y19)</f>
        <v>1250.4403325571159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3696.3948029552266</v>
      </c>
      <c r="C21" s="132">
        <f>IF(SER_hh_emi!C21=0,0,1000000*SER_hh_emi!C21/SER_hh_num!C21)</f>
        <v>3603.3851776099227</v>
      </c>
      <c r="D21" s="132">
        <f>IF(SER_hh_emi!D21=0,0,1000000*SER_hh_emi!D21/SER_hh_num!D21)</f>
        <v>3642.1515783139416</v>
      </c>
      <c r="E21" s="132">
        <f>IF(SER_hh_emi!E21=0,0,1000000*SER_hh_emi!E21/SER_hh_num!E21)</f>
        <v>3660.7828414821429</v>
      </c>
      <c r="F21" s="132">
        <f>IF(SER_hh_emi!F21=0,0,1000000*SER_hh_emi!F21/SER_hh_num!F21)</f>
        <v>3719.3575661195287</v>
      </c>
      <c r="G21" s="132">
        <f>IF(SER_hh_emi!G21=0,0,1000000*SER_hh_emi!G21/SER_hh_num!G21)</f>
        <v>3710.9325351588145</v>
      </c>
      <c r="H21" s="132">
        <f>IF(SER_hh_emi!H21=0,0,1000000*SER_hh_emi!H21/SER_hh_num!H21)</f>
        <v>3669.0750388186411</v>
      </c>
      <c r="I21" s="132">
        <f>IF(SER_hh_emi!I21=0,0,1000000*SER_hh_emi!I21/SER_hh_num!I21)</f>
        <v>3724.7555463283534</v>
      </c>
      <c r="J21" s="132">
        <f>IF(SER_hh_emi!J21=0,0,1000000*SER_hh_emi!J21/SER_hh_num!J21)</f>
        <v>3703.6971819039595</v>
      </c>
      <c r="K21" s="132">
        <f>IF(SER_hh_emi!K21=0,0,1000000*SER_hh_emi!K21/SER_hh_num!K21)</f>
        <v>3763.6078062902725</v>
      </c>
      <c r="L21" s="132">
        <f>IF(SER_hh_emi!L21=0,0,1000000*SER_hh_emi!L21/SER_hh_num!L21)</f>
        <v>3688.8957607816706</v>
      </c>
      <c r="M21" s="132">
        <f>IF(SER_hh_emi!M21=0,0,1000000*SER_hh_emi!M21/SER_hh_num!M21)</f>
        <v>3746.3881281446052</v>
      </c>
      <c r="N21" s="132">
        <f>IF(SER_hh_emi!N21=0,0,1000000*SER_hh_emi!N21/SER_hh_num!N21)</f>
        <v>3688.1187707037348</v>
      </c>
      <c r="O21" s="132">
        <f>IF(SER_hh_emi!O21=0,0,1000000*SER_hh_emi!O21/SER_hh_num!O21)</f>
        <v>3622.6038254331702</v>
      </c>
      <c r="P21" s="132">
        <f>IF(SER_hh_emi!P21=0,0,1000000*SER_hh_emi!P21/SER_hh_num!P21)</f>
        <v>3619.3354368901996</v>
      </c>
      <c r="Q21" s="132">
        <f>IF(SER_hh_emi!Q21=0,0,1000000*SER_hh_emi!Q21/SER_hh_num!Q21)</f>
        <v>3621.3210402605878</v>
      </c>
      <c r="R21" s="132">
        <f>IF(SER_hh_emi!R21=0,0,1000000*SER_hh_emi!R21/SER_hh_num!R21)</f>
        <v>3574.7078858552659</v>
      </c>
      <c r="S21" s="132">
        <f>IF(SER_hh_emi!S21=0,0,1000000*SER_hh_emi!S21/SER_hh_num!S21)</f>
        <v>3453.950484639875</v>
      </c>
      <c r="T21" s="132">
        <f>IF(SER_hh_emi!T21=0,0,1000000*SER_hh_emi!T21/SER_hh_num!T21)</f>
        <v>3286.0821012399483</v>
      </c>
      <c r="U21" s="132">
        <f>IF(SER_hh_emi!U21=0,0,1000000*SER_hh_emi!U21/SER_hh_num!U21)</f>
        <v>3195.3282128436495</v>
      </c>
      <c r="V21" s="132">
        <f>IF(SER_hh_emi!V21=0,0,1000000*SER_hh_emi!V21/SER_hh_num!V21)</f>
        <v>3017.2141325397038</v>
      </c>
      <c r="W21" s="132">
        <f>IF(SER_hh_emi!W21=0,0,1000000*SER_hh_emi!W21/SER_hh_num!W21)</f>
        <v>2808.1895597849771</v>
      </c>
      <c r="X21" s="132">
        <f>IF(SER_hh_emi!X21=0,0,1000000*SER_hh_emi!X21/SER_hh_num!X21)</f>
        <v>3010.2421936458159</v>
      </c>
      <c r="Y21" s="132">
        <f>IF(SER_hh_emi!Y21=0,0,1000000*SER_hh_emi!Y21/SER_hh_num!Y21)</f>
        <v>2853.9054466504394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4548.8105147784363</v>
      </c>
      <c r="C22" s="132">
        <f>IF(SER_hh_emi!C22=0,0,1000000*SER_hh_emi!C22/SER_hh_num!C22)</f>
        <v>4543.4406834116498</v>
      </c>
      <c r="D22" s="132">
        <f>IF(SER_hh_emi!D22=0,0,1000000*SER_hh_emi!D22/SER_hh_num!D22)</f>
        <v>4541.0911121903582</v>
      </c>
      <c r="E22" s="132">
        <f>IF(SER_hh_emi!E22=0,0,1000000*SER_hh_emi!E22/SER_hh_num!E22)</f>
        <v>4590.088311907587</v>
      </c>
      <c r="F22" s="132">
        <f>IF(SER_hh_emi!F22=0,0,1000000*SER_hh_emi!F22/SER_hh_num!F22)</f>
        <v>4647.9167591078231</v>
      </c>
      <c r="G22" s="132">
        <f>IF(SER_hh_emi!G22=0,0,1000000*SER_hh_emi!G22/SER_hh_num!G22)</f>
        <v>4684.636601632722</v>
      </c>
      <c r="H22" s="132">
        <f>IF(SER_hh_emi!H22=0,0,1000000*SER_hh_emi!H22/SER_hh_num!H22)</f>
        <v>4705.151869143534</v>
      </c>
      <c r="I22" s="132">
        <f>IF(SER_hh_emi!I22=0,0,1000000*SER_hh_emi!I22/SER_hh_num!I22)</f>
        <v>4655.9661862407056</v>
      </c>
      <c r="J22" s="132">
        <f>IF(SER_hh_emi!J22=0,0,1000000*SER_hh_emi!J22/SER_hh_num!J22)</f>
        <v>4584.7634246609296</v>
      </c>
      <c r="K22" s="132">
        <f>IF(SER_hh_emi!K22=0,0,1000000*SER_hh_emi!K22/SER_hh_num!K22)</f>
        <v>4535.3483971847827</v>
      </c>
      <c r="L22" s="132">
        <f>IF(SER_hh_emi!L22=0,0,1000000*SER_hh_emi!L22/SER_hh_num!L22)</f>
        <v>4601.5174121809387</v>
      </c>
      <c r="M22" s="132">
        <f>IF(SER_hh_emi!M22=0,0,1000000*SER_hh_emi!M22/SER_hh_num!M22)</f>
        <v>4639.404521868777</v>
      </c>
      <c r="N22" s="132">
        <f>IF(SER_hh_emi!N22=0,0,1000000*SER_hh_emi!N22/SER_hh_num!N22)</f>
        <v>4524.3545729908992</v>
      </c>
      <c r="O22" s="132">
        <f>IF(SER_hh_emi!O22=0,0,1000000*SER_hh_emi!O22/SER_hh_num!O22)</f>
        <v>4417.2512545162872</v>
      </c>
      <c r="P22" s="132">
        <f>IF(SER_hh_emi!P22=0,0,1000000*SER_hh_emi!P22/SER_hh_num!P22)</f>
        <v>4401.7518229258694</v>
      </c>
      <c r="Q22" s="132">
        <f>IF(SER_hh_emi!Q22=0,0,1000000*SER_hh_emi!Q22/SER_hh_num!Q22)</f>
        <v>4368.1773817334297</v>
      </c>
      <c r="R22" s="132">
        <f>IF(SER_hh_emi!R22=0,0,1000000*SER_hh_emi!R22/SER_hh_num!R22)</f>
        <v>4258.7040643782593</v>
      </c>
      <c r="S22" s="132">
        <f>IF(SER_hh_emi!S22=0,0,1000000*SER_hh_emi!S22/SER_hh_num!S22)</f>
        <v>4177.1355766304423</v>
      </c>
      <c r="T22" s="132">
        <f>IF(SER_hh_emi!T22=0,0,1000000*SER_hh_emi!T22/SER_hh_num!T22)</f>
        <v>4008.6275671782</v>
      </c>
      <c r="U22" s="132">
        <f>IF(SER_hh_emi!U22=0,0,1000000*SER_hh_emi!U22/SER_hh_num!U22)</f>
        <v>3811.4601429177728</v>
      </c>
      <c r="V22" s="132">
        <f>IF(SER_hh_emi!V22=0,0,1000000*SER_hh_emi!V22/SER_hh_num!V22)</f>
        <v>3353.7695092326417</v>
      </c>
      <c r="W22" s="132">
        <f>IF(SER_hh_emi!W22=0,0,1000000*SER_hh_emi!W22/SER_hh_num!W22)</f>
        <v>3463.9200461305709</v>
      </c>
      <c r="X22" s="132">
        <f>IF(SER_hh_emi!X22=0,0,1000000*SER_hh_emi!X22/SER_hh_num!X22)</f>
        <v>3541.3537872658212</v>
      </c>
      <c r="Y22" s="132">
        <f>IF(SER_hh_emi!Y22=0,0,1000000*SER_hh_emi!Y22/SER_hh_num!Y22)</f>
        <v>3463.8231295011642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3096.0688557229178</v>
      </c>
      <c r="C23" s="132">
        <f>IF(SER_hh_emi!C23=0,0,1000000*SER_hh_emi!C23/SER_hh_num!C23)</f>
        <v>3350.0773408609894</v>
      </c>
      <c r="D23" s="132">
        <f>IF(SER_hh_emi!D23=0,0,1000000*SER_hh_emi!D23/SER_hh_num!D23)</f>
        <v>3368.819261057225</v>
      </c>
      <c r="E23" s="132">
        <f>IF(SER_hh_emi!E23=0,0,1000000*SER_hh_emi!E23/SER_hh_num!E23)</f>
        <v>3303.4639304009211</v>
      </c>
      <c r="F23" s="132">
        <f>IF(SER_hh_emi!F23=0,0,1000000*SER_hh_emi!F23/SER_hh_num!F23)</f>
        <v>3257.544458915545</v>
      </c>
      <c r="G23" s="132">
        <f>IF(SER_hh_emi!G23=0,0,1000000*SER_hh_emi!G23/SER_hh_num!G23)</f>
        <v>3232.4535641514449</v>
      </c>
      <c r="H23" s="132">
        <f>IF(SER_hh_emi!H23=0,0,1000000*SER_hh_emi!H23/SER_hh_num!H23)</f>
        <v>3176.8827301972105</v>
      </c>
      <c r="I23" s="132">
        <f>IF(SER_hh_emi!I23=0,0,1000000*SER_hh_emi!I23/SER_hh_num!I23)</f>
        <v>3238.0879040947652</v>
      </c>
      <c r="J23" s="132">
        <f>IF(SER_hh_emi!J23=0,0,1000000*SER_hh_emi!J23/SER_hh_num!J23)</f>
        <v>3190.2823341228654</v>
      </c>
      <c r="K23" s="132">
        <f>IF(SER_hh_emi!K23=0,0,1000000*SER_hh_emi!K23/SER_hh_num!K23)</f>
        <v>3135.5988063194604</v>
      </c>
      <c r="L23" s="132">
        <f>IF(SER_hh_emi!L23=0,0,1000000*SER_hh_emi!L23/SER_hh_num!L23)</f>
        <v>3151.8536026679799</v>
      </c>
      <c r="M23" s="132">
        <f>IF(SER_hh_emi!M23=0,0,1000000*SER_hh_emi!M23/SER_hh_num!M23)</f>
        <v>3166.0124461857063</v>
      </c>
      <c r="N23" s="132">
        <f>IF(SER_hh_emi!N23=0,0,1000000*SER_hh_emi!N23/SER_hh_num!N23)</f>
        <v>3123.1415184223551</v>
      </c>
      <c r="O23" s="132">
        <f>IF(SER_hh_emi!O23=0,0,1000000*SER_hh_emi!O23/SER_hh_num!O23)</f>
        <v>3089.5506900314308</v>
      </c>
      <c r="P23" s="132">
        <f>IF(SER_hh_emi!P23=0,0,1000000*SER_hh_emi!P23/SER_hh_num!P23)</f>
        <v>3002.0409187521323</v>
      </c>
      <c r="Q23" s="132">
        <f>IF(SER_hh_emi!Q23=0,0,1000000*SER_hh_emi!Q23/SER_hh_num!Q23)</f>
        <v>2942.8756463506752</v>
      </c>
      <c r="R23" s="132">
        <f>IF(SER_hh_emi!R23=0,0,1000000*SER_hh_emi!R23/SER_hh_num!R23)</f>
        <v>2929.1916700182805</v>
      </c>
      <c r="S23" s="132">
        <f>IF(SER_hh_emi!S23=0,0,1000000*SER_hh_emi!S23/SER_hh_num!S23)</f>
        <v>2869.0549841666684</v>
      </c>
      <c r="T23" s="132">
        <f>IF(SER_hh_emi!T23=0,0,1000000*SER_hh_emi!T23/SER_hh_num!T23)</f>
        <v>2789.0986614250119</v>
      </c>
      <c r="U23" s="132">
        <f>IF(SER_hh_emi!U23=0,0,1000000*SER_hh_emi!U23/SER_hh_num!U23)</f>
        <v>2740.0090616390439</v>
      </c>
      <c r="V23" s="132">
        <f>IF(SER_hh_emi!V23=0,0,1000000*SER_hh_emi!V23/SER_hh_num!V23)</f>
        <v>2242.2066854196373</v>
      </c>
      <c r="W23" s="132">
        <f>IF(SER_hh_emi!W23=0,0,1000000*SER_hh_emi!W23/SER_hh_num!W23)</f>
        <v>2454.2534698824638</v>
      </c>
      <c r="X23" s="132">
        <f>IF(SER_hh_emi!X23=0,0,1000000*SER_hh_emi!X23/SER_hh_num!X23)</f>
        <v>2468.8542960204072</v>
      </c>
      <c r="Y23" s="132">
        <f>IF(SER_hh_emi!Y23=0,0,1000000*SER_hh_emi!Y23/SER_hh_num!Y23)</f>
        <v>2511.6500757995823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902.08395531278131</v>
      </c>
      <c r="C29" s="130">
        <f>IF(SER_hh_emi!C29=0,0,1000000*SER_hh_emi!C29/SER_hh_num!C29)</f>
        <v>695.55233775834813</v>
      </c>
      <c r="D29" s="130">
        <f>IF(SER_hh_emi!D29=0,0,1000000*SER_hh_emi!D29/SER_hh_num!D29)</f>
        <v>1035.973886221416</v>
      </c>
      <c r="E29" s="130">
        <f>IF(SER_hh_emi!E29=0,0,1000000*SER_hh_emi!E29/SER_hh_num!E29)</f>
        <v>1129.2800106301547</v>
      </c>
      <c r="F29" s="130">
        <f>IF(SER_hh_emi!F29=0,0,1000000*SER_hh_emi!F29/SER_hh_num!F29)</f>
        <v>1318.9224090753823</v>
      </c>
      <c r="G29" s="130">
        <f>IF(SER_hh_emi!G29=0,0,1000000*SER_hh_emi!G29/SER_hh_num!G29)</f>
        <v>1845.135169534512</v>
      </c>
      <c r="H29" s="130">
        <f>IF(SER_hh_emi!H29=0,0,1000000*SER_hh_emi!H29/SER_hh_num!H29)</f>
        <v>1655.3898229202644</v>
      </c>
      <c r="I29" s="130">
        <f>IF(SER_hh_emi!I29=0,0,1000000*SER_hh_emi!I29/SER_hh_num!I29)</f>
        <v>1716.2966436206389</v>
      </c>
      <c r="J29" s="130">
        <f>IF(SER_hh_emi!J29=0,0,1000000*SER_hh_emi!J29/SER_hh_num!J29)</f>
        <v>1893.8319634209722</v>
      </c>
      <c r="K29" s="130">
        <f>IF(SER_hh_emi!K29=0,0,1000000*SER_hh_emi!K29/SER_hh_num!K29)</f>
        <v>1816.0689451689182</v>
      </c>
      <c r="L29" s="130">
        <f>IF(SER_hh_emi!L29=0,0,1000000*SER_hh_emi!L29/SER_hh_num!L29)</f>
        <v>1046.1199393578904</v>
      </c>
      <c r="M29" s="130">
        <f>IF(SER_hh_emi!M29=0,0,1000000*SER_hh_emi!M29/SER_hh_num!M29)</f>
        <v>1049.9351154258732</v>
      </c>
      <c r="N29" s="130">
        <f>IF(SER_hh_emi!N29=0,0,1000000*SER_hh_emi!N29/SER_hh_num!N29)</f>
        <v>993.4886198104947</v>
      </c>
      <c r="O29" s="130">
        <f>IF(SER_hh_emi!O29=0,0,1000000*SER_hh_emi!O29/SER_hh_num!O29)</f>
        <v>1135.7562030020283</v>
      </c>
      <c r="P29" s="130">
        <f>IF(SER_hh_emi!P29=0,0,1000000*SER_hh_emi!P29/SER_hh_num!P29)</f>
        <v>1519.6106215616155</v>
      </c>
      <c r="Q29" s="130">
        <f>IF(SER_hh_emi!Q29=0,0,1000000*SER_hh_emi!Q29/SER_hh_num!Q29)</f>
        <v>1660.4845240925195</v>
      </c>
      <c r="R29" s="130">
        <f>IF(SER_hh_emi!R29=0,0,1000000*SER_hh_emi!R29/SER_hh_num!R29)</f>
        <v>1606.773831423322</v>
      </c>
      <c r="S29" s="130">
        <f>IF(SER_hh_emi!S29=0,0,1000000*SER_hh_emi!S29/SER_hh_num!S29)</f>
        <v>1616.7960137406501</v>
      </c>
      <c r="T29" s="130">
        <f>IF(SER_hh_emi!T29=0,0,1000000*SER_hh_emi!T29/SER_hh_num!T29)</f>
        <v>1932.8656170226068</v>
      </c>
      <c r="U29" s="130">
        <f>IF(SER_hh_emi!U29=0,0,1000000*SER_hh_emi!U29/SER_hh_num!U29)</f>
        <v>1895.4242271763674</v>
      </c>
      <c r="V29" s="130">
        <f>IF(SER_hh_emi!V29=0,0,1000000*SER_hh_emi!V29/SER_hh_num!V29)</f>
        <v>1434.6403308050931</v>
      </c>
      <c r="W29" s="130">
        <f>IF(SER_hh_emi!W29=0,0,1000000*SER_hh_emi!W29/SER_hh_num!W29)</f>
        <v>1276.3558060242087</v>
      </c>
      <c r="X29" s="130">
        <f>IF(SER_hh_emi!X29=0,0,1000000*SER_hh_emi!X29/SER_hh_num!X29)</f>
        <v>1482.3036965311014</v>
      </c>
      <c r="Y29" s="130">
        <f>IF(SER_hh_emi!Y29=0,0,1000000*SER_hh_emi!Y29/SER_hh_num!Y29)</f>
        <v>1504.321383210616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3851.3878006750883</v>
      </c>
      <c r="C30" s="132">
        <f>IF(SER_hh_emi!C30=0,0,1000000*SER_hh_emi!C30/SER_hh_num!C30)</f>
        <v>2739.7134406657951</v>
      </c>
      <c r="D30" s="132">
        <f>IF(SER_hh_emi!D30=0,0,1000000*SER_hh_emi!D30/SER_hh_num!D30)</f>
        <v>3850.506040078305</v>
      </c>
      <c r="E30" s="132">
        <f>IF(SER_hh_emi!E30=0,0,1000000*SER_hh_emi!E30/SER_hh_num!E30)</f>
        <v>3612.5400477716307</v>
      </c>
      <c r="F30" s="132">
        <f>IF(SER_hh_emi!F30=0,0,1000000*SER_hh_emi!F30/SER_hh_num!F30)</f>
        <v>3569.1096633761385</v>
      </c>
      <c r="G30" s="132">
        <f>IF(SER_hh_emi!G30=0,0,1000000*SER_hh_emi!G30/SER_hh_num!G30)</f>
        <v>4500.6356868902931</v>
      </c>
      <c r="H30" s="132">
        <f>IF(SER_hh_emi!H30=0,0,1000000*SER_hh_emi!H30/SER_hh_num!H30)</f>
        <v>3784.3426025361814</v>
      </c>
      <c r="I30" s="132">
        <f>IF(SER_hh_emi!I30=0,0,1000000*SER_hh_emi!I30/SER_hh_num!I30)</f>
        <v>3823.0055244023306</v>
      </c>
      <c r="J30" s="132">
        <f>IF(SER_hh_emi!J30=0,0,1000000*SER_hh_emi!J30/SER_hh_num!J30)</f>
        <v>4490.6588492816481</v>
      </c>
      <c r="K30" s="132">
        <f>IF(SER_hh_emi!K30=0,0,1000000*SER_hh_emi!K30/SER_hh_num!K30)</f>
        <v>4781.2254306810974</v>
      </c>
      <c r="L30" s="132">
        <f>IF(SER_hh_emi!L30=0,0,1000000*SER_hh_emi!L30/SER_hh_num!L30)</f>
        <v>2788.2502679219056</v>
      </c>
      <c r="M30" s="132">
        <f>IF(SER_hh_emi!M30=0,0,1000000*SER_hh_emi!M30/SER_hh_num!M30)</f>
        <v>3323.4108004435639</v>
      </c>
      <c r="N30" s="132">
        <f>IF(SER_hh_emi!N30=0,0,1000000*SER_hh_emi!N30/SER_hh_num!N30)</f>
        <v>2925.5322930482571</v>
      </c>
      <c r="O30" s="132">
        <f>IF(SER_hh_emi!O30=0,0,1000000*SER_hh_emi!O30/SER_hh_num!O30)</f>
        <v>2927.2119588506985</v>
      </c>
      <c r="P30" s="132">
        <f>IF(SER_hh_emi!P30=0,0,1000000*SER_hh_emi!P30/SER_hh_num!P30)</f>
        <v>4458.7770060847579</v>
      </c>
      <c r="Q30" s="132">
        <f>IF(SER_hh_emi!Q30=0,0,1000000*SER_hh_emi!Q30/SER_hh_num!Q30)</f>
        <v>4361.6538493140533</v>
      </c>
      <c r="R30" s="132">
        <f>IF(SER_hh_emi!R30=0,0,1000000*SER_hh_emi!R30/SER_hh_num!R30)</f>
        <v>3850.6484411994006</v>
      </c>
      <c r="S30" s="132">
        <f>IF(SER_hh_emi!S30=0,0,1000000*SER_hh_emi!S30/SER_hh_num!S30)</f>
        <v>3720.6851405397392</v>
      </c>
      <c r="T30" s="132">
        <f>IF(SER_hh_emi!T30=0,0,1000000*SER_hh_emi!T30/SER_hh_num!T30)</f>
        <v>4723.8225544486904</v>
      </c>
      <c r="U30" s="132">
        <f>IF(SER_hh_emi!U30=0,0,1000000*SER_hh_emi!U30/SER_hh_num!U30)</f>
        <v>4697.5813430907665</v>
      </c>
      <c r="V30" s="132">
        <f>IF(SER_hh_emi!V30=0,0,1000000*SER_hh_emi!V30/SER_hh_num!V30)</f>
        <v>3445.3693630385183</v>
      </c>
      <c r="W30" s="132">
        <f>IF(SER_hh_emi!W30=0,0,1000000*SER_hh_emi!W30/SER_hh_num!W30)</f>
        <v>3246.3088996374049</v>
      </c>
      <c r="X30" s="132">
        <f>IF(SER_hh_emi!X30=0,0,1000000*SER_hh_emi!X30/SER_hh_num!X30)</f>
        <v>4519.1400540337181</v>
      </c>
      <c r="Y30" s="132">
        <f>IF(SER_hh_emi!Y30=0,0,1000000*SER_hh_emi!Y30/SER_hh_num!Y30)</f>
        <v>4249.8067486165828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2759.564774790967</v>
      </c>
      <c r="C31" s="132">
        <f>IF(SER_hh_emi!C31=0,0,1000000*SER_hh_emi!C31/SER_hh_num!C31)</f>
        <v>3027.7360841523828</v>
      </c>
      <c r="D31" s="132">
        <f>IF(SER_hh_emi!D31=0,0,1000000*SER_hh_emi!D31/SER_hh_num!D31)</f>
        <v>3256.6324072568109</v>
      </c>
      <c r="E31" s="132">
        <f>IF(SER_hh_emi!E31=0,0,1000000*SER_hh_emi!E31/SER_hh_num!E31)</f>
        <v>3225.8241504696398</v>
      </c>
      <c r="F31" s="132">
        <f>IF(SER_hh_emi!F31=0,0,1000000*SER_hh_emi!F31/SER_hh_num!F31)</f>
        <v>3413.171521634124</v>
      </c>
      <c r="G31" s="132">
        <f>IF(SER_hh_emi!G31=0,0,1000000*SER_hh_emi!G31/SER_hh_num!G31)</f>
        <v>3465.3763424474987</v>
      </c>
      <c r="H31" s="132">
        <f>IF(SER_hh_emi!H31=0,0,1000000*SER_hh_emi!H31/SER_hh_num!H31)</f>
        <v>3468.4136055273361</v>
      </c>
      <c r="I31" s="132">
        <f>IF(SER_hh_emi!I31=0,0,1000000*SER_hh_emi!I31/SER_hh_num!I31)</f>
        <v>3429.455263044129</v>
      </c>
      <c r="J31" s="132">
        <f>IF(SER_hh_emi!J31=0,0,1000000*SER_hh_emi!J31/SER_hh_num!J31)</f>
        <v>3300.7852851166685</v>
      </c>
      <c r="K31" s="132">
        <f>IF(SER_hh_emi!K31=0,0,1000000*SER_hh_emi!K31/SER_hh_num!K31)</f>
        <v>3327.5634717470857</v>
      </c>
      <c r="L31" s="132">
        <f>IF(SER_hh_emi!L31=0,0,1000000*SER_hh_emi!L31/SER_hh_num!L31)</f>
        <v>3698.6071041519926</v>
      </c>
      <c r="M31" s="132">
        <f>IF(SER_hh_emi!M31=0,0,1000000*SER_hh_emi!M31/SER_hh_num!M31)</f>
        <v>3452.3440117424534</v>
      </c>
      <c r="N31" s="132">
        <f>IF(SER_hh_emi!N31=0,0,1000000*SER_hh_emi!N31/SER_hh_num!N31)</f>
        <v>3231.1303732781471</v>
      </c>
      <c r="O31" s="132">
        <f>IF(SER_hh_emi!O31=0,0,1000000*SER_hh_emi!O31/SER_hh_num!O31)</f>
        <v>3569.9259097363688</v>
      </c>
      <c r="P31" s="132">
        <f>IF(SER_hh_emi!P31=0,0,1000000*SER_hh_emi!P31/SER_hh_num!P31)</f>
        <v>3361.164610032532</v>
      </c>
      <c r="Q31" s="132">
        <f>IF(SER_hh_emi!Q31=0,0,1000000*SER_hh_emi!Q31/SER_hh_num!Q31)</f>
        <v>3553.3354309250863</v>
      </c>
      <c r="R31" s="132">
        <f>IF(SER_hh_emi!R31=0,0,1000000*SER_hh_emi!R31/SER_hh_num!R31)</f>
        <v>3607.3803822853351</v>
      </c>
      <c r="S31" s="132">
        <f>IF(SER_hh_emi!S31=0,0,1000000*SER_hh_emi!S31/SER_hh_num!S31)</f>
        <v>3604.7083541388361</v>
      </c>
      <c r="T31" s="132">
        <f>IF(SER_hh_emi!T31=0,0,1000000*SER_hh_emi!T31/SER_hh_num!T31)</f>
        <v>3630.0040689108878</v>
      </c>
      <c r="U31" s="132">
        <f>IF(SER_hh_emi!U31=0,0,1000000*SER_hh_emi!U31/SER_hh_num!U31)</f>
        <v>3757.5271033139952</v>
      </c>
      <c r="V31" s="132">
        <f>IF(SER_hh_emi!V31=0,0,1000000*SER_hh_emi!V31/SER_hh_num!V31)</f>
        <v>3575.3330493231647</v>
      </c>
      <c r="W31" s="132">
        <f>IF(SER_hh_emi!W31=0,0,1000000*SER_hh_emi!W31/SER_hh_num!W31)</f>
        <v>3522.8971413748664</v>
      </c>
      <c r="X31" s="132">
        <f>IF(SER_hh_emi!X31=0,0,1000000*SER_hh_emi!X31/SER_hh_num!X31)</f>
        <v>3507.1096738988708</v>
      </c>
      <c r="Y31" s="132">
        <f>IF(SER_hh_emi!Y31=0,0,1000000*SER_hh_emi!Y31/SER_hh_num!Y31)</f>
        <v>3707.653976192863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67.414974523028647</v>
      </c>
      <c r="C3" s="125">
        <f>IF(SER_hh_fech!C3=0,0,SER_hh_fech!C3/SER_summary!C$26)</f>
        <v>71.411601092438758</v>
      </c>
      <c r="D3" s="125">
        <f>IF(SER_hh_fech!D3=0,0,SER_hh_fech!D3/SER_summary!D$26)</f>
        <v>75.074263214037543</v>
      </c>
      <c r="E3" s="125">
        <f>IF(SER_hh_fech!E3=0,0,SER_hh_fech!E3/SER_summary!E$26)</f>
        <v>80.662917234587852</v>
      </c>
      <c r="F3" s="125">
        <f>IF(SER_hh_fech!F3=0,0,SER_hh_fech!F3/SER_summary!F$26)</f>
        <v>90.319072916884309</v>
      </c>
      <c r="G3" s="125">
        <f>IF(SER_hh_fech!G3=0,0,SER_hh_fech!G3/SER_summary!G$26)</f>
        <v>97.428426692644763</v>
      </c>
      <c r="H3" s="125">
        <f>IF(SER_hh_fech!H3=0,0,SER_hh_fech!H3/SER_summary!H$26)</f>
        <v>96.764542897772401</v>
      </c>
      <c r="I3" s="125">
        <f>IF(SER_hh_fech!I3=0,0,SER_hh_fech!I3/SER_summary!I$26)</f>
        <v>93.406139280925345</v>
      </c>
      <c r="J3" s="125">
        <f>IF(SER_hh_fech!J3=0,0,SER_hh_fech!J3/SER_summary!J$26)</f>
        <v>85.276041655046456</v>
      </c>
      <c r="K3" s="125">
        <f>IF(SER_hh_fech!K3=0,0,SER_hh_fech!K3/SER_summary!K$26)</f>
        <v>90.937887068184494</v>
      </c>
      <c r="L3" s="125">
        <f>IF(SER_hh_fech!L3=0,0,SER_hh_fech!L3/SER_summary!L$26)</f>
        <v>79.063233135217658</v>
      </c>
      <c r="M3" s="125">
        <f>IF(SER_hh_fech!M3=0,0,SER_hh_fech!M3/SER_summary!M$26)</f>
        <v>76.162674941311792</v>
      </c>
      <c r="N3" s="125">
        <f>IF(SER_hh_fech!N3=0,0,SER_hh_fech!N3/SER_summary!N$26)</f>
        <v>74.363913765208679</v>
      </c>
      <c r="O3" s="125">
        <f>IF(SER_hh_fech!O3=0,0,SER_hh_fech!O3/SER_summary!O$26)</f>
        <v>70.427389989768599</v>
      </c>
      <c r="P3" s="125">
        <f>IF(SER_hh_fech!P3=0,0,SER_hh_fech!P3/SER_summary!P$26)</f>
        <v>76.840148957572296</v>
      </c>
      <c r="Q3" s="125">
        <f>IF(SER_hh_fech!Q3=0,0,SER_hh_fech!Q3/SER_summary!Q$26)</f>
        <v>80.377571977870744</v>
      </c>
      <c r="R3" s="125">
        <f>IF(SER_hh_fech!R3=0,0,SER_hh_fech!R3/SER_summary!R$26)</f>
        <v>75.311609362227202</v>
      </c>
      <c r="S3" s="125">
        <f>IF(SER_hh_fech!S3=0,0,SER_hh_fech!S3/SER_summary!S$26)</f>
        <v>74.338839236693687</v>
      </c>
      <c r="T3" s="125">
        <f>IF(SER_hh_fech!T3=0,0,SER_hh_fech!T3/SER_summary!T$26)</f>
        <v>78.865300990312562</v>
      </c>
      <c r="U3" s="125">
        <f>IF(SER_hh_fech!U3=0,0,SER_hh_fech!U3/SER_summary!U$26)</f>
        <v>76.571939524709478</v>
      </c>
      <c r="V3" s="125">
        <f>IF(SER_hh_fech!V3=0,0,SER_hh_fech!V3/SER_summary!V$26)</f>
        <v>64.954782172633671</v>
      </c>
      <c r="W3" s="125">
        <f>IF(SER_hh_fech!W3=0,0,SER_hh_fech!W3/SER_summary!W$26)</f>
        <v>66.330784163189975</v>
      </c>
      <c r="X3" s="125">
        <f>IF(SER_hh_fech!X3=0,0,SER_hh_fech!X3/SER_summary!X$26)</f>
        <v>74.410045650616212</v>
      </c>
      <c r="Y3" s="125">
        <f>IF(SER_hh_fech!Y3=0,0,SER_hh_fech!Y3/SER_summary!Y$26)</f>
        <v>74.849436878276848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32.812071117185234</v>
      </c>
      <c r="C4" s="130">
        <f>IF(SER_hh_fech!C4=0,0,SER_hh_fech!C4/SER_summary!C$26)</f>
        <v>36.609012742501939</v>
      </c>
      <c r="D4" s="130">
        <f>IF(SER_hh_fech!D4=0,0,SER_hh_fech!D4/SER_summary!D$26)</f>
        <v>39.228298221153139</v>
      </c>
      <c r="E4" s="130">
        <f>IF(SER_hh_fech!E4=0,0,SER_hh_fech!E4/SER_summary!E$26)</f>
        <v>42.673948189145378</v>
      </c>
      <c r="F4" s="130">
        <f>IF(SER_hh_fech!F4=0,0,SER_hh_fech!F4/SER_summary!F$26)</f>
        <v>53.220638469240775</v>
      </c>
      <c r="G4" s="130">
        <f>IF(SER_hh_fech!G4=0,0,SER_hh_fech!G4/SER_summary!G$26)</f>
        <v>59.371022875201</v>
      </c>
      <c r="H4" s="130">
        <f>IF(SER_hh_fech!H4=0,0,SER_hh_fech!H4/SER_summary!H$26)</f>
        <v>57.938548642304873</v>
      </c>
      <c r="I4" s="130">
        <f>IF(SER_hh_fech!I4=0,0,SER_hh_fech!I4/SER_summary!I$26)</f>
        <v>56.726390554969853</v>
      </c>
      <c r="J4" s="130">
        <f>IF(SER_hh_fech!J4=0,0,SER_hh_fech!J4/SER_summary!J$26)</f>
        <v>48.288527772556762</v>
      </c>
      <c r="K4" s="130">
        <f>IF(SER_hh_fech!K4=0,0,SER_hh_fech!K4/SER_summary!K$26)</f>
        <v>53.059119013014843</v>
      </c>
      <c r="L4" s="130">
        <f>IF(SER_hh_fech!L4=0,0,SER_hh_fech!L4/SER_summary!L$26)</f>
        <v>40.035398552143569</v>
      </c>
      <c r="M4" s="130">
        <f>IF(SER_hh_fech!M4=0,0,SER_hh_fech!M4/SER_summary!M$26)</f>
        <v>39.374539480552279</v>
      </c>
      <c r="N4" s="130">
        <f>IF(SER_hh_fech!N4=0,0,SER_hh_fech!N4/SER_summary!N$26)</f>
        <v>37.375705861442718</v>
      </c>
      <c r="O4" s="130">
        <f>IF(SER_hh_fech!O4=0,0,SER_hh_fech!O4/SER_summary!O$26)</f>
        <v>33.197920090768747</v>
      </c>
      <c r="P4" s="130">
        <f>IF(SER_hh_fech!P4=0,0,SER_hh_fech!P4/SER_summary!P$26)</f>
        <v>40.338104355553945</v>
      </c>
      <c r="Q4" s="130">
        <f>IF(SER_hh_fech!Q4=0,0,SER_hh_fech!Q4/SER_summary!Q$26)</f>
        <v>43.007594448982331</v>
      </c>
      <c r="R4" s="130">
        <f>IF(SER_hh_fech!R4=0,0,SER_hh_fech!R4/SER_summary!R$26)</f>
        <v>35.707224295641559</v>
      </c>
      <c r="S4" s="130">
        <f>IF(SER_hh_fech!S4=0,0,SER_hh_fech!S4/SER_summary!S$26)</f>
        <v>35.34240703418476</v>
      </c>
      <c r="T4" s="130">
        <f>IF(SER_hh_fech!T4=0,0,SER_hh_fech!T4/SER_summary!T$26)</f>
        <v>40.784021393085439</v>
      </c>
      <c r="U4" s="130">
        <f>IF(SER_hh_fech!U4=0,0,SER_hh_fech!U4/SER_summary!U$26)</f>
        <v>40.216363700370479</v>
      </c>
      <c r="V4" s="130">
        <f>IF(SER_hh_fech!V4=0,0,SER_hh_fech!V4/SER_summary!V$26)</f>
        <v>30.795817395849063</v>
      </c>
      <c r="W4" s="130">
        <f>IF(SER_hh_fech!W4=0,0,SER_hh_fech!W4/SER_summary!W$26)</f>
        <v>33.665486201127344</v>
      </c>
      <c r="X4" s="130">
        <f>IF(SER_hh_fech!X4=0,0,SER_hh_fech!X4/SER_summary!X$26)</f>
        <v>37.437431636171745</v>
      </c>
      <c r="Y4" s="130">
        <f>IF(SER_hh_fech!Y4=0,0,SER_hh_fech!Y4/SER_summary!Y$26)</f>
        <v>39.088583091968253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0</v>
      </c>
      <c r="C5" s="132">
        <f>IF(SER_hh_fech!C5=0,0,SER_hh_fech!C5/SER_summary!C$26)</f>
        <v>0</v>
      </c>
      <c r="D5" s="132">
        <f>IF(SER_hh_fech!D5=0,0,SER_hh_fech!D5/SER_summary!D$26)</f>
        <v>0</v>
      </c>
      <c r="E5" s="132">
        <f>IF(SER_hh_fech!E5=0,0,SER_hh_fech!E5/SER_summary!E$26)</f>
        <v>0</v>
      </c>
      <c r="F5" s="132">
        <f>IF(SER_hh_fech!F5=0,0,SER_hh_fech!F5/SER_summary!F$26)</f>
        <v>0</v>
      </c>
      <c r="G5" s="132">
        <f>IF(SER_hh_fech!G5=0,0,SER_hh_fech!G5/SER_summary!G$26)</f>
        <v>0</v>
      </c>
      <c r="H5" s="132">
        <f>IF(SER_hh_fech!H5=0,0,SER_hh_fech!H5/SER_summary!H$26)</f>
        <v>0</v>
      </c>
      <c r="I5" s="132">
        <f>IF(SER_hh_fech!I5=0,0,SER_hh_fech!I5/SER_summary!I$26)</f>
        <v>0</v>
      </c>
      <c r="J5" s="132">
        <f>IF(SER_hh_fech!J5=0,0,SER_hh_fech!J5/SER_summary!J$26)</f>
        <v>0</v>
      </c>
      <c r="K5" s="132">
        <f>IF(SER_hh_fech!K5=0,0,SER_hh_fech!K5/SER_summary!K$26)</f>
        <v>0</v>
      </c>
      <c r="L5" s="132">
        <f>IF(SER_hh_fech!L5=0,0,SER_hh_fech!L5/SER_summary!L$26)</f>
        <v>0</v>
      </c>
      <c r="M5" s="132">
        <f>IF(SER_hh_fech!M5=0,0,SER_hh_fech!M5/SER_summary!M$26)</f>
        <v>0</v>
      </c>
      <c r="N5" s="132">
        <f>IF(SER_hh_fech!N5=0,0,SER_hh_fech!N5/SER_summary!N$26)</f>
        <v>0</v>
      </c>
      <c r="O5" s="132">
        <f>IF(SER_hh_fech!O5=0,0,SER_hh_fech!O5/SER_summary!O$26)</f>
        <v>0</v>
      </c>
      <c r="P5" s="132">
        <f>IF(SER_hh_fech!P5=0,0,SER_hh_fech!P5/SER_summary!P$26)</f>
        <v>0</v>
      </c>
      <c r="Q5" s="132">
        <f>IF(SER_hh_fech!Q5=0,0,SER_hh_fech!Q5/SER_summary!Q$26)</f>
        <v>0</v>
      </c>
      <c r="R5" s="132">
        <f>IF(SER_hh_fech!R5=0,0,SER_hh_fech!R5/SER_summary!R$26)</f>
        <v>0</v>
      </c>
      <c r="S5" s="132">
        <f>IF(SER_hh_fech!S5=0,0,SER_hh_fech!S5/SER_summary!S$26)</f>
        <v>0</v>
      </c>
      <c r="T5" s="132">
        <f>IF(SER_hh_fech!T5=0,0,SER_hh_fech!T5/SER_summary!T$26)</f>
        <v>0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0</v>
      </c>
      <c r="Y5" s="132">
        <f>IF(SER_hh_fech!Y5=0,0,SER_hh_fech!Y5/SER_summary!Y$26)</f>
        <v>0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38.362979772576736</v>
      </c>
      <c r="C7" s="132">
        <f>IF(SER_hh_fech!C7=0,0,SER_hh_fech!C7/SER_summary!C$26)</f>
        <v>43.452984832085072</v>
      </c>
      <c r="D7" s="132">
        <f>IF(SER_hh_fech!D7=0,0,SER_hh_fech!D7/SER_summary!D$26)</f>
        <v>46.89679826679059</v>
      </c>
      <c r="E7" s="132">
        <f>IF(SER_hh_fech!E7=0,0,SER_hh_fech!E7/SER_summary!E$26)</f>
        <v>52.726598348442998</v>
      </c>
      <c r="F7" s="132">
        <f>IF(SER_hh_fech!F7=0,0,SER_hh_fech!F7/SER_summary!F$26)</f>
        <v>69.833616283075827</v>
      </c>
      <c r="G7" s="132">
        <f>IF(SER_hh_fech!G7=0,0,SER_hh_fech!G7/SER_summary!G$26)</f>
        <v>84.227314222621558</v>
      </c>
      <c r="H7" s="132">
        <f>IF(SER_hh_fech!H7=0,0,SER_hh_fech!H7/SER_summary!H$26)</f>
        <v>87.053662325729519</v>
      </c>
      <c r="I7" s="132">
        <f>IF(SER_hh_fech!I7=0,0,SER_hh_fech!I7/SER_summary!I$26)</f>
        <v>90.509503299498377</v>
      </c>
      <c r="J7" s="132">
        <f>IF(SER_hh_fech!J7=0,0,SER_hh_fech!J7/SER_summary!J$26)</f>
        <v>75.19889256943803</v>
      </c>
      <c r="K7" s="132">
        <f>IF(SER_hh_fech!K7=0,0,SER_hh_fech!K7/SER_summary!K$26)</f>
        <v>113.26291674745097</v>
      </c>
      <c r="L7" s="132">
        <f>IF(SER_hh_fech!L7=0,0,SER_hh_fech!L7/SER_summary!L$26)</f>
        <v>86.445621073176255</v>
      </c>
      <c r="M7" s="132">
        <f>IF(SER_hh_fech!M7=0,0,SER_hh_fech!M7/SER_summary!M$26)</f>
        <v>81.179663808389108</v>
      </c>
      <c r="N7" s="132">
        <f>IF(SER_hh_fech!N7=0,0,SER_hh_fech!N7/SER_summary!N$26)</f>
        <v>80.534728331381032</v>
      </c>
      <c r="O7" s="132">
        <f>IF(SER_hh_fech!O7=0,0,SER_hh_fech!O7/SER_summary!O$26)</f>
        <v>92.335683044831171</v>
      </c>
      <c r="P7" s="132">
        <f>IF(SER_hh_fech!P7=0,0,SER_hh_fech!P7/SER_summary!P$26)</f>
        <v>97.313025446199475</v>
      </c>
      <c r="Q7" s="132">
        <f>IF(SER_hh_fech!Q7=0,0,SER_hh_fech!Q7/SER_summary!Q$26)</f>
        <v>126.0570490911587</v>
      </c>
      <c r="R7" s="132">
        <f>IF(SER_hh_fech!R7=0,0,SER_hh_fech!R7/SER_summary!R$26)</f>
        <v>95.003458008336878</v>
      </c>
      <c r="S7" s="132">
        <f>IF(SER_hh_fech!S7=0,0,SER_hh_fech!S7/SER_summary!S$26)</f>
        <v>87.872733876902444</v>
      </c>
      <c r="T7" s="132">
        <f>IF(SER_hh_fech!T7=0,0,SER_hh_fech!T7/SER_summary!T$26)</f>
        <v>95.436985711940878</v>
      </c>
      <c r="U7" s="132">
        <f>IF(SER_hh_fech!U7=0,0,SER_hh_fech!U7/SER_summary!U$26)</f>
        <v>93.415957891195106</v>
      </c>
      <c r="V7" s="132">
        <f>IF(SER_hh_fech!V7=0,0,SER_hh_fech!V7/SER_summary!V$26)</f>
        <v>86.211764132062683</v>
      </c>
      <c r="W7" s="132">
        <f>IF(SER_hh_fech!W7=0,0,SER_hh_fech!W7/SER_summary!W$26)</f>
        <v>92.010865135646682</v>
      </c>
      <c r="X7" s="132">
        <f>IF(SER_hh_fech!X7=0,0,SER_hh_fech!X7/SER_summary!X$26)</f>
        <v>95.301653241507978</v>
      </c>
      <c r="Y7" s="132">
        <f>IF(SER_hh_fech!Y7=0,0,SER_hh_fech!Y7/SER_summary!Y$26)</f>
        <v>94.047773059424841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16.121372213301573</v>
      </c>
      <c r="C8" s="132">
        <f>IF(SER_hh_fech!C8=0,0,SER_hh_fech!C8/SER_summary!C$26)</f>
        <v>17.308626607181782</v>
      </c>
      <c r="D8" s="132">
        <f>IF(SER_hh_fech!D8=0,0,SER_hh_fech!D8/SER_summary!D$26)</f>
        <v>20.597533543902994</v>
      </c>
      <c r="E8" s="132">
        <f>IF(SER_hh_fech!E8=0,0,SER_hh_fech!E8/SER_summary!E$26)</f>
        <v>24.108097273013687</v>
      </c>
      <c r="F8" s="132">
        <f>IF(SER_hh_fech!F8=0,0,SER_hh_fech!F8/SER_summary!F$26)</f>
        <v>26.426014496339</v>
      </c>
      <c r="G8" s="132">
        <f>IF(SER_hh_fech!G8=0,0,SER_hh_fech!G8/SER_summary!G$26)</f>
        <v>27.37134270424961</v>
      </c>
      <c r="H8" s="132">
        <f>IF(SER_hh_fech!H8=0,0,SER_hh_fech!H8/SER_summary!H$26)</f>
        <v>29.81182645356493</v>
      </c>
      <c r="I8" s="132">
        <f>IF(SER_hh_fech!I8=0,0,SER_hh_fech!I8/SER_summary!I$26)</f>
        <v>29.887701132059316</v>
      </c>
      <c r="J8" s="132">
        <f>IF(SER_hh_fech!J8=0,0,SER_hh_fech!J8/SER_summary!J$26)</f>
        <v>30.217688132278539</v>
      </c>
      <c r="K8" s="132">
        <f>IF(SER_hh_fech!K8=0,0,SER_hh_fech!K8/SER_summary!K$26)</f>
        <v>27.558203695704009</v>
      </c>
      <c r="L8" s="132">
        <f>IF(SER_hh_fech!L8=0,0,SER_hh_fech!L8/SER_summary!L$26)</f>
        <v>26.886686287949459</v>
      </c>
      <c r="M8" s="132">
        <f>IF(SER_hh_fech!M8=0,0,SER_hh_fech!M8/SER_summary!M$26)</f>
        <v>27.660439123895454</v>
      </c>
      <c r="N8" s="132">
        <f>IF(SER_hh_fech!N8=0,0,SER_hh_fech!N8/SER_summary!N$26)</f>
        <v>27.328488754796123</v>
      </c>
      <c r="O8" s="132">
        <f>IF(SER_hh_fech!O8=0,0,SER_hh_fech!O8/SER_summary!O$26)</f>
        <v>28.317836088146908</v>
      </c>
      <c r="P8" s="132">
        <f>IF(SER_hh_fech!P8=0,0,SER_hh_fech!P8/SER_summary!P$26)</f>
        <v>30.766307660339709</v>
      </c>
      <c r="Q8" s="132">
        <f>IF(SER_hh_fech!Q8=0,0,SER_hh_fech!Q8/SER_summary!Q$26)</f>
        <v>31.651086029507731</v>
      </c>
      <c r="R8" s="132">
        <f>IF(SER_hh_fech!R8=0,0,SER_hh_fech!R8/SER_summary!R$26)</f>
        <v>29.784992771330035</v>
      </c>
      <c r="S8" s="132">
        <f>IF(SER_hh_fech!S8=0,0,SER_hh_fech!S8/SER_summary!S$26)</f>
        <v>28.728646403239711</v>
      </c>
      <c r="T8" s="132">
        <f>IF(SER_hh_fech!T8=0,0,SER_hh_fech!T8/SER_summary!T$26)</f>
        <v>28.843390834126026</v>
      </c>
      <c r="U8" s="132">
        <f>IF(SER_hh_fech!U8=0,0,SER_hh_fech!U8/SER_summary!U$26)</f>
        <v>28.804021296171101</v>
      </c>
      <c r="V8" s="132">
        <f>IF(SER_hh_fech!V8=0,0,SER_hh_fech!V8/SER_summary!V$26)</f>
        <v>26.76960284784607</v>
      </c>
      <c r="W8" s="132">
        <f>IF(SER_hh_fech!W8=0,0,SER_hh_fech!W8/SER_summary!W$26)</f>
        <v>27.626013906819033</v>
      </c>
      <c r="X8" s="132">
        <f>IF(SER_hh_fech!X8=0,0,SER_hh_fech!X8/SER_summary!X$26)</f>
        <v>28.671679343428647</v>
      </c>
      <c r="Y8" s="132">
        <f>IF(SER_hh_fech!Y8=0,0,SER_hh_fech!Y8/SER_summary!Y$26)</f>
        <v>28.845628342328418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33.648020045967975</v>
      </c>
      <c r="C9" s="132">
        <f>IF(SER_hh_fech!C9=0,0,SER_hh_fech!C9/SER_summary!C$26)</f>
        <v>37.575105353650237</v>
      </c>
      <c r="D9" s="132">
        <f>IF(SER_hh_fech!D9=0,0,SER_hh_fech!D9/SER_summary!D$26)</f>
        <v>46.970274662994441</v>
      </c>
      <c r="E9" s="132">
        <f>IF(SER_hh_fech!E9=0,0,SER_hh_fech!E9/SER_summary!E$26)</f>
        <v>50.711673639116846</v>
      </c>
      <c r="F9" s="132">
        <f>IF(SER_hh_fech!F9=0,0,SER_hh_fech!F9/SER_summary!F$26)</f>
        <v>64.603183456947278</v>
      </c>
      <c r="G9" s="132">
        <f>IF(SER_hh_fech!G9=0,0,SER_hh_fech!G9/SER_summary!G$26)</f>
        <v>64.929056526547896</v>
      </c>
      <c r="H9" s="132">
        <f>IF(SER_hh_fech!H9=0,0,SER_hh_fech!H9/SER_summary!H$26)</f>
        <v>75.54961701559921</v>
      </c>
      <c r="I9" s="132">
        <f>IF(SER_hh_fech!I9=0,0,SER_hh_fech!I9/SER_summary!I$26)</f>
        <v>79.279271353610994</v>
      </c>
      <c r="J9" s="132">
        <f>IF(SER_hh_fech!J9=0,0,SER_hh_fech!J9/SER_summary!J$26)</f>
        <v>80.274123384573883</v>
      </c>
      <c r="K9" s="132">
        <f>IF(SER_hh_fech!K9=0,0,SER_hh_fech!K9/SER_summary!K$26)</f>
        <v>86.847378442048495</v>
      </c>
      <c r="L9" s="132">
        <f>IF(SER_hh_fech!L9=0,0,SER_hh_fech!L9/SER_summary!L$26)</f>
        <v>76.440614550272059</v>
      </c>
      <c r="M9" s="132">
        <f>IF(SER_hh_fech!M9=0,0,SER_hh_fech!M9/SER_summary!M$26)</f>
        <v>86.056442811957666</v>
      </c>
      <c r="N9" s="132">
        <f>IF(SER_hh_fech!N9=0,0,SER_hh_fech!N9/SER_summary!N$26)</f>
        <v>88.735978709563071</v>
      </c>
      <c r="O9" s="132">
        <f>IF(SER_hh_fech!O9=0,0,SER_hh_fech!O9/SER_summary!O$26)</f>
        <v>87.518510577296141</v>
      </c>
      <c r="P9" s="132">
        <f>IF(SER_hh_fech!P9=0,0,SER_hh_fech!P9/SER_summary!P$26)</f>
        <v>91.520686065248441</v>
      </c>
      <c r="Q9" s="132">
        <f>IF(SER_hh_fech!Q9=0,0,SER_hh_fech!Q9/SER_summary!Q$26)</f>
        <v>96.256421706199816</v>
      </c>
      <c r="R9" s="132">
        <f>IF(SER_hh_fech!R9=0,0,SER_hh_fech!R9/SER_summary!R$26)</f>
        <v>97.535439298536573</v>
      </c>
      <c r="S9" s="132">
        <f>IF(SER_hh_fech!S9=0,0,SER_hh_fech!S9/SER_summary!S$26)</f>
        <v>93.876417133978478</v>
      </c>
      <c r="T9" s="132">
        <f>IF(SER_hh_fech!T9=0,0,SER_hh_fech!T9/SER_summary!T$26)</f>
        <v>99.975911722681346</v>
      </c>
      <c r="U9" s="132">
        <f>IF(SER_hh_fech!U9=0,0,SER_hh_fech!U9/SER_summary!U$26)</f>
        <v>94.031402761032453</v>
      </c>
      <c r="V9" s="132">
        <f>IF(SER_hh_fech!V9=0,0,SER_hh_fech!V9/SER_summary!V$26)</f>
        <v>70.948018714590049</v>
      </c>
      <c r="W9" s="132">
        <f>IF(SER_hh_fech!W9=0,0,SER_hh_fech!W9/SER_summary!W$26)</f>
        <v>100.68761718665117</v>
      </c>
      <c r="X9" s="132">
        <f>IF(SER_hh_fech!X9=0,0,SER_hh_fech!X9/SER_summary!X$26)</f>
        <v>95.579721721728461</v>
      </c>
      <c r="Y9" s="132">
        <f>IF(SER_hh_fech!Y9=0,0,SER_hh_fech!Y9/SER_summary!Y$26)</f>
        <v>98.644888915228677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0</v>
      </c>
      <c r="C10" s="132">
        <f>IF(SER_hh_fech!C10=0,0,SER_hh_fech!C10/SER_summary!C$26)</f>
        <v>0</v>
      </c>
      <c r="D10" s="132">
        <f>IF(SER_hh_fech!D10=0,0,SER_hh_fech!D10/SER_summary!D$26)</f>
        <v>0</v>
      </c>
      <c r="E10" s="132">
        <f>IF(SER_hh_fech!E10=0,0,SER_hh_fech!E10/SER_summary!E$26)</f>
        <v>0</v>
      </c>
      <c r="F10" s="132">
        <f>IF(SER_hh_fech!F10=0,0,SER_hh_fech!F10/SER_summary!F$26)</f>
        <v>0</v>
      </c>
      <c r="G10" s="132">
        <f>IF(SER_hh_fech!G10=0,0,SER_hh_fech!G10/SER_summary!G$26)</f>
        <v>0</v>
      </c>
      <c r="H10" s="132">
        <f>IF(SER_hh_fech!H10=0,0,SER_hh_fech!H10/SER_summary!H$26)</f>
        <v>0</v>
      </c>
      <c r="I10" s="132">
        <f>IF(SER_hh_fech!I10=0,0,SER_hh_fech!I10/SER_summary!I$26)</f>
        <v>0</v>
      </c>
      <c r="J10" s="132">
        <f>IF(SER_hh_fech!J10=0,0,SER_hh_fech!J10/SER_summary!J$26)</f>
        <v>0</v>
      </c>
      <c r="K10" s="132">
        <f>IF(SER_hh_fech!K10=0,0,SER_hh_fech!K10/SER_summary!K$26)</f>
        <v>0</v>
      </c>
      <c r="L10" s="132">
        <f>IF(SER_hh_fech!L10=0,0,SER_hh_fech!L10/SER_summary!L$26)</f>
        <v>0</v>
      </c>
      <c r="M10" s="132">
        <f>IF(SER_hh_fech!M10=0,0,SER_hh_fech!M10/SER_summary!M$26)</f>
        <v>123.87114521834589</v>
      </c>
      <c r="N10" s="132">
        <f>IF(SER_hh_fech!N10=0,0,SER_hh_fech!N10/SER_summary!N$26)</f>
        <v>110.9097440985346</v>
      </c>
      <c r="O10" s="132">
        <f>IF(SER_hh_fech!O10=0,0,SER_hh_fech!O10/SER_summary!O$26)</f>
        <v>81.549739171506019</v>
      </c>
      <c r="P10" s="132">
        <f>IF(SER_hh_fech!P10=0,0,SER_hh_fech!P10/SER_summary!P$26)</f>
        <v>102.51403287005571</v>
      </c>
      <c r="Q10" s="132">
        <f>IF(SER_hh_fech!Q10=0,0,SER_hh_fech!Q10/SER_summary!Q$26)</f>
        <v>103.33250236887199</v>
      </c>
      <c r="R10" s="132">
        <f>IF(SER_hh_fech!R10=0,0,SER_hh_fech!R10/SER_summary!R$26)</f>
        <v>95.870238957825947</v>
      </c>
      <c r="S10" s="132">
        <f>IF(SER_hh_fech!S10=0,0,SER_hh_fech!S10/SER_summary!S$26)</f>
        <v>122.37669597490218</v>
      </c>
      <c r="T10" s="132">
        <f>IF(SER_hh_fech!T10=0,0,SER_hh_fech!T10/SER_summary!T$26)</f>
        <v>114.52442188719061</v>
      </c>
      <c r="U10" s="132">
        <f>IF(SER_hh_fech!U10=0,0,SER_hh_fech!U10/SER_summary!U$26)</f>
        <v>107.35478137245049</v>
      </c>
      <c r="V10" s="132">
        <f>IF(SER_hh_fech!V10=0,0,SER_hh_fech!V10/SER_summary!V$26)</f>
        <v>81.57713325975466</v>
      </c>
      <c r="W10" s="132">
        <f>IF(SER_hh_fech!W10=0,0,SER_hh_fech!W10/SER_summary!W$26)</f>
        <v>101.694132211805</v>
      </c>
      <c r="X10" s="132">
        <f>IF(SER_hh_fech!X10=0,0,SER_hh_fech!X10/SER_summary!X$26)</f>
        <v>154.5032286109452</v>
      </c>
      <c r="Y10" s="132">
        <f>IF(SER_hh_fech!Y10=0,0,SER_hh_fech!Y10/SER_summary!Y$26)</f>
        <v>113.97768140153649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24.467859897725607</v>
      </c>
      <c r="C11" s="132">
        <f>IF(SER_hh_fech!C11=0,0,SER_hh_fech!C11/SER_summary!C$26)</f>
        <v>26.254310461956653</v>
      </c>
      <c r="D11" s="132">
        <f>IF(SER_hh_fech!D11=0,0,SER_hh_fech!D11/SER_summary!D$26)</f>
        <v>29.646253383925796</v>
      </c>
      <c r="E11" s="132">
        <f>IF(SER_hh_fech!E11=0,0,SER_hh_fech!E11/SER_summary!E$26)</f>
        <v>34.511601145855366</v>
      </c>
      <c r="F11" s="132">
        <f>IF(SER_hh_fech!F11=0,0,SER_hh_fech!F11/SER_summary!F$26)</f>
        <v>40.961870021679495</v>
      </c>
      <c r="G11" s="132">
        <f>IF(SER_hh_fech!G11=0,0,SER_hh_fech!G11/SER_summary!G$26)</f>
        <v>47.841138851633183</v>
      </c>
      <c r="H11" s="132">
        <f>IF(SER_hh_fech!H11=0,0,SER_hh_fech!H11/SER_summary!H$26)</f>
        <v>52.773083563071125</v>
      </c>
      <c r="I11" s="132">
        <f>IF(SER_hh_fech!I11=0,0,SER_hh_fech!I11/SER_summary!I$26)</f>
        <v>56.007557096192485</v>
      </c>
      <c r="J11" s="132">
        <f>IF(SER_hh_fech!J11=0,0,SER_hh_fech!J11/SER_summary!J$26)</f>
        <v>56.86605510875328</v>
      </c>
      <c r="K11" s="132">
        <f>IF(SER_hh_fech!K11=0,0,SER_hh_fech!K11/SER_summary!K$26)</f>
        <v>54.533283335546415</v>
      </c>
      <c r="L11" s="132">
        <f>IF(SER_hh_fech!L11=0,0,SER_hh_fech!L11/SER_summary!L$26)</f>
        <v>48.902529637790131</v>
      </c>
      <c r="M11" s="132">
        <f>IF(SER_hh_fech!M11=0,0,SER_hh_fech!M11/SER_summary!M$26)</f>
        <v>65.860433974272453</v>
      </c>
      <c r="N11" s="132">
        <f>IF(SER_hh_fech!N11=0,0,SER_hh_fech!N11/SER_summary!N$26)</f>
        <v>65.479431862843441</v>
      </c>
      <c r="O11" s="132">
        <f>IF(SER_hh_fech!O11=0,0,SER_hh_fech!O11/SER_summary!O$26)</f>
        <v>56.198701547144708</v>
      </c>
      <c r="P11" s="132">
        <f>IF(SER_hh_fech!P11=0,0,SER_hh_fech!P11/SER_summary!P$26)</f>
        <v>64.402640562554922</v>
      </c>
      <c r="Q11" s="132">
        <f>IF(SER_hh_fech!Q11=0,0,SER_hh_fech!Q11/SER_summary!Q$26)</f>
        <v>74.46393135383687</v>
      </c>
      <c r="R11" s="132">
        <f>IF(SER_hh_fech!R11=0,0,SER_hh_fech!R11/SER_summary!R$26)</f>
        <v>64.423070828911648</v>
      </c>
      <c r="S11" s="132">
        <f>IF(SER_hh_fech!S11=0,0,SER_hh_fech!S11/SER_summary!S$26)</f>
        <v>69.376036109574869</v>
      </c>
      <c r="T11" s="132">
        <f>IF(SER_hh_fech!T11=0,0,SER_hh_fech!T11/SER_summary!T$26)</f>
        <v>77.060178323956052</v>
      </c>
      <c r="U11" s="132">
        <f>IF(SER_hh_fech!U11=0,0,SER_hh_fech!U11/SER_summary!U$26)</f>
        <v>78.374536234547392</v>
      </c>
      <c r="V11" s="132">
        <f>IF(SER_hh_fech!V11=0,0,SER_hh_fech!V11/SER_summary!V$26)</f>
        <v>63.68262876590768</v>
      </c>
      <c r="W11" s="132">
        <f>IF(SER_hh_fech!W11=0,0,SER_hh_fech!W11/SER_summary!W$26)</f>
        <v>66.808443134513837</v>
      </c>
      <c r="X11" s="132">
        <f>IF(SER_hh_fech!X11=0,0,SER_hh_fech!X11/SER_summary!X$26)</f>
        <v>83.413536007193812</v>
      </c>
      <c r="Y11" s="132">
        <f>IF(SER_hh_fech!Y11=0,0,SER_hh_fech!Y11/SER_summary!Y$26)</f>
        <v>83.784258496314493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19.373534819267519</v>
      </c>
      <c r="C12" s="132">
        <f>IF(SER_hh_fech!C12=0,0,SER_hh_fech!C12/SER_summary!C$26)</f>
        <v>24.176886180641233</v>
      </c>
      <c r="D12" s="132">
        <f>IF(SER_hh_fech!D12=0,0,SER_hh_fech!D12/SER_summary!D$26)</f>
        <v>32.550833087570986</v>
      </c>
      <c r="E12" s="132">
        <f>IF(SER_hh_fech!E12=0,0,SER_hh_fech!E12/SER_summary!E$26)</f>
        <v>32.891243740058485</v>
      </c>
      <c r="F12" s="132">
        <f>IF(SER_hh_fech!F12=0,0,SER_hh_fech!F12/SER_summary!F$26)</f>
        <v>44.507954850140457</v>
      </c>
      <c r="G12" s="132">
        <f>IF(SER_hh_fech!G12=0,0,SER_hh_fech!G12/SER_summary!G$26)</f>
        <v>42.277209982551945</v>
      </c>
      <c r="H12" s="132">
        <f>IF(SER_hh_fech!H12=0,0,SER_hh_fech!H12/SER_summary!H$26)</f>
        <v>49.926398463566571</v>
      </c>
      <c r="I12" s="132">
        <f>IF(SER_hh_fech!I12=0,0,SER_hh_fech!I12/SER_summary!I$26)</f>
        <v>55.261410461100233</v>
      </c>
      <c r="J12" s="132">
        <f>IF(SER_hh_fech!J12=0,0,SER_hh_fech!J12/SER_summary!J$26)</f>
        <v>51.205484838569348</v>
      </c>
      <c r="K12" s="132">
        <f>IF(SER_hh_fech!K12=0,0,SER_hh_fech!K12/SER_summary!K$26)</f>
        <v>46.150006252632011</v>
      </c>
      <c r="L12" s="132">
        <f>IF(SER_hh_fech!L12=0,0,SER_hh_fech!L12/SER_summary!L$26)</f>
        <v>60.569583826573243</v>
      </c>
      <c r="M12" s="132">
        <f>IF(SER_hh_fech!M12=0,0,SER_hh_fech!M12/SER_summary!M$26)</f>
        <v>51.709697054285023</v>
      </c>
      <c r="N12" s="132">
        <f>IF(SER_hh_fech!N12=0,0,SER_hh_fech!N12/SER_summary!N$26)</f>
        <v>66.985186787804807</v>
      </c>
      <c r="O12" s="132">
        <f>IF(SER_hh_fech!O12=0,0,SER_hh_fech!O12/SER_summary!O$26)</f>
        <v>66.804587415116956</v>
      </c>
      <c r="P12" s="132">
        <f>IF(SER_hh_fech!P12=0,0,SER_hh_fech!P12/SER_summary!P$26)</f>
        <v>70.990464838213825</v>
      </c>
      <c r="Q12" s="132">
        <f>IF(SER_hh_fech!Q12=0,0,SER_hh_fech!Q12/SER_summary!Q$26)</f>
        <v>69.789063342079103</v>
      </c>
      <c r="R12" s="132">
        <f>IF(SER_hh_fech!R12=0,0,SER_hh_fech!R12/SER_summary!R$26)</f>
        <v>66.638485072931559</v>
      </c>
      <c r="S12" s="132">
        <f>IF(SER_hh_fech!S12=0,0,SER_hh_fech!S12/SER_summary!S$26)</f>
        <v>73.520679771022444</v>
      </c>
      <c r="T12" s="132">
        <f>IF(SER_hh_fech!T12=0,0,SER_hh_fech!T12/SER_summary!T$26)</f>
        <v>73.628436460478824</v>
      </c>
      <c r="U12" s="132">
        <f>IF(SER_hh_fech!U12=0,0,SER_hh_fech!U12/SER_summary!U$26)</f>
        <v>72.93049267254122</v>
      </c>
      <c r="V12" s="132">
        <f>IF(SER_hh_fech!V12=0,0,SER_hh_fech!V12/SER_summary!V$26)</f>
        <v>72.331645257163117</v>
      </c>
      <c r="W12" s="132">
        <f>IF(SER_hh_fech!W12=0,0,SER_hh_fech!W12/SER_summary!W$26)</f>
        <v>82.214579598244001</v>
      </c>
      <c r="X12" s="132">
        <f>IF(SER_hh_fech!X12=0,0,SER_hh_fech!X12/SER_summary!X$26)</f>
        <v>84.65512928800635</v>
      </c>
      <c r="Y12" s="132">
        <f>IF(SER_hh_fech!Y12=0,0,SER_hh_fech!Y12/SER_summary!Y$26)</f>
        <v>69.578373157741268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10.874083066441962</v>
      </c>
      <c r="C13" s="132">
        <f>IF(SER_hh_fech!C13=0,0,SER_hh_fech!C13/SER_summary!C$26)</f>
        <v>12.193691774037331</v>
      </c>
      <c r="D13" s="132">
        <f>IF(SER_hh_fech!D13=0,0,SER_hh_fech!D13/SER_summary!D$26)</f>
        <v>10.318183512022218</v>
      </c>
      <c r="E13" s="132">
        <f>IF(SER_hh_fech!E13=0,0,SER_hh_fech!E13/SER_summary!E$26)</f>
        <v>16.761034342994993</v>
      </c>
      <c r="F13" s="132">
        <f>IF(SER_hh_fech!F13=0,0,SER_hh_fech!F13/SER_summary!F$26)</f>
        <v>15.227460680335348</v>
      </c>
      <c r="G13" s="132">
        <f>IF(SER_hh_fech!G13=0,0,SER_hh_fech!G13/SER_summary!G$26)</f>
        <v>18.69901245429195</v>
      </c>
      <c r="H13" s="132">
        <f>IF(SER_hh_fech!H13=0,0,SER_hh_fech!H13/SER_summary!H$26)</f>
        <v>19.599205676949172</v>
      </c>
      <c r="I13" s="132">
        <f>IF(SER_hh_fech!I13=0,0,SER_hh_fech!I13/SER_summary!I$26)</f>
        <v>19.516484834466524</v>
      </c>
      <c r="J13" s="132">
        <f>IF(SER_hh_fech!J13=0,0,SER_hh_fech!J13/SER_summary!J$26)</f>
        <v>20.452945627496721</v>
      </c>
      <c r="K13" s="132">
        <f>IF(SER_hh_fech!K13=0,0,SER_hh_fech!K13/SER_summary!K$26)</f>
        <v>19.010690986156256</v>
      </c>
      <c r="L13" s="132">
        <f>IF(SER_hh_fech!L13=0,0,SER_hh_fech!L13/SER_summary!L$26)</f>
        <v>19.387629936080053</v>
      </c>
      <c r="M13" s="132">
        <f>IF(SER_hh_fech!M13=0,0,SER_hh_fech!M13/SER_summary!M$26)</f>
        <v>19.062030668900995</v>
      </c>
      <c r="N13" s="132">
        <f>IF(SER_hh_fech!N13=0,0,SER_hh_fech!N13/SER_summary!N$26)</f>
        <v>20.225868607525769</v>
      </c>
      <c r="O13" s="132">
        <f>IF(SER_hh_fech!O13=0,0,SER_hh_fech!O13/SER_summary!O$26)</f>
        <v>20.509817111802366</v>
      </c>
      <c r="P13" s="132">
        <f>IF(SER_hh_fech!P13=0,0,SER_hh_fech!P13/SER_summary!P$26)</f>
        <v>23.046514166692166</v>
      </c>
      <c r="Q13" s="132">
        <f>IF(SER_hh_fech!Q13=0,0,SER_hh_fech!Q13/SER_summary!Q$26)</f>
        <v>22.369421426230549</v>
      </c>
      <c r="R13" s="132">
        <f>IF(SER_hh_fech!R13=0,0,SER_hh_fech!R13/SER_summary!R$26)</f>
        <v>21.158755109264145</v>
      </c>
      <c r="S13" s="132">
        <f>IF(SER_hh_fech!S13=0,0,SER_hh_fech!S13/SER_summary!S$26)</f>
        <v>20.694346166968455</v>
      </c>
      <c r="T13" s="132">
        <f>IF(SER_hh_fech!T13=0,0,SER_hh_fech!T13/SER_summary!T$26)</f>
        <v>20.383658438069851</v>
      </c>
      <c r="U13" s="132">
        <f>IF(SER_hh_fech!U13=0,0,SER_hh_fech!U13/SER_summary!U$26)</f>
        <v>19.734743430515735</v>
      </c>
      <c r="V13" s="132">
        <f>IF(SER_hh_fech!V13=0,0,SER_hh_fech!V13/SER_summary!V$26)</f>
        <v>18.646587885944626</v>
      </c>
      <c r="W13" s="132">
        <f>IF(SER_hh_fech!W13=0,0,SER_hh_fech!W13/SER_summary!W$26)</f>
        <v>18.212158535160746</v>
      </c>
      <c r="X13" s="132">
        <f>IF(SER_hh_fech!X13=0,0,SER_hh_fech!X13/SER_summary!X$26)</f>
        <v>19.46653759107641</v>
      </c>
      <c r="Y13" s="132">
        <f>IF(SER_hh_fech!Y13=0,0,SER_hh_fech!Y13/SER_summary!Y$26)</f>
        <v>19.131109605206483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26.59986873939496</v>
      </c>
      <c r="C14" s="65">
        <f>IF(SER_hh_fech!C14=0,0,SER_hh_fech!C14/SER_summary!C$26)</f>
        <v>28.448696204956878</v>
      </c>
      <c r="D14" s="65">
        <f>IF(SER_hh_fech!D14=0,0,SER_hh_fech!D14/SER_summary!D$26)</f>
        <v>31.77058401286169</v>
      </c>
      <c r="E14" s="65">
        <f>IF(SER_hh_fech!E14=0,0,SER_hh_fech!E14/SER_summary!E$26)</f>
        <v>35.201132407817141</v>
      </c>
      <c r="F14" s="65">
        <f>IF(SER_hh_fech!F14=0,0,SER_hh_fech!F14/SER_summary!F$26)</f>
        <v>46.425462961635716</v>
      </c>
      <c r="G14" s="65">
        <f>IF(SER_hh_fech!G14=0,0,SER_hh_fech!G14/SER_summary!G$26)</f>
        <v>55.955339372116455</v>
      </c>
      <c r="H14" s="65">
        <f>IF(SER_hh_fech!H14=0,0,SER_hh_fech!H14/SER_summary!H$26)</f>
        <v>55.974571088924684</v>
      </c>
      <c r="I14" s="65">
        <f>IF(SER_hh_fech!I14=0,0,SER_hh_fech!I14/SER_summary!I$26)</f>
        <v>64.824603823780009</v>
      </c>
      <c r="J14" s="65">
        <f>IF(SER_hh_fech!J14=0,0,SER_hh_fech!J14/SER_summary!J$26)</f>
        <v>63.529389764365476</v>
      </c>
      <c r="K14" s="65">
        <f>IF(SER_hh_fech!K14=0,0,SER_hh_fech!K14/SER_summary!K$26)</f>
        <v>67.258990414269263</v>
      </c>
      <c r="L14" s="65">
        <f>IF(SER_hh_fech!L14=0,0,SER_hh_fech!L14/SER_summary!L$26)</f>
        <v>51.397569354995689</v>
      </c>
      <c r="M14" s="65">
        <f>IF(SER_hh_fech!M14=0,0,SER_hh_fech!M14/SER_summary!M$26)</f>
        <v>69.528698676174017</v>
      </c>
      <c r="N14" s="65">
        <f>IF(SER_hh_fech!N14=0,0,SER_hh_fech!N14/SER_summary!N$26)</f>
        <v>68.177025240899923</v>
      </c>
      <c r="O14" s="65">
        <f>IF(SER_hh_fech!O14=0,0,SER_hh_fech!O14/SER_summary!O$26)</f>
        <v>27.502544981397985</v>
      </c>
      <c r="P14" s="65">
        <f>IF(SER_hh_fech!P14=0,0,SER_hh_fech!P14/SER_summary!P$26)</f>
        <v>96.20550138504359</v>
      </c>
      <c r="Q14" s="65">
        <f>IF(SER_hh_fech!Q14=0,0,SER_hh_fech!Q14/SER_summary!Q$26)</f>
        <v>112.4413402899601</v>
      </c>
      <c r="R14" s="65">
        <f>IF(SER_hh_fech!R14=0,0,SER_hh_fech!R14/SER_summary!R$26)</f>
        <v>52.061909153559142</v>
      </c>
      <c r="S14" s="65">
        <f>IF(SER_hh_fech!S14=0,0,SER_hh_fech!S14/SER_summary!S$26)</f>
        <v>51.985923468706787</v>
      </c>
      <c r="T14" s="65">
        <f>IF(SER_hh_fech!T14=0,0,SER_hh_fech!T14/SER_summary!T$26)</f>
        <v>98.625829879518562</v>
      </c>
      <c r="U14" s="65">
        <f>IF(SER_hh_fech!U14=0,0,SER_hh_fech!U14/SER_summary!U$26)</f>
        <v>105.71384299490991</v>
      </c>
      <c r="V14" s="65">
        <f>IF(SER_hh_fech!V14=0,0,SER_hh_fech!V14/SER_summary!V$26)</f>
        <v>58.638407608943623</v>
      </c>
      <c r="W14" s="65">
        <f>IF(SER_hh_fech!W14=0,0,SER_hh_fech!W14/SER_summary!W$26)</f>
        <v>61.621738059785507</v>
      </c>
      <c r="X14" s="65">
        <f>IF(SER_hh_fech!X14=0,0,SER_hh_fech!X14/SER_summary!X$26)</f>
        <v>82.832570739012766</v>
      </c>
      <c r="Y14" s="65">
        <f>IF(SER_hh_fech!Y14=0,0,SER_hh_fech!Y14/SER_summary!Y$26)</f>
        <v>91.7958963791381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0.32382631391974082</v>
      </c>
      <c r="C15" s="134">
        <f>IF(SER_hh_fech!C15=0,0,SER_hh_fech!C15/SER_summary!C$26)</f>
        <v>0.36147926424715676</v>
      </c>
      <c r="D15" s="134">
        <f>IF(SER_hh_fech!D15=0,0,SER_hh_fech!D15/SER_summary!D$26)</f>
        <v>0.39403722802973584</v>
      </c>
      <c r="E15" s="134">
        <f>IF(SER_hh_fech!E15=0,0,SER_hh_fech!E15/SER_summary!E$26)</f>
        <v>0.4322319232479252</v>
      </c>
      <c r="F15" s="134">
        <f>IF(SER_hh_fech!F15=0,0,SER_hh_fech!F15/SER_summary!F$26)</f>
        <v>0.56141295155789372</v>
      </c>
      <c r="G15" s="134">
        <f>IF(SER_hh_fech!G15=0,0,SER_hh_fech!G15/SER_summary!G$26)</f>
        <v>0.64579063131073755</v>
      </c>
      <c r="H15" s="134">
        <f>IF(SER_hh_fech!H15=0,0,SER_hh_fech!H15/SER_summary!H$26)</f>
        <v>0.67377364390055439</v>
      </c>
      <c r="I15" s="134">
        <f>IF(SER_hh_fech!I15=0,0,SER_hh_fech!I15/SER_summary!I$26)</f>
        <v>0.69350749847050508</v>
      </c>
      <c r="J15" s="134">
        <f>IF(SER_hh_fech!J15=0,0,SER_hh_fech!J15/SER_summary!J$26)</f>
        <v>0.60877305957625027</v>
      </c>
      <c r="K15" s="134">
        <f>IF(SER_hh_fech!K15=0,0,SER_hh_fech!K15/SER_summary!K$26)</f>
        <v>0.80196723449091611</v>
      </c>
      <c r="L15" s="134">
        <f>IF(SER_hh_fech!L15=0,0,SER_hh_fech!L15/SER_summary!L$26)</f>
        <v>0.63529259533181937</v>
      </c>
      <c r="M15" s="134">
        <f>IF(SER_hh_fech!M15=0,0,SER_hh_fech!M15/SER_summary!M$26)</f>
        <v>0.64534454964565968</v>
      </c>
      <c r="N15" s="134">
        <f>IF(SER_hh_fech!N15=0,0,SER_hh_fech!N15/SER_summary!N$26)</f>
        <v>0.65363348878691141</v>
      </c>
      <c r="O15" s="134">
        <f>IF(SER_hh_fech!O15=0,0,SER_hh_fech!O15/SER_summary!O$26)</f>
        <v>0.68051236046595798</v>
      </c>
      <c r="P15" s="134">
        <f>IF(SER_hh_fech!P15=0,0,SER_hh_fech!P15/SER_summary!P$26)</f>
        <v>0.7123974321293286</v>
      </c>
      <c r="Q15" s="134">
        <f>IF(SER_hh_fech!Q15=0,0,SER_hh_fech!Q15/SER_summary!Q$26)</f>
        <v>0.80490715341881847</v>
      </c>
      <c r="R15" s="134">
        <f>IF(SER_hh_fech!R15=0,0,SER_hh_fech!R15/SER_summary!R$26)</f>
        <v>0.77383577542089188</v>
      </c>
      <c r="S15" s="134">
        <f>IF(SER_hh_fech!S15=0,0,SER_hh_fech!S15/SER_summary!S$26)</f>
        <v>0.77803550165874702</v>
      </c>
      <c r="T15" s="134">
        <f>IF(SER_hh_fech!T15=0,0,SER_hh_fech!T15/SER_summary!T$26)</f>
        <v>0.83874138172385093</v>
      </c>
      <c r="U15" s="134">
        <f>IF(SER_hh_fech!U15=0,0,SER_hh_fech!U15/SER_summary!U$26)</f>
        <v>0.81097692023314805</v>
      </c>
      <c r="V15" s="134">
        <f>IF(SER_hh_fech!V15=0,0,SER_hh_fech!V15/SER_summary!V$26)</f>
        <v>0.66032541445852999</v>
      </c>
      <c r="W15" s="134">
        <f>IF(SER_hh_fech!W15=0,0,SER_hh_fech!W15/SER_summary!W$26)</f>
        <v>0.86983561094528161</v>
      </c>
      <c r="X15" s="134">
        <f>IF(SER_hh_fech!X15=0,0,SER_hh_fech!X15/SER_summary!X$26)</f>
        <v>0.87541747626093691</v>
      </c>
      <c r="Y15" s="134">
        <f>IF(SER_hh_fech!Y15=0,0,SER_hh_fech!Y15/SER_summary!Y$26)</f>
        <v>0.90797081822999703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14.63724062052388</v>
      </c>
      <c r="C16" s="130">
        <f>IF(SER_hh_fech!C16=0,0,SER_hh_fech!C16/SER_summary!C$26)</f>
        <v>13.990705323895369</v>
      </c>
      <c r="D16" s="130">
        <f>IF(SER_hh_fech!D16=0,0,SER_hh_fech!D16/SER_summary!D$26)</f>
        <v>12.056225808927202</v>
      </c>
      <c r="E16" s="130">
        <f>IF(SER_hh_fech!E16=0,0,SER_hh_fech!E16/SER_summary!E$26)</f>
        <v>16.510090395073167</v>
      </c>
      <c r="F16" s="130">
        <f>IF(SER_hh_fech!F16=0,0,SER_hh_fech!F16/SER_summary!F$26)</f>
        <v>13.268493259597012</v>
      </c>
      <c r="G16" s="130">
        <f>IF(SER_hh_fech!G16=0,0,SER_hh_fech!G16/SER_summary!G$26)</f>
        <v>13.926947290377864</v>
      </c>
      <c r="H16" s="130">
        <f>IF(SER_hh_fech!H16=0,0,SER_hh_fech!H16/SER_summary!H$26)</f>
        <v>15.891366461267278</v>
      </c>
      <c r="I16" s="130">
        <f>IF(SER_hh_fech!I16=0,0,SER_hh_fech!I16/SER_summary!I$26)</f>
        <v>9.7015790497269503</v>
      </c>
      <c r="J16" s="130">
        <f>IF(SER_hh_fech!J16=0,0,SER_hh_fech!J16/SER_summary!J$26)</f>
        <v>8.8773859506206563</v>
      </c>
      <c r="K16" s="130">
        <f>IF(SER_hh_fech!K16=0,0,SER_hh_fech!K16/SER_summary!K$26)</f>
        <v>10.656474649898378</v>
      </c>
      <c r="L16" s="130">
        <f>IF(SER_hh_fech!L16=0,0,SER_hh_fech!L16/SER_summary!L$26)</f>
        <v>14.311431264096646</v>
      </c>
      <c r="M16" s="130">
        <f>IF(SER_hh_fech!M16=0,0,SER_hh_fech!M16/SER_summary!M$26)</f>
        <v>9.1340648203971302</v>
      </c>
      <c r="N16" s="130">
        <f>IF(SER_hh_fech!N16=0,0,SER_hh_fech!N16/SER_summary!N$26)</f>
        <v>9.3275538265610418</v>
      </c>
      <c r="O16" s="130">
        <f>IF(SER_hh_fech!O16=0,0,SER_hh_fech!O16/SER_summary!O$26)</f>
        <v>11.759664161353712</v>
      </c>
      <c r="P16" s="130">
        <f>IF(SER_hh_fech!P16=0,0,SER_hh_fech!P16/SER_summary!P$26)</f>
        <v>7.6688162157619528</v>
      </c>
      <c r="Q16" s="130">
        <f>IF(SER_hh_fech!Q16=0,0,SER_hh_fech!Q16/SER_summary!Q$26)</f>
        <v>8.7034374410532784</v>
      </c>
      <c r="R16" s="130">
        <f>IF(SER_hh_fech!R16=0,0,SER_hh_fech!R16/SER_summary!R$26)</f>
        <v>12.57961368315803</v>
      </c>
      <c r="S16" s="130">
        <f>IF(SER_hh_fech!S16=0,0,SER_hh_fech!S16/SER_summary!S$26)</f>
        <v>11.561240631788852</v>
      </c>
      <c r="T16" s="130">
        <f>IF(SER_hh_fech!T16=0,0,SER_hh_fech!T16/SER_summary!T$26)</f>
        <v>9.6497112701860903</v>
      </c>
      <c r="U16" s="130">
        <f>IF(SER_hh_fech!U16=0,0,SER_hh_fech!U16/SER_summary!U$26)</f>
        <v>7.4501582977560412</v>
      </c>
      <c r="V16" s="130">
        <f>IF(SER_hh_fech!V16=0,0,SER_hh_fech!V16/SER_summary!V$26)</f>
        <v>10.480530150692864</v>
      </c>
      <c r="W16" s="130">
        <f>IF(SER_hh_fech!W16=0,0,SER_hh_fech!W16/SER_summary!W$26)</f>
        <v>6.4113642144024112</v>
      </c>
      <c r="X16" s="130">
        <f>IF(SER_hh_fech!X16=0,0,SER_hh_fech!X16/SER_summary!X$26)</f>
        <v>11.625058446791057</v>
      </c>
      <c r="Y16" s="130">
        <f>IF(SER_hh_fech!Y16=0,0,SER_hh_fech!Y16/SER_summary!Y$26)</f>
        <v>9.4203693622972278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23.952283008080403</v>
      </c>
      <c r="C17" s="132">
        <f>IF(SER_hh_fech!C17=0,0,SER_hh_fech!C17/SER_summary!C$26)</f>
        <v>23.510750046866331</v>
      </c>
      <c r="D17" s="132">
        <f>IF(SER_hh_fech!D17=0,0,SER_hh_fech!D17/SER_summary!D$26)</f>
        <v>20.93814097903854</v>
      </c>
      <c r="E17" s="132">
        <f>IF(SER_hh_fech!E17=0,0,SER_hh_fech!E17/SER_summary!E$26)</f>
        <v>29.600854256359192</v>
      </c>
      <c r="F17" s="132">
        <f>IF(SER_hh_fech!F17=0,0,SER_hh_fech!F17/SER_summary!F$26)</f>
        <v>24.097736064939419</v>
      </c>
      <c r="G17" s="132">
        <f>IF(SER_hh_fech!G17=0,0,SER_hh_fech!G17/SER_summary!G$26)</f>
        <v>26.132460866052092</v>
      </c>
      <c r="H17" s="132">
        <f>IF(SER_hh_fech!H17=0,0,SER_hh_fech!H17/SER_summary!H$26)</f>
        <v>30.956990827301642</v>
      </c>
      <c r="I17" s="132">
        <f>IF(SER_hh_fech!I17=0,0,SER_hh_fech!I17/SER_summary!I$26)</f>
        <v>19.579062546238625</v>
      </c>
      <c r="J17" s="132">
        <f>IF(SER_hh_fech!J17=0,0,SER_hh_fech!J17/SER_summary!J$26)</f>
        <v>18.764920854768466</v>
      </c>
      <c r="K17" s="132">
        <f>IF(SER_hh_fech!K17=0,0,SER_hh_fech!K17/SER_summary!K$26)</f>
        <v>22.724815547038979</v>
      </c>
      <c r="L17" s="132">
        <f>IF(SER_hh_fech!L17=0,0,SER_hh_fech!L17/SER_summary!L$26)</f>
        <v>31.159859605757589</v>
      </c>
      <c r="M17" s="132">
        <f>IF(SER_hh_fech!M17=0,0,SER_hh_fech!M17/SER_summary!M$26)</f>
        <v>20.321963852917388</v>
      </c>
      <c r="N17" s="132">
        <f>IF(SER_hh_fech!N17=0,0,SER_hh_fech!N17/SER_summary!N$26)</f>
        <v>21.268001018691578</v>
      </c>
      <c r="O17" s="132">
        <f>IF(SER_hh_fech!O17=0,0,SER_hh_fech!O17/SER_summary!O$26)</f>
        <v>27.282702959136941</v>
      </c>
      <c r="P17" s="132">
        <f>IF(SER_hh_fech!P17=0,0,SER_hh_fech!P17/SER_summary!P$26)</f>
        <v>18.144704361561967</v>
      </c>
      <c r="Q17" s="132">
        <f>IF(SER_hh_fech!Q17=0,0,SER_hh_fech!Q17/SER_summary!Q$26)</f>
        <v>21.018062168636241</v>
      </c>
      <c r="R17" s="132">
        <f>IF(SER_hh_fech!R17=0,0,SER_hh_fech!R17/SER_summary!R$26)</f>
        <v>30.981875196868476</v>
      </c>
      <c r="S17" s="132">
        <f>IF(SER_hh_fech!S17=0,0,SER_hh_fech!S17/SER_summary!S$26)</f>
        <v>29.078740617591912</v>
      </c>
      <c r="T17" s="132">
        <f>IF(SER_hh_fech!T17=0,0,SER_hh_fech!T17/SER_summary!T$26)</f>
        <v>24.420316509719125</v>
      </c>
      <c r="U17" s="132">
        <f>IF(SER_hh_fech!U17=0,0,SER_hh_fech!U17/SER_summary!U$26)</f>
        <v>19.144985801393158</v>
      </c>
      <c r="V17" s="132">
        <f>IF(SER_hh_fech!V17=0,0,SER_hh_fech!V17/SER_summary!V$26)</f>
        <v>26.190965999496338</v>
      </c>
      <c r="W17" s="132">
        <f>IF(SER_hh_fech!W17=0,0,SER_hh_fech!W17/SER_summary!W$26)</f>
        <v>16.970873182569679</v>
      </c>
      <c r="X17" s="132">
        <f>IF(SER_hh_fech!X17=0,0,SER_hh_fech!X17/SER_summary!X$26)</f>
        <v>30.805670763769182</v>
      </c>
      <c r="Y17" s="132">
        <f>IF(SER_hh_fech!Y17=0,0,SER_hh_fech!Y17/SER_summary!Y$26)</f>
        <v>24.895725389658057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14.616089572992827</v>
      </c>
      <c r="C18" s="132">
        <f>IF(SER_hh_fech!C18=0,0,SER_hh_fech!C18/SER_summary!C$26)</f>
        <v>13.969297324384748</v>
      </c>
      <c r="D18" s="132">
        <f>IF(SER_hh_fech!D18=0,0,SER_hh_fech!D18/SER_summary!D$26)</f>
        <v>12.037971547562197</v>
      </c>
      <c r="E18" s="132">
        <f>IF(SER_hh_fech!E18=0,0,SER_hh_fech!E18/SER_summary!E$26)</f>
        <v>16.485361383189261</v>
      </c>
      <c r="F18" s="132">
        <f>IF(SER_hh_fech!F18=0,0,SER_hh_fech!F18/SER_summary!F$26)</f>
        <v>13.244733775651021</v>
      </c>
      <c r="G18" s="132">
        <f>IF(SER_hh_fech!G18=0,0,SER_hh_fech!G18/SER_summary!G$26)</f>
        <v>13.899691685679267</v>
      </c>
      <c r="H18" s="132">
        <f>IF(SER_hh_fech!H18=0,0,SER_hh_fech!H18/SER_summary!H$26)</f>
        <v>15.855967182205609</v>
      </c>
      <c r="I18" s="132">
        <f>IF(SER_hh_fech!I18=0,0,SER_hh_fech!I18/SER_summary!I$26)</f>
        <v>9.6720653739553164</v>
      </c>
      <c r="J18" s="132">
        <f>IF(SER_hh_fech!J18=0,0,SER_hh_fech!J18/SER_summary!J$26)</f>
        <v>8.8434336420887814</v>
      </c>
      <c r="K18" s="132">
        <f>IF(SER_hh_fech!K18=0,0,SER_hh_fech!K18/SER_summary!K$26)</f>
        <v>10.606549597037553</v>
      </c>
      <c r="L18" s="132">
        <f>IF(SER_hh_fech!L18=0,0,SER_hh_fech!L18/SER_summary!L$26)</f>
        <v>14.240231574049339</v>
      </c>
      <c r="M18" s="132">
        <f>IF(SER_hh_fech!M18=0,0,SER_hh_fech!M18/SER_summary!M$26)</f>
        <v>9.0795522324788855</v>
      </c>
      <c r="N18" s="132">
        <f>IF(SER_hh_fech!N18=0,0,SER_hh_fech!N18/SER_summary!N$26)</f>
        <v>9.2659892691153072</v>
      </c>
      <c r="O18" s="132">
        <f>IF(SER_hh_fech!O18=0,0,SER_hh_fech!O18/SER_summary!O$26)</f>
        <v>11.668898345765317</v>
      </c>
      <c r="P18" s="132">
        <f>IF(SER_hh_fech!P18=0,0,SER_hh_fech!P18/SER_summary!P$26)</f>
        <v>7.6001154314654213</v>
      </c>
      <c r="Q18" s="132">
        <f>IF(SER_hh_fech!Q18=0,0,SER_hh_fech!Q18/SER_summary!Q$26)</f>
        <v>8.6085529861373047</v>
      </c>
      <c r="R18" s="132">
        <f>IF(SER_hh_fech!R18=0,0,SER_hh_fech!R18/SER_summary!R$26)</f>
        <v>12.407497196489878</v>
      </c>
      <c r="S18" s="132">
        <f>IF(SER_hh_fech!S18=0,0,SER_hh_fech!S18/SER_summary!S$26)</f>
        <v>11.377826991854242</v>
      </c>
      <c r="T18" s="132">
        <f>IF(SER_hh_fech!T18=0,0,SER_hh_fech!T18/SER_summary!T$26)</f>
        <v>9.4778529790581025</v>
      </c>
      <c r="U18" s="132">
        <f>IF(SER_hh_fech!U18=0,0,SER_hh_fech!U18/SER_summary!U$26)</f>
        <v>7.2983569059820539</v>
      </c>
      <c r="V18" s="132">
        <f>IF(SER_hh_fech!V18=0,0,SER_hh_fech!V18/SER_summary!V$26)</f>
        <v>10.268538447192014</v>
      </c>
      <c r="W18" s="132">
        <f>IF(SER_hh_fech!W18=0,0,SER_hh_fech!W18/SER_summary!W$26)</f>
        <v>6.2676565138156679</v>
      </c>
      <c r="X18" s="132">
        <f>IF(SER_hh_fech!X18=0,0,SER_hh_fech!X18/SER_summary!X$26)</f>
        <v>11.355609168562445</v>
      </c>
      <c r="Y18" s="132">
        <f>IF(SER_hh_fech!Y18=0,0,SER_hh_fech!Y18/SER_summary!Y$26)</f>
        <v>9.1971865119981739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16.030377300733921</v>
      </c>
      <c r="C19" s="130">
        <f>IF(SER_hh_fech!C19=0,0,SER_hh_fech!C19/SER_summary!C$26)</f>
        <v>16.103129175216282</v>
      </c>
      <c r="D19" s="130">
        <f>IF(SER_hh_fech!D19=0,0,SER_hh_fech!D19/SER_summary!D$26)</f>
        <v>16.300221425050456</v>
      </c>
      <c r="E19" s="130">
        <f>IF(SER_hh_fech!E19=0,0,SER_hh_fech!E19/SER_summary!E$26)</f>
        <v>16.110583007082464</v>
      </c>
      <c r="F19" s="130">
        <f>IF(SER_hh_fech!F19=0,0,SER_hh_fech!F19/SER_summary!F$26)</f>
        <v>16.17232571003494</v>
      </c>
      <c r="G19" s="130">
        <f>IF(SER_hh_fech!G19=0,0,SER_hh_fech!G19/SER_summary!G$26)</f>
        <v>16.173109880670154</v>
      </c>
      <c r="H19" s="130">
        <f>IF(SER_hh_fech!H19=0,0,SER_hh_fech!H19/SER_summary!H$26)</f>
        <v>15.903172603782057</v>
      </c>
      <c r="I19" s="130">
        <f>IF(SER_hh_fech!I19=0,0,SER_hh_fech!I19/SER_summary!I$26)</f>
        <v>16.017820020529786</v>
      </c>
      <c r="J19" s="130">
        <f>IF(SER_hh_fech!J19=0,0,SER_hh_fech!J19/SER_summary!J$26)</f>
        <v>15.905693490434274</v>
      </c>
      <c r="K19" s="130">
        <f>IF(SER_hh_fech!K19=0,0,SER_hh_fech!K19/SER_summary!K$26)</f>
        <v>16.012158245069489</v>
      </c>
      <c r="L19" s="130">
        <f>IF(SER_hh_fech!L19=0,0,SER_hh_fech!L19/SER_summary!L$26)</f>
        <v>15.860176512087669</v>
      </c>
      <c r="M19" s="130">
        <f>IF(SER_hh_fech!M19=0,0,SER_hh_fech!M19/SER_summary!M$26)</f>
        <v>16.205795154466003</v>
      </c>
      <c r="N19" s="130">
        <f>IF(SER_hh_fech!N19=0,0,SER_hh_fech!N19/SER_summary!N$26)</f>
        <v>15.783607420438573</v>
      </c>
      <c r="O19" s="130">
        <f>IF(SER_hh_fech!O19=0,0,SER_hh_fech!O19/SER_summary!O$26)</f>
        <v>15.712798965178797</v>
      </c>
      <c r="P19" s="130">
        <f>IF(SER_hh_fech!P19=0,0,SER_hh_fech!P19/SER_summary!P$26)</f>
        <v>15.714204542588297</v>
      </c>
      <c r="Q19" s="130">
        <f>IF(SER_hh_fech!Q19=0,0,SER_hh_fech!Q19/SER_summary!Q$26)</f>
        <v>15.66753531637948</v>
      </c>
      <c r="R19" s="130">
        <f>IF(SER_hh_fech!R19=0,0,SER_hh_fech!R19/SER_summary!R$26)</f>
        <v>15.550593899922456</v>
      </c>
      <c r="S19" s="130">
        <f>IF(SER_hh_fech!S19=0,0,SER_hh_fech!S19/SER_summary!S$26)</f>
        <v>15.091085380096342</v>
      </c>
      <c r="T19" s="130">
        <f>IF(SER_hh_fech!T19=0,0,SER_hh_fech!T19/SER_summary!T$26)</f>
        <v>14.74713553351455</v>
      </c>
      <c r="U19" s="130">
        <f>IF(SER_hh_fech!U19=0,0,SER_hh_fech!U19/SER_summary!U$26)</f>
        <v>14.493354616733518</v>
      </c>
      <c r="V19" s="130">
        <f>IF(SER_hh_fech!V19=0,0,SER_hh_fech!V19/SER_summary!V$26)</f>
        <v>12.28467399795017</v>
      </c>
      <c r="W19" s="130">
        <f>IF(SER_hh_fech!W19=0,0,SER_hh_fech!W19/SER_summary!W$26)</f>
        <v>13.237952265361239</v>
      </c>
      <c r="X19" s="130">
        <f>IF(SER_hh_fech!X19=0,0,SER_hh_fech!X19/SER_summary!X$26)</f>
        <v>13.564139285131413</v>
      </c>
      <c r="Y19" s="130">
        <f>IF(SER_hh_fech!Y19=0,0,SER_hh_fech!Y19/SER_summary!Y$26)</f>
        <v>13.475416621653387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18.080231275827249</v>
      </c>
      <c r="C21" s="132">
        <f>IF(SER_hh_fech!C21=0,0,SER_hh_fech!C21/SER_summary!C$26)</f>
        <v>17.625291901987445</v>
      </c>
      <c r="D21" s="132">
        <f>IF(SER_hh_fech!D21=0,0,SER_hh_fech!D21/SER_summary!D$26)</f>
        <v>17.814910578515104</v>
      </c>
      <c r="E21" s="132">
        <f>IF(SER_hh_fech!E21=0,0,SER_hh_fech!E21/SER_summary!E$26)</f>
        <v>17.906041955166902</v>
      </c>
      <c r="F21" s="132">
        <f>IF(SER_hh_fech!F21=0,0,SER_hh_fech!F21/SER_summary!F$26)</f>
        <v>18.192549383300697</v>
      </c>
      <c r="G21" s="132">
        <f>IF(SER_hh_fech!G21=0,0,SER_hh_fech!G21/SER_summary!G$26)</f>
        <v>18.151339903146162</v>
      </c>
      <c r="H21" s="132">
        <f>IF(SER_hh_fech!H21=0,0,SER_hh_fech!H21/SER_summary!H$26)</f>
        <v>17.946601704225316</v>
      </c>
      <c r="I21" s="132">
        <f>IF(SER_hh_fech!I21=0,0,SER_hh_fech!I21/SER_summary!I$26)</f>
        <v>18.218952604763913</v>
      </c>
      <c r="J21" s="132">
        <f>IF(SER_hh_fech!J21=0,0,SER_hh_fech!J21/SER_summary!J$26)</f>
        <v>18.115949511376996</v>
      </c>
      <c r="K21" s="132">
        <f>IF(SER_hh_fech!K21=0,0,SER_hh_fech!K21/SER_summary!K$26)</f>
        <v>18.408991245965996</v>
      </c>
      <c r="L21" s="132">
        <f>IF(SER_hh_fech!L21=0,0,SER_hh_fech!L21/SER_summary!L$26)</f>
        <v>18.043551098499687</v>
      </c>
      <c r="M21" s="132">
        <f>IF(SER_hh_fech!M21=0,0,SER_hh_fech!M21/SER_summary!M$26)</f>
        <v>18.324764376282037</v>
      </c>
      <c r="N21" s="132">
        <f>IF(SER_hh_fech!N21=0,0,SER_hh_fech!N21/SER_summary!N$26)</f>
        <v>18.039750595291295</v>
      </c>
      <c r="O21" s="132">
        <f>IF(SER_hh_fech!O21=0,0,SER_hh_fech!O21/SER_summary!O$26)</f>
        <v>17.719296362002158</v>
      </c>
      <c r="P21" s="132">
        <f>IF(SER_hh_fech!P21=0,0,SER_hh_fech!P21/SER_summary!P$26)</f>
        <v>17.703309644157809</v>
      </c>
      <c r="Q21" s="132">
        <f>IF(SER_hh_fech!Q21=0,0,SER_hh_fech!Q21/SER_summary!Q$26)</f>
        <v>17.713021855669947</v>
      </c>
      <c r="R21" s="132">
        <f>IF(SER_hh_fech!R21=0,0,SER_hh_fech!R21/SER_summary!R$26)</f>
        <v>17.485022235209964</v>
      </c>
      <c r="S21" s="132">
        <f>IF(SER_hh_fech!S21=0,0,SER_hh_fech!S21/SER_summary!S$26)</f>
        <v>16.894359749564057</v>
      </c>
      <c r="T21" s="132">
        <f>IF(SER_hh_fech!T21=0,0,SER_hh_fech!T21/SER_summary!T$26)</f>
        <v>16.073262610983686</v>
      </c>
      <c r="U21" s="132">
        <f>IF(SER_hh_fech!U21=0,0,SER_hh_fech!U21/SER_summary!U$26)</f>
        <v>15.629356757076012</v>
      </c>
      <c r="V21" s="132">
        <f>IF(SER_hh_fech!V21=0,0,SER_hh_fech!V21/SER_summary!V$26)</f>
        <v>14.758144687737001</v>
      </c>
      <c r="W21" s="132">
        <f>IF(SER_hh_fech!W21=0,0,SER_hh_fech!W21/SER_summary!W$26)</f>
        <v>13.735739663599695</v>
      </c>
      <c r="X21" s="132">
        <f>IF(SER_hh_fech!X21=0,0,SER_hh_fech!X21/SER_summary!X$26)</f>
        <v>14.724042738577879</v>
      </c>
      <c r="Y21" s="132">
        <f>IF(SER_hh_fech!Y21=0,0,SER_hh_fech!Y21/SER_summary!Y$26)</f>
        <v>13.959350465899901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19.024431072850764</v>
      </c>
      <c r="C22" s="132">
        <f>IF(SER_hh_fech!C22=0,0,SER_hh_fech!C22/SER_summary!C$26)</f>
        <v>18.970143055181971</v>
      </c>
      <c r="D22" s="132">
        <f>IF(SER_hh_fech!D22=0,0,SER_hh_fech!D22/SER_summary!D$26)</f>
        <v>18.945359465198162</v>
      </c>
      <c r="E22" s="132">
        <f>IF(SER_hh_fech!E22=0,0,SER_hh_fech!E22/SER_summary!E$26)</f>
        <v>19.151789041233449</v>
      </c>
      <c r="F22" s="132">
        <f>IF(SER_hh_fech!F22=0,0,SER_hh_fech!F22/SER_summary!F$26)</f>
        <v>19.187503384862037</v>
      </c>
      <c r="G22" s="132">
        <f>IF(SER_hh_fech!G22=0,0,SER_hh_fech!G22/SER_summary!G$26)</f>
        <v>19.251981150901297</v>
      </c>
      <c r="H22" s="132">
        <f>IF(SER_hh_fech!H22=0,0,SER_hh_fech!H22/SER_summary!H$26)</f>
        <v>19.327035407854602</v>
      </c>
      <c r="I22" s="132">
        <f>IF(SER_hh_fech!I22=0,0,SER_hh_fech!I22/SER_summary!I$26)</f>
        <v>19.456800223406677</v>
      </c>
      <c r="J22" s="132">
        <f>IF(SER_hh_fech!J22=0,0,SER_hh_fech!J22/SER_summary!J$26)</f>
        <v>19.286644148156991</v>
      </c>
      <c r="K22" s="132">
        <f>IF(SER_hh_fech!K22=0,0,SER_hh_fech!K22/SER_summary!K$26)</f>
        <v>19.080712629490446</v>
      </c>
      <c r="L22" s="132">
        <f>IF(SER_hh_fech!L22=0,0,SER_hh_fech!L22/SER_summary!L$26)</f>
        <v>19.10334905403305</v>
      </c>
      <c r="M22" s="132">
        <f>IF(SER_hh_fech!M22=0,0,SER_hh_fech!M22/SER_summary!M$26)</f>
        <v>19.369130707267196</v>
      </c>
      <c r="N22" s="132">
        <f>IF(SER_hh_fech!N22=0,0,SER_hh_fech!N22/SER_summary!N$26)</f>
        <v>18.882096511125539</v>
      </c>
      <c r="O22" s="132">
        <f>IF(SER_hh_fech!O22=0,0,SER_hh_fech!O22/SER_summary!O$26)</f>
        <v>18.787012329557143</v>
      </c>
      <c r="P22" s="132">
        <f>IF(SER_hh_fech!P22=0,0,SER_hh_fech!P22/SER_summary!P$26)</f>
        <v>18.622850055147982</v>
      </c>
      <c r="Q22" s="132">
        <f>IF(SER_hh_fech!Q22=0,0,SER_hh_fech!Q22/SER_summary!Q$26)</f>
        <v>18.518786795203805</v>
      </c>
      <c r="R22" s="132">
        <f>IF(SER_hh_fech!R22=0,0,SER_hh_fech!R22/SER_summary!R$26)</f>
        <v>17.988069663309478</v>
      </c>
      <c r="S22" s="132">
        <f>IF(SER_hh_fech!S22=0,0,SER_hh_fech!S22/SER_summary!S$26)</f>
        <v>17.611657266996072</v>
      </c>
      <c r="T22" s="132">
        <f>IF(SER_hh_fech!T22=0,0,SER_hh_fech!T22/SER_summary!T$26)</f>
        <v>16.962201458824975</v>
      </c>
      <c r="U22" s="132">
        <f>IF(SER_hh_fech!U22=0,0,SER_hh_fech!U22/SER_summary!U$26)</f>
        <v>16.091762190087813</v>
      </c>
      <c r="V22" s="132">
        <f>IF(SER_hh_fech!V22=0,0,SER_hh_fech!V22/SER_summary!V$26)</f>
        <v>14.202580599223904</v>
      </c>
      <c r="W22" s="132">
        <f>IF(SER_hh_fech!W22=0,0,SER_hh_fech!W22/SER_summary!W$26)</f>
        <v>14.798384140816715</v>
      </c>
      <c r="X22" s="132">
        <f>IF(SER_hh_fech!X22=0,0,SER_hh_fech!X22/SER_summary!X$26)</f>
        <v>14.914014184007216</v>
      </c>
      <c r="Y22" s="132">
        <f>IF(SER_hh_fech!Y22=0,0,SER_hh_fech!Y22/SER_summary!Y$26)</f>
        <v>14.575960610254766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17.836362294417281</v>
      </c>
      <c r="C23" s="132">
        <f>IF(SER_hh_fech!C23=0,0,SER_hh_fech!C23/SER_summary!C$26)</f>
        <v>18.485527733046833</v>
      </c>
      <c r="D23" s="132">
        <f>IF(SER_hh_fech!D23=0,0,SER_hh_fech!D23/SER_summary!D$26)</f>
        <v>18.534029076479527</v>
      </c>
      <c r="E23" s="132">
        <f>IF(SER_hh_fech!E23=0,0,SER_hh_fech!E23/SER_summary!E$26)</f>
        <v>18.174467608552419</v>
      </c>
      <c r="F23" s="132">
        <f>IF(SER_hh_fech!F23=0,0,SER_hh_fech!F23/SER_summary!F$26)</f>
        <v>17.921835230934317</v>
      </c>
      <c r="G23" s="132">
        <f>IF(SER_hh_fech!G23=0,0,SER_hh_fech!G23/SER_summary!G$26)</f>
        <v>17.783794173496645</v>
      </c>
      <c r="H23" s="132">
        <f>IF(SER_hh_fech!H23=0,0,SER_hh_fech!H23/SER_summary!H$26)</f>
        <v>17.478063479001399</v>
      </c>
      <c r="I23" s="132">
        <f>IF(SER_hh_fech!I23=0,0,SER_hh_fech!I23/SER_summary!I$26)</f>
        <v>17.814792280620836</v>
      </c>
      <c r="J23" s="132">
        <f>IF(SER_hh_fech!J23=0,0,SER_hh_fech!J23/SER_summary!J$26)</f>
        <v>17.551783269089945</v>
      </c>
      <c r="K23" s="132">
        <f>IF(SER_hh_fech!K23=0,0,SER_hh_fech!K23/SER_summary!K$26)</f>
        <v>17.250934213152554</v>
      </c>
      <c r="L23" s="132">
        <f>IF(SER_hh_fech!L23=0,0,SER_hh_fech!L23/SER_summary!L$26)</f>
        <v>17.340362242622195</v>
      </c>
      <c r="M23" s="132">
        <f>IF(SER_hh_fech!M23=0,0,SER_hh_fech!M23/SER_summary!M$26)</f>
        <v>17.418259095231765</v>
      </c>
      <c r="N23" s="132">
        <f>IF(SER_hh_fech!N23=0,0,SER_hh_fech!N23/SER_summary!N$26)</f>
        <v>17.182398706137381</v>
      </c>
      <c r="O23" s="132">
        <f>IF(SER_hh_fech!O23=0,0,SER_hh_fech!O23/SER_summary!O$26)</f>
        <v>16.99759407820817</v>
      </c>
      <c r="P23" s="132">
        <f>IF(SER_hh_fech!P23=0,0,SER_hh_fech!P23/SER_summary!P$26)</f>
        <v>16.516146864902467</v>
      </c>
      <c r="Q23" s="132">
        <f>IF(SER_hh_fech!Q23=0,0,SER_hh_fech!Q23/SER_summary!Q$26)</f>
        <v>16.190640865906751</v>
      </c>
      <c r="R23" s="132">
        <f>IF(SER_hh_fech!R23=0,0,SER_hh_fech!R23/SER_summary!R$26)</f>
        <v>16.115356561355821</v>
      </c>
      <c r="S23" s="132">
        <f>IF(SER_hh_fech!S23=0,0,SER_hh_fech!S23/SER_summary!S$26)</f>
        <v>15.78450619576301</v>
      </c>
      <c r="T23" s="132">
        <f>IF(SER_hh_fech!T23=0,0,SER_hh_fech!T23/SER_summary!T$26)</f>
        <v>15.344615333206859</v>
      </c>
      <c r="U23" s="132">
        <f>IF(SER_hh_fech!U23=0,0,SER_hh_fech!U23/SER_summary!U$26)</f>
        <v>15.074542052546397</v>
      </c>
      <c r="V23" s="132">
        <f>IF(SER_hh_fech!V23=0,0,SER_hh_fech!V23/SER_summary!V$26)</f>
        <v>12.335812842034928</v>
      </c>
      <c r="W23" s="132">
        <f>IF(SER_hh_fech!W23=0,0,SER_hh_fech!W23/SER_summary!W$26)</f>
        <v>13.502417804859396</v>
      </c>
      <c r="X23" s="132">
        <f>IF(SER_hh_fech!X23=0,0,SER_hh_fech!X23/SER_summary!X$26)</f>
        <v>13.582746286505618</v>
      </c>
      <c r="Y23" s="132">
        <f>IF(SER_hh_fech!Y23=0,0,SER_hh_fech!Y23/SER_summary!Y$26)</f>
        <v>13.836321765243259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10.268501946031474</v>
      </c>
      <c r="C25" s="132">
        <f>IF(SER_hh_fech!C25=0,0,SER_hh_fech!C25/SER_summary!C$26)</f>
        <v>12.700548408129649</v>
      </c>
      <c r="D25" s="132">
        <f>IF(SER_hh_fech!D25=0,0,SER_hh_fech!D25/SER_summary!D$26)</f>
        <v>13.167114333119853</v>
      </c>
      <c r="E25" s="132">
        <f>IF(SER_hh_fech!E25=0,0,SER_hh_fech!E25/SER_summary!E$26)</f>
        <v>13.532417821473457</v>
      </c>
      <c r="F25" s="132">
        <f>IF(SER_hh_fech!F25=0,0,SER_hh_fech!F25/SER_summary!F$26)</f>
        <v>13.097864294487968</v>
      </c>
      <c r="G25" s="132">
        <f>IF(SER_hh_fech!G25=0,0,SER_hh_fech!G25/SER_summary!G$26)</f>
        <v>11.667825447810879</v>
      </c>
      <c r="H25" s="132">
        <f>IF(SER_hh_fech!H25=0,0,SER_hh_fech!H25/SER_summary!H$26)</f>
        <v>12.487955239208885</v>
      </c>
      <c r="I25" s="132">
        <f>IF(SER_hh_fech!I25=0,0,SER_hh_fech!I25/SER_summary!I$26)</f>
        <v>14.661779337236714</v>
      </c>
      <c r="J25" s="132">
        <f>IF(SER_hh_fech!J25=0,0,SER_hh_fech!J25/SER_summary!J$26)</f>
        <v>10.578770175334254</v>
      </c>
      <c r="K25" s="132">
        <f>IF(SER_hh_fech!K25=0,0,SER_hh_fech!K25/SER_summary!K$26)</f>
        <v>12.612469587062819</v>
      </c>
      <c r="L25" s="132">
        <f>IF(SER_hh_fech!L25=0,0,SER_hh_fech!L25/SER_summary!L$26)</f>
        <v>12.249851216118911</v>
      </c>
      <c r="M25" s="132">
        <f>IF(SER_hh_fech!M25=0,0,SER_hh_fech!M25/SER_summary!M$26)</f>
        <v>11.439694538302067</v>
      </c>
      <c r="N25" s="132">
        <f>IF(SER_hh_fech!N25=0,0,SER_hh_fech!N25/SER_summary!N$26)</f>
        <v>12.961925515276587</v>
      </c>
      <c r="O25" s="132">
        <f>IF(SER_hh_fech!O25=0,0,SER_hh_fech!O25/SER_summary!O$26)</f>
        <v>13.818001965537762</v>
      </c>
      <c r="P25" s="132">
        <f>IF(SER_hh_fech!P25=0,0,SER_hh_fech!P25/SER_summary!P$26)</f>
        <v>13.077374585732539</v>
      </c>
      <c r="Q25" s="132">
        <f>IF(SER_hh_fech!Q25=0,0,SER_hh_fech!Q25/SER_summary!Q$26)</f>
        <v>13.320667836330619</v>
      </c>
      <c r="R25" s="132">
        <f>IF(SER_hh_fech!R25=0,0,SER_hh_fech!R25/SER_summary!R$26)</f>
        <v>12.661631238053971</v>
      </c>
      <c r="S25" s="132">
        <f>IF(SER_hh_fech!S25=0,0,SER_hh_fech!S25/SER_summary!S$26)</f>
        <v>13.297035077227617</v>
      </c>
      <c r="T25" s="132">
        <f>IF(SER_hh_fech!T25=0,0,SER_hh_fech!T25/SER_summary!T$26)</f>
        <v>13.356271796064753</v>
      </c>
      <c r="U25" s="132">
        <f>IF(SER_hh_fech!U25=0,0,SER_hh_fech!U25/SER_summary!U$26)</f>
        <v>11.664393671391498</v>
      </c>
      <c r="V25" s="132">
        <f>IF(SER_hh_fech!V25=0,0,SER_hh_fech!V25/SER_summary!V$26)</f>
        <v>10.456385640242361</v>
      </c>
      <c r="W25" s="132">
        <f>IF(SER_hh_fech!W25=0,0,SER_hh_fech!W25/SER_summary!W$26)</f>
        <v>12.581750789893558</v>
      </c>
      <c r="X25" s="132">
        <f>IF(SER_hh_fech!X25=0,0,SER_hh_fech!X25/SER_summary!X$26)</f>
        <v>12.91305842665172</v>
      </c>
      <c r="Y25" s="132">
        <f>IF(SER_hh_fech!Y25=0,0,SER_hh_fech!Y25/SER_summary!Y$26)</f>
        <v>10.021457086073855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13.134224140193508</v>
      </c>
      <c r="C26" s="65">
        <f>IF(SER_hh_fech!C26=0,0,SER_hh_fech!C26/SER_summary!C$26)</f>
        <v>13.480272673795184</v>
      </c>
      <c r="D26" s="65">
        <f>IF(SER_hh_fech!D26=0,0,SER_hh_fech!D26/SER_summary!D$26)</f>
        <v>13.970418230088921</v>
      </c>
      <c r="E26" s="65">
        <f>IF(SER_hh_fech!E26=0,0,SER_hh_fech!E26/SER_summary!E$26)</f>
        <v>13.732173420027072</v>
      </c>
      <c r="F26" s="65">
        <f>IF(SER_hh_fech!F26=0,0,SER_hh_fech!F26/SER_summary!F$26)</f>
        <v>13.94327526525424</v>
      </c>
      <c r="G26" s="65">
        <f>IF(SER_hh_fech!G26=0,0,SER_hh_fech!G26/SER_summary!G$26)</f>
        <v>13.997713823852351</v>
      </c>
      <c r="H26" s="65">
        <f>IF(SER_hh_fech!H26=0,0,SER_hh_fech!H26/SER_summary!H$26)</f>
        <v>13.630638885845995</v>
      </c>
      <c r="I26" s="65">
        <f>IF(SER_hh_fech!I26=0,0,SER_hh_fech!I26/SER_summary!I$26)</f>
        <v>13.644756089723201</v>
      </c>
      <c r="J26" s="65">
        <f>IF(SER_hh_fech!J26=0,0,SER_hh_fech!J26/SER_summary!J$26)</f>
        <v>13.479176541108075</v>
      </c>
      <c r="K26" s="65">
        <f>IF(SER_hh_fech!K26=0,0,SER_hh_fech!K26/SER_summary!K$26)</f>
        <v>13.528812829225162</v>
      </c>
      <c r="L26" s="65">
        <f>IF(SER_hh_fech!L26=0,0,SER_hh_fech!L26/SER_summary!L$26)</f>
        <v>12.770642070519191</v>
      </c>
      <c r="M26" s="65">
        <f>IF(SER_hh_fech!M26=0,0,SER_hh_fech!M26/SER_summary!M$26)</f>
        <v>12.722932503977102</v>
      </c>
      <c r="N26" s="65">
        <f>IF(SER_hh_fech!N26=0,0,SER_hh_fech!N26/SER_summary!N$26)</f>
        <v>11.847983994603354</v>
      </c>
      <c r="O26" s="65">
        <f>IF(SER_hh_fech!O26=0,0,SER_hh_fech!O26/SER_summary!O$26)</f>
        <v>11.53189490293895</v>
      </c>
      <c r="P26" s="65">
        <f>IF(SER_hh_fech!P26=0,0,SER_hh_fech!P26/SER_summary!P$26)</f>
        <v>11.516814112198144</v>
      </c>
      <c r="Q26" s="65">
        <f>IF(SER_hh_fech!Q26=0,0,SER_hh_fech!Q26/SER_summary!Q$26)</f>
        <v>11.363360935889128</v>
      </c>
      <c r="R26" s="65">
        <f>IF(SER_hh_fech!R26=0,0,SER_hh_fech!R26/SER_summary!R$26)</f>
        <v>11.133337771750345</v>
      </c>
      <c r="S26" s="65">
        <f>IF(SER_hh_fech!S26=0,0,SER_hh_fech!S26/SER_summary!S$26)</f>
        <v>10.315105285658316</v>
      </c>
      <c r="T26" s="65">
        <f>IF(SER_hh_fech!T26=0,0,SER_hh_fech!T26/SER_summary!T$26)</f>
        <v>9.7715400724845995</v>
      </c>
      <c r="U26" s="65">
        <f>IF(SER_hh_fech!U26=0,0,SER_hh_fech!U26/SER_summary!U$26)</f>
        <v>9.4698168726849712</v>
      </c>
      <c r="V26" s="65">
        <f>IF(SER_hh_fech!V26=0,0,SER_hh_fech!V26/SER_summary!V$26)</f>
        <v>6.9273856012160095</v>
      </c>
      <c r="W26" s="65">
        <f>IF(SER_hh_fech!W26=0,0,SER_hh_fech!W26/SER_summary!W$26)</f>
        <v>7.810699547777519</v>
      </c>
      <c r="X26" s="65">
        <f>IF(SER_hh_fech!X26=0,0,SER_hh_fech!X26/SER_summary!X$26)</f>
        <v>7.8431694857771896</v>
      </c>
      <c r="Y26" s="65">
        <f>IF(SER_hh_fech!Y26=0,0,SER_hh_fech!Y26/SER_summary!Y$26)</f>
        <v>7.8213629217937823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0.58987603169583702</v>
      </c>
      <c r="C27" s="145">
        <f>IF(SER_hh_fech!C27=0,0,SER_hh_fech!C27/SER_summary!C$26)</f>
        <v>0.58845060882242062</v>
      </c>
      <c r="D27" s="145">
        <f>IF(SER_hh_fech!D27=0,0,SER_hh_fech!D27/SER_summary!D$26)</f>
        <v>0.59801968306723308</v>
      </c>
      <c r="E27" s="145">
        <f>IF(SER_hh_fech!E27=0,0,SER_hh_fech!E27/SER_summary!E$26)</f>
        <v>0.61212926532085865</v>
      </c>
      <c r="F27" s="145">
        <f>IF(SER_hh_fech!F27=0,0,SER_hh_fech!F27/SER_summary!F$26)</f>
        <v>0.61952192864978151</v>
      </c>
      <c r="G27" s="145">
        <f>IF(SER_hh_fech!G27=0,0,SER_hh_fech!G27/SER_summary!G$26)</f>
        <v>0.65129659557292752</v>
      </c>
      <c r="H27" s="145">
        <f>IF(SER_hh_fech!H27=0,0,SER_hh_fech!H27/SER_summary!H$26)</f>
        <v>0.6684109767804256</v>
      </c>
      <c r="I27" s="145">
        <f>IF(SER_hh_fech!I27=0,0,SER_hh_fech!I27/SER_summary!I$26)</f>
        <v>0.71038122050152386</v>
      </c>
      <c r="J27" s="145">
        <f>IF(SER_hh_fech!J27=0,0,SER_hh_fech!J27/SER_summary!J$26)</f>
        <v>0.83633772338156909</v>
      </c>
      <c r="K27" s="145">
        <f>IF(SER_hh_fech!K27=0,0,SER_hh_fech!K27/SER_summary!K$26)</f>
        <v>0.96085220034667684</v>
      </c>
      <c r="L27" s="145">
        <f>IF(SER_hh_fech!L27=0,0,SER_hh_fech!L27/SER_summary!L$26)</f>
        <v>1.3191729851498828</v>
      </c>
      <c r="M27" s="145">
        <f>IF(SER_hh_fech!M27=0,0,SER_hh_fech!M27/SER_summary!M$26)</f>
        <v>1.6255514836118028</v>
      </c>
      <c r="N27" s="145">
        <f>IF(SER_hh_fech!N27=0,0,SER_hh_fech!N27/SER_summary!N$26)</f>
        <v>1.838808587646646</v>
      </c>
      <c r="O27" s="145">
        <f>IF(SER_hh_fech!O27=0,0,SER_hh_fech!O27/SER_summary!O$26)</f>
        <v>1.9766339618297699</v>
      </c>
      <c r="P27" s="145">
        <f>IF(SER_hh_fech!P27=0,0,SER_hh_fech!P27/SER_summary!P$26)</f>
        <v>2.0735635193525201</v>
      </c>
      <c r="Q27" s="145">
        <f>IF(SER_hh_fech!Q27=0,0,SER_hh_fech!Q27/SER_summary!Q$26)</f>
        <v>2.151062475021853</v>
      </c>
      <c r="R27" s="145">
        <f>IF(SER_hh_fech!R27=0,0,SER_hh_fech!R27/SER_summary!R$26)</f>
        <v>2.2367225707841034</v>
      </c>
      <c r="S27" s="145">
        <f>IF(SER_hh_fech!S27=0,0,SER_hh_fech!S27/SER_summary!S$26)</f>
        <v>2.323506140837742</v>
      </c>
      <c r="T27" s="145">
        <f>IF(SER_hh_fech!T27=0,0,SER_hh_fech!T27/SER_summary!T$26)</f>
        <v>2.4257155804329615</v>
      </c>
      <c r="U27" s="145">
        <f>IF(SER_hh_fech!U27=0,0,SER_hh_fech!U27/SER_summary!U$26)</f>
        <v>2.5059587240218439</v>
      </c>
      <c r="V27" s="145">
        <f>IF(SER_hh_fech!V27=0,0,SER_hh_fech!V27/SER_summary!V$26)</f>
        <v>2.6029040318092629</v>
      </c>
      <c r="W27" s="145">
        <f>IF(SER_hh_fech!W27=0,0,SER_hh_fech!W27/SER_summary!W$26)</f>
        <v>2.7118712925663222</v>
      </c>
      <c r="X27" s="145">
        <f>IF(SER_hh_fech!X27=0,0,SER_hh_fech!X27/SER_summary!X$26)</f>
        <v>2.9489293294698795</v>
      </c>
      <c r="Y27" s="145">
        <f>IF(SER_hh_fech!Y27=0,0,SER_hh_fech!Y27/SER_summary!Y$26)</f>
        <v>2.9628068958097642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7.6496088311682549</v>
      </c>
      <c r="C28" s="146">
        <f>IF(SER_hh_fech!C28=0,0,SER_hh_fech!C28/SER_summary!C$26)</f>
        <v>7.5866070156464707</v>
      </c>
      <c r="D28" s="146">
        <f>IF(SER_hh_fech!D28=0,0,SER_hh_fech!D28/SER_summary!D$26)</f>
        <v>7.6420659950125369</v>
      </c>
      <c r="E28" s="146">
        <f>IF(SER_hh_fech!E28=0,0,SER_hh_fech!E28/SER_summary!E$26)</f>
        <v>8.0806315541837854</v>
      </c>
      <c r="F28" s="146">
        <f>IF(SER_hh_fech!F28=0,0,SER_hh_fech!F28/SER_summary!F$26)</f>
        <v>8.1647604490144126</v>
      </c>
      <c r="G28" s="146">
        <f>IF(SER_hh_fech!G28=0,0,SER_hh_fech!G28/SER_summary!G$26)</f>
        <v>7.7554750913518937</v>
      </c>
      <c r="H28" s="146">
        <f>IF(SER_hh_fech!H28=0,0,SER_hh_fech!H28/SER_summary!H$26)</f>
        <v>7.9464997400428761</v>
      </c>
      <c r="I28" s="146">
        <f>IF(SER_hh_fech!I28=0,0,SER_hh_fech!I28/SER_summary!I$26)</f>
        <v>8.0131517243963</v>
      </c>
      <c r="J28" s="146">
        <f>IF(SER_hh_fech!J28=0,0,SER_hh_fech!J28/SER_summary!J$26)</f>
        <v>8.100729448308293</v>
      </c>
      <c r="K28" s="146">
        <f>IF(SER_hh_fech!K28=0,0,SER_hh_fech!K28/SER_summary!K$26)</f>
        <v>8.1302777749335409</v>
      </c>
      <c r="L28" s="146">
        <f>IF(SER_hh_fech!L28=0,0,SER_hh_fech!L28/SER_summary!L$26)</f>
        <v>8.7297061594492877</v>
      </c>
      <c r="M28" s="146">
        <f>IF(SER_hh_fech!M28=0,0,SER_hh_fech!M28/SER_summary!M$26)</f>
        <v>9.451147550268816</v>
      </c>
      <c r="N28" s="146">
        <f>IF(SER_hh_fech!N28=0,0,SER_hh_fech!N28/SER_summary!N$26)</f>
        <v>9.3911855374594904</v>
      </c>
      <c r="O28" s="146">
        <f>IF(SER_hh_fech!O28=0,0,SER_hh_fech!O28/SER_summary!O$26)</f>
        <v>9.6543258432300458</v>
      </c>
      <c r="P28" s="146">
        <f>IF(SER_hh_fech!P28=0,0,SER_hh_fech!P28/SER_summary!P$26)</f>
        <v>9.682209477445884</v>
      </c>
      <c r="Q28" s="146">
        <f>IF(SER_hh_fech!Q28=0,0,SER_hh_fech!Q28/SER_summary!Q$26)</f>
        <v>9.7138156566217262</v>
      </c>
      <c r="R28" s="146">
        <f>IF(SER_hh_fech!R28=0,0,SER_hh_fech!R28/SER_summary!R$26)</f>
        <v>9.6827769524371945</v>
      </c>
      <c r="S28" s="146">
        <f>IF(SER_hh_fech!S28=0,0,SER_hh_fech!S28/SER_summary!S$26)</f>
        <v>9.6222333128282926</v>
      </c>
      <c r="T28" s="146">
        <f>IF(SER_hh_fech!T28=0,0,SER_hh_fech!T28/SER_summary!T$26)</f>
        <v>9.9046346489816788</v>
      </c>
      <c r="U28" s="146">
        <f>IF(SER_hh_fech!U28=0,0,SER_hh_fech!U28/SER_summary!U$26)</f>
        <v>9.9096310597886461</v>
      </c>
      <c r="V28" s="146">
        <f>IF(SER_hh_fech!V28=0,0,SER_hh_fech!V28/SER_summary!V$26)</f>
        <v>8.9255475087741392</v>
      </c>
      <c r="W28" s="146">
        <f>IF(SER_hh_fech!W28=0,0,SER_hh_fech!W28/SER_summary!W$26)</f>
        <v>9.4371642657014938</v>
      </c>
      <c r="X28" s="146">
        <f>IF(SER_hh_fech!X28=0,0,SER_hh_fech!X28/SER_summary!X$26)</f>
        <v>9.1608471089324564</v>
      </c>
      <c r="Y28" s="146">
        <f>IF(SER_hh_fech!Y28=0,0,SER_hh_fech!Y28/SER_summary!Y$26)</f>
        <v>9.3458447566667395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13.390842438670262</v>
      </c>
      <c r="C29" s="130">
        <f>IF(SER_hh_fech!C29=0,0,SER_hh_fech!C29/SER_summary!C$26)</f>
        <v>13.632633983838096</v>
      </c>
      <c r="D29" s="130">
        <f>IF(SER_hh_fech!D29=0,0,SER_hh_fech!D29/SER_summary!D$26)</f>
        <v>15.034864445742812</v>
      </c>
      <c r="E29" s="130">
        <f>IF(SER_hh_fech!E29=0,0,SER_hh_fech!E29/SER_summary!E$26)</f>
        <v>15.568324798673503</v>
      </c>
      <c r="F29" s="130">
        <f>IF(SER_hh_fech!F29=0,0,SER_hh_fech!F29/SER_summary!F$26)</f>
        <v>15.914961679197139</v>
      </c>
      <c r="G29" s="130">
        <f>IF(SER_hh_fech!G29=0,0,SER_hh_fech!G29/SER_summary!G$26)</f>
        <v>16.500313967809934</v>
      </c>
      <c r="H29" s="130">
        <f>IF(SER_hh_fech!H29=0,0,SER_hh_fech!H29/SER_summary!H$26)</f>
        <v>16.482064869876364</v>
      </c>
      <c r="I29" s="130">
        <f>IF(SER_hh_fech!I29=0,0,SER_hh_fech!I29/SER_summary!I$26)</f>
        <v>16.463155298997837</v>
      </c>
      <c r="J29" s="130">
        <f>IF(SER_hh_fech!J29=0,0,SER_hh_fech!J29/SER_summary!J$26)</f>
        <v>17.039581362409773</v>
      </c>
      <c r="K29" s="130">
        <f>IF(SER_hh_fech!K29=0,0,SER_hh_fech!K29/SER_summary!K$26)</f>
        <v>16.769754994349242</v>
      </c>
      <c r="L29" s="130">
        <f>IF(SER_hh_fech!L29=0,0,SER_hh_fech!L29/SER_summary!L$26)</f>
        <v>16.008615049882788</v>
      </c>
      <c r="M29" s="130">
        <f>IF(SER_hh_fech!M29=0,0,SER_hh_fech!M29/SER_summary!M$26)</f>
        <v>15.889659728299071</v>
      </c>
      <c r="N29" s="130">
        <f>IF(SER_hh_fech!N29=0,0,SER_hh_fech!N29/SER_summary!N$26)</f>
        <v>16.281092992862778</v>
      </c>
      <c r="O29" s="130">
        <f>IF(SER_hh_fech!O29=0,0,SER_hh_fech!O29/SER_summary!O$26)</f>
        <v>15.259873060874771</v>
      </c>
      <c r="P29" s="130">
        <f>IF(SER_hh_fech!P29=0,0,SER_hh_fech!P29/SER_summary!P$26)</f>
        <v>16.620708192892668</v>
      </c>
      <c r="Q29" s="130">
        <f>IF(SER_hh_fech!Q29=0,0,SER_hh_fech!Q29/SER_summary!Q$26)</f>
        <v>16.914936352176394</v>
      </c>
      <c r="R29" s="130">
        <f>IF(SER_hh_fech!R29=0,0,SER_hh_fech!R29/SER_summary!R$26)</f>
        <v>17.030571422997077</v>
      </c>
      <c r="S29" s="130">
        <f>IF(SER_hh_fech!S29=0,0,SER_hh_fech!S29/SER_summary!S$26)</f>
        <v>17.313738898715876</v>
      </c>
      <c r="T29" s="130">
        <f>IF(SER_hh_fech!T29=0,0,SER_hh_fech!T29/SER_summary!T$26)</f>
        <v>17.735520457511299</v>
      </c>
      <c r="U29" s="130">
        <f>IF(SER_hh_fech!U29=0,0,SER_hh_fech!U29/SER_summary!U$26)</f>
        <v>17.504832272925572</v>
      </c>
      <c r="V29" s="130">
        <f>IF(SER_hh_fech!V29=0,0,SER_hh_fech!V29/SER_summary!V$26)</f>
        <v>15.701225240071727</v>
      </c>
      <c r="W29" s="130">
        <f>IF(SER_hh_fech!W29=0,0,SER_hh_fech!W29/SER_summary!W$26)</f>
        <v>15.620485777965635</v>
      </c>
      <c r="X29" s="130">
        <f>IF(SER_hh_fech!X29=0,0,SER_hh_fech!X29/SER_summary!X$26)</f>
        <v>16.51398037994381</v>
      </c>
      <c r="Y29" s="130">
        <f>IF(SER_hh_fech!Y29=0,0,SER_hh_fech!Y29/SER_summary!Y$26)</f>
        <v>16.666597598418278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18.83835084754303</v>
      </c>
      <c r="C30" s="132">
        <f>IF(SER_hh_fech!C30=0,0,SER_hh_fech!C30/SER_summary!C$26)</f>
        <v>13.400801396303118</v>
      </c>
      <c r="D30" s="132">
        <f>IF(SER_hh_fech!D30=0,0,SER_hh_fech!D30/SER_summary!D$26)</f>
        <v>18.834037878726221</v>
      </c>
      <c r="E30" s="132">
        <f>IF(SER_hh_fech!E30=0,0,SER_hh_fech!E30/SER_summary!E$26)</f>
        <v>17.670071255559616</v>
      </c>
      <c r="F30" s="132">
        <f>IF(SER_hh_fech!F30=0,0,SER_hh_fech!F30/SER_summary!F$26)</f>
        <v>17.457639565730162</v>
      </c>
      <c r="G30" s="132">
        <f>IF(SER_hh_fech!G30=0,0,SER_hh_fech!G30/SER_summary!G$26)</f>
        <v>22.014026759847649</v>
      </c>
      <c r="H30" s="132">
        <f>IF(SER_hh_fech!H30=0,0,SER_hh_fech!H30/SER_summary!H$26)</f>
        <v>18.51041166547407</v>
      </c>
      <c r="I30" s="132">
        <f>IF(SER_hh_fech!I30=0,0,SER_hh_fech!I30/SER_summary!I$26)</f>
        <v>18.699524194411822</v>
      </c>
      <c r="J30" s="132">
        <f>IF(SER_hh_fech!J30=0,0,SER_hh_fech!J30/SER_summary!J$26)</f>
        <v>21.965226904588288</v>
      </c>
      <c r="K30" s="132">
        <f>IF(SER_hh_fech!K30=0,0,SER_hh_fech!K30/SER_summary!K$26)</f>
        <v>23.386479577200102</v>
      </c>
      <c r="L30" s="132">
        <f>IF(SER_hh_fech!L30=0,0,SER_hh_fech!L30/SER_summary!L$26)</f>
        <v>13.638210306596944</v>
      </c>
      <c r="M30" s="132">
        <f>IF(SER_hh_fech!M30=0,0,SER_hh_fech!M30/SER_summary!M$26)</f>
        <v>16.255849036624035</v>
      </c>
      <c r="N30" s="132">
        <f>IF(SER_hh_fech!N30=0,0,SER_hh_fech!N30/SER_summary!N$26)</f>
        <v>14.309699932735894</v>
      </c>
      <c r="O30" s="132">
        <f>IF(SER_hh_fech!O30=0,0,SER_hh_fech!O30/SER_summary!O$26)</f>
        <v>14.317915707238649</v>
      </c>
      <c r="P30" s="132">
        <f>IF(SER_hh_fech!P30=0,0,SER_hh_fech!P30/SER_summary!P$26)</f>
        <v>21.809282767333631</v>
      </c>
      <c r="Q30" s="132">
        <f>IF(SER_hh_fech!Q30=0,0,SER_hh_fech!Q30/SER_summary!Q$26)</f>
        <v>21.334222815607465</v>
      </c>
      <c r="R30" s="132">
        <f>IF(SER_hh_fech!R30=0,0,SER_hh_fech!R30/SER_summary!R$26)</f>
        <v>18.83473440746317</v>
      </c>
      <c r="S30" s="132">
        <f>IF(SER_hh_fech!S30=0,0,SER_hh_fech!S30/SER_summary!S$26)</f>
        <v>18.199042967950827</v>
      </c>
      <c r="T30" s="132">
        <f>IF(SER_hh_fech!T30=0,0,SER_hh_fech!T30/SER_summary!T$26)</f>
        <v>23.105704028725178</v>
      </c>
      <c r="U30" s="132">
        <f>IF(SER_hh_fech!U30=0,0,SER_hh_fech!U30/SER_summary!U$26)</f>
        <v>22.977349998487437</v>
      </c>
      <c r="V30" s="132">
        <f>IF(SER_hh_fech!V30=0,0,SER_hh_fech!V30/SER_summary!V$26)</f>
        <v>16.852386780920533</v>
      </c>
      <c r="W30" s="132">
        <f>IF(SER_hh_fech!W30=0,0,SER_hh_fech!W30/SER_summary!W$26)</f>
        <v>15.878719354138074</v>
      </c>
      <c r="X30" s="132">
        <f>IF(SER_hh_fech!X30=0,0,SER_hh_fech!X30/SER_summary!X$26)</f>
        <v>22.104537448072413</v>
      </c>
      <c r="Y30" s="132">
        <f>IF(SER_hh_fech!Y30=0,0,SER_hh_fech!Y30/SER_summary!Y$26)</f>
        <v>20.787143416371144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15.897772107717202</v>
      </c>
      <c r="C31" s="132">
        <f>IF(SER_hh_fech!C31=0,0,SER_hh_fech!C31/SER_summary!C$26)</f>
        <v>16.706867829374072</v>
      </c>
      <c r="D31" s="132">
        <f>IF(SER_hh_fech!D31=0,0,SER_hh_fech!D31/SER_summary!D$26)</f>
        <v>17.916817451513008</v>
      </c>
      <c r="E31" s="132">
        <f>IF(SER_hh_fech!E31=0,0,SER_hh_fech!E31/SER_summary!E$26)</f>
        <v>17.747321529398778</v>
      </c>
      <c r="F31" s="132">
        <f>IF(SER_hh_fech!F31=0,0,SER_hh_fech!F31/SER_summary!F$26)</f>
        <v>18.778039224676633</v>
      </c>
      <c r="G31" s="132">
        <f>IF(SER_hh_fech!G31=0,0,SER_hh_fech!G31/SER_summary!G$26)</f>
        <v>19.065251328357093</v>
      </c>
      <c r="H31" s="132">
        <f>IF(SER_hh_fech!H31=0,0,SER_hh_fech!H31/SER_summary!H$26)</f>
        <v>19.081961254854292</v>
      </c>
      <c r="I31" s="132">
        <f>IF(SER_hh_fech!I31=0,0,SER_hh_fech!I31/SER_summary!I$26)</f>
        <v>18.867626499439542</v>
      </c>
      <c r="J31" s="132">
        <f>IF(SER_hh_fech!J31=0,0,SER_hh_fech!J31/SER_summary!J$26)</f>
        <v>18.159730667880705</v>
      </c>
      <c r="K31" s="132">
        <f>IF(SER_hh_fech!K31=0,0,SER_hh_fech!K31/SER_summary!K$26)</f>
        <v>18.307054596878846</v>
      </c>
      <c r="L31" s="132">
        <f>IF(SER_hh_fech!L31=0,0,SER_hh_fech!L31/SER_summary!L$26)</f>
        <v>20.348402896899238</v>
      </c>
      <c r="M31" s="132">
        <f>IF(SER_hh_fech!M31=0,0,SER_hh_fech!M31/SER_summary!M$26)</f>
        <v>18.993552143122137</v>
      </c>
      <c r="N31" s="132">
        <f>IF(SER_hh_fech!N31=0,0,SER_hh_fech!N31/SER_summary!N$26)</f>
        <v>17.776514454337203</v>
      </c>
      <c r="O31" s="132">
        <f>IF(SER_hh_fech!O31=0,0,SER_hh_fech!O31/SER_summary!O$26)</f>
        <v>19.640445356266198</v>
      </c>
      <c r="P31" s="132">
        <f>IF(SER_hh_fech!P31=0,0,SER_hh_fech!P31/SER_summary!P$26)</f>
        <v>18.49191594613087</v>
      </c>
      <c r="Q31" s="132">
        <f>IF(SER_hh_fech!Q31=0,0,SER_hh_fech!Q31/SER_summary!Q$26)</f>
        <v>19.549170522903793</v>
      </c>
      <c r="R31" s="132">
        <f>IF(SER_hh_fech!R31=0,0,SER_hh_fech!R31/SER_summary!R$26)</f>
        <v>19.84650636146506</v>
      </c>
      <c r="S31" s="132">
        <f>IF(SER_hh_fech!S31=0,0,SER_hh_fech!S31/SER_summary!S$26)</f>
        <v>19.831805825899707</v>
      </c>
      <c r="T31" s="132">
        <f>IF(SER_hh_fech!T31=0,0,SER_hh_fech!T31/SER_summary!T$26)</f>
        <v>19.970973729181178</v>
      </c>
      <c r="U31" s="132">
        <f>IF(SER_hh_fech!U31=0,0,SER_hh_fech!U31/SER_summary!U$26)</f>
        <v>20.672559490955273</v>
      </c>
      <c r="V31" s="132">
        <f>IF(SER_hh_fech!V31=0,0,SER_hh_fech!V31/SER_summary!V$26)</f>
        <v>19.670193488937109</v>
      </c>
      <c r="W31" s="132">
        <f>IF(SER_hh_fech!W31=0,0,SER_hh_fech!W31/SER_summary!W$26)</f>
        <v>19.381710027149854</v>
      </c>
      <c r="X31" s="132">
        <f>IF(SER_hh_fech!X31=0,0,SER_hh_fech!X31/SER_summary!X$26)</f>
        <v>19.294853072659443</v>
      </c>
      <c r="Y31" s="132">
        <f>IF(SER_hh_fech!Y31=0,0,SER_hh_fech!Y31/SER_summary!Y$26)</f>
        <v>20.424936539958335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30.521291209077194</v>
      </c>
      <c r="O32" s="132">
        <f>IF(SER_hh_fech!O32=0,0,SER_hh_fech!O32/SER_summary!O$26)</f>
        <v>16.635158094177491</v>
      </c>
      <c r="P32" s="132">
        <f>IF(SER_hh_fech!P32=0,0,SER_hh_fech!P32/SER_summary!P$26)</f>
        <v>16.731318717998185</v>
      </c>
      <c r="Q32" s="132">
        <f>IF(SER_hh_fech!Q32=0,0,SER_hh_fech!Q32/SER_summary!Q$26)</f>
        <v>18.866842987949699</v>
      </c>
      <c r="R32" s="132">
        <f>IF(SER_hh_fech!R32=0,0,SER_hh_fech!R32/SER_summary!R$26)</f>
        <v>16.715221446366979</v>
      </c>
      <c r="S32" s="132">
        <f>IF(SER_hh_fech!S32=0,0,SER_hh_fech!S32/SER_summary!S$26)</f>
        <v>18.405688131675472</v>
      </c>
      <c r="T32" s="132">
        <f>IF(SER_hh_fech!T32=0,0,SER_hh_fech!T32/SER_summary!T$26)</f>
        <v>20.207254847734198</v>
      </c>
      <c r="U32" s="132">
        <f>IF(SER_hh_fech!U32=0,0,SER_hh_fech!U32/SER_summary!U$26)</f>
        <v>19.942165223573646</v>
      </c>
      <c r="V32" s="132">
        <f>IF(SER_hh_fech!V32=0,0,SER_hh_fech!V32/SER_summary!V$26)</f>
        <v>14.944190698674985</v>
      </c>
      <c r="W32" s="132">
        <f>IF(SER_hh_fech!W32=0,0,SER_hh_fech!W32/SER_summary!W$26)</f>
        <v>18.888978855689878</v>
      </c>
      <c r="X32" s="132">
        <f>IF(SER_hh_fech!X32=0,0,SER_hh_fech!X32/SER_summary!X$26)</f>
        <v>18.972384628553804</v>
      </c>
      <c r="Y32" s="132">
        <f>IF(SER_hh_fech!Y32=0,0,SER_hh_fech!Y32/SER_summary!Y$26)</f>
        <v>19.54215085812886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11.815960391739093</v>
      </c>
      <c r="C33" s="68">
        <f>IF(SER_hh_fech!C33=0,0,SER_hh_fech!C33/SER_summary!C$26)</f>
        <v>13.390238646376563</v>
      </c>
      <c r="D33" s="68">
        <f>IF(SER_hh_fech!D33=0,0,SER_hh_fech!D33/SER_summary!D$26)</f>
        <v>13.648354893619176</v>
      </c>
      <c r="E33" s="68">
        <f>IF(SER_hh_fech!E33=0,0,SER_hh_fech!E33/SER_summary!E$26)</f>
        <v>14.566592800314901</v>
      </c>
      <c r="F33" s="68">
        <f>IF(SER_hh_fech!F33=0,0,SER_hh_fech!F33/SER_summary!F$26)</f>
        <v>14.823584739619685</v>
      </c>
      <c r="G33" s="68">
        <f>IF(SER_hh_fech!G33=0,0,SER_hh_fech!G33/SER_summary!G$26)</f>
        <v>12.791148436539242</v>
      </c>
      <c r="H33" s="68">
        <f>IF(SER_hh_fech!H33=0,0,SER_hh_fech!H33/SER_summary!H$26)</f>
        <v>14.763932500288478</v>
      </c>
      <c r="I33" s="68">
        <f>IF(SER_hh_fech!I33=0,0,SER_hh_fech!I33/SER_summary!I$26)</f>
        <v>14.541449658282449</v>
      </c>
      <c r="J33" s="68">
        <f>IF(SER_hh_fech!J33=0,0,SER_hh_fech!J33/SER_summary!J$26)</f>
        <v>13.72071998410491</v>
      </c>
      <c r="K33" s="68">
        <f>IF(SER_hh_fech!K33=0,0,SER_hh_fech!K33/SER_summary!K$26)</f>
        <v>13.056293820157986</v>
      </c>
      <c r="L33" s="68">
        <f>IF(SER_hh_fech!L33=0,0,SER_hh_fech!L33/SER_summary!L$26)</f>
        <v>15.962839589539239</v>
      </c>
      <c r="M33" s="68">
        <f>IF(SER_hh_fech!M33=0,0,SER_hh_fech!M33/SER_summary!M$26)</f>
        <v>15.17669186670298</v>
      </c>
      <c r="N33" s="68">
        <f>IF(SER_hh_fech!N33=0,0,SER_hh_fech!N33/SER_summary!N$26)</f>
        <v>14.456966113470605</v>
      </c>
      <c r="O33" s="68">
        <f>IF(SER_hh_fech!O33=0,0,SER_hh_fech!O33/SER_summary!O$26)</f>
        <v>13.979275505861821</v>
      </c>
      <c r="P33" s="68">
        <f>IF(SER_hh_fech!P33=0,0,SER_hh_fech!P33/SER_summary!P$26)</f>
        <v>13.950047100373808</v>
      </c>
      <c r="Q33" s="68">
        <f>IF(SER_hh_fech!Q33=0,0,SER_hh_fech!Q33/SER_summary!Q$26)</f>
        <v>13.659269843599352</v>
      </c>
      <c r="R33" s="68">
        <f>IF(SER_hh_fech!R33=0,0,SER_hh_fech!R33/SER_summary!R$26)</f>
        <v>15.123136776365634</v>
      </c>
      <c r="S33" s="68">
        <f>IF(SER_hh_fech!S33=0,0,SER_hh_fech!S33/SER_summary!S$26)</f>
        <v>15.70066230394815</v>
      </c>
      <c r="T33" s="68">
        <f>IF(SER_hh_fech!T33=0,0,SER_hh_fech!T33/SER_summary!T$26)</f>
        <v>13.643682406998307</v>
      </c>
      <c r="U33" s="68">
        <f>IF(SER_hh_fech!U33=0,0,SER_hh_fech!U33/SER_summary!U$26)</f>
        <v>13.269194988453858</v>
      </c>
      <c r="V33" s="68">
        <f>IF(SER_hh_fech!V33=0,0,SER_hh_fech!V33/SER_summary!V$26)</f>
        <v>13.829749491958385</v>
      </c>
      <c r="W33" s="68">
        <f>IF(SER_hh_fech!W33=0,0,SER_hh_fech!W33/SER_summary!W$26)</f>
        <v>13.961096338222113</v>
      </c>
      <c r="X33" s="68">
        <f>IF(SER_hh_fech!X33=0,0,SER_hh_fech!X33/SER_summary!X$26)</f>
        <v>13.584773221027662</v>
      </c>
      <c r="Y33" s="68">
        <f>IF(SER_hh_fech!Y33=0,0,SER_hh_fech!Y33/SER_summary!Y$26)</f>
        <v>13.783588597056553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43.629938687889322</v>
      </c>
      <c r="C3" s="125">
        <f>IF(SER_hh_tesh!C3=0,0,SER_hh_tesh!C3/SER_summary!C$26)</f>
        <v>46.391382131158039</v>
      </c>
      <c r="D3" s="125">
        <f>IF(SER_hh_tesh!D3=0,0,SER_hh_tesh!D3/SER_summary!D$26)</f>
        <v>48.509666865892619</v>
      </c>
      <c r="E3" s="125">
        <f>IF(SER_hh_tesh!E3=0,0,SER_hh_tesh!E3/SER_summary!E$26)</f>
        <v>56.42219176857801</v>
      </c>
      <c r="F3" s="125">
        <f>IF(SER_hh_tesh!F3=0,0,SER_hh_tesh!F3/SER_summary!F$26)</f>
        <v>60.599378334390018</v>
      </c>
      <c r="G3" s="125">
        <f>IF(SER_hh_tesh!G3=0,0,SER_hh_tesh!G3/SER_summary!G$26)</f>
        <v>67.915100869840032</v>
      </c>
      <c r="H3" s="125">
        <f>IF(SER_hh_tesh!H3=0,0,SER_hh_tesh!H3/SER_summary!H$26)</f>
        <v>73.22155038147099</v>
      </c>
      <c r="I3" s="125">
        <f>IF(SER_hh_tesh!I3=0,0,SER_hh_tesh!I3/SER_summary!I$26)</f>
        <v>71.401458323208558</v>
      </c>
      <c r="J3" s="125">
        <f>IF(SER_hh_tesh!J3=0,0,SER_hh_tesh!J3/SER_summary!J$26)</f>
        <v>71.819112146394232</v>
      </c>
      <c r="K3" s="125">
        <f>IF(SER_hh_tesh!K3=0,0,SER_hh_tesh!K3/SER_summary!K$26)</f>
        <v>78.489503907085563</v>
      </c>
      <c r="L3" s="125">
        <f>IF(SER_hh_tesh!L3=0,0,SER_hh_tesh!L3/SER_summary!L$26)</f>
        <v>82.140829647395762</v>
      </c>
      <c r="M3" s="125">
        <f>IF(SER_hh_tesh!M3=0,0,SER_hh_tesh!M3/SER_summary!M$26)</f>
        <v>78.532270330005531</v>
      </c>
      <c r="N3" s="125">
        <f>IF(SER_hh_tesh!N3=0,0,SER_hh_tesh!N3/SER_summary!N$26)</f>
        <v>83.077266970714859</v>
      </c>
      <c r="O3" s="125">
        <f>IF(SER_hh_tesh!O3=0,0,SER_hh_tesh!O3/SER_summary!O$26)</f>
        <v>87.115145385838005</v>
      </c>
      <c r="P3" s="125">
        <f>IF(SER_hh_tesh!P3=0,0,SER_hh_tesh!P3/SER_summary!P$26)</f>
        <v>91.492859536372336</v>
      </c>
      <c r="Q3" s="125">
        <f>IF(SER_hh_tesh!Q3=0,0,SER_hh_tesh!Q3/SER_summary!Q$26)</f>
        <v>95.936412589708965</v>
      </c>
      <c r="R3" s="125">
        <f>IF(SER_hh_tesh!R3=0,0,SER_hh_tesh!R3/SER_summary!R$26)</f>
        <v>99.602003064471376</v>
      </c>
      <c r="S3" s="125">
        <f>IF(SER_hh_tesh!S3=0,0,SER_hh_tesh!S3/SER_summary!S$26)</f>
        <v>99.844037621154641</v>
      </c>
      <c r="T3" s="125">
        <f>IF(SER_hh_tesh!T3=0,0,SER_hh_tesh!T3/SER_summary!T$26)</f>
        <v>102.0367008181567</v>
      </c>
      <c r="U3" s="125">
        <f>IF(SER_hh_tesh!U3=0,0,SER_hh_tesh!U3/SER_summary!U$26)</f>
        <v>98.888599983513288</v>
      </c>
      <c r="V3" s="125">
        <f>IF(SER_hh_tesh!V3=0,0,SER_hh_tesh!V3/SER_summary!V$26)</f>
        <v>99.044025290418162</v>
      </c>
      <c r="W3" s="125">
        <f>IF(SER_hh_tesh!W3=0,0,SER_hh_tesh!W3/SER_summary!W$26)</f>
        <v>94.737987612662096</v>
      </c>
      <c r="X3" s="125">
        <f>IF(SER_hh_tesh!X3=0,0,SER_hh_tesh!X3/SER_summary!X$26)</f>
        <v>115.5826919262869</v>
      </c>
      <c r="Y3" s="125">
        <f>IF(SER_hh_tesh!Y3=0,0,SER_hh_tesh!Y3/SER_summary!Y$26)</f>
        <v>113.6053731573718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16.934851701875534</v>
      </c>
      <c r="C4" s="130">
        <f>IF(SER_hh_tesh!C4=0,0,SER_hh_tesh!C4/SER_summary!C$26)</f>
        <v>19.026709112293801</v>
      </c>
      <c r="D4" s="130">
        <f>IF(SER_hh_tesh!D4=0,0,SER_hh_tesh!D4/SER_summary!D$26)</f>
        <v>20.901017174316198</v>
      </c>
      <c r="E4" s="130">
        <f>IF(SER_hh_tesh!E4=0,0,SER_hh_tesh!E4/SER_summary!E$26)</f>
        <v>24.604918650230776</v>
      </c>
      <c r="F4" s="130">
        <f>IF(SER_hh_tesh!F4=0,0,SER_hh_tesh!F4/SER_summary!F$26)</f>
        <v>30.745270567698714</v>
      </c>
      <c r="G4" s="130">
        <f>IF(SER_hh_tesh!G4=0,0,SER_hh_tesh!G4/SER_summary!G$26)</f>
        <v>36.623910859580768</v>
      </c>
      <c r="H4" s="130">
        <f>IF(SER_hh_tesh!H4=0,0,SER_hh_tesh!H4/SER_summary!H$26)</f>
        <v>38.663245560981558</v>
      </c>
      <c r="I4" s="130">
        <f>IF(SER_hh_tesh!I4=0,0,SER_hh_tesh!I4/SER_summary!I$26)</f>
        <v>41.258404013429718</v>
      </c>
      <c r="J4" s="130">
        <f>IF(SER_hh_tesh!J4=0,0,SER_hh_tesh!J4/SER_summary!J$26)</f>
        <v>41.045261634098402</v>
      </c>
      <c r="K4" s="130">
        <f>IF(SER_hh_tesh!K4=0,0,SER_hh_tesh!K4/SER_summary!K$26)</f>
        <v>44.551559851200579</v>
      </c>
      <c r="L4" s="130">
        <f>IF(SER_hh_tesh!L4=0,0,SER_hh_tesh!L4/SER_summary!L$26)</f>
        <v>41.834689478157479</v>
      </c>
      <c r="M4" s="130">
        <f>IF(SER_hh_tesh!M4=0,0,SER_hh_tesh!M4/SER_summary!M$26)</f>
        <v>44.293470531327081</v>
      </c>
      <c r="N4" s="130">
        <f>IF(SER_hh_tesh!N4=0,0,SER_hh_tesh!N4/SER_summary!N$26)</f>
        <v>47.777819963617539</v>
      </c>
      <c r="O4" s="130">
        <f>IF(SER_hh_tesh!O4=0,0,SER_hh_tesh!O4/SER_summary!O$26)</f>
        <v>47.82149126812287</v>
      </c>
      <c r="P4" s="130">
        <f>IF(SER_hh_tesh!P4=0,0,SER_hh_tesh!P4/SER_summary!P$26)</f>
        <v>57.409198485434075</v>
      </c>
      <c r="Q4" s="130">
        <f>IF(SER_hh_tesh!Q4=0,0,SER_hh_tesh!Q4/SER_summary!Q$26)</f>
        <v>59.084198342455444</v>
      </c>
      <c r="R4" s="130">
        <f>IF(SER_hh_tesh!R4=0,0,SER_hh_tesh!R4/SER_summary!R$26)</f>
        <v>54.116692665289008</v>
      </c>
      <c r="S4" s="130">
        <f>IF(SER_hh_tesh!S4=0,0,SER_hh_tesh!S4/SER_summary!S$26)</f>
        <v>54.808166178959276</v>
      </c>
      <c r="T4" s="130">
        <f>IF(SER_hh_tesh!T4=0,0,SER_hh_tesh!T4/SER_summary!T$26)</f>
        <v>59.833584521005285</v>
      </c>
      <c r="U4" s="130">
        <f>IF(SER_hh_tesh!U4=0,0,SER_hh_tesh!U4/SER_summary!U$26)</f>
        <v>60.847769669617811</v>
      </c>
      <c r="V4" s="130">
        <f>IF(SER_hh_tesh!V4=0,0,SER_hh_tesh!V4/SER_summary!V$26)</f>
        <v>55.635507896693703</v>
      </c>
      <c r="W4" s="130">
        <f>IF(SER_hh_tesh!W4=0,0,SER_hh_tesh!W4/SER_summary!W$26)</f>
        <v>59.028131569030798</v>
      </c>
      <c r="X4" s="130">
        <f>IF(SER_hh_tesh!X4=0,0,SER_hh_tesh!X4/SER_summary!X$26)</f>
        <v>66.331107180759673</v>
      </c>
      <c r="Y4" s="130">
        <f>IF(SER_hh_tesh!Y4=0,0,SER_hh_tesh!Y4/SER_summary!Y$26)</f>
        <v>68.879748857120518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0</v>
      </c>
      <c r="C5" s="132">
        <f>IF(SER_hh_tesh!C5=0,0,SER_hh_tesh!C5/SER_summary!C$26)</f>
        <v>0</v>
      </c>
      <c r="D5" s="132">
        <f>IF(SER_hh_tesh!D5=0,0,SER_hh_tesh!D5/SER_summary!D$26)</f>
        <v>0</v>
      </c>
      <c r="E5" s="132">
        <f>IF(SER_hh_tesh!E5=0,0,SER_hh_tesh!E5/SER_summary!E$26)</f>
        <v>0</v>
      </c>
      <c r="F5" s="132">
        <f>IF(SER_hh_tesh!F5=0,0,SER_hh_tesh!F5/SER_summary!F$26)</f>
        <v>0</v>
      </c>
      <c r="G5" s="132">
        <f>IF(SER_hh_tesh!G5=0,0,SER_hh_tesh!G5/SER_summary!G$26)</f>
        <v>0</v>
      </c>
      <c r="H5" s="132">
        <f>IF(SER_hh_tesh!H5=0,0,SER_hh_tesh!H5/SER_summary!H$26)</f>
        <v>0</v>
      </c>
      <c r="I5" s="132">
        <f>IF(SER_hh_tesh!I5=0,0,SER_hh_tesh!I5/SER_summary!I$26)</f>
        <v>0</v>
      </c>
      <c r="J5" s="132">
        <f>IF(SER_hh_tesh!J5=0,0,SER_hh_tesh!J5/SER_summary!J$26)</f>
        <v>0</v>
      </c>
      <c r="K5" s="132">
        <f>IF(SER_hh_tesh!K5=0,0,SER_hh_tesh!K5/SER_summary!K$26)</f>
        <v>0</v>
      </c>
      <c r="L5" s="132">
        <f>IF(SER_hh_tesh!L5=0,0,SER_hh_tesh!L5/SER_summary!L$26)</f>
        <v>0</v>
      </c>
      <c r="M5" s="132">
        <f>IF(SER_hh_tesh!M5=0,0,SER_hh_tesh!M5/SER_summary!M$26)</f>
        <v>0</v>
      </c>
      <c r="N5" s="132">
        <f>IF(SER_hh_tesh!N5=0,0,SER_hh_tesh!N5/SER_summary!N$26)</f>
        <v>0</v>
      </c>
      <c r="O5" s="132">
        <f>IF(SER_hh_tesh!O5=0,0,SER_hh_tesh!O5/SER_summary!O$26)</f>
        <v>0</v>
      </c>
      <c r="P5" s="132">
        <f>IF(SER_hh_tesh!P5=0,0,SER_hh_tesh!P5/SER_summary!P$26)</f>
        <v>0</v>
      </c>
      <c r="Q5" s="132">
        <f>IF(SER_hh_tesh!Q5=0,0,SER_hh_tesh!Q5/SER_summary!Q$26)</f>
        <v>0</v>
      </c>
      <c r="R5" s="132">
        <f>IF(SER_hh_tesh!R5=0,0,SER_hh_tesh!R5/SER_summary!R$26)</f>
        <v>0</v>
      </c>
      <c r="S5" s="132">
        <f>IF(SER_hh_tesh!S5=0,0,SER_hh_tesh!S5/SER_summary!S$26)</f>
        <v>0</v>
      </c>
      <c r="T5" s="132">
        <f>IF(SER_hh_tesh!T5=0,0,SER_hh_tesh!T5/SER_summary!T$26)</f>
        <v>0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0</v>
      </c>
      <c r="Y5" s="132">
        <f>IF(SER_hh_tesh!Y5=0,0,SER_hh_tesh!Y5/SER_summary!Y$26)</f>
        <v>0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16.64164055913114</v>
      </c>
      <c r="C7" s="132">
        <f>IF(SER_hh_tesh!C7=0,0,SER_hh_tesh!C7/SER_summary!C$26)</f>
        <v>19.068155469425641</v>
      </c>
      <c r="D7" s="132">
        <f>IF(SER_hh_tesh!D7=0,0,SER_hh_tesh!D7/SER_summary!D$26)</f>
        <v>20.651707826223443</v>
      </c>
      <c r="E7" s="132">
        <f>IF(SER_hh_tesh!E7=0,0,SER_hh_tesh!E7/SER_summary!E$26)</f>
        <v>23.298350287368489</v>
      </c>
      <c r="F7" s="132">
        <f>IF(SER_hh_tesh!F7=0,0,SER_hh_tesh!F7/SER_summary!F$26)</f>
        <v>31.066864076750974</v>
      </c>
      <c r="G7" s="132">
        <f>IF(SER_hh_tesh!G7=0,0,SER_hh_tesh!G7/SER_summary!G$26)</f>
        <v>37.659409143455932</v>
      </c>
      <c r="H7" s="132">
        <f>IF(SER_hh_tesh!H7=0,0,SER_hh_tesh!H7/SER_summary!H$26)</f>
        <v>39.040049206469391</v>
      </c>
      <c r="I7" s="132">
        <f>IF(SER_hh_tesh!I7=0,0,SER_hh_tesh!I7/SER_summary!I$26)</f>
        <v>40.730591316807654</v>
      </c>
      <c r="J7" s="132">
        <f>IF(SER_hh_tesh!J7=0,0,SER_hh_tesh!J7/SER_summary!J$26)</f>
        <v>33.938995080258103</v>
      </c>
      <c r="K7" s="132">
        <f>IF(SER_hh_tesh!K7=0,0,SER_hh_tesh!K7/SER_summary!K$26)</f>
        <v>51.223866432932219</v>
      </c>
      <c r="L7" s="132">
        <f>IF(SER_hh_tesh!L7=0,0,SER_hh_tesh!L7/SER_summary!L$26)</f>
        <v>39.297079404801082</v>
      </c>
      <c r="M7" s="132">
        <f>IF(SER_hh_tesh!M7=0,0,SER_hh_tesh!M7/SER_summary!M$26)</f>
        <v>37.157019422209814</v>
      </c>
      <c r="N7" s="132">
        <f>IF(SER_hh_tesh!N7=0,0,SER_hh_tesh!N7/SER_summary!N$26)</f>
        <v>37.522666070112166</v>
      </c>
      <c r="O7" s="132">
        <f>IF(SER_hh_tesh!O7=0,0,SER_hh_tesh!O7/SER_summary!O$26)</f>
        <v>47.252754080942289</v>
      </c>
      <c r="P7" s="132">
        <f>IF(SER_hh_tesh!P7=0,0,SER_hh_tesh!P7/SER_summary!P$26)</f>
        <v>49.799482715250157</v>
      </c>
      <c r="Q7" s="132">
        <f>IF(SER_hh_tesh!Q7=0,0,SER_hh_tesh!Q7/SER_summary!Q$26)</f>
        <v>64.509101516129704</v>
      </c>
      <c r="R7" s="132">
        <f>IF(SER_hh_tesh!R7=0,0,SER_hh_tesh!R7/SER_summary!R$26)</f>
        <v>49.895714859185006</v>
      </c>
      <c r="S7" s="132">
        <f>IF(SER_hh_tesh!S7=0,0,SER_hh_tesh!S7/SER_summary!S$26)</f>
        <v>50.551682460033497</v>
      </c>
      <c r="T7" s="132">
        <f>IF(SER_hh_tesh!T7=0,0,SER_hh_tesh!T7/SER_summary!T$26)</f>
        <v>56.472805717967205</v>
      </c>
      <c r="U7" s="132">
        <f>IF(SER_hh_tesh!U7=0,0,SER_hh_tesh!U7/SER_summary!U$26)</f>
        <v>58.352790160199888</v>
      </c>
      <c r="V7" s="132">
        <f>IF(SER_hh_tesh!V7=0,0,SER_hh_tesh!V7/SER_summary!V$26)</f>
        <v>55.655364335796534</v>
      </c>
      <c r="W7" s="132">
        <f>IF(SER_hh_tesh!W7=0,0,SER_hh_tesh!W7/SER_summary!W$26)</f>
        <v>60.200618722486524</v>
      </c>
      <c r="X7" s="132">
        <f>IF(SER_hh_tesh!X7=0,0,SER_hh_tesh!X7/SER_summary!X$26)</f>
        <v>62.35370661884955</v>
      </c>
      <c r="Y7" s="132">
        <f>IF(SER_hh_tesh!Y7=0,0,SER_hh_tesh!Y7/SER_summary!Y$26)</f>
        <v>61.533321301811348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16.237495760468985</v>
      </c>
      <c r="C8" s="132">
        <f>IF(SER_hh_tesh!C8=0,0,SER_hh_tesh!C8/SER_summary!C$26)</f>
        <v>18.03673984454808</v>
      </c>
      <c r="D8" s="132">
        <f>IF(SER_hh_tesh!D8=0,0,SER_hh_tesh!D8/SER_summary!D$26)</f>
        <v>22.366950634471721</v>
      </c>
      <c r="E8" s="132">
        <f>IF(SER_hh_tesh!E8=0,0,SER_hh_tesh!E8/SER_summary!E$26)</f>
        <v>26.869374394029705</v>
      </c>
      <c r="F8" s="132">
        <f>IF(SER_hh_tesh!F8=0,0,SER_hh_tesh!F8/SER_summary!F$26)</f>
        <v>29.906607187720251</v>
      </c>
      <c r="G8" s="132">
        <f>IF(SER_hh_tesh!G8=0,0,SER_hh_tesh!G8/SER_summary!G$26)</f>
        <v>31.658978145092721</v>
      </c>
      <c r="H8" s="132">
        <f>IF(SER_hh_tesh!H8=0,0,SER_hh_tesh!H8/SER_summary!H$26)</f>
        <v>36.432280504315386</v>
      </c>
      <c r="I8" s="132">
        <f>IF(SER_hh_tesh!I8=0,0,SER_hh_tesh!I8/SER_summary!I$26)</f>
        <v>38.988897850180628</v>
      </c>
      <c r="J8" s="132">
        <f>IF(SER_hh_tesh!J8=0,0,SER_hh_tesh!J8/SER_summary!J$26)</f>
        <v>42.300470793910563</v>
      </c>
      <c r="K8" s="132">
        <f>IF(SER_hh_tesh!K8=0,0,SER_hh_tesh!K8/SER_summary!K$26)</f>
        <v>40.890152947992227</v>
      </c>
      <c r="L8" s="132">
        <f>IF(SER_hh_tesh!L8=0,0,SER_hh_tesh!L8/SER_summary!L$26)</f>
        <v>42.258214803489963</v>
      </c>
      <c r="M8" s="132">
        <f>IF(SER_hh_tesh!M8=0,0,SER_hh_tesh!M8/SER_summary!M$26)</f>
        <v>45.696997978206426</v>
      </c>
      <c r="N8" s="132">
        <f>IF(SER_hh_tesh!N8=0,0,SER_hh_tesh!N8/SER_summary!N$26)</f>
        <v>47.10842912954709</v>
      </c>
      <c r="O8" s="132">
        <f>IF(SER_hh_tesh!O8=0,0,SER_hh_tesh!O8/SER_summary!O$26)</f>
        <v>50.733357591804563</v>
      </c>
      <c r="P8" s="132">
        <f>IF(SER_hh_tesh!P8=0,0,SER_hh_tesh!P8/SER_summary!P$26)</f>
        <v>56.081391681715864</v>
      </c>
      <c r="Q8" s="132">
        <f>IF(SER_hh_tesh!Q8=0,0,SER_hh_tesh!Q8/SER_summary!Q$26)</f>
        <v>58.914493338032926</v>
      </c>
      <c r="R8" s="132">
        <f>IF(SER_hh_tesh!R8=0,0,SER_hh_tesh!R8/SER_summary!R$26)</f>
        <v>56.526167379411447</v>
      </c>
      <c r="S8" s="132">
        <f>IF(SER_hh_tesh!S8=0,0,SER_hh_tesh!S8/SER_summary!S$26)</f>
        <v>55.456683272079999</v>
      </c>
      <c r="T8" s="132">
        <f>IF(SER_hh_tesh!T8=0,0,SER_hh_tesh!T8/SER_summary!T$26)</f>
        <v>56.524711068916751</v>
      </c>
      <c r="U8" s="132">
        <f>IF(SER_hh_tesh!U8=0,0,SER_hh_tesh!U8/SER_summary!U$26)</f>
        <v>57.902980985680252</v>
      </c>
      <c r="V8" s="132">
        <f>IF(SER_hh_tesh!V8=0,0,SER_hh_tesh!V8/SER_summary!V$26)</f>
        <v>55.937161089018403</v>
      </c>
      <c r="W8" s="132">
        <f>IF(SER_hh_tesh!W8=0,0,SER_hh_tesh!W8/SER_summary!W$26)</f>
        <v>60.358541460677323</v>
      </c>
      <c r="X8" s="132">
        <f>IF(SER_hh_tesh!X8=0,0,SER_hh_tesh!X8/SER_summary!X$26)</f>
        <v>65.588047360978777</v>
      </c>
      <c r="Y8" s="132">
        <f>IF(SER_hh_tesh!Y8=0,0,SER_hh_tesh!Y8/SER_summary!Y$26)</f>
        <v>68.988865550975206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15.777078530504363</v>
      </c>
      <c r="C9" s="132">
        <f>IF(SER_hh_tesh!C9=0,0,SER_hh_tesh!C9/SER_summary!C$26)</f>
        <v>17.938218559275395</v>
      </c>
      <c r="D9" s="132">
        <f>IF(SER_hh_tesh!D9=0,0,SER_hh_tesh!D9/SER_summary!D$26)</f>
        <v>22.770064264006685</v>
      </c>
      <c r="E9" s="132">
        <f>IF(SER_hh_tesh!E9=0,0,SER_hh_tesh!E9/SER_summary!E$26)</f>
        <v>24.767630997799401</v>
      </c>
      <c r="F9" s="132">
        <f>IF(SER_hh_tesh!F9=0,0,SER_hh_tesh!F9/SER_summary!F$26)</f>
        <v>31.724165253375922</v>
      </c>
      <c r="G9" s="132">
        <f>IF(SER_hh_tesh!G9=0,0,SER_hh_tesh!G9/SER_summary!G$26)</f>
        <v>31.979735277221099</v>
      </c>
      <c r="H9" s="132">
        <f>IF(SER_hh_tesh!H9=0,0,SER_hh_tesh!H9/SER_summary!H$26)</f>
        <v>37.550555353991136</v>
      </c>
      <c r="I9" s="132">
        <f>IF(SER_hh_tesh!I9=0,0,SER_hh_tesh!I9/SER_summary!I$26)</f>
        <v>39.909508256315767</v>
      </c>
      <c r="J9" s="132">
        <f>IF(SER_hh_tesh!J9=0,0,SER_hh_tesh!J9/SER_summary!J$26)</f>
        <v>41.030898792667422</v>
      </c>
      <c r="K9" s="132">
        <f>IF(SER_hh_tesh!K9=0,0,SER_hh_tesh!K9/SER_summary!K$26)</f>
        <v>45.036692164857676</v>
      </c>
      <c r="L9" s="132">
        <f>IF(SER_hh_tesh!L9=0,0,SER_hh_tesh!L9/SER_summary!L$26)</f>
        <v>40.166216596146477</v>
      </c>
      <c r="M9" s="132">
        <f>IF(SER_hh_tesh!M9=0,0,SER_hh_tesh!M9/SER_summary!M$26)</f>
        <v>45.910863989883374</v>
      </c>
      <c r="N9" s="132">
        <f>IF(SER_hh_tesh!N9=0,0,SER_hh_tesh!N9/SER_summary!N$26)</f>
        <v>47.979780101429483</v>
      </c>
      <c r="O9" s="132">
        <f>IF(SER_hh_tesh!O9=0,0,SER_hh_tesh!O9/SER_summary!O$26)</f>
        <v>47.944035340790137</v>
      </c>
      <c r="P9" s="132">
        <f>IF(SER_hh_tesh!P9=0,0,SER_hh_tesh!P9/SER_summary!P$26)</f>
        <v>50.268403689910173</v>
      </c>
      <c r="Q9" s="132">
        <f>IF(SER_hh_tesh!Q9=0,0,SER_hh_tesh!Q9/SER_summary!Q$26)</f>
        <v>54.024921255194037</v>
      </c>
      <c r="R9" s="132">
        <f>IF(SER_hh_tesh!R9=0,0,SER_hh_tesh!R9/SER_summary!R$26)</f>
        <v>56.892387134719222</v>
      </c>
      <c r="S9" s="132">
        <f>IF(SER_hh_tesh!S9=0,0,SER_hh_tesh!S9/SER_summary!S$26)</f>
        <v>56.688076970473574</v>
      </c>
      <c r="T9" s="132">
        <f>IF(SER_hh_tesh!T9=0,0,SER_hh_tesh!T9/SER_summary!T$26)</f>
        <v>61.543595818315936</v>
      </c>
      <c r="U9" s="132">
        <f>IF(SER_hh_tesh!U9=0,0,SER_hh_tesh!U9/SER_summary!U$26)</f>
        <v>58.406372623129222</v>
      </c>
      <c r="V9" s="132">
        <f>IF(SER_hh_tesh!V9=0,0,SER_hh_tesh!V9/SER_summary!V$26)</f>
        <v>44.875274205039318</v>
      </c>
      <c r="W9" s="132">
        <f>IF(SER_hh_tesh!W9=0,0,SER_hh_tesh!W9/SER_summary!W$26)</f>
        <v>64.80451790912943</v>
      </c>
      <c r="X9" s="132">
        <f>IF(SER_hh_tesh!X9=0,0,SER_hh_tesh!X9/SER_summary!X$26)</f>
        <v>63.187945273814321</v>
      </c>
      <c r="Y9" s="132">
        <f>IF(SER_hh_tesh!Y9=0,0,SER_hh_tesh!Y9/SER_summary!Y$26)</f>
        <v>66.82993312355822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0</v>
      </c>
      <c r="C10" s="132">
        <f>IF(SER_hh_tesh!C10=0,0,SER_hh_tesh!C10/SER_summary!C$26)</f>
        <v>0</v>
      </c>
      <c r="D10" s="132">
        <f>IF(SER_hh_tesh!D10=0,0,SER_hh_tesh!D10/SER_summary!D$26)</f>
        <v>0</v>
      </c>
      <c r="E10" s="132">
        <f>IF(SER_hh_tesh!E10=0,0,SER_hh_tesh!E10/SER_summary!E$26)</f>
        <v>0</v>
      </c>
      <c r="F10" s="132">
        <f>IF(SER_hh_tesh!F10=0,0,SER_hh_tesh!F10/SER_summary!F$26)</f>
        <v>0</v>
      </c>
      <c r="G10" s="132">
        <f>IF(SER_hh_tesh!G10=0,0,SER_hh_tesh!G10/SER_summary!G$26)</f>
        <v>0</v>
      </c>
      <c r="H10" s="132">
        <f>IF(SER_hh_tesh!H10=0,0,SER_hh_tesh!H10/SER_summary!H$26)</f>
        <v>0</v>
      </c>
      <c r="I10" s="132">
        <f>IF(SER_hh_tesh!I10=0,0,SER_hh_tesh!I10/SER_summary!I$26)</f>
        <v>0</v>
      </c>
      <c r="J10" s="132">
        <f>IF(SER_hh_tesh!J10=0,0,SER_hh_tesh!J10/SER_summary!J$26)</f>
        <v>0</v>
      </c>
      <c r="K10" s="132">
        <f>IF(SER_hh_tesh!K10=0,0,SER_hh_tesh!K10/SER_summary!K$26)</f>
        <v>0</v>
      </c>
      <c r="L10" s="132">
        <f>IF(SER_hh_tesh!L10=0,0,SER_hh_tesh!L10/SER_summary!L$26)</f>
        <v>0</v>
      </c>
      <c r="M10" s="132">
        <f>IF(SER_hh_tesh!M10=0,0,SER_hh_tesh!M10/SER_summary!M$26)</f>
        <v>65.347153987113103</v>
      </c>
      <c r="N10" s="132">
        <f>IF(SER_hh_tesh!N10=0,0,SER_hh_tesh!N10/SER_summary!N$26)</f>
        <v>58.64761769795286</v>
      </c>
      <c r="O10" s="132">
        <f>IF(SER_hh_tesh!O10=0,0,SER_hh_tesh!O10/SER_summary!O$26)</f>
        <v>43.122555911764117</v>
      </c>
      <c r="P10" s="132">
        <f>IF(SER_hh_tesh!P10=0,0,SER_hh_tesh!P10/SER_summary!P$26)</f>
        <v>54.208231186152126</v>
      </c>
      <c r="Q10" s="132">
        <f>IF(SER_hh_tesh!Q10=0,0,SER_hh_tesh!Q10/SER_summary!Q$26)</f>
        <v>54.641028361021704</v>
      </c>
      <c r="R10" s="132">
        <f>IF(SER_hh_tesh!R10=0,0,SER_hh_tesh!R10/SER_summary!R$26)</f>
        <v>50.793312520149925</v>
      </c>
      <c r="S10" s="132">
        <f>IF(SER_hh_tesh!S10=0,0,SER_hh_tesh!S10/SER_summary!S$26)</f>
        <v>65.046062248135812</v>
      </c>
      <c r="T10" s="132">
        <f>IF(SER_hh_tesh!T10=0,0,SER_hh_tesh!T10/SER_summary!T$26)</f>
        <v>60.872173717772093</v>
      </c>
      <c r="U10" s="132">
        <f>IF(SER_hh_tesh!U10=0,0,SER_hh_tesh!U10/SER_summary!U$26)</f>
        <v>57.061356813259501</v>
      </c>
      <c r="V10" s="132">
        <f>IF(SER_hh_tesh!V10=0,0,SER_hh_tesh!V10/SER_summary!V$26)</f>
        <v>43.359986851337652</v>
      </c>
      <c r="W10" s="132">
        <f>IF(SER_hh_tesh!W10=0,0,SER_hh_tesh!W10/SER_summary!W$26)</f>
        <v>54.321937356776338</v>
      </c>
      <c r="X10" s="132">
        <f>IF(SER_hh_tesh!X10=0,0,SER_hh_tesh!X10/SER_summary!X$26)</f>
        <v>83.254243567747068</v>
      </c>
      <c r="Y10" s="132">
        <f>IF(SER_hh_tesh!Y10=0,0,SER_hh_tesh!Y10/SER_summary!Y$26)</f>
        <v>61.876149679669759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17.488433817154814</v>
      </c>
      <c r="C11" s="132">
        <f>IF(SER_hh_tesh!C11=0,0,SER_hh_tesh!C11/SER_summary!C$26)</f>
        <v>18.778370502568617</v>
      </c>
      <c r="D11" s="132">
        <f>IF(SER_hh_tesh!D11=0,0,SER_hh_tesh!D11/SER_summary!D$26)</f>
        <v>21.205801918912982</v>
      </c>
      <c r="E11" s="132">
        <f>IF(SER_hh_tesh!E11=0,0,SER_hh_tesh!E11/SER_summary!E$26)</f>
        <v>24.687167433256214</v>
      </c>
      <c r="F11" s="132">
        <f>IF(SER_hh_tesh!F11=0,0,SER_hh_tesh!F11/SER_summary!F$26)</f>
        <v>29.301663050743279</v>
      </c>
      <c r="G11" s="132">
        <f>IF(SER_hh_tesh!G11=0,0,SER_hh_tesh!G11/SER_summary!G$26)</f>
        <v>34.222679039127087</v>
      </c>
      <c r="H11" s="132">
        <f>IF(SER_hh_tesh!H11=0,0,SER_hh_tesh!H11/SER_summary!H$26)</f>
        <v>37.750696242515616</v>
      </c>
      <c r="I11" s="132">
        <f>IF(SER_hh_tesh!I11=0,0,SER_hh_tesh!I11/SER_summary!I$26)</f>
        <v>40.064774231468213</v>
      </c>
      <c r="J11" s="132">
        <f>IF(SER_hh_tesh!J11=0,0,SER_hh_tesh!J11/SER_summary!J$26)</f>
        <v>41.151017603755591</v>
      </c>
      <c r="K11" s="132">
        <f>IF(SER_hh_tesh!K11=0,0,SER_hh_tesh!K11/SER_summary!K$26)</f>
        <v>40.363203966134449</v>
      </c>
      <c r="L11" s="132">
        <f>IF(SER_hh_tesh!L11=0,0,SER_hh_tesh!L11/SER_summary!L$26)</f>
        <v>37.158560635159809</v>
      </c>
      <c r="M11" s="132">
        <f>IF(SER_hh_tesh!M11=0,0,SER_hh_tesh!M11/SER_summary!M$26)</f>
        <v>51.293835915135631</v>
      </c>
      <c r="N11" s="132">
        <f>IF(SER_hh_tesh!N11=0,0,SER_hh_tesh!N11/SER_summary!N$26)</f>
        <v>51.936596721159511</v>
      </c>
      <c r="O11" s="132">
        <f>IF(SER_hh_tesh!O11=0,0,SER_hh_tesh!O11/SER_summary!O$26)</f>
        <v>45.21879724139653</v>
      </c>
      <c r="P11" s="132">
        <f>IF(SER_hh_tesh!P11=0,0,SER_hh_tesh!P11/SER_summary!P$26)</f>
        <v>51.827014853503947</v>
      </c>
      <c r="Q11" s="132">
        <f>IF(SER_hh_tesh!Q11=0,0,SER_hh_tesh!Q11/SER_summary!Q$26)</f>
        <v>59.942507516719623</v>
      </c>
      <c r="R11" s="132">
        <f>IF(SER_hh_tesh!R11=0,0,SER_hh_tesh!R11/SER_summary!R$26)</f>
        <v>51.916111525376486</v>
      </c>
      <c r="S11" s="132">
        <f>IF(SER_hh_tesh!S11=0,0,SER_hh_tesh!S11/SER_summary!S$26)</f>
        <v>56.044231993387569</v>
      </c>
      <c r="T11" s="132">
        <f>IF(SER_hh_tesh!T11=0,0,SER_hh_tesh!T11/SER_summary!T$26)</f>
        <v>62.343382286894766</v>
      </c>
      <c r="U11" s="132">
        <f>IF(SER_hh_tesh!U11=0,0,SER_hh_tesh!U11/SER_summary!U$26)</f>
        <v>63.466169883245534</v>
      </c>
      <c r="V11" s="132">
        <f>IF(SER_hh_tesh!V11=0,0,SER_hh_tesh!V11/SER_summary!V$26)</f>
        <v>51.601498778661131</v>
      </c>
      <c r="W11" s="132">
        <f>IF(SER_hh_tesh!W11=0,0,SER_hh_tesh!W11/SER_summary!W$26)</f>
        <v>54.321312145118405</v>
      </c>
      <c r="X11" s="132">
        <f>IF(SER_hh_tesh!X11=0,0,SER_hh_tesh!X11/SER_summary!X$26)</f>
        <v>68.284386421074885</v>
      </c>
      <c r="Y11" s="132">
        <f>IF(SER_hh_tesh!Y11=0,0,SER_hh_tesh!Y11/SER_summary!Y$26)</f>
        <v>69.101605546442798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14.388935728497716</v>
      </c>
      <c r="C12" s="132">
        <f>IF(SER_hh_tesh!C12=0,0,SER_hh_tesh!C12/SER_summary!C$26)</f>
        <v>18.1397530894501</v>
      </c>
      <c r="D12" s="132">
        <f>IF(SER_hh_tesh!D12=0,0,SER_hh_tesh!D12/SER_summary!D$26)</f>
        <v>24.573784745136408</v>
      </c>
      <c r="E12" s="132">
        <f>IF(SER_hh_tesh!E12=0,0,SER_hh_tesh!E12/SER_summary!E$26)</f>
        <v>24.888300005131963</v>
      </c>
      <c r="F12" s="132">
        <f>IF(SER_hh_tesh!F12=0,0,SER_hh_tesh!F12/SER_summary!F$26)</f>
        <v>33.721835469677934</v>
      </c>
      <c r="G12" s="132">
        <f>IF(SER_hh_tesh!G12=0,0,SER_hh_tesh!G12/SER_summary!G$26)</f>
        <v>32.06216472323559</v>
      </c>
      <c r="H12" s="132">
        <f>IF(SER_hh_tesh!H12=0,0,SER_hh_tesh!H12/SER_summary!H$26)</f>
        <v>37.877527979614413</v>
      </c>
      <c r="I12" s="132">
        <f>IF(SER_hh_tesh!I12=0,0,SER_hh_tesh!I12/SER_summary!I$26)</f>
        <v>41.961913104156935</v>
      </c>
      <c r="J12" s="132">
        <f>IF(SER_hh_tesh!J12=0,0,SER_hh_tesh!J12/SER_summary!J$26)</f>
        <v>39.003429612108526</v>
      </c>
      <c r="K12" s="132">
        <f>IF(SER_hh_tesh!K12=0,0,SER_hh_tesh!K12/SER_summary!K$26)</f>
        <v>35.30950557672741</v>
      </c>
      <c r="L12" s="132">
        <f>IF(SER_hh_tesh!L12=0,0,SER_hh_tesh!L12/SER_summary!L$26)</f>
        <v>46.694921708846358</v>
      </c>
      <c r="M12" s="132">
        <f>IF(SER_hh_tesh!M12=0,0,SER_hh_tesh!M12/SER_summary!M$26)</f>
        <v>40.087552001736064</v>
      </c>
      <c r="N12" s="132">
        <f>IF(SER_hh_tesh!N12=0,0,SER_hh_tesh!N12/SER_summary!N$26)</f>
        <v>52.250913929572199</v>
      </c>
      <c r="O12" s="132">
        <f>IF(SER_hh_tesh!O12=0,0,SER_hh_tesh!O12/SER_summary!O$26)</f>
        <v>52.312242403912833</v>
      </c>
      <c r="P12" s="132">
        <f>IF(SER_hh_tesh!P12=0,0,SER_hh_tesh!P12/SER_summary!P$26)</f>
        <v>55.638637203007391</v>
      </c>
      <c r="Q12" s="132">
        <f>IF(SER_hh_tesh!Q12=0,0,SER_hh_tesh!Q12/SER_summary!Q$26)</f>
        <v>54.762706779861723</v>
      </c>
      <c r="R12" s="132">
        <f>IF(SER_hh_tesh!R12=0,0,SER_hh_tesh!R12/SER_summary!R$26)</f>
        <v>52.491711156772809</v>
      </c>
      <c r="S12" s="132">
        <f>IF(SER_hh_tesh!S12=0,0,SER_hh_tesh!S12/SER_summary!S$26)</f>
        <v>58.287152584565476</v>
      </c>
      <c r="T12" s="132">
        <f>IF(SER_hh_tesh!T12=0,0,SER_hh_tesh!T12/SER_summary!T$26)</f>
        <v>58.603628268054088</v>
      </c>
      <c r="U12" s="132">
        <f>IF(SER_hh_tesh!U12=0,0,SER_hh_tesh!U12/SER_summary!U$26)</f>
        <v>58.199708341005064</v>
      </c>
      <c r="V12" s="132">
        <f>IF(SER_hh_tesh!V12=0,0,SER_hh_tesh!V12/SER_summary!V$26)</f>
        <v>57.85626612728197</v>
      </c>
      <c r="W12" s="132">
        <f>IF(SER_hh_tesh!W12=0,0,SER_hh_tesh!W12/SER_summary!W$26)</f>
        <v>65.82193322422826</v>
      </c>
      <c r="X12" s="132">
        <f>IF(SER_hh_tesh!X12=0,0,SER_hh_tesh!X12/SER_summary!X$26)</f>
        <v>67.858398221406915</v>
      </c>
      <c r="Y12" s="132">
        <f>IF(SER_hh_tesh!Y12=0,0,SER_hh_tesh!Y12/SER_summary!Y$26)</f>
        <v>55.823543377072873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15.789198535255011</v>
      </c>
      <c r="C13" s="132">
        <f>IF(SER_hh_tesh!C13=0,0,SER_hh_tesh!C13/SER_summary!C$26)</f>
        <v>18.314756344483602</v>
      </c>
      <c r="D13" s="132">
        <f>IF(SER_hh_tesh!D13=0,0,SER_hh_tesh!D13/SER_summary!D$26)</f>
        <v>16.722644656000107</v>
      </c>
      <c r="E13" s="132">
        <f>IF(SER_hh_tesh!E13=0,0,SER_hh_tesh!E13/SER_summary!E$26)</f>
        <v>28.810718149519968</v>
      </c>
      <c r="F13" s="132">
        <f>IF(SER_hh_tesh!F13=0,0,SER_hh_tesh!F13/SER_summary!F$26)</f>
        <v>27.221317697545906</v>
      </c>
      <c r="G13" s="132">
        <f>IF(SER_hh_tesh!G13=0,0,SER_hh_tesh!G13/SER_summary!G$26)</f>
        <v>34.965197754718517</v>
      </c>
      <c r="H13" s="132">
        <f>IF(SER_hh_tesh!H13=0,0,SER_hh_tesh!H13/SER_summary!H$26)</f>
        <v>38.276555986862562</v>
      </c>
      <c r="I13" s="132">
        <f>IF(SER_hh_tesh!I13=0,0,SER_hh_tesh!I13/SER_summary!I$26)</f>
        <v>39.685504317671501</v>
      </c>
      <c r="J13" s="132">
        <f>IF(SER_hh_tesh!J13=0,0,SER_hh_tesh!J13/SER_summary!J$26)</f>
        <v>43.201160207311936</v>
      </c>
      <c r="K13" s="132">
        <f>IF(SER_hh_tesh!K13=0,0,SER_hh_tesh!K13/SER_summary!K$26)</f>
        <v>41.325749750129297</v>
      </c>
      <c r="L13" s="132">
        <f>IF(SER_hh_tesh!L13=0,0,SER_hh_tesh!L13/SER_summary!L$26)</f>
        <v>43.661288227989232</v>
      </c>
      <c r="M13" s="132">
        <f>IF(SER_hh_tesh!M13=0,0,SER_hh_tesh!M13/SER_summary!M$26)</f>
        <v>44.126408242542766</v>
      </c>
      <c r="N13" s="132">
        <f>IF(SER_hh_tesh!N13=0,0,SER_hh_tesh!N13/SER_summary!N$26)</f>
        <v>48.220156734070109</v>
      </c>
      <c r="O13" s="132">
        <f>IF(SER_hh_tesh!O13=0,0,SER_hh_tesh!O13/SER_summary!O$26)</f>
        <v>50.18452452398094</v>
      </c>
      <c r="P13" s="132">
        <f>IF(SER_hh_tesh!P13=0,0,SER_hh_tesh!P13/SER_summary!P$26)</f>
        <v>57.476512097411131</v>
      </c>
      <c r="Q13" s="132">
        <f>IF(SER_hh_tesh!Q13=0,0,SER_hh_tesh!Q13/SER_summary!Q$26)</f>
        <v>56.994293337940512</v>
      </c>
      <c r="R13" s="132">
        <f>IF(SER_hh_tesh!R13=0,0,SER_hh_tesh!R13/SER_summary!R$26)</f>
        <v>55.593034274732538</v>
      </c>
      <c r="S13" s="132">
        <f>IF(SER_hh_tesh!S13=0,0,SER_hh_tesh!S13/SER_summary!S$26)</f>
        <v>56.304294778161335</v>
      </c>
      <c r="T13" s="132">
        <f>IF(SER_hh_tesh!T13=0,0,SER_hh_tesh!T13/SER_summary!T$26)</f>
        <v>57.706383709506134</v>
      </c>
      <c r="U13" s="132">
        <f>IF(SER_hh_tesh!U13=0,0,SER_hh_tesh!U13/SER_summary!U$26)</f>
        <v>58.502411803401515</v>
      </c>
      <c r="V13" s="132">
        <f>IF(SER_hh_tesh!V13=0,0,SER_hh_tesh!V13/SER_summary!V$26)</f>
        <v>58.203449189191851</v>
      </c>
      <c r="W13" s="132">
        <f>IF(SER_hh_tesh!W13=0,0,SER_hh_tesh!W13/SER_summary!W$26)</f>
        <v>59.552548300698717</v>
      </c>
      <c r="X13" s="132">
        <f>IF(SER_hh_tesh!X13=0,0,SER_hh_tesh!X13/SER_summary!X$26)</f>
        <v>66.497187339964043</v>
      </c>
      <c r="Y13" s="132">
        <f>IF(SER_hh_tesh!Y13=0,0,SER_hh_tesh!Y13/SER_summary!Y$26)</f>
        <v>68.116847610806701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17.465779206822596</v>
      </c>
      <c r="C14" s="65">
        <f>IF(SER_hh_tesh!C14=0,0,SER_hh_tesh!C14/SER_summary!C$26)</f>
        <v>18.71377322650363</v>
      </c>
      <c r="D14" s="65">
        <f>IF(SER_hh_tesh!D14=0,0,SER_hh_tesh!D14/SER_summary!D$26)</f>
        <v>20.941893929389142</v>
      </c>
      <c r="E14" s="65">
        <f>IF(SER_hh_tesh!E14=0,0,SER_hh_tesh!E14/SER_summary!E$26)</f>
        <v>23.278127214891438</v>
      </c>
      <c r="F14" s="65">
        <f>IF(SER_hh_tesh!F14=0,0,SER_hh_tesh!F14/SER_summary!F$26)</f>
        <v>30.893648749191804</v>
      </c>
      <c r="G14" s="65">
        <f>IF(SER_hh_tesh!G14=0,0,SER_hh_tesh!G14/SER_summary!G$26)</f>
        <v>37.502938020227909</v>
      </c>
      <c r="H14" s="65">
        <f>IF(SER_hh_tesh!H14=0,0,SER_hh_tesh!H14/SER_summary!H$26)</f>
        <v>37.765263603622742</v>
      </c>
      <c r="I14" s="65">
        <f>IF(SER_hh_tesh!I14=0,0,SER_hh_tesh!I14/SER_summary!I$26)</f>
        <v>44.027070197537142</v>
      </c>
      <c r="J14" s="65">
        <f>IF(SER_hh_tesh!J14=0,0,SER_hh_tesh!J14/SER_summary!J$26)</f>
        <v>43.293070472368512</v>
      </c>
      <c r="K14" s="65">
        <f>IF(SER_hh_tesh!K14=0,0,SER_hh_tesh!K14/SER_summary!K$26)</f>
        <v>46.022891401345539</v>
      </c>
      <c r="L14" s="65">
        <f>IF(SER_hh_tesh!L14=0,0,SER_hh_tesh!L14/SER_summary!L$26)</f>
        <v>35.328172084888884</v>
      </c>
      <c r="M14" s="65">
        <f>IF(SER_hh_tesh!M14=0,0,SER_hh_tesh!M14/SER_summary!M$26)</f>
        <v>48.024133397484391</v>
      </c>
      <c r="N14" s="65">
        <f>IF(SER_hh_tesh!N14=0,0,SER_hh_tesh!N14/SER_summary!N$26)</f>
        <v>47.537038532306347</v>
      </c>
      <c r="O14" s="65">
        <f>IF(SER_hh_tesh!O14=0,0,SER_hh_tesh!O14/SER_summary!O$26)</f>
        <v>19.492474299953219</v>
      </c>
      <c r="P14" s="65">
        <f>IF(SER_hh_tesh!P14=0,0,SER_hh_tesh!P14/SER_summary!P$26)</f>
        <v>68.558400704610364</v>
      </c>
      <c r="Q14" s="65">
        <f>IF(SER_hh_tesh!Q14=0,0,SER_hh_tesh!Q14/SER_summary!Q$26)</f>
        <v>80.406244124888985</v>
      </c>
      <c r="R14" s="65">
        <f>IF(SER_hh_tesh!R14=0,0,SER_hh_tesh!R14/SER_summary!R$26)</f>
        <v>37.273304666716186</v>
      </c>
      <c r="S14" s="65">
        <f>IF(SER_hh_tesh!S14=0,0,SER_hh_tesh!S14/SER_summary!S$26)</f>
        <v>37.706436977754656</v>
      </c>
      <c r="T14" s="65">
        <f>IF(SER_hh_tesh!T14=0,0,SER_hh_tesh!T14/SER_summary!T$26)</f>
        <v>73.32937746185857</v>
      </c>
      <c r="U14" s="65">
        <f>IF(SER_hh_tesh!U14=0,0,SER_hh_tesh!U14/SER_summary!U$26)</f>
        <v>79.868630760837092</v>
      </c>
      <c r="V14" s="65">
        <f>IF(SER_hh_tesh!V14=0,0,SER_hh_tesh!V14/SER_summary!V$26)</f>
        <v>44.720882961162992</v>
      </c>
      <c r="W14" s="65">
        <f>IF(SER_hh_tesh!W14=0,0,SER_hh_tesh!W14/SER_summary!W$26)</f>
        <v>48.132092856776723</v>
      </c>
      <c r="X14" s="65">
        <f>IF(SER_hh_tesh!X14=0,0,SER_hh_tesh!X14/SER_summary!X$26)</f>
        <v>66.312527699524921</v>
      </c>
      <c r="Y14" s="65">
        <f>IF(SER_hh_tesh!Y14=0,0,SER_hh_tesh!Y14/SER_summary!Y$26)</f>
        <v>74.967626683650735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0.32382631391974082</v>
      </c>
      <c r="C15" s="134">
        <f>IF(SER_hh_tesh!C15=0,0,SER_hh_tesh!C15/SER_summary!C$26)</f>
        <v>0.36147926424715676</v>
      </c>
      <c r="D15" s="134">
        <f>IF(SER_hh_tesh!D15=0,0,SER_hh_tesh!D15/SER_summary!D$26)</f>
        <v>0.39403722802973584</v>
      </c>
      <c r="E15" s="134">
        <f>IF(SER_hh_tesh!E15=0,0,SER_hh_tesh!E15/SER_summary!E$26)</f>
        <v>0.4322319232479252</v>
      </c>
      <c r="F15" s="134">
        <f>IF(SER_hh_tesh!F15=0,0,SER_hh_tesh!F15/SER_summary!F$26)</f>
        <v>0.56141295155789372</v>
      </c>
      <c r="G15" s="134">
        <f>IF(SER_hh_tesh!G15=0,0,SER_hh_tesh!G15/SER_summary!G$26)</f>
        <v>0.64579063131073755</v>
      </c>
      <c r="H15" s="134">
        <f>IF(SER_hh_tesh!H15=0,0,SER_hh_tesh!H15/SER_summary!H$26)</f>
        <v>0.67377364390055439</v>
      </c>
      <c r="I15" s="134">
        <f>IF(SER_hh_tesh!I15=0,0,SER_hh_tesh!I15/SER_summary!I$26)</f>
        <v>0.69350749847050508</v>
      </c>
      <c r="J15" s="134">
        <f>IF(SER_hh_tesh!J15=0,0,SER_hh_tesh!J15/SER_summary!J$26)</f>
        <v>0.60877305957625027</v>
      </c>
      <c r="K15" s="134">
        <f>IF(SER_hh_tesh!K15=0,0,SER_hh_tesh!K15/SER_summary!K$26)</f>
        <v>0.80196723449091611</v>
      </c>
      <c r="L15" s="134">
        <f>IF(SER_hh_tesh!L15=0,0,SER_hh_tesh!L15/SER_summary!L$26)</f>
        <v>0.63529259533181937</v>
      </c>
      <c r="M15" s="134">
        <f>IF(SER_hh_tesh!M15=0,0,SER_hh_tesh!M15/SER_summary!M$26)</f>
        <v>0.64534454964565968</v>
      </c>
      <c r="N15" s="134">
        <f>IF(SER_hh_tesh!N15=0,0,SER_hh_tesh!N15/SER_summary!N$26)</f>
        <v>0.65363348878691141</v>
      </c>
      <c r="O15" s="134">
        <f>IF(SER_hh_tesh!O15=0,0,SER_hh_tesh!O15/SER_summary!O$26)</f>
        <v>0.68051236046595798</v>
      </c>
      <c r="P15" s="134">
        <f>IF(SER_hh_tesh!P15=0,0,SER_hh_tesh!P15/SER_summary!P$26)</f>
        <v>0.7123974321293286</v>
      </c>
      <c r="Q15" s="134">
        <f>IF(SER_hh_tesh!Q15=0,0,SER_hh_tesh!Q15/SER_summary!Q$26)</f>
        <v>0.80490715341881847</v>
      </c>
      <c r="R15" s="134">
        <f>IF(SER_hh_tesh!R15=0,0,SER_hh_tesh!R15/SER_summary!R$26)</f>
        <v>0.77383577542089188</v>
      </c>
      <c r="S15" s="134">
        <f>IF(SER_hh_tesh!S15=0,0,SER_hh_tesh!S15/SER_summary!S$26)</f>
        <v>0.77803550165874702</v>
      </c>
      <c r="T15" s="134">
        <f>IF(SER_hh_tesh!T15=0,0,SER_hh_tesh!T15/SER_summary!T$26)</f>
        <v>0.83874138172385093</v>
      </c>
      <c r="U15" s="134">
        <f>IF(SER_hh_tesh!U15=0,0,SER_hh_tesh!U15/SER_summary!U$26)</f>
        <v>0.81097692023314805</v>
      </c>
      <c r="V15" s="134">
        <f>IF(SER_hh_tesh!V15=0,0,SER_hh_tesh!V15/SER_summary!V$26)</f>
        <v>0.66032541445852999</v>
      </c>
      <c r="W15" s="134">
        <f>IF(SER_hh_tesh!W15=0,0,SER_hh_tesh!W15/SER_summary!W$26)</f>
        <v>0.86983561094528161</v>
      </c>
      <c r="X15" s="134">
        <f>IF(SER_hh_tesh!X15=0,0,SER_hh_tesh!X15/SER_summary!X$26)</f>
        <v>0.87541747626093691</v>
      </c>
      <c r="Y15" s="134">
        <f>IF(SER_hh_tesh!Y15=0,0,SER_hh_tesh!Y15/SER_summary!Y$26)</f>
        <v>0.90797081822999703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25.783012313131245</v>
      </c>
      <c r="C16" s="130">
        <f>IF(SER_hh_tesh!C16=0,0,SER_hh_tesh!C16/SER_summary!C$26)</f>
        <v>25.632317713958351</v>
      </c>
      <c r="D16" s="130">
        <f>IF(SER_hh_tesh!D16=0,0,SER_hh_tesh!D16/SER_summary!D$26)</f>
        <v>23.012224976396617</v>
      </c>
      <c r="E16" s="130">
        <f>IF(SER_hh_tesh!E16=0,0,SER_hh_tesh!E16/SER_summary!E$26)</f>
        <v>32.84038273997777</v>
      </c>
      <c r="F16" s="130">
        <f>IF(SER_hh_tesh!F16=0,0,SER_hh_tesh!F16/SER_summary!F$26)</f>
        <v>27.464908997642016</v>
      </c>
      <c r="G16" s="130">
        <f>IF(SER_hh_tesh!G16=0,0,SER_hh_tesh!G16/SER_summary!G$26)</f>
        <v>30.377630435453053</v>
      </c>
      <c r="H16" s="130">
        <f>IF(SER_hh_tesh!H16=0,0,SER_hh_tesh!H16/SER_summary!H$26)</f>
        <v>36.854587010105256</v>
      </c>
      <c r="I16" s="130">
        <f>IF(SER_hh_tesh!I16=0,0,SER_hh_tesh!I16/SER_summary!I$26)</f>
        <v>24.041849050682366</v>
      </c>
      <c r="J16" s="130">
        <f>IF(SER_hh_tesh!J16=0,0,SER_hh_tesh!J16/SER_summary!J$26)</f>
        <v>23.534719676049768</v>
      </c>
      <c r="K16" s="130">
        <f>IF(SER_hh_tesh!K16=0,0,SER_hh_tesh!K16/SER_summary!K$26)</f>
        <v>28.814088811495139</v>
      </c>
      <c r="L16" s="130">
        <f>IF(SER_hh_tesh!L16=0,0,SER_hh_tesh!L16/SER_summary!L$26)</f>
        <v>39.770071787483985</v>
      </c>
      <c r="M16" s="130">
        <f>IF(SER_hh_tesh!M16=0,0,SER_hh_tesh!M16/SER_summary!M$26)</f>
        <v>26.277398753586041</v>
      </c>
      <c r="N16" s="130">
        <f>IF(SER_hh_tesh!N16=0,0,SER_hh_tesh!N16/SER_summary!N$26)</f>
        <v>27.762007398264206</v>
      </c>
      <c r="O16" s="130">
        <f>IF(SER_hh_tesh!O16=0,0,SER_hh_tesh!O16/SER_summary!O$26)</f>
        <v>36.123235225356915</v>
      </c>
      <c r="P16" s="130">
        <f>IF(SER_hh_tesh!P16=0,0,SER_hh_tesh!P16/SER_summary!P$26)</f>
        <v>24.427031799066224</v>
      </c>
      <c r="Q16" s="130">
        <f>IF(SER_hh_tesh!Q16=0,0,SER_hh_tesh!Q16/SER_summary!Q$26)</f>
        <v>28.801283289142148</v>
      </c>
      <c r="R16" s="130">
        <f>IF(SER_hh_tesh!R16=0,0,SER_hh_tesh!R16/SER_summary!R$26)</f>
        <v>43.29786782847151</v>
      </c>
      <c r="S16" s="130">
        <f>IF(SER_hh_tesh!S16=0,0,SER_hh_tesh!S16/SER_summary!S$26)</f>
        <v>41.334777173688863</v>
      </c>
      <c r="T16" s="130">
        <f>IF(SER_hh_tesh!T16=0,0,SER_hh_tesh!T16/SER_summary!T$26)</f>
        <v>35.580698393812462</v>
      </c>
      <c r="U16" s="130">
        <f>IF(SER_hh_tesh!U16=0,0,SER_hh_tesh!U16/SER_summary!U$26)</f>
        <v>28.086663285043915</v>
      </c>
      <c r="V16" s="130">
        <f>IF(SER_hh_tesh!V16=0,0,SER_hh_tesh!V16/SER_summary!V$26)</f>
        <v>40.410964069582889</v>
      </c>
      <c r="W16" s="130">
        <f>IF(SER_hh_tesh!W16=0,0,SER_hh_tesh!W16/SER_summary!W$26)</f>
        <v>25.170932677456872</v>
      </c>
      <c r="X16" s="130">
        <f>IF(SER_hh_tesh!X16=0,0,SER_hh_tesh!X16/SER_summary!X$26)</f>
        <v>46.294539606428053</v>
      </c>
      <c r="Y16" s="130">
        <f>IF(SER_hh_tesh!Y16=0,0,SER_hh_tesh!Y16/SER_summary!Y$26)</f>
        <v>37.934074611270482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25.783012313131245</v>
      </c>
      <c r="C17" s="132">
        <f>IF(SER_hh_tesh!C17=0,0,SER_hh_tesh!C17/SER_summary!C$26)</f>
        <v>25.632317713962415</v>
      </c>
      <c r="D17" s="132">
        <f>IF(SER_hh_tesh!D17=0,0,SER_hh_tesh!D17/SER_summary!D$26)</f>
        <v>23.012224974631167</v>
      </c>
      <c r="E17" s="132">
        <f>IF(SER_hh_tesh!E17=0,0,SER_hh_tesh!E17/SER_summary!E$26)</f>
        <v>32.840382737482926</v>
      </c>
      <c r="F17" s="132">
        <f>IF(SER_hh_tesh!F17=0,0,SER_hh_tesh!F17/SER_summary!F$26)</f>
        <v>27.464908997997192</v>
      </c>
      <c r="G17" s="132">
        <f>IF(SER_hh_tesh!G17=0,0,SER_hh_tesh!G17/SER_summary!G$26)</f>
        <v>30.377630439245767</v>
      </c>
      <c r="H17" s="132">
        <f>IF(SER_hh_tesh!H17=0,0,SER_hh_tesh!H17/SER_summary!H$26)</f>
        <v>36.854587015373433</v>
      </c>
      <c r="I17" s="132">
        <f>IF(SER_hh_tesh!I17=0,0,SER_hh_tesh!I17/SER_summary!I$26)</f>
        <v>24.041849051555445</v>
      </c>
      <c r="J17" s="132">
        <f>IF(SER_hh_tesh!J17=0,0,SER_hh_tesh!J17/SER_summary!J$26)</f>
        <v>23.534719674966574</v>
      </c>
      <c r="K17" s="132">
        <f>IF(SER_hh_tesh!K17=0,0,SER_hh_tesh!K17/SER_summary!K$26)</f>
        <v>28.814088809454834</v>
      </c>
      <c r="L17" s="132">
        <f>IF(SER_hh_tesh!L17=0,0,SER_hh_tesh!L17/SER_summary!L$26)</f>
        <v>39.770071783896377</v>
      </c>
      <c r="M17" s="132">
        <f>IF(SER_hh_tesh!M17=0,0,SER_hh_tesh!M17/SER_summary!M$26)</f>
        <v>26.277398751200842</v>
      </c>
      <c r="N17" s="132">
        <f>IF(SER_hh_tesh!N17=0,0,SER_hh_tesh!N17/SER_summary!N$26)</f>
        <v>27.762007395859609</v>
      </c>
      <c r="O17" s="132">
        <f>IF(SER_hh_tesh!O17=0,0,SER_hh_tesh!O17/SER_summary!O$26)</f>
        <v>36.123235227053151</v>
      </c>
      <c r="P17" s="132">
        <f>IF(SER_hh_tesh!P17=0,0,SER_hh_tesh!P17/SER_summary!P$26)</f>
        <v>24.427031806307099</v>
      </c>
      <c r="Q17" s="132">
        <f>IF(SER_hh_tesh!Q17=0,0,SER_hh_tesh!Q17/SER_summary!Q$26)</f>
        <v>28.801283301775783</v>
      </c>
      <c r="R17" s="132">
        <f>IF(SER_hh_tesh!R17=0,0,SER_hh_tesh!R17/SER_summary!R$26)</f>
        <v>43.297867841962137</v>
      </c>
      <c r="S17" s="132">
        <f>IF(SER_hh_tesh!S17=0,0,SER_hh_tesh!S17/SER_summary!S$26)</f>
        <v>41.334777174053634</v>
      </c>
      <c r="T17" s="132">
        <f>IF(SER_hh_tesh!T17=0,0,SER_hh_tesh!T17/SER_summary!T$26)</f>
        <v>35.272502206454909</v>
      </c>
      <c r="U17" s="132">
        <f>IF(SER_hh_tesh!U17=0,0,SER_hh_tesh!U17/SER_summary!U$26)</f>
        <v>28.086663278721211</v>
      </c>
      <c r="V17" s="132">
        <f>IF(SER_hh_tesh!V17=0,0,SER_hh_tesh!V17/SER_summary!V$26)</f>
        <v>38.856585860289591</v>
      </c>
      <c r="W17" s="132">
        <f>IF(SER_hh_tesh!W17=0,0,SER_hh_tesh!W17/SER_summary!W$26)</f>
        <v>25.462887299687981</v>
      </c>
      <c r="X17" s="132">
        <f>IF(SER_hh_tesh!X17=0,0,SER_hh_tesh!X17/SER_summary!X$26)</f>
        <v>46.762832524172772</v>
      </c>
      <c r="Y17" s="132">
        <f>IF(SER_hh_tesh!Y17=0,0,SER_hh_tesh!Y17/SER_summary!Y$26)</f>
        <v>38.249978900440276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25.783012313131245</v>
      </c>
      <c r="C18" s="132">
        <f>IF(SER_hh_tesh!C18=0,0,SER_hh_tesh!C18/SER_summary!C$26)</f>
        <v>25.63231771395834</v>
      </c>
      <c r="D18" s="132">
        <f>IF(SER_hh_tesh!D18=0,0,SER_hh_tesh!D18/SER_summary!D$26)</f>
        <v>23.012224976400248</v>
      </c>
      <c r="E18" s="132">
        <f>IF(SER_hh_tesh!E18=0,0,SER_hh_tesh!E18/SER_summary!E$26)</f>
        <v>32.840382739982481</v>
      </c>
      <c r="F18" s="132">
        <f>IF(SER_hh_tesh!F18=0,0,SER_hh_tesh!F18/SER_summary!F$26)</f>
        <v>27.464908997641238</v>
      </c>
      <c r="G18" s="132">
        <f>IF(SER_hh_tesh!G18=0,0,SER_hh_tesh!G18/SER_summary!G$26)</f>
        <v>30.377630435444587</v>
      </c>
      <c r="H18" s="132">
        <f>IF(SER_hh_tesh!H18=0,0,SER_hh_tesh!H18/SER_summary!H$26)</f>
        <v>36.854587010092878</v>
      </c>
      <c r="I18" s="132">
        <f>IF(SER_hh_tesh!I18=0,0,SER_hh_tesh!I18/SER_summary!I$26)</f>
        <v>24.041849050679758</v>
      </c>
      <c r="J18" s="132">
        <f>IF(SER_hh_tesh!J18=0,0,SER_hh_tesh!J18/SER_summary!J$26)</f>
        <v>23.534719676053484</v>
      </c>
      <c r="K18" s="132">
        <f>IF(SER_hh_tesh!K18=0,0,SER_hh_tesh!K18/SER_summary!K$26)</f>
        <v>28.814088811503577</v>
      </c>
      <c r="L18" s="132">
        <f>IF(SER_hh_tesh!L18=0,0,SER_hh_tesh!L18/SER_summary!L$26)</f>
        <v>39.770071787499155</v>
      </c>
      <c r="M18" s="132">
        <f>IF(SER_hh_tesh!M18=0,0,SER_hh_tesh!M18/SER_summary!M$26)</f>
        <v>26.277398753597662</v>
      </c>
      <c r="N18" s="132">
        <f>IF(SER_hh_tesh!N18=0,0,SER_hh_tesh!N18/SER_summary!N$26)</f>
        <v>27.762007398276594</v>
      </c>
      <c r="O18" s="132">
        <f>IF(SER_hh_tesh!O18=0,0,SER_hh_tesh!O18/SER_summary!O$26)</f>
        <v>36.123235225347003</v>
      </c>
      <c r="P18" s="132">
        <f>IF(SER_hh_tesh!P18=0,0,SER_hh_tesh!P18/SER_summary!P$26)</f>
        <v>24.427031799018735</v>
      </c>
      <c r="Q18" s="132">
        <f>IF(SER_hh_tesh!Q18=0,0,SER_hh_tesh!Q18/SER_summary!Q$26)</f>
        <v>28.801283289044807</v>
      </c>
      <c r="R18" s="132">
        <f>IF(SER_hh_tesh!R18=0,0,SER_hh_tesh!R18/SER_summary!R$26)</f>
        <v>43.297867828345332</v>
      </c>
      <c r="S18" s="132">
        <f>IF(SER_hh_tesh!S18=0,0,SER_hh_tesh!S18/SER_summary!S$26)</f>
        <v>41.334777173685048</v>
      </c>
      <c r="T18" s="132">
        <f>IF(SER_hh_tesh!T18=0,0,SER_hh_tesh!T18/SER_summary!T$26)</f>
        <v>35.58428430442563</v>
      </c>
      <c r="U18" s="132">
        <f>IF(SER_hh_tesh!U18=0,0,SER_hh_tesh!U18/SER_summary!U$26)</f>
        <v>28.086663285125983</v>
      </c>
      <c r="V18" s="132">
        <f>IF(SER_hh_tesh!V18=0,0,SER_hh_tesh!V18/SER_summary!V$26)</f>
        <v>40.431938362571579</v>
      </c>
      <c r="W18" s="132">
        <f>IF(SER_hh_tesh!W18=0,0,SER_hh_tesh!W18/SER_summary!W$26)</f>
        <v>25.166959374572908</v>
      </c>
      <c r="X18" s="132">
        <f>IF(SER_hh_tesh!X18=0,0,SER_hh_tesh!X18/SER_summary!X$26)</f>
        <v>46.287961026630875</v>
      </c>
      <c r="Y18" s="132">
        <f>IF(SER_hh_tesh!Y18=0,0,SER_hh_tesh!Y18/SER_summary!Y$26)</f>
        <v>37.929518695428946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9.2032022162125493</v>
      </c>
      <c r="C19" s="130">
        <f>IF(SER_hh_tesh!C19=0,0,SER_hh_tesh!C19/SER_summary!C$26)</f>
        <v>9.3581649136554681</v>
      </c>
      <c r="D19" s="130">
        <f>IF(SER_hh_tesh!D19=0,0,SER_hh_tesh!D19/SER_summary!D$26)</f>
        <v>9.5799075688386885</v>
      </c>
      <c r="E19" s="130">
        <f>IF(SER_hh_tesh!E19=0,0,SER_hh_tesh!E19/SER_summary!E$26)</f>
        <v>9.5417106674630663</v>
      </c>
      <c r="F19" s="130">
        <f>IF(SER_hh_tesh!F19=0,0,SER_hh_tesh!F19/SER_summary!F$26)</f>
        <v>9.6580044642436462</v>
      </c>
      <c r="G19" s="130">
        <f>IF(SER_hh_tesh!G19=0,0,SER_hh_tesh!G19/SER_summary!G$26)</f>
        <v>9.7326422229230829</v>
      </c>
      <c r="H19" s="130">
        <f>IF(SER_hh_tesh!H19=0,0,SER_hh_tesh!H19/SER_summary!H$26)</f>
        <v>9.6379833815776124</v>
      </c>
      <c r="I19" s="130">
        <f>IF(SER_hh_tesh!I19=0,0,SER_hh_tesh!I19/SER_summary!I$26)</f>
        <v>9.7893839649231182</v>
      </c>
      <c r="J19" s="130">
        <f>IF(SER_hh_tesh!J19=0,0,SER_hh_tesh!J19/SER_summary!J$26)</f>
        <v>9.8255212265103342</v>
      </c>
      <c r="K19" s="130">
        <f>IF(SER_hh_tesh!K19=0,0,SER_hh_tesh!K19/SER_summary!K$26)</f>
        <v>10.012257787719651</v>
      </c>
      <c r="L19" s="130">
        <f>IF(SER_hh_tesh!L19=0,0,SER_hh_tesh!L19/SER_summary!L$26)</f>
        <v>10.100487927124785</v>
      </c>
      <c r="M19" s="130">
        <f>IF(SER_hh_tesh!M19=0,0,SER_hh_tesh!M19/SER_summary!M$26)</f>
        <v>10.501720939452225</v>
      </c>
      <c r="N19" s="130">
        <f>IF(SER_hh_tesh!N19=0,0,SER_hh_tesh!N19/SER_summary!N$26)</f>
        <v>10.411294159597917</v>
      </c>
      <c r="O19" s="130">
        <f>IF(SER_hh_tesh!O19=0,0,SER_hh_tesh!O19/SER_summary!O$26)</f>
        <v>10.543355443349183</v>
      </c>
      <c r="P19" s="130">
        <f>IF(SER_hh_tesh!P19=0,0,SER_hh_tesh!P19/SER_summary!P$26)</f>
        <v>10.643394314970784</v>
      </c>
      <c r="Q19" s="130">
        <f>IF(SER_hh_tesh!Q19=0,0,SER_hh_tesh!Q19/SER_summary!Q$26)</f>
        <v>10.735581345406572</v>
      </c>
      <c r="R19" s="130">
        <f>IF(SER_hh_tesh!R19=0,0,SER_hh_tesh!R19/SER_summary!R$26)</f>
        <v>10.815585182604666</v>
      </c>
      <c r="S19" s="130">
        <f>IF(SER_hh_tesh!S19=0,0,SER_hh_tesh!S19/SER_summary!S$26)</f>
        <v>10.701217881983924</v>
      </c>
      <c r="T19" s="130">
        <f>IF(SER_hh_tesh!T19=0,0,SER_hh_tesh!T19/SER_summary!T$26)</f>
        <v>10.678908299709057</v>
      </c>
      <c r="U19" s="130">
        <f>IF(SER_hh_tesh!U19=0,0,SER_hh_tesh!U19/SER_summary!U$26)</f>
        <v>10.711575443301214</v>
      </c>
      <c r="V19" s="130">
        <f>IF(SER_hh_tesh!V19=0,0,SER_hh_tesh!V19/SER_summary!V$26)</f>
        <v>9.3165528137633196</v>
      </c>
      <c r="W19" s="130">
        <f>IF(SER_hh_tesh!W19=0,0,SER_hh_tesh!W19/SER_summary!W$26)</f>
        <v>10.221823767691498</v>
      </c>
      <c r="X19" s="130">
        <f>IF(SER_hh_tesh!X19=0,0,SER_hh_tesh!X19/SER_summary!X$26)</f>
        <v>10.67587327608631</v>
      </c>
      <c r="Y19" s="130">
        <f>IF(SER_hh_tesh!Y19=0,0,SER_hh_tesh!Y19/SER_summary!Y$26)</f>
        <v>10.812242053233582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9.3907868088614403</v>
      </c>
      <c r="C21" s="132">
        <f>IF(SER_hh_tesh!C21=0,0,SER_hh_tesh!C21/SER_summary!C$26)</f>
        <v>9.16314078578311</v>
      </c>
      <c r="D21" s="132">
        <f>IF(SER_hh_tesh!D21=0,0,SER_hh_tesh!D21/SER_summary!D$26)</f>
        <v>9.2752410094724453</v>
      </c>
      <c r="E21" s="132">
        <f>IF(SER_hh_tesh!E21=0,0,SER_hh_tesh!E21/SER_summary!E$26)</f>
        <v>9.3466139526313405</v>
      </c>
      <c r="F21" s="132">
        <f>IF(SER_hh_tesh!F21=0,0,SER_hh_tesh!F21/SER_summary!F$26)</f>
        <v>9.5336679845867192</v>
      </c>
      <c r="G21" s="132">
        <f>IF(SER_hh_tesh!G21=0,0,SER_hh_tesh!G21/SER_summary!G$26)</f>
        <v>9.5589386173554018</v>
      </c>
      <c r="H21" s="132">
        <f>IF(SER_hh_tesh!H21=0,0,SER_hh_tesh!H21/SER_summary!H$26)</f>
        <v>9.5072844255886242</v>
      </c>
      <c r="I21" s="132">
        <f>IF(SER_hh_tesh!I21=0,0,SER_hh_tesh!I21/SER_summary!I$26)</f>
        <v>9.7163116128235991</v>
      </c>
      <c r="J21" s="132">
        <f>IF(SER_hh_tesh!J21=0,0,SER_hh_tesh!J21/SER_summary!J$26)</f>
        <v>9.7275281778551221</v>
      </c>
      <c r="K21" s="132">
        <f>IF(SER_hh_tesh!K21=0,0,SER_hh_tesh!K21/SER_summary!K$26)</f>
        <v>9.9602506321385746</v>
      </c>
      <c r="L21" s="132">
        <f>IF(SER_hh_tesh!L21=0,0,SER_hh_tesh!L21/SER_summary!L$26)</f>
        <v>9.8409229120080006</v>
      </c>
      <c r="M21" s="132">
        <f>IF(SER_hh_tesh!M21=0,0,SER_hh_tesh!M21/SER_summary!M$26)</f>
        <v>10.107635394136642</v>
      </c>
      <c r="N21" s="132">
        <f>IF(SER_hh_tesh!N21=0,0,SER_hh_tesh!N21/SER_summary!N$26)</f>
        <v>10.108854172977273</v>
      </c>
      <c r="O21" s="132">
        <f>IF(SER_hh_tesh!O21=0,0,SER_hh_tesh!O21/SER_summary!O$26)</f>
        <v>10.118762857479995</v>
      </c>
      <c r="P21" s="132">
        <f>IF(SER_hh_tesh!P21=0,0,SER_hh_tesh!P21/SER_summary!P$26)</f>
        <v>10.175832326144551</v>
      </c>
      <c r="Q21" s="132">
        <f>IF(SER_hh_tesh!Q21=0,0,SER_hh_tesh!Q21/SER_summary!Q$26)</f>
        <v>10.296318624408897</v>
      </c>
      <c r="R21" s="132">
        <f>IF(SER_hh_tesh!R21=0,0,SER_hh_tesh!R21/SER_summary!R$26)</f>
        <v>10.32411185780836</v>
      </c>
      <c r="S21" s="132">
        <f>IF(SER_hh_tesh!S21=0,0,SER_hh_tesh!S21/SER_summary!S$26)</f>
        <v>10.189721309427608</v>
      </c>
      <c r="T21" s="132">
        <f>IF(SER_hh_tesh!T21=0,0,SER_hh_tesh!T21/SER_summary!T$26)</f>
        <v>9.9676703813900485</v>
      </c>
      <c r="U21" s="132">
        <f>IF(SER_hh_tesh!U21=0,0,SER_hh_tesh!U21/SER_summary!U$26)</f>
        <v>9.9832305361587306</v>
      </c>
      <c r="V21" s="132">
        <f>IF(SER_hh_tesh!V21=0,0,SER_hh_tesh!V21/SER_summary!V$26)</f>
        <v>9.6481577680412318</v>
      </c>
      <c r="W21" s="132">
        <f>IF(SER_hh_tesh!W21=0,0,SER_hh_tesh!W21/SER_summary!W$26)</f>
        <v>9.2537078876984395</v>
      </c>
      <c r="X21" s="132">
        <f>IF(SER_hh_tesh!X21=0,0,SER_hh_tesh!X21/SER_summary!X$26)</f>
        <v>10.142376905474357</v>
      </c>
      <c r="Y21" s="132">
        <f>IF(SER_hh_tesh!Y21=0,0,SER_hh_tesh!Y21/SER_summary!Y$26)</f>
        <v>9.8541865228192798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9.3119320126220213</v>
      </c>
      <c r="C22" s="132">
        <f>IF(SER_hh_tesh!C22=0,0,SER_hh_tesh!C22/SER_summary!C$26)</f>
        <v>9.2956622601495962</v>
      </c>
      <c r="D22" s="132">
        <f>IF(SER_hh_tesh!D22=0,0,SER_hh_tesh!D22/SER_summary!D$26)</f>
        <v>9.2903116772448993</v>
      </c>
      <c r="E22" s="132">
        <f>IF(SER_hh_tesh!E22=0,0,SER_hh_tesh!E22/SER_summary!E$26)</f>
        <v>9.4079085518426631</v>
      </c>
      <c r="F22" s="132">
        <f>IF(SER_hh_tesh!F22=0,0,SER_hh_tesh!F22/SER_summary!F$26)</f>
        <v>9.451981382903897</v>
      </c>
      <c r="G22" s="132">
        <f>IF(SER_hh_tesh!G22=0,0,SER_hh_tesh!G22/SER_summary!G$26)</f>
        <v>9.5238017913662425</v>
      </c>
      <c r="H22" s="132">
        <f>IF(SER_hh_tesh!H22=0,0,SER_hh_tesh!H22/SER_summary!H$26)</f>
        <v>9.6135843262612859</v>
      </c>
      <c r="I22" s="132">
        <f>IF(SER_hh_tesh!I22=0,0,SER_hh_tesh!I22/SER_summary!I$26)</f>
        <v>9.7376031056244248</v>
      </c>
      <c r="J22" s="132">
        <f>IF(SER_hh_tesh!J22=0,0,SER_hh_tesh!J22/SER_summary!J$26)</f>
        <v>9.7168099927437357</v>
      </c>
      <c r="K22" s="132">
        <f>IF(SER_hh_tesh!K22=0,0,SER_hh_tesh!K22/SER_summary!K$26)</f>
        <v>9.6907453383723663</v>
      </c>
      <c r="L22" s="132">
        <f>IF(SER_hh_tesh!L22=0,0,SER_hh_tesh!L22/SER_summary!L$26)</f>
        <v>9.8009755881108074</v>
      </c>
      <c r="M22" s="132">
        <f>IF(SER_hh_tesh!M22=0,0,SER_hh_tesh!M22/SER_summary!M$26)</f>
        <v>10.090992750362673</v>
      </c>
      <c r="N22" s="132">
        <f>IF(SER_hh_tesh!N22=0,0,SER_hh_tesh!N22/SER_summary!N$26)</f>
        <v>10.054266325761207</v>
      </c>
      <c r="O22" s="132">
        <f>IF(SER_hh_tesh!O22=0,0,SER_hh_tesh!O22/SER_summary!O$26)</f>
        <v>10.263069057112427</v>
      </c>
      <c r="P22" s="132">
        <f>IF(SER_hh_tesh!P22=0,0,SER_hh_tesh!P22/SER_summary!P$26)</f>
        <v>10.23667975427176</v>
      </c>
      <c r="Q22" s="132">
        <f>IF(SER_hh_tesh!Q22=0,0,SER_hh_tesh!Q22/SER_summary!Q$26)</f>
        <v>10.283347046854026</v>
      </c>
      <c r="R22" s="132">
        <f>IF(SER_hh_tesh!R22=0,0,SER_hh_tesh!R22/SER_summary!R$26)</f>
        <v>10.139256760881699</v>
      </c>
      <c r="S22" s="132">
        <f>IF(SER_hh_tesh!S22=0,0,SER_hh_tesh!S22/SER_summary!S$26)</f>
        <v>10.161899698882994</v>
      </c>
      <c r="T22" s="132">
        <f>IF(SER_hh_tesh!T22=0,0,SER_hh_tesh!T22/SER_summary!T$26)</f>
        <v>10.079711319746156</v>
      </c>
      <c r="U22" s="132">
        <f>IF(SER_hh_tesh!U22=0,0,SER_hh_tesh!U22/SER_summary!U$26)</f>
        <v>9.877925008780247</v>
      </c>
      <c r="V22" s="132">
        <f>IF(SER_hh_tesh!V22=0,0,SER_hh_tesh!V22/SER_summary!V$26)</f>
        <v>8.9878537385832544</v>
      </c>
      <c r="W22" s="132">
        <f>IF(SER_hh_tesh!W22=0,0,SER_hh_tesh!W22/SER_summary!W$26)</f>
        <v>9.6577654770090344</v>
      </c>
      <c r="X22" s="132">
        <f>IF(SER_hh_tesh!X22=0,0,SER_hh_tesh!X22/SER_summary!X$26)</f>
        <v>9.9766064973495663</v>
      </c>
      <c r="Y22" s="132">
        <f>IF(SER_hh_tesh!Y22=0,0,SER_hh_tesh!Y22/SER_summary!Y$26)</f>
        <v>9.9880660884428014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8.9265544458343253</v>
      </c>
      <c r="C23" s="132">
        <f>IF(SER_hh_tesh!C23=0,0,SER_hh_tesh!C23/SER_summary!C$26)</f>
        <v>9.3416530873964394</v>
      </c>
      <c r="D23" s="132">
        <f>IF(SER_hh_tesh!D23=0,0,SER_hh_tesh!D23/SER_summary!D$26)</f>
        <v>9.4642759547128872</v>
      </c>
      <c r="E23" s="132">
        <f>IF(SER_hh_tesh!E23=0,0,SER_hh_tesh!E23/SER_summary!E$26)</f>
        <v>9.387939853131698</v>
      </c>
      <c r="F23" s="132">
        <f>IF(SER_hh_tesh!F23=0,0,SER_hh_tesh!F23/SER_summary!F$26)</f>
        <v>9.3763710696083056</v>
      </c>
      <c r="G23" s="132">
        <f>IF(SER_hh_tesh!G23=0,0,SER_hh_tesh!G23/SER_summary!G$26)</f>
        <v>9.4439030310644618</v>
      </c>
      <c r="H23" s="132">
        <f>IF(SER_hh_tesh!H23=0,0,SER_hh_tesh!H23/SER_summary!H$26)</f>
        <v>9.4339661272881781</v>
      </c>
      <c r="I23" s="132">
        <f>IF(SER_hh_tesh!I23=0,0,SER_hh_tesh!I23/SER_summary!I$26)</f>
        <v>9.7732903816493337</v>
      </c>
      <c r="J23" s="132">
        <f>IF(SER_hh_tesh!J23=0,0,SER_hh_tesh!J23/SER_summary!J$26)</f>
        <v>9.7705802192492062</v>
      </c>
      <c r="K23" s="132">
        <f>IF(SER_hh_tesh!K23=0,0,SER_hh_tesh!K23/SER_summary!K$26)</f>
        <v>9.7404591944909846</v>
      </c>
      <c r="L23" s="132">
        <f>IF(SER_hh_tesh!L23=0,0,SER_hh_tesh!L23/SER_summary!L$26)</f>
        <v>9.9295478366754271</v>
      </c>
      <c r="M23" s="132">
        <f>IF(SER_hh_tesh!M23=0,0,SER_hh_tesh!M23/SER_summary!M$26)</f>
        <v>10.139386093331153</v>
      </c>
      <c r="N23" s="132">
        <f>IF(SER_hh_tesh!N23=0,0,SER_hh_tesh!N23/SER_summary!N$26)</f>
        <v>10.190533164032102</v>
      </c>
      <c r="O23" s="132">
        <f>IF(SER_hh_tesh!O23=0,0,SER_hh_tesh!O23/SER_summary!O$26)</f>
        <v>10.275644899187384</v>
      </c>
      <c r="P23" s="132">
        <f>IF(SER_hh_tesh!P23=0,0,SER_hh_tesh!P23/SER_summary!P$26)</f>
        <v>10.105644754689155</v>
      </c>
      <c r="Q23" s="132">
        <f>IF(SER_hh_tesh!Q23=0,0,SER_hh_tesh!Q23/SER_summary!Q$26)</f>
        <v>10.08386944091183</v>
      </c>
      <c r="R23" s="132">
        <f>IF(SER_hh_tesh!R23=0,0,SER_hh_tesh!R23/SER_summary!R$26)</f>
        <v>10.26952117596276</v>
      </c>
      <c r="S23" s="132">
        <f>IF(SER_hh_tesh!S23=0,0,SER_hh_tesh!S23/SER_summary!S$26)</f>
        <v>10.325992965201557</v>
      </c>
      <c r="T23" s="132">
        <f>IF(SER_hh_tesh!T23=0,0,SER_hh_tesh!T23/SER_summary!T$26)</f>
        <v>10.282850523868802</v>
      </c>
      <c r="U23" s="132">
        <f>IF(SER_hh_tesh!U23=0,0,SER_hh_tesh!U23/SER_summary!U$26)</f>
        <v>10.317390975876357</v>
      </c>
      <c r="V23" s="132">
        <f>IF(SER_hh_tesh!V23=0,0,SER_hh_tesh!V23/SER_summary!V$26)</f>
        <v>8.5859561451832516</v>
      </c>
      <c r="W23" s="132">
        <f>IF(SER_hh_tesh!W23=0,0,SER_hh_tesh!W23/SER_summary!W$26)</f>
        <v>9.5887706814790459</v>
      </c>
      <c r="X23" s="132">
        <f>IF(SER_hh_tesh!X23=0,0,SER_hh_tesh!X23/SER_summary!X$26)</f>
        <v>9.8119505070646102</v>
      </c>
      <c r="Y23" s="132">
        <f>IF(SER_hh_tesh!Y23=0,0,SER_hh_tesh!Y23/SER_summary!Y$26)</f>
        <v>10.179248017653137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7.6687696360242761</v>
      </c>
      <c r="C25" s="132">
        <f>IF(SER_hh_tesh!C25=0,0,SER_hh_tesh!C25/SER_summary!C$26)</f>
        <v>9.5695420849636506</v>
      </c>
      <c r="D25" s="132">
        <f>IF(SER_hh_tesh!D25=0,0,SER_hh_tesh!D25/SER_summary!D$26)</f>
        <v>9.9835851730572998</v>
      </c>
      <c r="E25" s="132">
        <f>IF(SER_hh_tesh!E25=0,0,SER_hh_tesh!E25/SER_summary!E$26)</f>
        <v>10.299203506402238</v>
      </c>
      <c r="F25" s="132">
        <f>IF(SER_hh_tesh!F25=0,0,SER_hh_tesh!F25/SER_summary!F$26)</f>
        <v>9.9854488779328392</v>
      </c>
      <c r="G25" s="132">
        <f>IF(SER_hh_tesh!G25=0,0,SER_hh_tesh!G25/SER_summary!G$26)</f>
        <v>8.9040401033552694</v>
      </c>
      <c r="H25" s="132">
        <f>IF(SER_hh_tesh!H25=0,0,SER_hh_tesh!H25/SER_summary!H$26)</f>
        <v>9.5400612927676267</v>
      </c>
      <c r="I25" s="132">
        <f>IF(SER_hh_tesh!I25=0,0,SER_hh_tesh!I25/SER_summary!I$26)</f>
        <v>11.215367764463538</v>
      </c>
      <c r="J25" s="132">
        <f>IF(SER_hh_tesh!J25=0,0,SER_hh_tesh!J25/SER_summary!J$26)</f>
        <v>8.102437732511234</v>
      </c>
      <c r="K25" s="132">
        <f>IF(SER_hh_tesh!K25=0,0,SER_hh_tesh!K25/SER_summary!K$26)</f>
        <v>9.6705333354243237</v>
      </c>
      <c r="L25" s="132">
        <f>IF(SER_hh_tesh!L25=0,0,SER_hh_tesh!L25/SER_summary!L$26)</f>
        <v>9.4193418204038935</v>
      </c>
      <c r="M25" s="132">
        <f>IF(SER_hh_tesh!M25=0,0,SER_hh_tesh!M25/SER_summary!M$26)</f>
        <v>8.8654166317286442</v>
      </c>
      <c r="N25" s="132">
        <f>IF(SER_hh_tesh!N25=0,0,SER_hh_tesh!N25/SER_summary!N$26)</f>
        <v>10.147354484804612</v>
      </c>
      <c r="O25" s="132">
        <f>IF(SER_hh_tesh!O25=0,0,SER_hh_tesh!O25/SER_summary!O$26)</f>
        <v>10.918449909649441</v>
      </c>
      <c r="P25" s="132">
        <f>IF(SER_hh_tesh!P25=0,0,SER_hh_tesh!P25/SER_summary!P$26)</f>
        <v>10.384041500803033</v>
      </c>
      <c r="Q25" s="132">
        <f>IF(SER_hh_tesh!Q25=0,0,SER_hh_tesh!Q25/SER_summary!Q$26)</f>
        <v>10.63007614488969</v>
      </c>
      <c r="R25" s="132">
        <f>IF(SER_hh_tesh!R25=0,0,SER_hh_tesh!R25/SER_summary!R$26)</f>
        <v>10.151228606004096</v>
      </c>
      <c r="S25" s="132">
        <f>IF(SER_hh_tesh!S25=0,0,SER_hh_tesh!S25/SER_summary!S$26)</f>
        <v>10.720669109755171</v>
      </c>
      <c r="T25" s="132">
        <f>IF(SER_hh_tesh!T25=0,0,SER_hh_tesh!T25/SER_summary!T$26)</f>
        <v>10.796620910456351</v>
      </c>
      <c r="U25" s="132">
        <f>IF(SER_hh_tesh!U25=0,0,SER_hh_tesh!U25/SER_summary!U$26)</f>
        <v>9.442698011087705</v>
      </c>
      <c r="V25" s="132">
        <f>IF(SER_hh_tesh!V25=0,0,SER_hh_tesh!V25/SER_summary!V$26)</f>
        <v>8.4675722520157866</v>
      </c>
      <c r="W25" s="132">
        <f>IF(SER_hh_tesh!W25=0,0,SER_hh_tesh!W25/SER_summary!W$26)</f>
        <v>10.188764957738522</v>
      </c>
      <c r="X25" s="132">
        <f>IF(SER_hh_tesh!X25=0,0,SER_hh_tesh!X25/SER_summary!X$26)</f>
        <v>10.457529146154714</v>
      </c>
      <c r="Y25" s="132">
        <f>IF(SER_hh_tesh!Y25=0,0,SER_hh_tesh!Y25/SER_summary!Y$26)</f>
        <v>8.1164491815943425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8.1573910133502086</v>
      </c>
      <c r="C26" s="65">
        <f>IF(SER_hh_tesh!C26=0,0,SER_hh_tesh!C26/SER_summary!C$26)</f>
        <v>8.4130873352625901</v>
      </c>
      <c r="D26" s="65">
        <f>IF(SER_hh_tesh!D26=0,0,SER_hh_tesh!D26/SER_summary!D$26)</f>
        <v>8.7536718689519706</v>
      </c>
      <c r="E26" s="65">
        <f>IF(SER_hh_tesh!E26=0,0,SER_hh_tesh!E26/SER_summary!E$26)</f>
        <v>8.6368133328248273</v>
      </c>
      <c r="F26" s="65">
        <f>IF(SER_hh_tesh!F26=0,0,SER_hh_tesh!F26/SER_summary!F$26)</f>
        <v>8.80424428560179</v>
      </c>
      <c r="G26" s="65">
        <f>IF(SER_hh_tesh!G26=0,0,SER_hh_tesh!G26/SER_summary!G$26)</f>
        <v>8.870998231801714</v>
      </c>
      <c r="H26" s="65">
        <f>IF(SER_hh_tesh!H26=0,0,SER_hh_tesh!H26/SER_summary!H$26)</f>
        <v>8.6746849742256043</v>
      </c>
      <c r="I26" s="65">
        <f>IF(SER_hh_tesh!I26=0,0,SER_hh_tesh!I26/SER_summary!I$26)</f>
        <v>8.7194214216294448</v>
      </c>
      <c r="J26" s="65">
        <f>IF(SER_hh_tesh!J26=0,0,SER_hh_tesh!J26/SER_summary!J$26)</f>
        <v>8.6475754906882862</v>
      </c>
      <c r="K26" s="65">
        <f>IF(SER_hh_tesh!K26=0,0,SER_hh_tesh!K26/SER_summary!K$26)</f>
        <v>8.7156093040544675</v>
      </c>
      <c r="L26" s="65">
        <f>IF(SER_hh_tesh!L26=0,0,SER_hh_tesh!L26/SER_summary!L$26)</f>
        <v>8.2589379560042531</v>
      </c>
      <c r="M26" s="65">
        <f>IF(SER_hh_tesh!M26=0,0,SER_hh_tesh!M26/SER_summary!M$26)</f>
        <v>8.2714505273179189</v>
      </c>
      <c r="N26" s="65">
        <f>IF(SER_hh_tesh!N26=0,0,SER_hh_tesh!N26/SER_summary!N$26)</f>
        <v>7.754817989166801</v>
      </c>
      <c r="O26" s="65">
        <f>IF(SER_hh_tesh!O26=0,0,SER_hh_tesh!O26/SER_summary!O$26)</f>
        <v>7.626239995085097</v>
      </c>
      <c r="P26" s="65">
        <f>IF(SER_hh_tesh!P26=0,0,SER_hh_tesh!P26/SER_summary!P$26)</f>
        <v>7.6637863718897652</v>
      </c>
      <c r="Q26" s="65">
        <f>IF(SER_hh_tesh!Q26=0,0,SER_hh_tesh!Q26/SER_summary!Q$26)</f>
        <v>7.6377215679638617</v>
      </c>
      <c r="R26" s="65">
        <f>IF(SER_hh_tesh!R26=0,0,SER_hh_tesh!R26/SER_summary!R$26)</f>
        <v>7.5832049452852495</v>
      </c>
      <c r="S26" s="65">
        <f>IF(SER_hh_tesh!S26=0,0,SER_hh_tesh!S26/SER_summary!S$26)</f>
        <v>7.1582455096364663</v>
      </c>
      <c r="T26" s="65">
        <f>IF(SER_hh_tesh!T26=0,0,SER_hh_tesh!T26/SER_summary!T$26)</f>
        <v>6.9200139393805271</v>
      </c>
      <c r="U26" s="65">
        <f>IF(SER_hh_tesh!U26=0,0,SER_hh_tesh!U26/SER_summary!U$26)</f>
        <v>6.8498051195500453</v>
      </c>
      <c r="V26" s="65">
        <f>IF(SER_hh_tesh!V26=0,0,SER_hh_tesh!V26/SER_summary!V$26)</f>
        <v>5.0936042595611006</v>
      </c>
      <c r="W26" s="65">
        <f>IF(SER_hh_tesh!W26=0,0,SER_hh_tesh!W26/SER_summary!W$26)</f>
        <v>5.9091889329738247</v>
      </c>
      <c r="X26" s="65">
        <f>IF(SER_hh_tesh!X26=0,0,SER_hh_tesh!X26/SER_summary!X$26)</f>
        <v>6.0551941837581795</v>
      </c>
      <c r="Y26" s="65">
        <f>IF(SER_hh_tesh!Y26=0,0,SER_hh_tesh!Y26/SER_summary!Y$26)</f>
        <v>6.217609775702754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0.58987603169583702</v>
      </c>
      <c r="C27" s="145">
        <f>IF(SER_hh_tesh!C27=0,0,SER_hh_tesh!C27/SER_summary!C$26)</f>
        <v>0.58845060882242062</v>
      </c>
      <c r="D27" s="145">
        <f>IF(SER_hh_tesh!D27=0,0,SER_hh_tesh!D27/SER_summary!D$26)</f>
        <v>0.59801968306723308</v>
      </c>
      <c r="E27" s="145">
        <f>IF(SER_hh_tesh!E27=0,0,SER_hh_tesh!E27/SER_summary!E$26)</f>
        <v>0.61212926532085865</v>
      </c>
      <c r="F27" s="145">
        <f>IF(SER_hh_tesh!F27=0,0,SER_hh_tesh!F27/SER_summary!F$26)</f>
        <v>0.61952192864978151</v>
      </c>
      <c r="G27" s="145">
        <f>IF(SER_hh_tesh!G27=0,0,SER_hh_tesh!G27/SER_summary!G$26)</f>
        <v>0.65129659557292752</v>
      </c>
      <c r="H27" s="145">
        <f>IF(SER_hh_tesh!H27=0,0,SER_hh_tesh!H27/SER_summary!H$26)</f>
        <v>0.6684109767804256</v>
      </c>
      <c r="I27" s="145">
        <f>IF(SER_hh_tesh!I27=0,0,SER_hh_tesh!I27/SER_summary!I$26)</f>
        <v>0.71038122050152386</v>
      </c>
      <c r="J27" s="145">
        <f>IF(SER_hh_tesh!J27=0,0,SER_hh_tesh!J27/SER_summary!J$26)</f>
        <v>0.83633772338156909</v>
      </c>
      <c r="K27" s="145">
        <f>IF(SER_hh_tesh!K27=0,0,SER_hh_tesh!K27/SER_summary!K$26)</f>
        <v>0.96085220034667684</v>
      </c>
      <c r="L27" s="145">
        <f>IF(SER_hh_tesh!L27=0,0,SER_hh_tesh!L27/SER_summary!L$26)</f>
        <v>1.3191729851498828</v>
      </c>
      <c r="M27" s="145">
        <f>IF(SER_hh_tesh!M27=0,0,SER_hh_tesh!M27/SER_summary!M$26)</f>
        <v>1.6255514836118028</v>
      </c>
      <c r="N27" s="145">
        <f>IF(SER_hh_tesh!N27=0,0,SER_hh_tesh!N27/SER_summary!N$26)</f>
        <v>1.838808587646646</v>
      </c>
      <c r="O27" s="145">
        <f>IF(SER_hh_tesh!O27=0,0,SER_hh_tesh!O27/SER_summary!O$26)</f>
        <v>1.9766339618297699</v>
      </c>
      <c r="P27" s="145">
        <f>IF(SER_hh_tesh!P27=0,0,SER_hh_tesh!P27/SER_summary!P$26)</f>
        <v>2.0735635193525201</v>
      </c>
      <c r="Q27" s="145">
        <f>IF(SER_hh_tesh!Q27=0,0,SER_hh_tesh!Q27/SER_summary!Q$26)</f>
        <v>2.151062475021853</v>
      </c>
      <c r="R27" s="145">
        <f>IF(SER_hh_tesh!R27=0,0,SER_hh_tesh!R27/SER_summary!R$26)</f>
        <v>2.2367225707841034</v>
      </c>
      <c r="S27" s="145">
        <f>IF(SER_hh_tesh!S27=0,0,SER_hh_tesh!S27/SER_summary!S$26)</f>
        <v>2.323506140837742</v>
      </c>
      <c r="T27" s="145">
        <f>IF(SER_hh_tesh!T27=0,0,SER_hh_tesh!T27/SER_summary!T$26)</f>
        <v>2.4257155804329615</v>
      </c>
      <c r="U27" s="145">
        <f>IF(SER_hh_tesh!U27=0,0,SER_hh_tesh!U27/SER_summary!U$26)</f>
        <v>2.5059587240218439</v>
      </c>
      <c r="V27" s="145">
        <f>IF(SER_hh_tesh!V27=0,0,SER_hh_tesh!V27/SER_summary!V$26)</f>
        <v>2.6029040318092629</v>
      </c>
      <c r="W27" s="145">
        <f>IF(SER_hh_tesh!W27=0,0,SER_hh_tesh!W27/SER_summary!W$26)</f>
        <v>2.7118712925663222</v>
      </c>
      <c r="X27" s="145">
        <f>IF(SER_hh_tesh!X27=0,0,SER_hh_tesh!X27/SER_summary!X$26)</f>
        <v>2.9489293294698795</v>
      </c>
      <c r="Y27" s="145">
        <f>IF(SER_hh_tesh!Y27=0,0,SER_hh_tesh!Y27/SER_summary!Y$26)</f>
        <v>2.9628068958097642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7.6496088311682549</v>
      </c>
      <c r="C28" s="146">
        <f>IF(SER_hh_tesh!C28=0,0,SER_hh_tesh!C28/SER_summary!C$26)</f>
        <v>7.5866070156464707</v>
      </c>
      <c r="D28" s="146">
        <f>IF(SER_hh_tesh!D28=0,0,SER_hh_tesh!D28/SER_summary!D$26)</f>
        <v>7.6420659950125369</v>
      </c>
      <c r="E28" s="146">
        <f>IF(SER_hh_tesh!E28=0,0,SER_hh_tesh!E28/SER_summary!E$26)</f>
        <v>8.0806315541837854</v>
      </c>
      <c r="F28" s="146">
        <f>IF(SER_hh_tesh!F28=0,0,SER_hh_tesh!F28/SER_summary!F$26)</f>
        <v>8.1647604490144126</v>
      </c>
      <c r="G28" s="146">
        <f>IF(SER_hh_tesh!G28=0,0,SER_hh_tesh!G28/SER_summary!G$26)</f>
        <v>7.7554750913518937</v>
      </c>
      <c r="H28" s="146">
        <f>IF(SER_hh_tesh!H28=0,0,SER_hh_tesh!H28/SER_summary!H$26)</f>
        <v>7.9464997400428761</v>
      </c>
      <c r="I28" s="146">
        <f>IF(SER_hh_tesh!I28=0,0,SER_hh_tesh!I28/SER_summary!I$26)</f>
        <v>8.0131517243963</v>
      </c>
      <c r="J28" s="146">
        <f>IF(SER_hh_tesh!J28=0,0,SER_hh_tesh!J28/SER_summary!J$26)</f>
        <v>8.100729448308293</v>
      </c>
      <c r="K28" s="146">
        <f>IF(SER_hh_tesh!K28=0,0,SER_hh_tesh!K28/SER_summary!K$26)</f>
        <v>8.1302777749335409</v>
      </c>
      <c r="L28" s="146">
        <f>IF(SER_hh_tesh!L28=0,0,SER_hh_tesh!L28/SER_summary!L$26)</f>
        <v>8.7297061594492877</v>
      </c>
      <c r="M28" s="146">
        <f>IF(SER_hh_tesh!M28=0,0,SER_hh_tesh!M28/SER_summary!M$26)</f>
        <v>9.451147550268816</v>
      </c>
      <c r="N28" s="146">
        <f>IF(SER_hh_tesh!N28=0,0,SER_hh_tesh!N28/SER_summary!N$26)</f>
        <v>9.3911855374594904</v>
      </c>
      <c r="O28" s="146">
        <f>IF(SER_hh_tesh!O28=0,0,SER_hh_tesh!O28/SER_summary!O$26)</f>
        <v>9.6543258432300458</v>
      </c>
      <c r="P28" s="146">
        <f>IF(SER_hh_tesh!P28=0,0,SER_hh_tesh!P28/SER_summary!P$26)</f>
        <v>9.682209477445884</v>
      </c>
      <c r="Q28" s="146">
        <f>IF(SER_hh_tesh!Q28=0,0,SER_hh_tesh!Q28/SER_summary!Q$26)</f>
        <v>9.7138156566217262</v>
      </c>
      <c r="R28" s="146">
        <f>IF(SER_hh_tesh!R28=0,0,SER_hh_tesh!R28/SER_summary!R$26)</f>
        <v>9.6827769524371945</v>
      </c>
      <c r="S28" s="146">
        <f>IF(SER_hh_tesh!S28=0,0,SER_hh_tesh!S28/SER_summary!S$26)</f>
        <v>9.6222333128282926</v>
      </c>
      <c r="T28" s="146">
        <f>IF(SER_hh_tesh!T28=0,0,SER_hh_tesh!T28/SER_summary!T$26)</f>
        <v>9.9046346489816788</v>
      </c>
      <c r="U28" s="146">
        <f>IF(SER_hh_tesh!U28=0,0,SER_hh_tesh!U28/SER_summary!U$26)</f>
        <v>9.9096310597886461</v>
      </c>
      <c r="V28" s="146">
        <f>IF(SER_hh_tesh!V28=0,0,SER_hh_tesh!V28/SER_summary!V$26)</f>
        <v>8.9255475087741392</v>
      </c>
      <c r="W28" s="146">
        <f>IF(SER_hh_tesh!W28=0,0,SER_hh_tesh!W28/SER_summary!W$26)</f>
        <v>9.4371642657014938</v>
      </c>
      <c r="X28" s="146">
        <f>IF(SER_hh_tesh!X28=0,0,SER_hh_tesh!X28/SER_summary!X$26)</f>
        <v>9.1608471089324564</v>
      </c>
      <c r="Y28" s="146">
        <f>IF(SER_hh_tesh!Y28=0,0,SER_hh_tesh!Y28/SER_summary!Y$26)</f>
        <v>9.3458447566667395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8.3645214068443767</v>
      </c>
      <c r="C29" s="130">
        <f>IF(SER_hh_tesh!C29=0,0,SER_hh_tesh!C29/SER_summary!C$26)</f>
        <v>8.7235970519706179</v>
      </c>
      <c r="D29" s="130">
        <f>IF(SER_hh_tesh!D29=0,0,SER_hh_tesh!D29/SER_summary!D$26)</f>
        <v>9.4186375307992201</v>
      </c>
      <c r="E29" s="130">
        <f>IF(SER_hh_tesh!E29=0,0,SER_hh_tesh!E29/SER_summary!E$26)</f>
        <v>9.7241577483489081</v>
      </c>
      <c r="F29" s="130">
        <f>IF(SER_hh_tesh!F29=0,0,SER_hh_tesh!F29/SER_summary!F$26)</f>
        <v>9.8233582408691689</v>
      </c>
      <c r="G29" s="130">
        <f>IF(SER_hh_tesh!G29=0,0,SER_hh_tesh!G29/SER_summary!G$26)</f>
        <v>9.8149437972457534</v>
      </c>
      <c r="H29" s="130">
        <f>IF(SER_hh_tesh!H29=0,0,SER_hh_tesh!H29/SER_summary!H$26)</f>
        <v>9.9831898961546361</v>
      </c>
      <c r="I29" s="130">
        <f>IF(SER_hh_tesh!I29=0,0,SER_hh_tesh!I29/SER_summary!I$26)</f>
        <v>9.9485315609585374</v>
      </c>
      <c r="J29" s="130">
        <f>IF(SER_hh_tesh!J29=0,0,SER_hh_tesh!J29/SER_summary!J$26)</f>
        <v>10.232003223647041</v>
      </c>
      <c r="K29" s="130">
        <f>IF(SER_hh_tesh!K29=0,0,SER_hh_tesh!K29/SER_summary!K$26)</f>
        <v>10.144278049665596</v>
      </c>
      <c r="L29" s="130">
        <f>IF(SER_hh_tesh!L29=0,0,SER_hh_tesh!L29/SER_summary!L$26)</f>
        <v>10.3113698586842</v>
      </c>
      <c r="M29" s="130">
        <f>IF(SER_hh_tesh!M29=0,0,SER_hh_tesh!M29/SER_summary!M$26)</f>
        <v>10.23690766536701</v>
      </c>
      <c r="N29" s="130">
        <f>IF(SER_hh_tesh!N29=0,0,SER_hh_tesh!N29/SER_summary!N$26)</f>
        <v>10.234101644228808</v>
      </c>
      <c r="O29" s="130">
        <f>IF(SER_hh_tesh!O29=0,0,SER_hh_tesh!O29/SER_summary!O$26)</f>
        <v>9.5307207832968626</v>
      </c>
      <c r="P29" s="130">
        <f>IF(SER_hh_tesh!P29=0,0,SER_hh_tesh!P29/SER_summary!P$26)</f>
        <v>10.166945306566538</v>
      </c>
      <c r="Q29" s="130">
        <f>IF(SER_hh_tesh!Q29=0,0,SER_hh_tesh!Q29/SER_summary!Q$26)</f>
        <v>10.273891058093442</v>
      </c>
      <c r="R29" s="130">
        <f>IF(SER_hh_tesh!R29=0,0,SER_hh_tesh!R29/SER_summary!R$26)</f>
        <v>10.496451867278147</v>
      </c>
      <c r="S29" s="130">
        <f>IF(SER_hh_tesh!S29=0,0,SER_hh_tesh!S29/SER_summary!S$26)</f>
        <v>10.767749849794741</v>
      </c>
      <c r="T29" s="130">
        <f>IF(SER_hh_tesh!T29=0,0,SER_hh_tesh!T29/SER_summary!T$26)</f>
        <v>10.880798845068314</v>
      </c>
      <c r="U29" s="130">
        <f>IF(SER_hh_tesh!U29=0,0,SER_hh_tesh!U29/SER_summary!U$26)</f>
        <v>10.902152127395782</v>
      </c>
      <c r="V29" s="130">
        <f>IF(SER_hh_tesh!V29=0,0,SER_hh_tesh!V29/SER_summary!V$26)</f>
        <v>10.289778421503376</v>
      </c>
      <c r="W29" s="130">
        <f>IF(SER_hh_tesh!W29=0,0,SER_hh_tesh!W29/SER_summary!W$26)</f>
        <v>10.542349653237945</v>
      </c>
      <c r="X29" s="130">
        <f>IF(SER_hh_tesh!X29=0,0,SER_hh_tesh!X29/SER_summary!X$26)</f>
        <v>11.119725490181285</v>
      </c>
      <c r="Y29" s="130">
        <f>IF(SER_hh_tesh!Y29=0,0,SER_hh_tesh!Y29/SER_summary!Y$26)</f>
        <v>11.287360788936262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9.6968405102424313</v>
      </c>
      <c r="C30" s="132">
        <f>IF(SER_hh_tesh!C30=0,0,SER_hh_tesh!C30/SER_summary!C$26)</f>
        <v>6.9055061759984664</v>
      </c>
      <c r="D30" s="132">
        <f>IF(SER_hh_tesh!D30=0,0,SER_hh_tesh!D30/SER_summary!D$26)</f>
        <v>9.7359244013863879</v>
      </c>
      <c r="E30" s="132">
        <f>IF(SER_hh_tesh!E30=0,0,SER_hh_tesh!E30/SER_summary!E$26)</f>
        <v>9.1588886051730309</v>
      </c>
      <c r="F30" s="132">
        <f>IF(SER_hh_tesh!F30=0,0,SER_hh_tesh!F30/SER_summary!F$26)</f>
        <v>9.0718238870515364</v>
      </c>
      <c r="G30" s="132">
        <f>IF(SER_hh_tesh!G30=0,0,SER_hh_tesh!G30/SER_summary!G$26)</f>
        <v>11.464860115583562</v>
      </c>
      <c r="H30" s="132">
        <f>IF(SER_hh_tesh!H30=0,0,SER_hh_tesh!H30/SER_summary!H$26)</f>
        <v>9.6530925311285767</v>
      </c>
      <c r="I30" s="132">
        <f>IF(SER_hh_tesh!I30=0,0,SER_hh_tesh!I30/SER_summary!I$26)</f>
        <v>9.7649177271968206</v>
      </c>
      <c r="J30" s="132">
        <f>IF(SER_hh_tesh!J30=0,0,SER_hh_tesh!J30/SER_summary!J$26)</f>
        <v>11.480939188703225</v>
      </c>
      <c r="K30" s="132">
        <f>IF(SER_hh_tesh!K30=0,0,SER_hh_tesh!K30/SER_summary!K$26)</f>
        <v>12.2337127600151</v>
      </c>
      <c r="L30" s="132">
        <f>IF(SER_hh_tesh!L30=0,0,SER_hh_tesh!L30/SER_summary!L$26)</f>
        <v>7.1384361334608535</v>
      </c>
      <c r="M30" s="132">
        <f>IF(SER_hh_tesh!M30=0,0,SER_hh_tesh!M30/SER_summary!M$26)</f>
        <v>8.5085609345022579</v>
      </c>
      <c r="N30" s="132">
        <f>IF(SER_hh_tesh!N30=0,0,SER_hh_tesh!N30/SER_summary!N$26)</f>
        <v>7.4903530324292396</v>
      </c>
      <c r="O30" s="132">
        <f>IF(SER_hh_tesh!O30=0,0,SER_hh_tesh!O30/SER_summary!O$26)</f>
        <v>7.506366390489803</v>
      </c>
      <c r="P30" s="132">
        <f>IF(SER_hh_tesh!P30=0,0,SER_hh_tesh!P30/SER_summary!P$26)</f>
        <v>11.469582719560055</v>
      </c>
      <c r="Q30" s="132">
        <f>IF(SER_hh_tesh!Q30=0,0,SER_hh_tesh!Q30/SER_summary!Q$26)</f>
        <v>11.257550258830481</v>
      </c>
      <c r="R30" s="132">
        <f>IF(SER_hh_tesh!R30=0,0,SER_hh_tesh!R30/SER_summary!R$26)</f>
        <v>9.9828333983145665</v>
      </c>
      <c r="S30" s="132">
        <f>IF(SER_hh_tesh!S30=0,0,SER_hh_tesh!S30/SER_summary!S$26)</f>
        <v>9.7025521473213256</v>
      </c>
      <c r="T30" s="132">
        <f>IF(SER_hh_tesh!T30=0,0,SER_hh_tesh!T30/SER_summary!T$26)</f>
        <v>12.396400512686046</v>
      </c>
      <c r="U30" s="132">
        <f>IF(SER_hh_tesh!U30=0,0,SER_hh_tesh!U30/SER_summary!U$26)</f>
        <v>12.347834807030987</v>
      </c>
      <c r="V30" s="132">
        <f>IF(SER_hh_tesh!V30=0,0,SER_hh_tesh!V30/SER_summary!V$26)</f>
        <v>9.0617504164178229</v>
      </c>
      <c r="W30" s="132">
        <f>IF(SER_hh_tesh!W30=0,0,SER_hh_tesh!W30/SER_summary!W$26)</f>
        <v>8.5385706344570327</v>
      </c>
      <c r="X30" s="132">
        <f>IF(SER_hh_tesh!X30=0,0,SER_hh_tesh!X30/SER_summary!X$26)</f>
        <v>11.930584346033516</v>
      </c>
      <c r="Y30" s="132">
        <f>IF(SER_hh_tesh!Y30=0,0,SER_hh_tesh!Y30/SER_summary!Y$26)</f>
        <v>11.319382590393909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8.2844104488250192</v>
      </c>
      <c r="C31" s="132">
        <f>IF(SER_hh_tesh!C31=0,0,SER_hh_tesh!C31/SER_summary!C$26)</f>
        <v>8.7181319686943066</v>
      </c>
      <c r="D31" s="132">
        <f>IF(SER_hh_tesh!D31=0,0,SER_hh_tesh!D31/SER_summary!D$26)</f>
        <v>9.3651036405538903</v>
      </c>
      <c r="E31" s="132">
        <f>IF(SER_hh_tesh!E31=0,0,SER_hh_tesh!E31/SER_summary!E$26)</f>
        <v>9.294133276053179</v>
      </c>
      <c r="F31" s="132">
        <f>IF(SER_hh_tesh!F31=0,0,SER_hh_tesh!F31/SER_summary!F$26)</f>
        <v>9.8555806394340113</v>
      </c>
      <c r="G31" s="132">
        <f>IF(SER_hh_tesh!G31=0,0,SER_hh_tesh!G31/SER_summary!G$26)</f>
        <v>10.027610484027313</v>
      </c>
      <c r="H31" s="132">
        <f>IF(SER_hh_tesh!H31=0,0,SER_hh_tesh!H31/SER_summary!H$26)</f>
        <v>10.055958403977614</v>
      </c>
      <c r="I31" s="132">
        <f>IF(SER_hh_tesh!I31=0,0,SER_hh_tesh!I31/SER_summary!I$26)</f>
        <v>9.9623887077092501</v>
      </c>
      <c r="J31" s="132">
        <f>IF(SER_hh_tesh!J31=0,0,SER_hh_tesh!J31/SER_summary!J$26)</f>
        <v>9.6091382200478979</v>
      </c>
      <c r="K31" s="132">
        <f>IF(SER_hh_tesh!K31=0,0,SER_hh_tesh!K31/SER_summary!K$26)</f>
        <v>9.7105031333320984</v>
      </c>
      <c r="L31" s="132">
        <f>IF(SER_hh_tesh!L31=0,0,SER_hh_tesh!L31/SER_summary!L$26)</f>
        <v>10.81382202252011</v>
      </c>
      <c r="M31" s="132">
        <f>IF(SER_hh_tesh!M31=0,0,SER_hh_tesh!M31/SER_summary!M$26)</f>
        <v>10.104767195914283</v>
      </c>
      <c r="N31" s="132">
        <f>IF(SER_hh_tesh!N31=0,0,SER_hh_tesh!N31/SER_summary!N$26)</f>
        <v>9.467372173002774</v>
      </c>
      <c r="O31" s="132">
        <f>IF(SER_hh_tesh!O31=0,0,SER_hh_tesh!O31/SER_summary!O$26)</f>
        <v>10.472571856845466</v>
      </c>
      <c r="P31" s="132">
        <f>IF(SER_hh_tesh!P31=0,0,SER_hh_tesh!P31/SER_summary!P$26)</f>
        <v>9.8688955588808103</v>
      </c>
      <c r="Q31" s="132">
        <f>IF(SER_hh_tesh!Q31=0,0,SER_hh_tesh!Q31/SER_summary!Q$26)</f>
        <v>10.446767339156958</v>
      </c>
      <c r="R31" s="132">
        <f>IF(SER_hh_tesh!R31=0,0,SER_hh_tesh!R31/SER_summary!R$26)</f>
        <v>10.627341489658219</v>
      </c>
      <c r="S31" s="132">
        <f>IF(SER_hh_tesh!S31=0,0,SER_hh_tesh!S31/SER_summary!S$26)</f>
        <v>10.656290899688136</v>
      </c>
      <c r="T31" s="132">
        <f>IF(SER_hh_tesh!T31=0,0,SER_hh_tesh!T31/SER_summary!T$26)</f>
        <v>10.784358434245547</v>
      </c>
      <c r="U31" s="132">
        <f>IF(SER_hh_tesh!U31=0,0,SER_hh_tesh!U31/SER_summary!U$26)</f>
        <v>11.233897885293954</v>
      </c>
      <c r="V31" s="132">
        <f>IF(SER_hh_tesh!V31=0,0,SER_hh_tesh!V31/SER_summary!V$26)</f>
        <v>10.752759240342517</v>
      </c>
      <c r="W31" s="132">
        <f>IF(SER_hh_tesh!W31=0,0,SER_hh_tesh!W31/SER_summary!W$26)</f>
        <v>10.650855974442553</v>
      </c>
      <c r="X31" s="132">
        <f>IF(SER_hh_tesh!X31=0,0,SER_hh_tesh!X31/SER_summary!X$26)</f>
        <v>10.65145742440501</v>
      </c>
      <c r="Y31" s="132">
        <f>IF(SER_hh_tesh!Y31=0,0,SER_hh_tesh!Y31/SER_summary!Y$26)</f>
        <v>11.363777709654137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17.509365663995723</v>
      </c>
      <c r="O32" s="132">
        <f>IF(SER_hh_tesh!O32=0,0,SER_hh_tesh!O32/SER_summary!O$26)</f>
        <v>9.543291915749629</v>
      </c>
      <c r="P32" s="132">
        <f>IF(SER_hh_tesh!P32=0,0,SER_hh_tesh!P32/SER_summary!P$26)</f>
        <v>9.5984578117466164</v>
      </c>
      <c r="Q32" s="132">
        <f>IF(SER_hh_tesh!Q32=0,0,SER_hh_tesh!Q32/SER_summary!Q$26)</f>
        <v>10.823570447751669</v>
      </c>
      <c r="R32" s="132">
        <f>IF(SER_hh_tesh!R32=0,0,SER_hh_tesh!R32/SER_summary!R$26)</f>
        <v>9.5892236443625229</v>
      </c>
      <c r="S32" s="132">
        <f>IF(SER_hh_tesh!S32=0,0,SER_hh_tesh!S32/SER_summary!S$26)</f>
        <v>10.559014153018369</v>
      </c>
      <c r="T32" s="132">
        <f>IF(SER_hh_tesh!T32=0,0,SER_hh_tesh!T32/SER_summary!T$26)</f>
        <v>11.592540762639308</v>
      </c>
      <c r="U32" s="132">
        <f>IF(SER_hh_tesh!U32=0,0,SER_hh_tesh!U32/SER_summary!U$26)</f>
        <v>11.440463585556625</v>
      </c>
      <c r="V32" s="132">
        <f>IF(SER_hh_tesh!V32=0,0,SER_hh_tesh!V32/SER_summary!V$26)</f>
        <v>8.5732149737533643</v>
      </c>
      <c r="W32" s="132">
        <f>IF(SER_hh_tesh!W32=0,0,SER_hh_tesh!W32/SER_summary!W$26)</f>
        <v>10.858619726844683</v>
      </c>
      <c r="X32" s="132">
        <f>IF(SER_hh_tesh!X32=0,0,SER_hh_tesh!X32/SER_summary!X$26)</f>
        <v>10.984038503931641</v>
      </c>
      <c r="Y32" s="132">
        <f>IF(SER_hh_tesh!Y32=0,0,SER_hh_tesh!Y32/SER_summary!Y$26)</f>
        <v>11.408274689974359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8.047858620925993</v>
      </c>
      <c r="C33" s="68">
        <f>IF(SER_hh_tesh!C33=0,0,SER_hh_tesh!C33/SER_summary!C$26)</f>
        <v>9.1431501018405115</v>
      </c>
      <c r="D33" s="68">
        <f>IF(SER_hh_tesh!D33=0,0,SER_hh_tesh!D33/SER_summary!D$26)</f>
        <v>9.3331129557210097</v>
      </c>
      <c r="E33" s="68">
        <f>IF(SER_hh_tesh!E33=0,0,SER_hh_tesh!E33/SER_summary!E$26)</f>
        <v>9.9758552452412506</v>
      </c>
      <c r="F33" s="68">
        <f>IF(SER_hh_tesh!F33=0,0,SER_hh_tesh!F33/SER_summary!F$26)</f>
        <v>10.167922071510816</v>
      </c>
      <c r="G33" s="68">
        <f>IF(SER_hh_tesh!G33=0,0,SER_hh_tesh!G33/SER_summary!G$26)</f>
        <v>8.7896854818429127</v>
      </c>
      <c r="H33" s="68">
        <f>IF(SER_hh_tesh!H33=0,0,SER_hh_tesh!H33/SER_summary!H$26)</f>
        <v>10.18268733937437</v>
      </c>
      <c r="I33" s="68">
        <f>IF(SER_hh_tesh!I33=0,0,SER_hh_tesh!I33/SER_summary!I$26)</f>
        <v>10.070329577315851</v>
      </c>
      <c r="J33" s="68">
        <f>IF(SER_hh_tesh!J33=0,0,SER_hh_tesh!J33/SER_summary!J$26)</f>
        <v>9.5505622218646575</v>
      </c>
      <c r="K33" s="68">
        <f>IF(SER_hh_tesh!K33=0,0,SER_hh_tesh!K33/SER_summary!K$26)</f>
        <v>9.1414439752447159</v>
      </c>
      <c r="L33" s="68">
        <f>IF(SER_hh_tesh!L33=0,0,SER_hh_tesh!L33/SER_summary!L$26)</f>
        <v>11.230903961184737</v>
      </c>
      <c r="M33" s="68">
        <f>IF(SER_hh_tesh!M33=0,0,SER_hh_tesh!M33/SER_summary!M$26)</f>
        <v>10.695955387075095</v>
      </c>
      <c r="N33" s="68">
        <f>IF(SER_hh_tesh!N33=0,0,SER_hh_tesh!N33/SER_summary!N$26)</f>
        <v>10.196936474525689</v>
      </c>
      <c r="O33" s="68">
        <f>IF(SER_hh_tesh!O33=0,0,SER_hh_tesh!O33/SER_summary!O$26)</f>
        <v>9.8720447039285446</v>
      </c>
      <c r="P33" s="68">
        <f>IF(SER_hh_tesh!P33=0,0,SER_hh_tesh!P33/SER_summary!P$26)</f>
        <v>9.8630895245482968</v>
      </c>
      <c r="Q33" s="68">
        <f>IF(SER_hh_tesh!Q33=0,0,SER_hh_tesh!Q33/SER_summary!Q$26)</f>
        <v>9.6897296441081568</v>
      </c>
      <c r="R33" s="68">
        <f>IF(SER_hh_tesh!R33=0,0,SER_hh_tesh!R33/SER_summary!R$26)</f>
        <v>10.809887527377057</v>
      </c>
      <c r="S33" s="68">
        <f>IF(SER_hh_tesh!S33=0,0,SER_hh_tesh!S33/SER_summary!S$26)</f>
        <v>11.35765258599675</v>
      </c>
      <c r="T33" s="68">
        <f>IF(SER_hh_tesh!T33=0,0,SER_hh_tesh!T33/SER_summary!T$26)</f>
        <v>10.037331928800992</v>
      </c>
      <c r="U33" s="68">
        <f>IF(SER_hh_tesh!U33=0,0,SER_hh_tesh!U33/SER_summary!U$26)</f>
        <v>10.009381835566284</v>
      </c>
      <c r="V33" s="68">
        <f>IF(SER_hh_tesh!V33=0,0,SER_hh_tesh!V33/SER_summary!V$26)</f>
        <v>10.748226962791488</v>
      </c>
      <c r="W33" s="68">
        <f>IF(SER_hh_tesh!W33=0,0,SER_hh_tesh!W33/SER_summary!W$26)</f>
        <v>11.123382913702166</v>
      </c>
      <c r="X33" s="68">
        <f>IF(SER_hh_tesh!X33=0,0,SER_hh_tesh!X33/SER_summary!X$26)</f>
        <v>11.004715649346888</v>
      </c>
      <c r="Y33" s="68">
        <f>IF(SER_hh_tesh!Y33=0,0,SER_hh_tesh!Y33/SER_summary!Y$26)</f>
        <v>11.24151259039812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9.0685716261502805</v>
      </c>
      <c r="C3" s="125">
        <f>IF(SER_hh_emih!C3=0,0,SER_hh_emih!C3/SER_summary!C$26)</f>
        <v>9.6485623531730766</v>
      </c>
      <c r="D3" s="125">
        <f>IF(SER_hh_emih!D3=0,0,SER_hh_emih!D3/SER_summary!D$26)</f>
        <v>10.287897838447746</v>
      </c>
      <c r="E3" s="125">
        <f>IF(SER_hh_emih!E3=0,0,SER_hh_emih!E3/SER_summary!E$26)</f>
        <v>10.696495156869952</v>
      </c>
      <c r="F3" s="125">
        <f>IF(SER_hh_emih!F3=0,0,SER_hh_emih!F3/SER_summary!F$26)</f>
        <v>12.84133672067089</v>
      </c>
      <c r="G3" s="125">
        <f>IF(SER_hh_emih!G3=0,0,SER_hh_emih!G3/SER_summary!G$26)</f>
        <v>14.152850424758823</v>
      </c>
      <c r="H3" s="125">
        <f>IF(SER_hh_emih!H3=0,0,SER_hh_emih!H3/SER_summary!H$26)</f>
        <v>13.158395579541502</v>
      </c>
      <c r="I3" s="125">
        <f>IF(SER_hh_emih!I3=0,0,SER_hh_emih!I3/SER_summary!I$26)</f>
        <v>11.96397377829733</v>
      </c>
      <c r="J3" s="125">
        <f>IF(SER_hh_emih!J3=0,0,SER_hh_emih!J3/SER_summary!J$26)</f>
        <v>9.7903650470915071</v>
      </c>
      <c r="K3" s="125">
        <f>IF(SER_hh_emih!K3=0,0,SER_hh_emih!K3/SER_summary!K$26)</f>
        <v>11.081431736825053</v>
      </c>
      <c r="L3" s="125">
        <f>IF(SER_hh_emih!L3=0,0,SER_hh_emih!L3/SER_summary!L$26)</f>
        <v>7.5240683433384152</v>
      </c>
      <c r="M3" s="125">
        <f>IF(SER_hh_emih!M3=0,0,SER_hh_emih!M3/SER_summary!M$26)</f>
        <v>6.6949380718562015</v>
      </c>
      <c r="N3" s="125">
        <f>IF(SER_hh_emih!N3=0,0,SER_hh_emih!N3/SER_summary!N$26)</f>
        <v>5.8841305687352099</v>
      </c>
      <c r="O3" s="125">
        <f>IF(SER_hh_emih!O3=0,0,SER_hh_emih!O3/SER_summary!O$26)</f>
        <v>5.7398176900406428</v>
      </c>
      <c r="P3" s="125">
        <f>IF(SER_hh_emih!P3=0,0,SER_hh_emih!P3/SER_summary!P$26)</f>
        <v>5.9658089575960931</v>
      </c>
      <c r="Q3" s="125">
        <f>IF(SER_hh_emih!Q3=0,0,SER_hh_emih!Q3/SER_summary!Q$26)</f>
        <v>6.4995073777572587</v>
      </c>
      <c r="R3" s="125">
        <f>IF(SER_hh_emih!R3=0,0,SER_hh_emih!R3/SER_summary!R$26)</f>
        <v>6.1883224371266055</v>
      </c>
      <c r="S3" s="125">
        <f>IF(SER_hh_emih!S3=0,0,SER_hh_emih!S3/SER_summary!S$26)</f>
        <v>6.0868036869990609</v>
      </c>
      <c r="T3" s="125">
        <f>IF(SER_hh_emih!T3=0,0,SER_hh_emih!T3/SER_summary!T$26)</f>
        <v>6.5198967773159504</v>
      </c>
      <c r="U3" s="125">
        <f>IF(SER_hh_emih!U3=0,0,SER_hh_emih!U3/SER_summary!U$26)</f>
        <v>6.3317018366324245</v>
      </c>
      <c r="V3" s="125">
        <f>IF(SER_hh_emih!V3=0,0,SER_hh_emih!V3/SER_summary!V$26)</f>
        <v>4.9607767188458078</v>
      </c>
      <c r="W3" s="125">
        <f>IF(SER_hh_emih!W3=0,0,SER_hh_emih!W3/SER_summary!W$26)</f>
        <v>5.2565669631256755</v>
      </c>
      <c r="X3" s="125">
        <f>IF(SER_hh_emih!X3=0,0,SER_hh_emih!X3/SER_summary!X$26)</f>
        <v>5.3138477837370761</v>
      </c>
      <c r="Y3" s="125">
        <f>IF(SER_hh_emih!Y3=0,0,SER_hh_emih!Y3/SER_summary!Y$26)</f>
        <v>5.134686898129738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6.1136999381789972</v>
      </c>
      <c r="C4" s="130">
        <f>IF(SER_hh_emih!C4=0,0,SER_hh_emih!C4/SER_summary!C$26)</f>
        <v>7.0508535129507894</v>
      </c>
      <c r="D4" s="130">
        <f>IF(SER_hh_emih!D4=0,0,SER_hh_emih!D4/SER_summary!D$26)</f>
        <v>7.4280334454407297</v>
      </c>
      <c r="E4" s="130">
        <f>IF(SER_hh_emih!E4=0,0,SER_hh_emih!E4/SER_summary!E$26)</f>
        <v>7.807044430052974</v>
      </c>
      <c r="F4" s="130">
        <f>IF(SER_hh_emih!F4=0,0,SER_hh_emih!F4/SER_summary!F$26)</f>
        <v>9.8012720055265312</v>
      </c>
      <c r="G4" s="130">
        <f>IF(SER_hh_emih!G4=0,0,SER_hh_emih!G4/SER_summary!G$26)</f>
        <v>10.569196144266121</v>
      </c>
      <c r="H4" s="130">
        <f>IF(SER_hh_emih!H4=0,0,SER_hh_emih!H4/SER_summary!H$26)</f>
        <v>9.822429803922228</v>
      </c>
      <c r="I4" s="130">
        <f>IF(SER_hh_emih!I4=0,0,SER_hh_emih!I4/SER_summary!I$26)</f>
        <v>8.5913547525073248</v>
      </c>
      <c r="J4" s="130">
        <f>IF(SER_hh_emih!J4=0,0,SER_hh_emih!J4/SER_summary!J$26)</f>
        <v>6.2601937428056207</v>
      </c>
      <c r="K4" s="130">
        <f>IF(SER_hh_emih!K4=0,0,SER_hh_emih!K4/SER_summary!K$26)</f>
        <v>7.6629098744454485</v>
      </c>
      <c r="L4" s="130">
        <f>IF(SER_hh_emih!L4=0,0,SER_hh_emih!L4/SER_summary!L$26)</f>
        <v>4.9441261794617706</v>
      </c>
      <c r="M4" s="130">
        <f>IF(SER_hh_emih!M4=0,0,SER_hh_emih!M4/SER_summary!M$26)</f>
        <v>4.0901628695606984</v>
      </c>
      <c r="N4" s="130">
        <f>IF(SER_hh_emih!N4=0,0,SER_hh_emih!N4/SER_summary!N$26)</f>
        <v>3.3393145821889036</v>
      </c>
      <c r="O4" s="130">
        <f>IF(SER_hh_emih!O4=0,0,SER_hh_emih!O4/SER_summary!O$26)</f>
        <v>3.0360341727577929</v>
      </c>
      <c r="P4" s="130">
        <f>IF(SER_hh_emih!P4=0,0,SER_hh_emih!P4/SER_summary!P$26)</f>
        <v>2.8442033059840717</v>
      </c>
      <c r="Q4" s="130">
        <f>IF(SER_hh_emih!Q4=0,0,SER_hh_emih!Q4/SER_summary!Q$26)</f>
        <v>3.2097480994293068</v>
      </c>
      <c r="R4" s="130">
        <f>IF(SER_hh_emih!R4=0,0,SER_hh_emih!R4/SER_summary!R$26)</f>
        <v>2.9289420994286139</v>
      </c>
      <c r="S4" s="130">
        <f>IF(SER_hh_emih!S4=0,0,SER_hh_emih!S4/SER_summary!S$26)</f>
        <v>2.7904401474131588</v>
      </c>
      <c r="T4" s="130">
        <f>IF(SER_hh_emih!T4=0,0,SER_hh_emih!T4/SER_summary!T$26)</f>
        <v>2.8675445649430946</v>
      </c>
      <c r="U4" s="130">
        <f>IF(SER_hh_emih!U4=0,0,SER_hh_emih!U4/SER_summary!U$26)</f>
        <v>2.7229128649278249</v>
      </c>
      <c r="V4" s="130">
        <f>IF(SER_hh_emih!V4=0,0,SER_hh_emih!V4/SER_summary!V$26)</f>
        <v>2.0154577913134739</v>
      </c>
      <c r="W4" s="130">
        <f>IF(SER_hh_emih!W4=0,0,SER_hh_emih!W4/SER_summary!W$26)</f>
        <v>2.4256741705785676</v>
      </c>
      <c r="X4" s="130">
        <f>IF(SER_hh_emih!X4=0,0,SER_hh_emih!X4/SER_summary!X$26)</f>
        <v>2.2026507800177453</v>
      </c>
      <c r="Y4" s="130">
        <f>IF(SER_hh_emih!Y4=0,0,SER_hh_emih!Y4/SER_summary!Y$26)</f>
        <v>2.0312609996543682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0</v>
      </c>
      <c r="C5" s="132">
        <f>IF(SER_hh_emih!C5=0,0,SER_hh_emih!C5/SER_summary!C$26)</f>
        <v>0</v>
      </c>
      <c r="D5" s="132">
        <f>IF(SER_hh_emih!D5=0,0,SER_hh_emih!D5/SER_summary!D$26)</f>
        <v>0</v>
      </c>
      <c r="E5" s="132">
        <f>IF(SER_hh_emih!E5=0,0,SER_hh_emih!E5/SER_summary!E$26)</f>
        <v>0</v>
      </c>
      <c r="F5" s="132">
        <f>IF(SER_hh_emih!F5=0,0,SER_hh_emih!F5/SER_summary!F$26)</f>
        <v>0</v>
      </c>
      <c r="G5" s="132">
        <f>IF(SER_hh_emih!G5=0,0,SER_hh_emih!G5/SER_summary!G$26)</f>
        <v>0</v>
      </c>
      <c r="H5" s="132">
        <f>IF(SER_hh_emih!H5=0,0,SER_hh_emih!H5/SER_summary!H$26)</f>
        <v>0</v>
      </c>
      <c r="I5" s="132">
        <f>IF(SER_hh_emih!I5=0,0,SER_hh_emih!I5/SER_summary!I$26)</f>
        <v>0</v>
      </c>
      <c r="J5" s="132">
        <f>IF(SER_hh_emih!J5=0,0,SER_hh_emih!J5/SER_summary!J$26)</f>
        <v>0</v>
      </c>
      <c r="K5" s="132">
        <f>IF(SER_hh_emih!K5=0,0,SER_hh_emih!K5/SER_summary!K$26)</f>
        <v>0</v>
      </c>
      <c r="L5" s="132">
        <f>IF(SER_hh_emih!L5=0,0,SER_hh_emih!L5/SER_summary!L$26)</f>
        <v>0</v>
      </c>
      <c r="M5" s="132">
        <f>IF(SER_hh_emih!M5=0,0,SER_hh_emih!M5/SER_summary!M$26)</f>
        <v>0</v>
      </c>
      <c r="N5" s="132">
        <f>IF(SER_hh_emih!N5=0,0,SER_hh_emih!N5/SER_summary!N$26)</f>
        <v>0</v>
      </c>
      <c r="O5" s="132">
        <f>IF(SER_hh_emih!O5=0,0,SER_hh_emih!O5/SER_summary!O$26)</f>
        <v>0</v>
      </c>
      <c r="P5" s="132">
        <f>IF(SER_hh_emih!P5=0,0,SER_hh_emih!P5/SER_summary!P$26)</f>
        <v>0</v>
      </c>
      <c r="Q5" s="132">
        <f>IF(SER_hh_emih!Q5=0,0,SER_hh_emih!Q5/SER_summary!Q$26)</f>
        <v>0</v>
      </c>
      <c r="R5" s="132">
        <f>IF(SER_hh_emih!R5=0,0,SER_hh_emih!R5/SER_summary!R$26)</f>
        <v>0</v>
      </c>
      <c r="S5" s="132">
        <f>IF(SER_hh_emih!S5=0,0,SER_hh_emih!S5/SER_summary!S$26)</f>
        <v>0</v>
      </c>
      <c r="T5" s="132">
        <f>IF(SER_hh_emih!T5=0,0,SER_hh_emih!T5/SER_summary!T$26)</f>
        <v>0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0</v>
      </c>
      <c r="Y5" s="132">
        <f>IF(SER_hh_emih!Y5=0,0,SER_hh_emih!Y5/SER_summary!Y$26)</f>
        <v>0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10.191919660186731</v>
      </c>
      <c r="C7" s="132">
        <f>IF(SER_hh_emih!C7=0,0,SER_hh_emih!C7/SER_summary!C$26)</f>
        <v>11.563554753000536</v>
      </c>
      <c r="D7" s="132">
        <f>IF(SER_hh_emih!D7=0,0,SER_hh_emih!D7/SER_summary!D$26)</f>
        <v>12.489873792090849</v>
      </c>
      <c r="E7" s="132">
        <f>IF(SER_hh_emih!E7=0,0,SER_hh_emih!E7/SER_summary!E$26)</f>
        <v>14.041029000520819</v>
      </c>
      <c r="F7" s="132">
        <f>IF(SER_hh_emih!F7=0,0,SER_hh_emih!F7/SER_summary!F$26)</f>
        <v>18.795846729612734</v>
      </c>
      <c r="G7" s="132">
        <f>IF(SER_hh_emih!G7=0,0,SER_hh_emih!G7/SER_summary!G$26)</f>
        <v>22.772511103128789</v>
      </c>
      <c r="H7" s="132">
        <f>IF(SER_hh_emih!H7=0,0,SER_hh_emih!H7/SER_summary!H$26)</f>
        <v>23.547941084368411</v>
      </c>
      <c r="I7" s="132">
        <f>IF(SER_hh_emih!I7=0,0,SER_hh_emih!I7/SER_summary!I$26)</f>
        <v>24.065232952387156</v>
      </c>
      <c r="J7" s="132">
        <f>IF(SER_hh_emih!J7=0,0,SER_hh_emih!J7/SER_summary!J$26)</f>
        <v>19.862284524110358</v>
      </c>
      <c r="K7" s="132">
        <f>IF(SER_hh_emih!K7=0,0,SER_hh_emih!K7/SER_summary!K$26)</f>
        <v>29.913091234285918</v>
      </c>
      <c r="L7" s="132">
        <f>IF(SER_hh_emih!L7=0,0,SER_hh_emih!L7/SER_summary!L$26)</f>
        <v>23.136200967223576</v>
      </c>
      <c r="M7" s="132">
        <f>IF(SER_hh_emih!M7=0,0,SER_hh_emih!M7/SER_summary!M$26)</f>
        <v>21.605128343909946</v>
      </c>
      <c r="N7" s="132">
        <f>IF(SER_hh_emih!N7=0,0,SER_hh_emih!N7/SER_summary!N$26)</f>
        <v>21.441102286495095</v>
      </c>
      <c r="O7" s="132">
        <f>IF(SER_hh_emih!O7=0,0,SER_hh_emih!O7/SER_summary!O$26)</f>
        <v>24.122451345739716</v>
      </c>
      <c r="P7" s="132">
        <f>IF(SER_hh_emih!P7=0,0,SER_hh_emih!P7/SER_summary!P$26)</f>
        <v>25.556882234206942</v>
      </c>
      <c r="Q7" s="132">
        <f>IF(SER_hh_emih!Q7=0,0,SER_hh_emih!Q7/SER_summary!Q$26)</f>
        <v>33.037894420856183</v>
      </c>
      <c r="R7" s="132">
        <f>IF(SER_hh_emih!R7=0,0,SER_hh_emih!R7/SER_summary!R$26)</f>
        <v>24.991355092755661</v>
      </c>
      <c r="S7" s="132">
        <f>IF(SER_hh_emih!S7=0,0,SER_hh_emih!S7/SER_summary!S$26)</f>
        <v>23.157409469594462</v>
      </c>
      <c r="T7" s="132">
        <f>IF(SER_hh_emih!T7=0,0,SER_hh_emih!T7/SER_summary!T$26)</f>
        <v>25.060382559811909</v>
      </c>
      <c r="U7" s="132">
        <f>IF(SER_hh_emih!U7=0,0,SER_hh_emih!U7/SER_summary!U$26)</f>
        <v>24.58478071014326</v>
      </c>
      <c r="V7" s="132">
        <f>IF(SER_hh_emih!V7=0,0,SER_hh_emih!V7/SER_summary!V$26)</f>
        <v>22.619863095636436</v>
      </c>
      <c r="W7" s="132">
        <f>IF(SER_hh_emih!W7=0,0,SER_hh_emih!W7/SER_summary!W$26)</f>
        <v>23.930411528745395</v>
      </c>
      <c r="X7" s="132">
        <f>IF(SER_hh_emih!X7=0,0,SER_hh_emih!X7/SER_summary!X$26)</f>
        <v>25.143902795459862</v>
      </c>
      <c r="Y7" s="132">
        <f>IF(SER_hh_emih!Y7=0,0,SER_hh_emih!Y7/SER_summary!Y$26)</f>
        <v>24.832733560560424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3.1093085510268352</v>
      </c>
      <c r="C8" s="132">
        <f>IF(SER_hh_emih!C8=0,0,SER_hh_emih!C8/SER_summary!C$26)</f>
        <v>3.4853233799086021</v>
      </c>
      <c r="D8" s="132">
        <f>IF(SER_hh_emih!D8=0,0,SER_hh_emih!D8/SER_summary!D$26)</f>
        <v>4.1598778745266491</v>
      </c>
      <c r="E8" s="132">
        <f>IF(SER_hh_emih!E8=0,0,SER_hh_emih!E8/SER_summary!E$26)</f>
        <v>4.8688713252578451</v>
      </c>
      <c r="F8" s="132">
        <f>IF(SER_hh_emih!F8=0,0,SER_hh_emih!F8/SER_summary!F$26)</f>
        <v>5.3369978876806252</v>
      </c>
      <c r="G8" s="132">
        <f>IF(SER_hh_emih!G8=0,0,SER_hh_emih!G8/SER_summary!G$26)</f>
        <v>5.5279163725502531</v>
      </c>
      <c r="H8" s="132">
        <f>IF(SER_hh_emih!H8=0,0,SER_hh_emih!H8/SER_summary!H$26)</f>
        <v>6.0207964705619732</v>
      </c>
      <c r="I8" s="132">
        <f>IF(SER_hh_emih!I8=0,0,SER_hh_emih!I8/SER_summary!I$26)</f>
        <v>6.0361201206307014</v>
      </c>
      <c r="J8" s="132">
        <f>IF(SER_hh_emih!J8=0,0,SER_hh_emih!J8/SER_summary!J$26)</f>
        <v>6.1027642951949748</v>
      </c>
      <c r="K8" s="132">
        <f>IF(SER_hh_emih!K8=0,0,SER_hh_emih!K8/SER_summary!K$26)</f>
        <v>5.5656548183843828</v>
      </c>
      <c r="L8" s="132">
        <f>IF(SER_hh_emih!L8=0,0,SER_hh_emih!L8/SER_summary!L$26)</f>
        <v>5.4300351627142733</v>
      </c>
      <c r="M8" s="132">
        <f>IF(SER_hh_emih!M8=0,0,SER_hh_emih!M8/SER_summary!M$26)</f>
        <v>5.5863022854619269</v>
      </c>
      <c r="N8" s="132">
        <f>IF(SER_hh_emih!N8=0,0,SER_hh_emih!N8/SER_summary!N$26)</f>
        <v>5.5192615889186243</v>
      </c>
      <c r="O8" s="132">
        <f>IF(SER_hh_emih!O8=0,0,SER_hh_emih!O8/SER_summary!O$26)</f>
        <v>5.7190701763621501</v>
      </c>
      <c r="P8" s="132">
        <f>IF(SER_hh_emih!P8=0,0,SER_hh_emih!P8/SER_summary!P$26)</f>
        <v>6.2135634950822087</v>
      </c>
      <c r="Q8" s="132">
        <f>IF(SER_hh_emih!Q8=0,0,SER_hh_emih!Q8/SER_summary!Q$26)</f>
        <v>6.392253334519383</v>
      </c>
      <c r="R8" s="132">
        <f>IF(SER_hh_emih!R8=0,0,SER_hh_emih!R8/SER_summary!R$26)</f>
        <v>6.0153771400978142</v>
      </c>
      <c r="S8" s="132">
        <f>IF(SER_hh_emih!S8=0,0,SER_hh_emih!S8/SER_summary!S$26)</f>
        <v>5.8020374275982931</v>
      </c>
      <c r="T8" s="132">
        <f>IF(SER_hh_emih!T8=0,0,SER_hh_emih!T8/SER_summary!T$26)</f>
        <v>5.8252112128600935</v>
      </c>
      <c r="U8" s="132">
        <f>IF(SER_hh_emih!U8=0,0,SER_hh_emih!U8/SER_summary!U$26)</f>
        <v>5.8172601409747164</v>
      </c>
      <c r="V8" s="132">
        <f>IF(SER_hh_emih!V8=0,0,SER_hh_emih!V8/SER_summary!V$26)</f>
        <v>5.406388991150993</v>
      </c>
      <c r="W8" s="132">
        <f>IF(SER_hh_emih!W8=0,0,SER_hh_emih!W8/SER_summary!W$26)</f>
        <v>5.5793497686211726</v>
      </c>
      <c r="X8" s="132">
        <f>IF(SER_hh_emih!X8=0,0,SER_hh_emih!X8/SER_summary!X$26)</f>
        <v>5.7905323601988492</v>
      </c>
      <c r="Y8" s="132">
        <f>IF(SER_hh_emih!Y8=0,0,SER_hh_emih!Y8/SER_summary!Y$26)</f>
        <v>5.8180302412845295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6.4896508231308019</v>
      </c>
      <c r="C9" s="132">
        <f>IF(SER_hh_emih!C9=0,0,SER_hh_emih!C9/SER_summary!C$26)</f>
        <v>7.5662498338988344</v>
      </c>
      <c r="D9" s="132">
        <f>IF(SER_hh_emih!D9=0,0,SER_hh_emih!D9/SER_summary!D$26)</f>
        <v>9.4861166709383582</v>
      </c>
      <c r="E9" s="132">
        <f>IF(SER_hh_emih!E9=0,0,SER_hh_emih!E9/SER_summary!E$26)</f>
        <v>10.241729608156039</v>
      </c>
      <c r="F9" s="132">
        <f>IF(SER_hh_emih!F9=0,0,SER_hh_emih!F9/SER_summary!F$26)</f>
        <v>13.047258930965073</v>
      </c>
      <c r="G9" s="132">
        <f>IF(SER_hh_emih!G9=0,0,SER_hh_emih!G9/SER_summary!G$26)</f>
        <v>13.113072256101614</v>
      </c>
      <c r="H9" s="132">
        <f>IF(SER_hh_emih!H9=0,0,SER_hh_emih!H9/SER_summary!H$26)</f>
        <v>15.258000652470418</v>
      </c>
      <c r="I9" s="132">
        <f>IF(SER_hh_emih!I9=0,0,SER_hh_emih!I9/SER_summary!I$26)</f>
        <v>16.011241642575275</v>
      </c>
      <c r="J9" s="132">
        <f>IF(SER_hh_emih!J9=0,0,SER_hh_emih!J9/SER_summary!J$26)</f>
        <v>16.212161958748549</v>
      </c>
      <c r="K9" s="132">
        <f>IF(SER_hh_emih!K9=0,0,SER_hh_emih!K9/SER_summary!K$26)</f>
        <v>17.539696550156116</v>
      </c>
      <c r="L9" s="132">
        <f>IF(SER_hh_emih!L9=0,0,SER_hh_emih!L9/SER_summary!L$26)</f>
        <v>15.43794651457295</v>
      </c>
      <c r="M9" s="132">
        <f>IF(SER_hh_emih!M9=0,0,SER_hh_emih!M9/SER_summary!M$26)</f>
        <v>17.379959190302973</v>
      </c>
      <c r="N9" s="132">
        <f>IF(SER_hh_emih!N9=0,0,SER_hh_emih!N9/SER_summary!N$26)</f>
        <v>17.921118260183356</v>
      </c>
      <c r="O9" s="132">
        <f>IF(SER_hh_emih!O9=0,0,SER_hh_emih!O9/SER_summary!O$26)</f>
        <v>17.675238396190732</v>
      </c>
      <c r="P9" s="132">
        <f>IF(SER_hh_emih!P9=0,0,SER_hh_emih!P9/SER_summary!P$26)</f>
        <v>18.483517757737577</v>
      </c>
      <c r="Q9" s="132">
        <f>IF(SER_hh_emih!Q9=0,0,SER_hh_emih!Q9/SER_summary!Q$26)</f>
        <v>19.439946927784117</v>
      </c>
      <c r="R9" s="132">
        <f>IF(SER_hh_emih!R9=0,0,SER_hh_emih!R9/SER_summary!R$26)</f>
        <v>19.698257320732449</v>
      </c>
      <c r="S9" s="132">
        <f>IF(SER_hh_emih!S9=0,0,SER_hh_emih!S9/SER_summary!S$26)</f>
        <v>18.959281204378296</v>
      </c>
      <c r="T9" s="132">
        <f>IF(SER_hh_emih!T9=0,0,SER_hh_emih!T9/SER_summary!T$26)</f>
        <v>20.191135131512734</v>
      </c>
      <c r="U9" s="132">
        <f>IF(SER_hh_emih!U9=0,0,SER_hh_emih!U9/SER_summary!U$26)</f>
        <v>18.990582101618116</v>
      </c>
      <c r="V9" s="132">
        <f>IF(SER_hh_emih!V9=0,0,SER_hh_emih!V9/SER_summary!V$26)</f>
        <v>14.328661859598609</v>
      </c>
      <c r="W9" s="132">
        <f>IF(SER_hh_emih!W9=0,0,SER_hh_emih!W9/SER_summary!W$26)</f>
        <v>20.334871167016072</v>
      </c>
      <c r="X9" s="132">
        <f>IF(SER_hh_emih!X9=0,0,SER_hh_emih!X9/SER_summary!X$26)</f>
        <v>19.303280598920278</v>
      </c>
      <c r="Y9" s="132">
        <f>IF(SER_hh_emih!Y9=0,0,SER_hh_emih!Y9/SER_summary!Y$26)</f>
        <v>19.896219283071673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1.0465759980085362E-2</v>
      </c>
      <c r="C16" s="130">
        <f>IF(SER_hh_emih!C16=0,0,SER_hh_emih!C16/SER_summary!C$26)</f>
        <v>1.0622054813876312E-2</v>
      </c>
      <c r="D16" s="130">
        <f>IF(SER_hh_emih!D16=0,0,SER_hh_emih!D16/SER_summary!D$26)</f>
        <v>8.6730025045010841E-3</v>
      </c>
      <c r="E16" s="130">
        <f>IF(SER_hh_emih!E16=0,0,SER_hh_emih!E16/SER_summary!E$26)</f>
        <v>1.1271760544858112E-2</v>
      </c>
      <c r="F16" s="130">
        <f>IF(SER_hh_emih!F16=0,0,SER_hh_emih!F16/SER_summary!F$26)</f>
        <v>1.0654393052461401E-2</v>
      </c>
      <c r="G16" s="130">
        <f>IF(SER_hh_emih!G16=0,0,SER_hh_emih!G16/SER_summary!G$26)</f>
        <v>1.1759171150678252E-2</v>
      </c>
      <c r="H16" s="130">
        <f>IF(SER_hh_emih!H16=0,0,SER_hh_emih!H16/SER_summary!H$26)</f>
        <v>1.4655887756393378E-2</v>
      </c>
      <c r="I16" s="130">
        <f>IF(SER_hh_emih!I16=0,0,SER_hh_emih!I16/SER_summary!I$26)</f>
        <v>1.1779816321194621E-2</v>
      </c>
      <c r="J16" s="130">
        <f>IF(SER_hh_emih!J16=0,0,SER_hh_emih!J16/SER_summary!J$26)</f>
        <v>1.2968944473626499E-2</v>
      </c>
      <c r="K16" s="130">
        <f>IF(SER_hh_emih!K16=0,0,SER_hh_emih!K16/SER_summary!K$26)</f>
        <v>1.8907921163244416E-2</v>
      </c>
      <c r="L16" s="130">
        <f>IF(SER_hh_emih!L16=0,0,SER_hh_emih!L16/SER_summary!L$26)</f>
        <v>2.6481839324580172E-2</v>
      </c>
      <c r="M16" s="130">
        <f>IF(SER_hh_emih!M16=0,0,SER_hh_emih!M16/SER_summary!M$26)</f>
        <v>1.9900700077796197E-2</v>
      </c>
      <c r="N16" s="130">
        <f>IF(SER_hh_emih!N16=0,0,SER_hh_emih!N16/SER_summary!N$26)</f>
        <v>2.2032752137715664E-2</v>
      </c>
      <c r="O16" s="130">
        <f>IF(SER_hh_emih!O16=0,0,SER_hh_emih!O16/SER_summary!O$26)</f>
        <v>3.20306926845845E-2</v>
      </c>
      <c r="P16" s="130">
        <f>IF(SER_hh_emih!P16=0,0,SER_hh_emih!P16/SER_summary!P$26)</f>
        <v>2.3875215467068212E-2</v>
      </c>
      <c r="Q16" s="130">
        <f>IF(SER_hh_emih!Q16=0,0,SER_hh_emih!Q16/SER_summary!Q$26)</f>
        <v>3.2456261708550552E-2</v>
      </c>
      <c r="R16" s="130">
        <f>IF(SER_hh_emih!R16=0,0,SER_hh_emih!R16/SER_summary!R$26)</f>
        <v>5.798040640668848E-2</v>
      </c>
      <c r="S16" s="130">
        <f>IF(SER_hh_emih!S16=0,0,SER_hh_emih!S16/SER_summary!S$26)</f>
        <v>6.0852286659797541E-2</v>
      </c>
      <c r="T16" s="130">
        <f>IF(SER_hh_emih!T16=0,0,SER_hh_emih!T16/SER_summary!T$26)</f>
        <v>5.6723750101015109E-2</v>
      </c>
      <c r="U16" s="130">
        <f>IF(SER_hh_emih!U16=0,0,SER_hh_emih!U16/SER_summary!U$26)</f>
        <v>4.954517650307972E-2</v>
      </c>
      <c r="V16" s="130">
        <f>IF(SER_hh_emih!V16=0,0,SER_hh_emih!V16/SER_summary!V$26)</f>
        <v>7.04249361679853E-2</v>
      </c>
      <c r="W16" s="130">
        <f>IF(SER_hh_emih!W16=0,0,SER_hh_emih!W16/SER_summary!W$26)</f>
        <v>4.6018798288809441E-2</v>
      </c>
      <c r="X16" s="130">
        <f>IF(SER_hh_emih!X16=0,0,SER_hh_emih!X16/SER_summary!X$26)</f>
        <v>8.6189046301913805E-2</v>
      </c>
      <c r="Y16" s="130">
        <f>IF(SER_hh_emih!Y16=0,0,SER_hh_emih!Y16/SER_summary!Y$26)</f>
        <v>7.1387527825523114E-2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4.6196463544331907</v>
      </c>
      <c r="C17" s="132">
        <f>IF(SER_hh_emih!C17=0,0,SER_hh_emih!C17/SER_summary!C$26)</f>
        <v>4.7342038555231465</v>
      </c>
      <c r="D17" s="132">
        <f>IF(SER_hh_emih!D17=0,0,SER_hh_emih!D17/SER_summary!D$26)</f>
        <v>4.2286669521266242</v>
      </c>
      <c r="E17" s="132">
        <f>IF(SER_hh_emih!E17=0,0,SER_hh_emih!E17/SER_summary!E$26)</f>
        <v>5.9781885256143017</v>
      </c>
      <c r="F17" s="132">
        <f>IF(SER_hh_emih!F17=0,0,SER_hh_emih!F17/SER_summary!F$26)</f>
        <v>4.8667787756751659</v>
      </c>
      <c r="G17" s="132">
        <f>IF(SER_hh_emih!G17=0,0,SER_hh_emih!G17/SER_summary!G$26)</f>
        <v>5.277711796507881</v>
      </c>
      <c r="H17" s="132">
        <f>IF(SER_hh_emih!H17=0,0,SER_hh_emih!H17/SER_summary!H$26)</f>
        <v>6.2520738674818404</v>
      </c>
      <c r="I17" s="132">
        <f>IF(SER_hh_emih!I17=0,0,SER_hh_emih!I17/SER_summary!I$26)</f>
        <v>3.9541874718383534</v>
      </c>
      <c r="J17" s="132">
        <f>IF(SER_hh_emih!J17=0,0,SER_hh_emih!J17/SER_summary!J$26)</f>
        <v>3.7897634158290399</v>
      </c>
      <c r="K17" s="132">
        <f>IF(SER_hh_emih!K17=0,0,SER_hh_emih!K17/SER_summary!K$26)</f>
        <v>4.5895037478799932</v>
      </c>
      <c r="L17" s="132">
        <f>IF(SER_hh_emih!L17=0,0,SER_hh_emih!L17/SER_summary!L$26)</f>
        <v>6.2930452459788029</v>
      </c>
      <c r="M17" s="132">
        <f>IF(SER_hh_emih!M17=0,0,SER_hh_emih!M17/SER_summary!M$26)</f>
        <v>4.1042238197351963</v>
      </c>
      <c r="N17" s="132">
        <f>IF(SER_hh_emih!N17=0,0,SER_hh_emih!N17/SER_summary!N$26)</f>
        <v>4.2952854857349516</v>
      </c>
      <c r="O17" s="132">
        <f>IF(SER_hh_emih!O17=0,0,SER_hh_emih!O17/SER_summary!O$26)</f>
        <v>5.5100146896272983</v>
      </c>
      <c r="P17" s="132">
        <f>IF(SER_hh_emih!P17=0,0,SER_hh_emih!P17/SER_summary!P$26)</f>
        <v>3.6645044928610555</v>
      </c>
      <c r="Q17" s="132">
        <f>IF(SER_hh_emih!Q17=0,0,SER_hh_emih!Q17/SER_summary!Q$26)</f>
        <v>4.2448078355777747</v>
      </c>
      <c r="R17" s="132">
        <f>IF(SER_hh_emih!R17=0,0,SER_hh_emih!R17/SER_summary!R$26)</f>
        <v>6.2570995147595587</v>
      </c>
      <c r="S17" s="132">
        <f>IF(SER_hh_emih!S17=0,0,SER_hh_emih!S17/SER_summary!S$26)</f>
        <v>5.8727424551288623</v>
      </c>
      <c r="T17" s="132">
        <f>IF(SER_hh_emih!T17=0,0,SER_hh_emih!T17/SER_summary!T$26)</f>
        <v>4.9319271223028762</v>
      </c>
      <c r="U17" s="132">
        <f>IF(SER_hh_emih!U17=0,0,SER_hh_emih!U17/SER_summary!U$26)</f>
        <v>3.8665213324493637</v>
      </c>
      <c r="V17" s="132">
        <f>IF(SER_hh_emih!V17=0,0,SER_hh_emih!V17/SER_summary!V$26)</f>
        <v>5.2895274932582801</v>
      </c>
      <c r="W17" s="132">
        <f>IF(SER_hh_emih!W17=0,0,SER_hh_emih!W17/SER_summary!W$26)</f>
        <v>3.4274375479517736</v>
      </c>
      <c r="X17" s="132">
        <f>IF(SER_hh_emih!X17=0,0,SER_hh_emih!X17/SER_summary!X$26)</f>
        <v>6.2215132674508249</v>
      </c>
      <c r="Y17" s="132">
        <f>IF(SER_hh_emih!Y17=0,0,SER_hh_emih!Y17/SER_summary!Y$26)</f>
        <v>5.0213530271136344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1.9488512311862869</v>
      </c>
      <c r="C19" s="130">
        <f>IF(SER_hh_emih!C19=0,0,SER_hh_emih!C19/SER_summary!C$26)</f>
        <v>1.8210260629438551</v>
      </c>
      <c r="D19" s="130">
        <f>IF(SER_hh_emih!D19=0,0,SER_hh_emih!D19/SER_summary!D$26)</f>
        <v>1.7055372629348993</v>
      </c>
      <c r="E19" s="130">
        <f>IF(SER_hh_emih!E19=0,0,SER_hh_emih!E19/SER_summary!E$26)</f>
        <v>1.6303871576394187</v>
      </c>
      <c r="F19" s="130">
        <f>IF(SER_hh_emih!F19=0,0,SER_hh_emih!F19/SER_summary!F$26)</f>
        <v>1.5705714988308188</v>
      </c>
      <c r="G19" s="130">
        <f>IF(SER_hh_emih!G19=0,0,SER_hh_emih!G19/SER_summary!G$26)</f>
        <v>1.5289581467241722</v>
      </c>
      <c r="H19" s="130">
        <f>IF(SER_hh_emih!H19=0,0,SER_hh_emih!H19/SER_summary!H$26)</f>
        <v>1.4907037317976648</v>
      </c>
      <c r="I19" s="130">
        <f>IF(SER_hh_emih!I19=0,0,SER_hh_emih!I19/SER_summary!I$26)</f>
        <v>1.4605245355993821</v>
      </c>
      <c r="J19" s="130">
        <f>IF(SER_hh_emih!J19=0,0,SER_hh_emih!J19/SER_summary!J$26)</f>
        <v>1.4200082732038855</v>
      </c>
      <c r="K19" s="130">
        <f>IF(SER_hh_emih!K19=0,0,SER_hh_emih!K19/SER_summary!K$26)</f>
        <v>1.3916240632635763</v>
      </c>
      <c r="L19" s="130">
        <f>IF(SER_hh_emih!L19=0,0,SER_hh_emih!L19/SER_summary!L$26)</f>
        <v>1.4043395990459049</v>
      </c>
      <c r="M19" s="130">
        <f>IF(SER_hh_emih!M19=0,0,SER_hh_emih!M19/SER_summary!M$26)</f>
        <v>1.4279565255916491</v>
      </c>
      <c r="N19" s="130">
        <f>IF(SER_hh_emih!N19=0,0,SER_hh_emih!N19/SER_summary!N$26)</f>
        <v>1.4293098528255683</v>
      </c>
      <c r="O19" s="130">
        <f>IF(SER_hh_emih!O19=0,0,SER_hh_emih!O19/SER_summary!O$26)</f>
        <v>1.4247900638401763</v>
      </c>
      <c r="P19" s="130">
        <f>IF(SER_hh_emih!P19=0,0,SER_hh_emih!P19/SER_summary!P$26)</f>
        <v>1.4201759335961042</v>
      </c>
      <c r="Q19" s="130">
        <f>IF(SER_hh_emih!Q19=0,0,SER_hh_emih!Q19/SER_summary!Q$26)</f>
        <v>1.4269232354267163</v>
      </c>
      <c r="R19" s="130">
        <f>IF(SER_hh_emih!R19=0,0,SER_hh_emih!R19/SER_summary!R$26)</f>
        <v>1.4417055209175993</v>
      </c>
      <c r="S19" s="130">
        <f>IF(SER_hh_emih!S19=0,0,SER_hh_emih!S19/SER_summary!S$26)</f>
        <v>1.4652287689979733</v>
      </c>
      <c r="T19" s="130">
        <f>IF(SER_hh_emih!T19=0,0,SER_hh_emih!T19/SER_summary!T$26)</f>
        <v>1.471813445539421</v>
      </c>
      <c r="U19" s="130">
        <f>IF(SER_hh_emih!U19=0,0,SER_hh_emih!U19/SER_summary!U$26)</f>
        <v>1.4737844664755302</v>
      </c>
      <c r="V19" s="130">
        <f>IF(SER_hh_emih!V19=0,0,SER_hh_emih!V19/SER_summary!V$26)</f>
        <v>1.3097936044955236</v>
      </c>
      <c r="W19" s="130">
        <f>IF(SER_hh_emih!W19=0,0,SER_hh_emih!W19/SER_summary!W$26)</f>
        <v>1.3853952063678991</v>
      </c>
      <c r="X19" s="130">
        <f>IF(SER_hh_emih!X19=0,0,SER_hh_emih!X19/SER_summary!X$26)</f>
        <v>1.413076603548763</v>
      </c>
      <c r="Y19" s="130">
        <f>IF(SER_hh_emih!Y19=0,0,SER_hh_emih!Y19/SER_summary!Y$26)</f>
        <v>1.3893781472856845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4.1071053366169181</v>
      </c>
      <c r="C21" s="132">
        <f>IF(SER_hh_emih!C21=0,0,SER_hh_emih!C21/SER_summary!C$26)</f>
        <v>4.00376130845547</v>
      </c>
      <c r="D21" s="132">
        <f>IF(SER_hh_emih!D21=0,0,SER_hh_emih!D21/SER_summary!D$26)</f>
        <v>4.0468350870154906</v>
      </c>
      <c r="E21" s="132">
        <f>IF(SER_hh_emih!E21=0,0,SER_hh_emih!E21/SER_summary!E$26)</f>
        <v>4.0675364905357148</v>
      </c>
      <c r="F21" s="132">
        <f>IF(SER_hh_emih!F21=0,0,SER_hh_emih!F21/SER_summary!F$26)</f>
        <v>4.1326195179105865</v>
      </c>
      <c r="G21" s="132">
        <f>IF(SER_hh_emih!G21=0,0,SER_hh_emih!G21/SER_summary!G$26)</f>
        <v>4.1232583723986824</v>
      </c>
      <c r="H21" s="132">
        <f>IF(SER_hh_emih!H21=0,0,SER_hh_emih!H21/SER_summary!H$26)</f>
        <v>4.0767500431318231</v>
      </c>
      <c r="I21" s="132">
        <f>IF(SER_hh_emih!I21=0,0,SER_hh_emih!I21/SER_summary!I$26)</f>
        <v>4.1386172736981708</v>
      </c>
      <c r="J21" s="132">
        <f>IF(SER_hh_emih!J21=0,0,SER_hh_emih!J21/SER_summary!J$26)</f>
        <v>4.1152190910043993</v>
      </c>
      <c r="K21" s="132">
        <f>IF(SER_hh_emih!K21=0,0,SER_hh_emih!K21/SER_summary!K$26)</f>
        <v>4.1817864514336369</v>
      </c>
      <c r="L21" s="132">
        <f>IF(SER_hh_emih!L21=0,0,SER_hh_emih!L21/SER_summary!L$26)</f>
        <v>4.0987730675351903</v>
      </c>
      <c r="M21" s="132">
        <f>IF(SER_hh_emih!M21=0,0,SER_hh_emih!M21/SER_summary!M$26)</f>
        <v>4.1626534757162279</v>
      </c>
      <c r="N21" s="132">
        <f>IF(SER_hh_emih!N21=0,0,SER_hh_emih!N21/SER_summary!N$26)</f>
        <v>4.0979097452263717</v>
      </c>
      <c r="O21" s="132">
        <f>IF(SER_hh_emih!O21=0,0,SER_hh_emih!O21/SER_summary!O$26)</f>
        <v>4.0251153615924116</v>
      </c>
      <c r="P21" s="132">
        <f>IF(SER_hh_emih!P21=0,0,SER_hh_emih!P21/SER_summary!P$26)</f>
        <v>4.0214838187668889</v>
      </c>
      <c r="Q21" s="132">
        <f>IF(SER_hh_emih!Q21=0,0,SER_hh_emih!Q21/SER_summary!Q$26)</f>
        <v>4.0236900447339856</v>
      </c>
      <c r="R21" s="132">
        <f>IF(SER_hh_emih!R21=0,0,SER_hh_emih!R21/SER_summary!R$26)</f>
        <v>3.9718976509502952</v>
      </c>
      <c r="S21" s="132">
        <f>IF(SER_hh_emih!S21=0,0,SER_hh_emih!S21/SER_summary!S$26)</f>
        <v>3.8377227607109718</v>
      </c>
      <c r="T21" s="132">
        <f>IF(SER_hh_emih!T21=0,0,SER_hh_emih!T21/SER_summary!T$26)</f>
        <v>3.651202334711054</v>
      </c>
      <c r="U21" s="132">
        <f>IF(SER_hh_emih!U21=0,0,SER_hh_emih!U21/SER_summary!U$26)</f>
        <v>3.5503646809373883</v>
      </c>
      <c r="V21" s="132">
        <f>IF(SER_hh_emih!V21=0,0,SER_hh_emih!V21/SER_summary!V$26)</f>
        <v>3.3524601472663376</v>
      </c>
      <c r="W21" s="132">
        <f>IF(SER_hh_emih!W21=0,0,SER_hh_emih!W21/SER_summary!W$26)</f>
        <v>3.1202106219833077</v>
      </c>
      <c r="X21" s="132">
        <f>IF(SER_hh_emih!X21=0,0,SER_hh_emih!X21/SER_summary!X$26)</f>
        <v>3.344713548495351</v>
      </c>
      <c r="Y21" s="132">
        <f>IF(SER_hh_emih!Y21=0,0,SER_hh_emih!Y21/SER_summary!Y$26)</f>
        <v>3.1710060518338219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5.0542339053093741</v>
      </c>
      <c r="C22" s="132">
        <f>IF(SER_hh_emih!C22=0,0,SER_hh_emih!C22/SER_summary!C$26)</f>
        <v>5.0482674260129441</v>
      </c>
      <c r="D22" s="132">
        <f>IF(SER_hh_emih!D22=0,0,SER_hh_emih!D22/SER_summary!D$26)</f>
        <v>5.04565679132262</v>
      </c>
      <c r="E22" s="132">
        <f>IF(SER_hh_emih!E22=0,0,SER_hh_emih!E22/SER_summary!E$26)</f>
        <v>5.1000981243417636</v>
      </c>
      <c r="F22" s="132">
        <f>IF(SER_hh_emih!F22=0,0,SER_hh_emih!F22/SER_summary!F$26)</f>
        <v>5.1643519545642471</v>
      </c>
      <c r="G22" s="132">
        <f>IF(SER_hh_emih!G22=0,0,SER_hh_emih!G22/SER_summary!G$26)</f>
        <v>5.2051517795919136</v>
      </c>
      <c r="H22" s="132">
        <f>IF(SER_hh_emih!H22=0,0,SER_hh_emih!H22/SER_summary!H$26)</f>
        <v>5.2279465212705931</v>
      </c>
      <c r="I22" s="132">
        <f>IF(SER_hh_emih!I22=0,0,SER_hh_emih!I22/SER_summary!I$26)</f>
        <v>5.1732957624896736</v>
      </c>
      <c r="J22" s="132">
        <f>IF(SER_hh_emih!J22=0,0,SER_hh_emih!J22/SER_summary!J$26)</f>
        <v>5.0941815829565886</v>
      </c>
      <c r="K22" s="132">
        <f>IF(SER_hh_emih!K22=0,0,SER_hh_emih!K22/SER_summary!K$26)</f>
        <v>5.0392759968719814</v>
      </c>
      <c r="L22" s="132">
        <f>IF(SER_hh_emih!L22=0,0,SER_hh_emih!L22/SER_summary!L$26)</f>
        <v>5.1127971246454882</v>
      </c>
      <c r="M22" s="132">
        <f>IF(SER_hh_emih!M22=0,0,SER_hh_emih!M22/SER_summary!M$26)</f>
        <v>5.1548939131875304</v>
      </c>
      <c r="N22" s="132">
        <f>IF(SER_hh_emih!N22=0,0,SER_hh_emih!N22/SER_summary!N$26)</f>
        <v>5.0270606366565547</v>
      </c>
      <c r="O22" s="132">
        <f>IF(SER_hh_emih!O22=0,0,SER_hh_emih!O22/SER_summary!O$26)</f>
        <v>4.9080569494625417</v>
      </c>
      <c r="P22" s="132">
        <f>IF(SER_hh_emih!P22=0,0,SER_hh_emih!P22/SER_summary!P$26)</f>
        <v>4.8908353588065214</v>
      </c>
      <c r="Q22" s="132">
        <f>IF(SER_hh_emih!Q22=0,0,SER_hh_emih!Q22/SER_summary!Q$26)</f>
        <v>4.8535304241482544</v>
      </c>
      <c r="R22" s="132">
        <f>IF(SER_hh_emih!R22=0,0,SER_hh_emih!R22/SER_summary!R$26)</f>
        <v>4.7318934048647323</v>
      </c>
      <c r="S22" s="132">
        <f>IF(SER_hh_emih!S22=0,0,SER_hh_emih!S22/SER_summary!S$26)</f>
        <v>4.6412617518116024</v>
      </c>
      <c r="T22" s="132">
        <f>IF(SER_hh_emih!T22=0,0,SER_hh_emih!T22/SER_summary!T$26)</f>
        <v>4.4540306301980008</v>
      </c>
      <c r="U22" s="132">
        <f>IF(SER_hh_emih!U22=0,0,SER_hh_emih!U22/SER_summary!U$26)</f>
        <v>4.2349557143530809</v>
      </c>
      <c r="V22" s="132">
        <f>IF(SER_hh_emih!V22=0,0,SER_hh_emih!V22/SER_summary!V$26)</f>
        <v>3.7264105658140463</v>
      </c>
      <c r="W22" s="132">
        <f>IF(SER_hh_emih!W22=0,0,SER_hh_emih!W22/SER_summary!W$26)</f>
        <v>3.8488000512561897</v>
      </c>
      <c r="X22" s="132">
        <f>IF(SER_hh_emih!X22=0,0,SER_hh_emih!X22/SER_summary!X$26)</f>
        <v>3.934837541406468</v>
      </c>
      <c r="Y22" s="132">
        <f>IF(SER_hh_emih!Y22=0,0,SER_hh_emih!Y22/SER_summary!Y$26)</f>
        <v>3.8486923661124051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3.4400765063587975</v>
      </c>
      <c r="C23" s="132">
        <f>IF(SER_hh_emih!C23=0,0,SER_hh_emih!C23/SER_summary!C$26)</f>
        <v>3.7223081565122103</v>
      </c>
      <c r="D23" s="132">
        <f>IF(SER_hh_emih!D23=0,0,SER_hh_emih!D23/SER_summary!D$26)</f>
        <v>3.7431325122858055</v>
      </c>
      <c r="E23" s="132">
        <f>IF(SER_hh_emih!E23=0,0,SER_hh_emih!E23/SER_summary!E$26)</f>
        <v>3.6705154782232454</v>
      </c>
      <c r="F23" s="132">
        <f>IF(SER_hh_emih!F23=0,0,SER_hh_emih!F23/SER_summary!F$26)</f>
        <v>3.6194938432394941</v>
      </c>
      <c r="G23" s="132">
        <f>IF(SER_hh_emih!G23=0,0,SER_hh_emih!G23/SER_summary!G$26)</f>
        <v>3.5916150712793833</v>
      </c>
      <c r="H23" s="132">
        <f>IF(SER_hh_emih!H23=0,0,SER_hh_emih!H23/SER_summary!H$26)</f>
        <v>3.5298697002191228</v>
      </c>
      <c r="I23" s="132">
        <f>IF(SER_hh_emih!I23=0,0,SER_hh_emih!I23/SER_summary!I$26)</f>
        <v>3.5978754489941842</v>
      </c>
      <c r="J23" s="132">
        <f>IF(SER_hh_emih!J23=0,0,SER_hh_emih!J23/SER_summary!J$26)</f>
        <v>3.5447581490254061</v>
      </c>
      <c r="K23" s="132">
        <f>IF(SER_hh_emih!K23=0,0,SER_hh_emih!K23/SER_summary!K$26)</f>
        <v>3.4839986736882897</v>
      </c>
      <c r="L23" s="132">
        <f>IF(SER_hh_emih!L23=0,0,SER_hh_emih!L23/SER_summary!L$26)</f>
        <v>3.5020595585199783</v>
      </c>
      <c r="M23" s="132">
        <f>IF(SER_hh_emih!M23=0,0,SER_hh_emih!M23/SER_summary!M$26)</f>
        <v>3.5177916068730068</v>
      </c>
      <c r="N23" s="132">
        <f>IF(SER_hh_emih!N23=0,0,SER_hh_emih!N23/SER_summary!N$26)</f>
        <v>3.4701572426915059</v>
      </c>
      <c r="O23" s="132">
        <f>IF(SER_hh_emih!O23=0,0,SER_hh_emih!O23/SER_summary!O$26)</f>
        <v>3.4328341000349232</v>
      </c>
      <c r="P23" s="132">
        <f>IF(SER_hh_emih!P23=0,0,SER_hh_emih!P23/SER_summary!P$26)</f>
        <v>3.3356010208357025</v>
      </c>
      <c r="Q23" s="132">
        <f>IF(SER_hh_emih!Q23=0,0,SER_hh_emih!Q23/SER_summary!Q$26)</f>
        <v>3.2698618292785278</v>
      </c>
      <c r="R23" s="132">
        <f>IF(SER_hh_emih!R23=0,0,SER_hh_emih!R23/SER_summary!R$26)</f>
        <v>3.254657411131423</v>
      </c>
      <c r="S23" s="132">
        <f>IF(SER_hh_emih!S23=0,0,SER_hh_emih!S23/SER_summary!S$26)</f>
        <v>3.1878388712962979</v>
      </c>
      <c r="T23" s="132">
        <f>IF(SER_hh_emih!T23=0,0,SER_hh_emih!T23/SER_summary!T$26)</f>
        <v>3.0989985126944579</v>
      </c>
      <c r="U23" s="132">
        <f>IF(SER_hh_emih!U23=0,0,SER_hh_emih!U23/SER_summary!U$26)</f>
        <v>3.0444545129322709</v>
      </c>
      <c r="V23" s="132">
        <f>IF(SER_hh_emih!V23=0,0,SER_hh_emih!V23/SER_summary!V$26)</f>
        <v>2.4913407615773746</v>
      </c>
      <c r="W23" s="132">
        <f>IF(SER_hh_emih!W23=0,0,SER_hh_emih!W23/SER_summary!W$26)</f>
        <v>2.7269482998694041</v>
      </c>
      <c r="X23" s="132">
        <f>IF(SER_hh_emih!X23=0,0,SER_hh_emih!X23/SER_summary!X$26)</f>
        <v>2.7431714400226745</v>
      </c>
      <c r="Y23" s="132">
        <f>IF(SER_hh_emih!Y23=0,0,SER_hh_emih!Y23/SER_summary!Y$26)</f>
        <v>2.7907223064439806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1.0023155059030904</v>
      </c>
      <c r="C29" s="130">
        <f>IF(SER_hh_emih!C29=0,0,SER_hh_emih!C29/SER_summary!C$26)</f>
        <v>0.77283593084260904</v>
      </c>
      <c r="D29" s="130">
        <f>IF(SER_hh_emih!D29=0,0,SER_hh_emih!D29/SER_summary!D$26)</f>
        <v>1.1510820958015733</v>
      </c>
      <c r="E29" s="130">
        <f>IF(SER_hh_emih!E29=0,0,SER_hh_emih!E29/SER_summary!E$26)</f>
        <v>1.2547555673668387</v>
      </c>
      <c r="F29" s="130">
        <f>IF(SER_hh_emih!F29=0,0,SER_hh_emih!F29/SER_summary!F$26)</f>
        <v>1.4654693434170913</v>
      </c>
      <c r="G29" s="130">
        <f>IF(SER_hh_emih!G29=0,0,SER_hh_emih!G29/SER_summary!G$26)</f>
        <v>2.0501501883716799</v>
      </c>
      <c r="H29" s="130">
        <f>IF(SER_hh_emih!H29=0,0,SER_hh_emih!H29/SER_summary!H$26)</f>
        <v>1.8393220254669604</v>
      </c>
      <c r="I29" s="130">
        <f>IF(SER_hh_emih!I29=0,0,SER_hh_emih!I29/SER_summary!I$26)</f>
        <v>1.9069962706895989</v>
      </c>
      <c r="J29" s="130">
        <f>IF(SER_hh_emih!J29=0,0,SER_hh_emih!J29/SER_summary!J$26)</f>
        <v>2.1042577371344136</v>
      </c>
      <c r="K29" s="130">
        <f>IF(SER_hh_emih!K29=0,0,SER_hh_emih!K29/SER_summary!K$26)</f>
        <v>2.0178543835210205</v>
      </c>
      <c r="L29" s="130">
        <f>IF(SER_hh_emih!L29=0,0,SER_hh_emih!L29/SER_summary!L$26)</f>
        <v>1.1623554881754339</v>
      </c>
      <c r="M29" s="130">
        <f>IF(SER_hh_emih!M29=0,0,SER_hh_emih!M29/SER_summary!M$26)</f>
        <v>1.1665945726954146</v>
      </c>
      <c r="N29" s="130">
        <f>IF(SER_hh_emih!N29=0,0,SER_hh_emih!N29/SER_summary!N$26)</f>
        <v>1.103876244233883</v>
      </c>
      <c r="O29" s="130">
        <f>IF(SER_hh_emih!O29=0,0,SER_hh_emih!O29/SER_summary!O$26)</f>
        <v>1.2619513366689203</v>
      </c>
      <c r="P29" s="130">
        <f>IF(SER_hh_emih!P29=0,0,SER_hh_emih!P29/SER_summary!P$26)</f>
        <v>1.6884562461795729</v>
      </c>
      <c r="Q29" s="130">
        <f>IF(SER_hh_emih!Q29=0,0,SER_hh_emih!Q29/SER_summary!Q$26)</f>
        <v>1.8449828045472436</v>
      </c>
      <c r="R29" s="130">
        <f>IF(SER_hh_emih!R29=0,0,SER_hh_emih!R29/SER_summary!R$26)</f>
        <v>1.7853042571370246</v>
      </c>
      <c r="S29" s="130">
        <f>IF(SER_hh_emih!S29=0,0,SER_hh_emih!S29/SER_summary!S$26)</f>
        <v>1.7964400152673887</v>
      </c>
      <c r="T29" s="130">
        <f>IF(SER_hh_emih!T29=0,0,SER_hh_emih!T29/SER_summary!T$26)</f>
        <v>2.1476284633584521</v>
      </c>
      <c r="U29" s="130">
        <f>IF(SER_hh_emih!U29=0,0,SER_hh_emih!U29/SER_summary!U$26)</f>
        <v>2.1060269190848526</v>
      </c>
      <c r="V29" s="130">
        <f>IF(SER_hh_emih!V29=0,0,SER_hh_emih!V29/SER_summary!V$26)</f>
        <v>1.594044812005659</v>
      </c>
      <c r="W29" s="130">
        <f>IF(SER_hh_emih!W29=0,0,SER_hh_emih!W29/SER_summary!W$26)</f>
        <v>1.4181731178046764</v>
      </c>
      <c r="X29" s="130">
        <f>IF(SER_hh_emih!X29=0,0,SER_hh_emih!X29/SER_summary!X$26)</f>
        <v>1.6470041072567794</v>
      </c>
      <c r="Y29" s="130">
        <f>IF(SER_hh_emih!Y29=0,0,SER_hh_emih!Y29/SER_summary!Y$26)</f>
        <v>1.6714682035673514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4.279319778527876</v>
      </c>
      <c r="C30" s="132">
        <f>IF(SER_hh_emih!C30=0,0,SER_hh_emih!C30/SER_summary!C$26)</f>
        <v>3.0441260451842167</v>
      </c>
      <c r="D30" s="132">
        <f>IF(SER_hh_emih!D30=0,0,SER_hh_emih!D30/SER_summary!D$26)</f>
        <v>4.2783400445314497</v>
      </c>
      <c r="E30" s="132">
        <f>IF(SER_hh_emih!E30=0,0,SER_hh_emih!E30/SER_summary!E$26)</f>
        <v>4.0139333864129227</v>
      </c>
      <c r="F30" s="132">
        <f>IF(SER_hh_emih!F30=0,0,SER_hh_emih!F30/SER_summary!F$26)</f>
        <v>3.9656774037512648</v>
      </c>
      <c r="G30" s="132">
        <f>IF(SER_hh_emih!G30=0,0,SER_hh_emih!G30/SER_summary!G$26)</f>
        <v>5.0007063187669925</v>
      </c>
      <c r="H30" s="132">
        <f>IF(SER_hh_emih!H30=0,0,SER_hh_emih!H30/SER_summary!H$26)</f>
        <v>4.2048251139290906</v>
      </c>
      <c r="I30" s="132">
        <f>IF(SER_hh_emih!I30=0,0,SER_hh_emih!I30/SER_summary!I$26)</f>
        <v>4.2477839160025903</v>
      </c>
      <c r="J30" s="132">
        <f>IF(SER_hh_emih!J30=0,0,SER_hh_emih!J30/SER_summary!J$26)</f>
        <v>4.9896209436462753</v>
      </c>
      <c r="K30" s="132">
        <f>IF(SER_hh_emih!K30=0,0,SER_hh_emih!K30/SER_summary!K$26)</f>
        <v>5.3124727007567758</v>
      </c>
      <c r="L30" s="132">
        <f>IF(SER_hh_emih!L30=0,0,SER_hh_emih!L30/SER_summary!L$26)</f>
        <v>3.0980558532465623</v>
      </c>
      <c r="M30" s="132">
        <f>IF(SER_hh_emih!M30=0,0,SER_hh_emih!M30/SER_summary!M$26)</f>
        <v>3.6926786671595155</v>
      </c>
      <c r="N30" s="132">
        <f>IF(SER_hh_emih!N30=0,0,SER_hh_emih!N30/SER_summary!N$26)</f>
        <v>3.2505914367202857</v>
      </c>
      <c r="O30" s="132">
        <f>IF(SER_hh_emih!O30=0,0,SER_hh_emih!O30/SER_summary!O$26)</f>
        <v>3.2524577320563317</v>
      </c>
      <c r="P30" s="132">
        <f>IF(SER_hh_emih!P30=0,0,SER_hh_emih!P30/SER_summary!P$26)</f>
        <v>4.9541966734275089</v>
      </c>
      <c r="Q30" s="132">
        <f>IF(SER_hh_emih!Q30=0,0,SER_hh_emih!Q30/SER_summary!Q$26)</f>
        <v>4.8462820547933916</v>
      </c>
      <c r="R30" s="132">
        <f>IF(SER_hh_emih!R30=0,0,SER_hh_emih!R30/SER_summary!R$26)</f>
        <v>4.2784982679993337</v>
      </c>
      <c r="S30" s="132">
        <f>IF(SER_hh_emih!S30=0,0,SER_hh_emih!S30/SER_summary!S$26)</f>
        <v>4.1340946005997097</v>
      </c>
      <c r="T30" s="132">
        <f>IF(SER_hh_emih!T30=0,0,SER_hh_emih!T30/SER_summary!T$26)</f>
        <v>5.2486917271652125</v>
      </c>
      <c r="U30" s="132">
        <f>IF(SER_hh_emih!U30=0,0,SER_hh_emih!U30/SER_summary!U$26)</f>
        <v>5.2195348256564076</v>
      </c>
      <c r="V30" s="132">
        <f>IF(SER_hh_emih!V30=0,0,SER_hh_emih!V30/SER_summary!V$26)</f>
        <v>3.8281881811539091</v>
      </c>
      <c r="W30" s="132">
        <f>IF(SER_hh_emih!W30=0,0,SER_hh_emih!W30/SER_summary!W$26)</f>
        <v>3.6070098884860053</v>
      </c>
      <c r="X30" s="132">
        <f>IF(SER_hh_emih!X30=0,0,SER_hh_emih!X30/SER_summary!X$26)</f>
        <v>5.0212667267041313</v>
      </c>
      <c r="Y30" s="132">
        <f>IF(SER_hh_emih!Y30=0,0,SER_hh_emih!Y30/SER_summary!Y$26)</f>
        <v>4.7220074984628706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3.0661830831010746</v>
      </c>
      <c r="C31" s="132">
        <f>IF(SER_hh_emih!C31=0,0,SER_hh_emih!C31/SER_summary!C$26)</f>
        <v>3.3641512046137585</v>
      </c>
      <c r="D31" s="132">
        <f>IF(SER_hh_emih!D31=0,0,SER_hh_emih!D31/SER_summary!D$26)</f>
        <v>3.6184804525075678</v>
      </c>
      <c r="E31" s="132">
        <f>IF(SER_hh_emih!E31=0,0,SER_hh_emih!E31/SER_summary!E$26)</f>
        <v>3.5842490560773776</v>
      </c>
      <c r="F31" s="132">
        <f>IF(SER_hh_emih!F31=0,0,SER_hh_emih!F31/SER_summary!F$26)</f>
        <v>3.7924128018156931</v>
      </c>
      <c r="G31" s="132">
        <f>IF(SER_hh_emih!G31=0,0,SER_hh_emih!G31/SER_summary!G$26)</f>
        <v>3.8504181582749983</v>
      </c>
      <c r="H31" s="132">
        <f>IF(SER_hh_emih!H31=0,0,SER_hh_emih!H31/SER_summary!H$26)</f>
        <v>3.8537928950303737</v>
      </c>
      <c r="I31" s="132">
        <f>IF(SER_hh_emih!I31=0,0,SER_hh_emih!I31/SER_summary!I$26)</f>
        <v>3.8105058478268106</v>
      </c>
      <c r="J31" s="132">
        <f>IF(SER_hh_emih!J31=0,0,SER_hh_emih!J31/SER_summary!J$26)</f>
        <v>3.6675392056851872</v>
      </c>
      <c r="K31" s="132">
        <f>IF(SER_hh_emih!K31=0,0,SER_hh_emih!K31/SER_summary!K$26)</f>
        <v>3.6972927463856511</v>
      </c>
      <c r="L31" s="132">
        <f>IF(SER_hh_emih!L31=0,0,SER_hh_emih!L31/SER_summary!L$26)</f>
        <v>4.1095634490577702</v>
      </c>
      <c r="M31" s="132">
        <f>IF(SER_hh_emih!M31=0,0,SER_hh_emih!M31/SER_summary!M$26)</f>
        <v>3.8359377908249481</v>
      </c>
      <c r="N31" s="132">
        <f>IF(SER_hh_emih!N31=0,0,SER_hh_emih!N31/SER_summary!N$26)</f>
        <v>3.5901448591979412</v>
      </c>
      <c r="O31" s="132">
        <f>IF(SER_hh_emih!O31=0,0,SER_hh_emih!O31/SER_summary!O$26)</f>
        <v>3.9665843441515207</v>
      </c>
      <c r="P31" s="132">
        <f>IF(SER_hh_emih!P31=0,0,SER_hh_emih!P31/SER_summary!P$26)</f>
        <v>3.7346273444805913</v>
      </c>
      <c r="Q31" s="132">
        <f>IF(SER_hh_emih!Q31=0,0,SER_hh_emih!Q31/SER_summary!Q$26)</f>
        <v>3.9481504788056507</v>
      </c>
      <c r="R31" s="132">
        <f>IF(SER_hh_emih!R31=0,0,SER_hh_emih!R31/SER_summary!R$26)</f>
        <v>4.0082004247614833</v>
      </c>
      <c r="S31" s="132">
        <f>IF(SER_hh_emih!S31=0,0,SER_hh_emih!S31/SER_summary!S$26)</f>
        <v>4.0052315045987061</v>
      </c>
      <c r="T31" s="132">
        <f>IF(SER_hh_emih!T31=0,0,SER_hh_emih!T31/SER_summary!T$26)</f>
        <v>4.0333378543454312</v>
      </c>
      <c r="U31" s="132">
        <f>IF(SER_hh_emih!U31=0,0,SER_hh_emih!U31/SER_summary!U$26)</f>
        <v>4.1750301147933282</v>
      </c>
      <c r="V31" s="132">
        <f>IF(SER_hh_emih!V31=0,0,SER_hh_emih!V31/SER_summary!V$26)</f>
        <v>3.9725922770257385</v>
      </c>
      <c r="W31" s="132">
        <f>IF(SER_hh_emih!W31=0,0,SER_hh_emih!W31/SER_summary!W$26)</f>
        <v>3.9143301570831848</v>
      </c>
      <c r="X31" s="132">
        <f>IF(SER_hh_emih!X31=0,0,SER_hh_emih!X31/SER_summary!X$26)</f>
        <v>3.896788526554301</v>
      </c>
      <c r="Y31" s="132">
        <f>IF(SER_hh_emih!Y31=0,0,SER_hh_emih!Y31/SER_summary!Y$26)</f>
        <v>4.1196155291031813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6276.7996633431821</v>
      </c>
      <c r="D3" s="124">
        <f t="shared" si="0"/>
        <v>3164.2164840515688</v>
      </c>
      <c r="E3" s="124">
        <f t="shared" si="0"/>
        <v>2331.9090890356783</v>
      </c>
      <c r="F3" s="124">
        <f t="shared" si="0"/>
        <v>3630.7162030680443</v>
      </c>
      <c r="G3" s="124">
        <f t="shared" si="0"/>
        <v>4081.9317919164655</v>
      </c>
      <c r="H3" s="124">
        <f t="shared" si="0"/>
        <v>4954.6089063236968</v>
      </c>
      <c r="I3" s="124">
        <f t="shared" si="0"/>
        <v>4368.3202799337323</v>
      </c>
      <c r="J3" s="124">
        <f t="shared" si="0"/>
        <v>2821.4306646964042</v>
      </c>
      <c r="K3" s="124">
        <f t="shared" si="0"/>
        <v>1602.8039220361231</v>
      </c>
      <c r="L3" s="124">
        <f t="shared" si="0"/>
        <v>1502.7436006328114</v>
      </c>
      <c r="M3" s="124">
        <f t="shared" si="0"/>
        <v>1520.759073368703</v>
      </c>
      <c r="N3" s="124">
        <f t="shared" si="0"/>
        <v>979.78119464667452</v>
      </c>
      <c r="O3" s="124">
        <f t="shared" si="0"/>
        <v>1608.9445874043599</v>
      </c>
      <c r="P3" s="124">
        <f t="shared" si="0"/>
        <v>2141.1391046948738</v>
      </c>
      <c r="Q3" s="124">
        <f t="shared" si="0"/>
        <v>2042.6874726113992</v>
      </c>
      <c r="R3" s="124">
        <f t="shared" si="0"/>
        <v>2154.2734978864564</v>
      </c>
      <c r="S3" s="124">
        <f t="shared" si="0"/>
        <v>2671.5343763923861</v>
      </c>
      <c r="T3" s="124">
        <f t="shared" si="0"/>
        <v>2566.0981225853502</v>
      </c>
      <c r="U3" s="124">
        <f t="shared" si="0"/>
        <v>2440.3574993418479</v>
      </c>
      <c r="V3" s="124">
        <f t="shared" si="0"/>
        <v>2274.173052072626</v>
      </c>
      <c r="W3" s="124">
        <f t="shared" si="0"/>
        <v>2111.7759368610737</v>
      </c>
      <c r="X3" s="124">
        <f t="shared" si="0"/>
        <v>2027.6618244693914</v>
      </c>
      <c r="Y3" s="124">
        <f t="shared" si="0"/>
        <v>1982.0798571261048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6276.7996633431821</v>
      </c>
      <c r="D4" s="139">
        <f t="shared" si="1"/>
        <v>3164.2164840515688</v>
      </c>
      <c r="E4" s="139">
        <f t="shared" si="1"/>
        <v>2331.9090890356783</v>
      </c>
      <c r="F4" s="139">
        <f t="shared" si="1"/>
        <v>3630.7162030680443</v>
      </c>
      <c r="G4" s="139">
        <f t="shared" si="1"/>
        <v>4081.9317919164655</v>
      </c>
      <c r="H4" s="139">
        <f t="shared" si="1"/>
        <v>4954.6089063236968</v>
      </c>
      <c r="I4" s="139">
        <f t="shared" si="1"/>
        <v>4368.3202799337323</v>
      </c>
      <c r="J4" s="139">
        <f t="shared" si="1"/>
        <v>2821.4306646964042</v>
      </c>
      <c r="K4" s="139">
        <f t="shared" si="1"/>
        <v>1602.8039220361231</v>
      </c>
      <c r="L4" s="139">
        <f t="shared" si="1"/>
        <v>1502.7436006328114</v>
      </c>
      <c r="M4" s="139">
        <f t="shared" si="1"/>
        <v>1520.759073368703</v>
      </c>
      <c r="N4" s="139">
        <f t="shared" si="1"/>
        <v>979.78119464667452</v>
      </c>
      <c r="O4" s="139">
        <f t="shared" si="1"/>
        <v>1608.9445874043599</v>
      </c>
      <c r="P4" s="139">
        <f t="shared" si="1"/>
        <v>2141.1391046948738</v>
      </c>
      <c r="Q4" s="139">
        <f t="shared" si="1"/>
        <v>2042.6874726113992</v>
      </c>
      <c r="R4" s="139">
        <f t="shared" ref="R4:W4" si="2">SUM(R5:R14)</f>
        <v>2154.2734978864564</v>
      </c>
      <c r="S4" s="139">
        <f t="shared" si="2"/>
        <v>2671.5343763923861</v>
      </c>
      <c r="T4" s="139">
        <f t="shared" si="2"/>
        <v>2566.0981225853502</v>
      </c>
      <c r="U4" s="139">
        <f t="shared" si="2"/>
        <v>2440.3574993418479</v>
      </c>
      <c r="V4" s="139">
        <f t="shared" si="2"/>
        <v>2274.173052072626</v>
      </c>
      <c r="W4" s="139">
        <f t="shared" si="2"/>
        <v>2111.7759368610737</v>
      </c>
      <c r="X4" s="139">
        <f t="shared" ref="X4:Y4" si="3">SUM(X5:X14)</f>
        <v>2027.6618244693914</v>
      </c>
      <c r="Y4" s="139">
        <f t="shared" si="3"/>
        <v>1982.0798571261048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3459.8299520641335</v>
      </c>
      <c r="D7" s="140">
        <v>457.77057468144613</v>
      </c>
      <c r="E7" s="140">
        <v>262.77150033917832</v>
      </c>
      <c r="F7" s="140">
        <v>818.09546809833728</v>
      </c>
      <c r="G7" s="140">
        <v>414.37356817136657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252.72327130852463</v>
      </c>
      <c r="P7" s="140">
        <v>0</v>
      </c>
      <c r="Q7" s="140">
        <v>0</v>
      </c>
      <c r="R7" s="140">
        <v>70.128136011881011</v>
      </c>
      <c r="S7" s="140">
        <v>284.2810536992078</v>
      </c>
      <c r="T7" s="140">
        <v>72.108640876092551</v>
      </c>
      <c r="U7" s="140">
        <v>263.46955759109426</v>
      </c>
      <c r="V7" s="140">
        <v>0</v>
      </c>
      <c r="W7" s="140">
        <v>0</v>
      </c>
      <c r="X7" s="140">
        <v>0</v>
      </c>
      <c r="Y7" s="140">
        <v>0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10.760528073433292</v>
      </c>
      <c r="D8" s="140">
        <v>8.0040014171112652</v>
      </c>
      <c r="E8" s="140">
        <v>3.4961860073105635</v>
      </c>
      <c r="F8" s="140">
        <v>1.9253112724622428</v>
      </c>
      <c r="G8" s="140">
        <v>2.9511353502906599</v>
      </c>
      <c r="H8" s="140">
        <v>11.178505165013181</v>
      </c>
      <c r="I8" s="140">
        <v>12.745883698130781</v>
      </c>
      <c r="J8" s="140">
        <v>11.992303605406036</v>
      </c>
      <c r="K8" s="140">
        <v>8.5329250182716709</v>
      </c>
      <c r="L8" s="140">
        <v>7.7913372069501614</v>
      </c>
      <c r="M8" s="140">
        <v>9.300303658313922</v>
      </c>
      <c r="N8" s="140">
        <v>5.5633305303838547</v>
      </c>
      <c r="O8" s="140">
        <v>8.7685005575381041</v>
      </c>
      <c r="P8" s="140">
        <v>8.1603975165745357</v>
      </c>
      <c r="Q8" s="140">
        <v>8.3158959487284605</v>
      </c>
      <c r="R8" s="140">
        <v>4.291089416468215</v>
      </c>
      <c r="S8" s="140">
        <v>1.6771265335549432</v>
      </c>
      <c r="T8" s="140">
        <v>1.2295868024357608</v>
      </c>
      <c r="U8" s="140">
        <v>5.273339196890146</v>
      </c>
      <c r="V8" s="140">
        <v>8.805929436934143</v>
      </c>
      <c r="W8" s="140">
        <v>9.8356394650003303</v>
      </c>
      <c r="X8" s="140">
        <v>8.9466051215402036</v>
      </c>
      <c r="Y8" s="140">
        <v>8.1471751410361382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1196.0598494361745</v>
      </c>
      <c r="D9" s="140">
        <v>716.87821592816852</v>
      </c>
      <c r="E9" s="140">
        <v>232.90714690354687</v>
      </c>
      <c r="F9" s="140">
        <v>172.34916582975433</v>
      </c>
      <c r="G9" s="140">
        <v>0</v>
      </c>
      <c r="H9" s="140">
        <v>356.53974074173976</v>
      </c>
      <c r="I9" s="140">
        <v>432.01686211733539</v>
      </c>
      <c r="J9" s="140">
        <v>375.16352031050059</v>
      </c>
      <c r="K9" s="140">
        <v>240.67290386637961</v>
      </c>
      <c r="L9" s="140">
        <v>135.64239888889981</v>
      </c>
      <c r="M9" s="140">
        <v>167.06795389122519</v>
      </c>
      <c r="N9" s="140">
        <v>52.03689124068385</v>
      </c>
      <c r="O9" s="140">
        <v>55.83330447004554</v>
      </c>
      <c r="P9" s="140">
        <v>0</v>
      </c>
      <c r="Q9" s="140">
        <v>351.23081861597456</v>
      </c>
      <c r="R9" s="140">
        <v>515.44007404334093</v>
      </c>
      <c r="S9" s="140">
        <v>410.44098658046755</v>
      </c>
      <c r="T9" s="140">
        <v>142.3286880835974</v>
      </c>
      <c r="U9" s="140">
        <v>0</v>
      </c>
      <c r="V9" s="140">
        <v>124.51912687374227</v>
      </c>
      <c r="W9" s="140">
        <v>85.416585302352516</v>
      </c>
      <c r="X9" s="140">
        <v>147.54295228592014</v>
      </c>
      <c r="Y9" s="140">
        <v>85.388204554803551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115.59379733498757</v>
      </c>
      <c r="N10" s="140">
        <v>17.457960383983895</v>
      </c>
      <c r="O10" s="140">
        <v>0</v>
      </c>
      <c r="P10" s="140">
        <v>0</v>
      </c>
      <c r="Q10" s="140">
        <v>0</v>
      </c>
      <c r="R10" s="140">
        <v>7.9978663079377252</v>
      </c>
      <c r="S10" s="140">
        <v>10.623947033913581</v>
      </c>
      <c r="T10" s="140">
        <v>0</v>
      </c>
      <c r="U10" s="140">
        <v>0</v>
      </c>
      <c r="V10" s="140">
        <v>0</v>
      </c>
      <c r="W10" s="140">
        <v>4.8550784511999074</v>
      </c>
      <c r="X10" s="140">
        <v>8.1882638255804849</v>
      </c>
      <c r="Y10" s="140">
        <v>7.4069481158435808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1.8436175069676639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3.7330796751385393</v>
      </c>
      <c r="K11" s="140">
        <v>5.0399066718975298</v>
      </c>
      <c r="L11" s="140">
        <v>4.8846455945574361</v>
      </c>
      <c r="M11" s="140">
        <v>6.9332667614227477</v>
      </c>
      <c r="N11" s="140">
        <v>2.7207419777120445</v>
      </c>
      <c r="O11" s="140">
        <v>1.4915265169881127</v>
      </c>
      <c r="P11" s="140">
        <v>0</v>
      </c>
      <c r="Q11" s="140">
        <v>0.47167565644513726</v>
      </c>
      <c r="R11" s="140">
        <v>1.4436070862723778</v>
      </c>
      <c r="S11" s="140">
        <v>3.1526563840866557</v>
      </c>
      <c r="T11" s="140">
        <v>1.6536434742210933</v>
      </c>
      <c r="U11" s="140">
        <v>0.6290953545364627</v>
      </c>
      <c r="V11" s="140">
        <v>9.6519185594877183E-2</v>
      </c>
      <c r="W11" s="140">
        <v>2.1111681481674296</v>
      </c>
      <c r="X11" s="140">
        <v>4.2402203220471737</v>
      </c>
      <c r="Y11" s="140">
        <v>4.6963916213818546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284.45051083423022</v>
      </c>
      <c r="D12" s="140">
        <v>156.40481385877808</v>
      </c>
      <c r="E12" s="140">
        <v>40.846035427383917</v>
      </c>
      <c r="F12" s="140">
        <v>15.206088905351224</v>
      </c>
      <c r="G12" s="140">
        <v>0</v>
      </c>
      <c r="H12" s="140">
        <v>0</v>
      </c>
      <c r="I12" s="140">
        <v>0</v>
      </c>
      <c r="J12" s="140">
        <v>25.551920622115226</v>
      </c>
      <c r="K12" s="140">
        <v>28.786061879059151</v>
      </c>
      <c r="L12" s="140">
        <v>56.387033199608219</v>
      </c>
      <c r="M12" s="140">
        <v>56.909879128124629</v>
      </c>
      <c r="N12" s="140">
        <v>52.776245207954041</v>
      </c>
      <c r="O12" s="140">
        <v>40.449961612087314</v>
      </c>
      <c r="P12" s="140">
        <v>0</v>
      </c>
      <c r="Q12" s="140">
        <v>1.604500617196007</v>
      </c>
      <c r="R12" s="140">
        <v>40.53086723663516</v>
      </c>
      <c r="S12" s="140">
        <v>69.866475038122914</v>
      </c>
      <c r="T12" s="140">
        <v>35.122216115721834</v>
      </c>
      <c r="U12" s="140">
        <v>23.048289698246709</v>
      </c>
      <c r="V12" s="140">
        <v>17.565382764961413</v>
      </c>
      <c r="W12" s="140">
        <v>0</v>
      </c>
      <c r="X12" s="140">
        <v>0</v>
      </c>
      <c r="Y12" s="140">
        <v>0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821.53613164174351</v>
      </c>
      <c r="D13" s="140">
        <v>1536.9065027000086</v>
      </c>
      <c r="E13" s="140">
        <v>1478.3080989192363</v>
      </c>
      <c r="F13" s="140">
        <v>1767.0624478726363</v>
      </c>
      <c r="G13" s="140">
        <v>2672.9757273598593</v>
      </c>
      <c r="H13" s="140">
        <v>3665.1832818809621</v>
      </c>
      <c r="I13" s="140">
        <v>3284.722342359451</v>
      </c>
      <c r="J13" s="140">
        <v>2404.9898404832438</v>
      </c>
      <c r="K13" s="140">
        <v>1319.7721246005151</v>
      </c>
      <c r="L13" s="140">
        <v>1298.0381857427958</v>
      </c>
      <c r="M13" s="140">
        <v>1164.9538725946288</v>
      </c>
      <c r="N13" s="140">
        <v>849.2260253059568</v>
      </c>
      <c r="O13" s="140">
        <v>1153.1136330420293</v>
      </c>
      <c r="P13" s="140">
        <v>1546.591386104981</v>
      </c>
      <c r="Q13" s="140">
        <v>1383.4474727216038</v>
      </c>
      <c r="R13" s="140">
        <v>1514.441857783921</v>
      </c>
      <c r="S13" s="140">
        <v>1465.9090024934599</v>
      </c>
      <c r="T13" s="140">
        <v>1503.2157520805727</v>
      </c>
      <c r="U13" s="140">
        <v>1786.1981523498332</v>
      </c>
      <c r="V13" s="140">
        <v>2073.7579331947768</v>
      </c>
      <c r="W13" s="140">
        <v>1578.0669832766846</v>
      </c>
      <c r="X13" s="140">
        <v>1280.9191399635997</v>
      </c>
      <c r="Y13" s="140">
        <v>1219.4797003312779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502.31907378649998</v>
      </c>
      <c r="D14" s="141">
        <v>288.25237546605609</v>
      </c>
      <c r="E14" s="141">
        <v>313.58012143902255</v>
      </c>
      <c r="F14" s="141">
        <v>856.07772108950246</v>
      </c>
      <c r="G14" s="141">
        <v>991.63136103494878</v>
      </c>
      <c r="H14" s="141">
        <v>921.70737853598155</v>
      </c>
      <c r="I14" s="141">
        <v>638.83519175881554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96.564389897147009</v>
      </c>
      <c r="P14" s="141">
        <v>586.38732107331816</v>
      </c>
      <c r="Q14" s="141">
        <v>297.61710905145128</v>
      </c>
      <c r="R14" s="141">
        <v>0</v>
      </c>
      <c r="S14" s="141">
        <v>425.58312862957274</v>
      </c>
      <c r="T14" s="141">
        <v>810.43959515270888</v>
      </c>
      <c r="U14" s="141">
        <v>361.73906515124673</v>
      </c>
      <c r="V14" s="141">
        <v>49.428160616616331</v>
      </c>
      <c r="W14" s="141">
        <v>431.49048221766895</v>
      </c>
      <c r="X14" s="141">
        <v>577.82464295070361</v>
      </c>
      <c r="Y14" s="141">
        <v>656.9614373617618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4952.9444579149385</v>
      </c>
      <c r="D15" s="143">
        <f t="shared" si="4"/>
        <v>1339.057605885504</v>
      </c>
      <c r="E15" s="143">
        <f t="shared" si="4"/>
        <v>540.02086867741957</v>
      </c>
      <c r="F15" s="143">
        <f t="shared" si="4"/>
        <v>1007.5760341059051</v>
      </c>
      <c r="G15" s="143">
        <f t="shared" si="4"/>
        <v>417.32470352165723</v>
      </c>
      <c r="H15" s="143">
        <f t="shared" si="4"/>
        <v>367.71824590675294</v>
      </c>
      <c r="I15" s="143">
        <f t="shared" si="4"/>
        <v>444.76274581546619</v>
      </c>
      <c r="J15" s="143">
        <f t="shared" si="4"/>
        <v>416.4408242131604</v>
      </c>
      <c r="K15" s="143">
        <f t="shared" si="4"/>
        <v>283.03179743560798</v>
      </c>
      <c r="L15" s="143">
        <f t="shared" si="4"/>
        <v>204.70541489001565</v>
      </c>
      <c r="M15" s="143">
        <f t="shared" si="4"/>
        <v>355.80520077407414</v>
      </c>
      <c r="N15" s="143">
        <f t="shared" si="4"/>
        <v>130.5551693407177</v>
      </c>
      <c r="O15" s="143">
        <f t="shared" si="4"/>
        <v>359.26656446518371</v>
      </c>
      <c r="P15" s="143">
        <f t="shared" si="4"/>
        <v>8.1603975165745357</v>
      </c>
      <c r="Q15" s="143">
        <f t="shared" si="4"/>
        <v>361.62289083834412</v>
      </c>
      <c r="R15" s="143">
        <f t="shared" ref="R15:W15" si="5">SUM(R5:R12)</f>
        <v>639.83164010253529</v>
      </c>
      <c r="S15" s="143">
        <f t="shared" si="5"/>
        <v>780.04224526935343</v>
      </c>
      <c r="T15" s="143">
        <f t="shared" si="5"/>
        <v>252.44277535206865</v>
      </c>
      <c r="U15" s="143">
        <f t="shared" si="5"/>
        <v>292.42028184076759</v>
      </c>
      <c r="V15" s="143">
        <f t="shared" si="5"/>
        <v>150.9869582612327</v>
      </c>
      <c r="W15" s="143">
        <f t="shared" si="5"/>
        <v>102.21847136672017</v>
      </c>
      <c r="X15" s="143">
        <f t="shared" ref="X15:Y15" si="6">SUM(X5:X12)</f>
        <v>168.91804155508802</v>
      </c>
      <c r="Y15" s="143">
        <f t="shared" si="6"/>
        <v>105.63871943306512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6276.7996633431831</v>
      </c>
      <c r="D16" s="139">
        <f t="shared" si="7"/>
        <v>3164.2164840515684</v>
      </c>
      <c r="E16" s="139">
        <f t="shared" si="7"/>
        <v>2331.9090890356788</v>
      </c>
      <c r="F16" s="139">
        <f t="shared" si="7"/>
        <v>3630.7162030680433</v>
      </c>
      <c r="G16" s="139">
        <f t="shared" si="7"/>
        <v>4081.931791916465</v>
      </c>
      <c r="H16" s="139">
        <f t="shared" si="7"/>
        <v>4954.6089063236968</v>
      </c>
      <c r="I16" s="139">
        <f t="shared" si="7"/>
        <v>4368.3202799337332</v>
      </c>
      <c r="J16" s="139">
        <f t="shared" si="7"/>
        <v>2821.4306646964042</v>
      </c>
      <c r="K16" s="139">
        <f t="shared" si="7"/>
        <v>1602.8039220361229</v>
      </c>
      <c r="L16" s="139">
        <f t="shared" si="7"/>
        <v>1502.7436006328114</v>
      </c>
      <c r="M16" s="139">
        <f t="shared" si="7"/>
        <v>1520.7590733687027</v>
      </c>
      <c r="N16" s="139">
        <f t="shared" si="7"/>
        <v>979.78119464667452</v>
      </c>
      <c r="O16" s="139">
        <f t="shared" si="7"/>
        <v>1608.9445874043602</v>
      </c>
      <c r="P16" s="139">
        <f t="shared" si="7"/>
        <v>2141.1391046948738</v>
      </c>
      <c r="Q16" s="139">
        <f t="shared" si="7"/>
        <v>2042.687472611399</v>
      </c>
      <c r="R16" s="139">
        <f t="shared" ref="R16:W16" si="8">SUM(R17:R18)</f>
        <v>2154.2734978864564</v>
      </c>
      <c r="S16" s="139">
        <f t="shared" si="8"/>
        <v>2671.5343763923861</v>
      </c>
      <c r="T16" s="139">
        <f t="shared" si="8"/>
        <v>2566.0981225853502</v>
      </c>
      <c r="U16" s="139">
        <f t="shared" si="8"/>
        <v>2440.3574993418474</v>
      </c>
      <c r="V16" s="139">
        <f t="shared" si="8"/>
        <v>2274.173052072626</v>
      </c>
      <c r="W16" s="139">
        <f t="shared" si="8"/>
        <v>2111.7759368610732</v>
      </c>
      <c r="X16" s="139">
        <f t="shared" ref="X16:Y16" si="9">SUM(X17:X18)</f>
        <v>2027.6618244693914</v>
      </c>
      <c r="Y16" s="139">
        <f t="shared" si="9"/>
        <v>1982.0798571261048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13.431933040180409</v>
      </c>
      <c r="D17" s="140">
        <v>3.316654531496849</v>
      </c>
      <c r="E17" s="140">
        <v>2.430926651647189</v>
      </c>
      <c r="F17" s="140">
        <v>17.448569327145872</v>
      </c>
      <c r="G17" s="140">
        <v>10.054678754120369</v>
      </c>
      <c r="H17" s="140">
        <v>14.082559747102485</v>
      </c>
      <c r="I17" s="140">
        <v>23.82174061552379</v>
      </c>
      <c r="J17" s="140">
        <v>13.657490465654977</v>
      </c>
      <c r="K17" s="140">
        <v>14.576937140709141</v>
      </c>
      <c r="L17" s="140">
        <v>5.4740653281224043</v>
      </c>
      <c r="M17" s="140">
        <v>11.411950275748053</v>
      </c>
      <c r="N17" s="140">
        <v>5.174524216671176</v>
      </c>
      <c r="O17" s="140">
        <v>15.135778661523895</v>
      </c>
      <c r="P17" s="140">
        <v>20.759924895632821</v>
      </c>
      <c r="Q17" s="140">
        <v>25.963948042150488</v>
      </c>
      <c r="R17" s="140">
        <v>35.439287660777637</v>
      </c>
      <c r="S17" s="140">
        <v>36.965539408332845</v>
      </c>
      <c r="T17" s="140">
        <v>39.625763723095893</v>
      </c>
      <c r="U17" s="140">
        <v>46.558590494968918</v>
      </c>
      <c r="V17" s="140">
        <v>27.711537311839546</v>
      </c>
      <c r="W17" s="140">
        <v>22.418376178013428</v>
      </c>
      <c r="X17" s="140">
        <v>28.411461259990972</v>
      </c>
      <c r="Y17" s="140">
        <v>30.298689925638506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6263.3677303030026</v>
      </c>
      <c r="D18" s="140">
        <v>3160.8998295200718</v>
      </c>
      <c r="E18" s="140">
        <v>2329.4781623840317</v>
      </c>
      <c r="F18" s="140">
        <v>3613.2676337408975</v>
      </c>
      <c r="G18" s="140">
        <v>4071.8771131623448</v>
      </c>
      <c r="H18" s="140">
        <v>4940.5263465765947</v>
      </c>
      <c r="I18" s="140">
        <v>4344.4985393182096</v>
      </c>
      <c r="J18" s="140">
        <v>2807.7731742307492</v>
      </c>
      <c r="K18" s="140">
        <v>1588.2269848954138</v>
      </c>
      <c r="L18" s="140">
        <v>1497.269535304689</v>
      </c>
      <c r="M18" s="140">
        <v>1509.3471230929547</v>
      </c>
      <c r="N18" s="140">
        <v>974.60667043000331</v>
      </c>
      <c r="O18" s="140">
        <v>1593.8088087428362</v>
      </c>
      <c r="P18" s="140">
        <v>2120.3791797992408</v>
      </c>
      <c r="Q18" s="140">
        <v>2016.7235245692486</v>
      </c>
      <c r="R18" s="140">
        <v>2118.8342102256788</v>
      </c>
      <c r="S18" s="140">
        <v>2634.5688369840532</v>
      </c>
      <c r="T18" s="140">
        <v>2526.4723588622542</v>
      </c>
      <c r="U18" s="140">
        <v>2393.7989088468785</v>
      </c>
      <c r="V18" s="140">
        <v>2246.4615147607865</v>
      </c>
      <c r="W18" s="140">
        <v>2089.35756068306</v>
      </c>
      <c r="X18" s="140">
        <v>1999.2503632094003</v>
      </c>
      <c r="Y18" s="140">
        <v>1951.7811672004664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6276.7996633431831</v>
      </c>
      <c r="D19" s="139">
        <f t="shared" si="10"/>
        <v>3164.2164840515688</v>
      </c>
      <c r="E19" s="139">
        <f t="shared" si="10"/>
        <v>2331.9090890356788</v>
      </c>
      <c r="F19" s="139">
        <f t="shared" si="10"/>
        <v>3630.7162030680438</v>
      </c>
      <c r="G19" s="139">
        <f t="shared" si="10"/>
        <v>4081.9317919164664</v>
      </c>
      <c r="H19" s="139">
        <f t="shared" si="10"/>
        <v>4954.6089063236959</v>
      </c>
      <c r="I19" s="139">
        <f t="shared" si="10"/>
        <v>4368.3202799337332</v>
      </c>
      <c r="J19" s="139">
        <f t="shared" si="10"/>
        <v>2821.4306646964042</v>
      </c>
      <c r="K19" s="139">
        <f t="shared" si="10"/>
        <v>1602.8039220361229</v>
      </c>
      <c r="L19" s="139">
        <f t="shared" si="10"/>
        <v>1502.7436006328112</v>
      </c>
      <c r="M19" s="139">
        <f t="shared" si="10"/>
        <v>1520.7590733687027</v>
      </c>
      <c r="N19" s="139">
        <f t="shared" si="10"/>
        <v>979.78119464667429</v>
      </c>
      <c r="O19" s="139">
        <f t="shared" si="10"/>
        <v>1608.9445874043599</v>
      </c>
      <c r="P19" s="139">
        <f t="shared" si="10"/>
        <v>2141.1391046948734</v>
      </c>
      <c r="Q19" s="139">
        <f t="shared" si="10"/>
        <v>2042.6874726113995</v>
      </c>
      <c r="R19" s="139">
        <f t="shared" ref="R19:W19" si="11">SUM(R20:R26)</f>
        <v>2154.2734978864564</v>
      </c>
      <c r="S19" s="139">
        <f t="shared" si="11"/>
        <v>2671.5343763923861</v>
      </c>
      <c r="T19" s="139">
        <f t="shared" si="11"/>
        <v>2566.0981225853502</v>
      </c>
      <c r="U19" s="139">
        <f t="shared" si="11"/>
        <v>2440.3574993418479</v>
      </c>
      <c r="V19" s="139">
        <f t="shared" si="11"/>
        <v>2274.173052072626</v>
      </c>
      <c r="W19" s="139">
        <f t="shared" si="11"/>
        <v>2111.7759368610732</v>
      </c>
      <c r="X19" s="139">
        <f t="shared" ref="X19:Y19" si="12">SUM(X20:X26)</f>
        <v>2027.6618244693914</v>
      </c>
      <c r="Y19" s="139">
        <f t="shared" si="12"/>
        <v>1982.0798571261048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73.136931392682953</v>
      </c>
      <c r="D21" s="140">
        <v>56.808104931755061</v>
      </c>
      <c r="E21" s="140">
        <v>67.176003774755287</v>
      </c>
      <c r="F21" s="140">
        <v>133.11824201620527</v>
      </c>
      <c r="G21" s="140">
        <v>165.92282439485018</v>
      </c>
      <c r="H21" s="140">
        <v>208.22087828697778</v>
      </c>
      <c r="I21" s="140">
        <v>194.69930434087584</v>
      </c>
      <c r="J21" s="140">
        <v>128.81176287418793</v>
      </c>
      <c r="K21" s="140">
        <v>73.738612685877683</v>
      </c>
      <c r="L21" s="140">
        <v>62.798657808518954</v>
      </c>
      <c r="M21" s="140">
        <v>63.405813468636971</v>
      </c>
      <c r="N21" s="140">
        <v>44.449574035347808</v>
      </c>
      <c r="O21" s="140">
        <v>67.437777757630514</v>
      </c>
      <c r="P21" s="140">
        <v>58.488818498928893</v>
      </c>
      <c r="Q21" s="140">
        <v>66.282844926439651</v>
      </c>
      <c r="R21" s="140">
        <v>75.848510026615884</v>
      </c>
      <c r="S21" s="140">
        <v>97.497492688618109</v>
      </c>
      <c r="T21" s="140">
        <v>123.00114612983165</v>
      </c>
      <c r="U21" s="140">
        <v>124.09113059473609</v>
      </c>
      <c r="V21" s="140">
        <v>87.850908839053602</v>
      </c>
      <c r="W21" s="140">
        <v>94.099135015894504</v>
      </c>
      <c r="X21" s="140">
        <v>57.460468505874047</v>
      </c>
      <c r="Y21" s="140">
        <v>61.620793293413044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425.38678732145121</v>
      </c>
      <c r="D22" s="140">
        <v>126.4316876714133</v>
      </c>
      <c r="E22" s="140">
        <v>207.46307338151419</v>
      </c>
      <c r="F22" s="140">
        <v>409.42825707045102</v>
      </c>
      <c r="G22" s="140">
        <v>597.80141764084476</v>
      </c>
      <c r="H22" s="140">
        <v>777.77752005758225</v>
      </c>
      <c r="I22" s="140">
        <v>659.52880989311757</v>
      </c>
      <c r="J22" s="140">
        <v>437.91087018905552</v>
      </c>
      <c r="K22" s="140">
        <v>263.12666556420737</v>
      </c>
      <c r="L22" s="140">
        <v>294.38192789175565</v>
      </c>
      <c r="M22" s="140">
        <v>325.6783115027751</v>
      </c>
      <c r="N22" s="140">
        <v>232.0390481636949</v>
      </c>
      <c r="O22" s="140">
        <v>345.97851437759192</v>
      </c>
      <c r="P22" s="140">
        <v>204.07532090789857</v>
      </c>
      <c r="Q22" s="140">
        <v>219.30227984595311</v>
      </c>
      <c r="R22" s="140">
        <v>268.96135099633551</v>
      </c>
      <c r="S22" s="140">
        <v>417.73363484318691</v>
      </c>
      <c r="T22" s="140">
        <v>524.18750260328557</v>
      </c>
      <c r="U22" s="140">
        <v>569.17551412235844</v>
      </c>
      <c r="V22" s="140">
        <v>606.79865442441746</v>
      </c>
      <c r="W22" s="140">
        <v>430.87399136640704</v>
      </c>
      <c r="X22" s="140">
        <v>356.71411443023356</v>
      </c>
      <c r="Y22" s="140">
        <v>283.48441533740021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460.90025101439875</v>
      </c>
      <c r="D23" s="140">
        <v>285.6116076109613</v>
      </c>
      <c r="E23" s="140">
        <v>237.23925210320132</v>
      </c>
      <c r="F23" s="140">
        <v>374.62931147103433</v>
      </c>
      <c r="G23" s="140">
        <v>506.18772072503026</v>
      </c>
      <c r="H23" s="140">
        <v>683.39687718855043</v>
      </c>
      <c r="I23" s="140">
        <v>667.07580651436592</v>
      </c>
      <c r="J23" s="140">
        <v>454.79687467559376</v>
      </c>
      <c r="K23" s="140">
        <v>263.79450726877553</v>
      </c>
      <c r="L23" s="140">
        <v>260.17445259370879</v>
      </c>
      <c r="M23" s="140">
        <v>249.9463816252358</v>
      </c>
      <c r="N23" s="140">
        <v>164.64071507020429</v>
      </c>
      <c r="O23" s="140">
        <v>246.96636219642429</v>
      </c>
      <c r="P23" s="140">
        <v>439.49621831488088</v>
      </c>
      <c r="Q23" s="140">
        <v>460.44721166099555</v>
      </c>
      <c r="R23" s="140">
        <v>542.19299429290299</v>
      </c>
      <c r="S23" s="140">
        <v>647.59184184414551</v>
      </c>
      <c r="T23" s="140">
        <v>592.74421056386518</v>
      </c>
      <c r="U23" s="140">
        <v>493.02695059174454</v>
      </c>
      <c r="V23" s="140">
        <v>370.96764179686585</v>
      </c>
      <c r="W23" s="140">
        <v>367.45545329580904</v>
      </c>
      <c r="X23" s="140">
        <v>343.6460349542013</v>
      </c>
      <c r="Y23" s="140">
        <v>370.95349888835221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191.36929634298068</v>
      </c>
      <c r="D25" s="140">
        <v>113.24108826001888</v>
      </c>
      <c r="E25" s="140">
        <v>58.634665083026093</v>
      </c>
      <c r="F25" s="140">
        <v>23.058998361839087</v>
      </c>
      <c r="G25" s="140">
        <v>0</v>
      </c>
      <c r="H25" s="140">
        <v>0</v>
      </c>
      <c r="I25" s="140">
        <v>4.3209544211247728</v>
      </c>
      <c r="J25" s="140">
        <v>0</v>
      </c>
      <c r="K25" s="140">
        <v>0</v>
      </c>
      <c r="L25" s="140">
        <v>8.6837059056109833</v>
      </c>
      <c r="M25" s="140">
        <v>34.172160885373472</v>
      </c>
      <c r="N25" s="140">
        <v>33.854857936191692</v>
      </c>
      <c r="O25" s="140">
        <v>58.267379813022806</v>
      </c>
      <c r="P25" s="140">
        <v>84.150289520006964</v>
      </c>
      <c r="Q25" s="140">
        <v>54.395141782640572</v>
      </c>
      <c r="R25" s="140">
        <v>32.670806516769346</v>
      </c>
      <c r="S25" s="140">
        <v>32.331318906797804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5126.0063972716689</v>
      </c>
      <c r="D26" s="141">
        <v>2582.1239955774204</v>
      </c>
      <c r="E26" s="141">
        <v>1761.396094693182</v>
      </c>
      <c r="F26" s="141">
        <v>2690.4813941485145</v>
      </c>
      <c r="G26" s="141">
        <v>2812.0198291557413</v>
      </c>
      <c r="H26" s="141">
        <v>3285.2136307905857</v>
      </c>
      <c r="I26" s="141">
        <v>2842.6954047642489</v>
      </c>
      <c r="J26" s="141">
        <v>1799.9111569575671</v>
      </c>
      <c r="K26" s="141">
        <v>1002.1441365172623</v>
      </c>
      <c r="L26" s="141">
        <v>876.70485643321683</v>
      </c>
      <c r="M26" s="141">
        <v>847.55640588668132</v>
      </c>
      <c r="N26" s="141">
        <v>504.79699944123558</v>
      </c>
      <c r="O26" s="141">
        <v>890.29455325969036</v>
      </c>
      <c r="P26" s="141">
        <v>1354.9284574531582</v>
      </c>
      <c r="Q26" s="141">
        <v>1242.2599943953705</v>
      </c>
      <c r="R26" s="141">
        <v>1234.5998360538326</v>
      </c>
      <c r="S26" s="141">
        <v>1476.3800881096379</v>
      </c>
      <c r="T26" s="141">
        <v>1326.1652632883677</v>
      </c>
      <c r="U26" s="141">
        <v>1254.0639040330086</v>
      </c>
      <c r="V26" s="141">
        <v>1208.5558470122892</v>
      </c>
      <c r="W26" s="141">
        <v>1219.3473571829627</v>
      </c>
      <c r="X26" s="141">
        <v>1269.8412065790824</v>
      </c>
      <c r="Y26" s="141">
        <v>1266.0211496069394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1423.4258354450869</v>
      </c>
      <c r="D27" s="150">
        <v>1188.8999751497872</v>
      </c>
      <c r="E27" s="150">
        <v>611.52423360797081</v>
      </c>
      <c r="F27" s="150">
        <v>1146.2841585209185</v>
      </c>
      <c r="G27" s="150">
        <v>2527.361226433698</v>
      </c>
      <c r="H27" s="150">
        <v>1322.106662066642</v>
      </c>
      <c r="I27" s="150">
        <v>2059.1902716584859</v>
      </c>
      <c r="J27" s="150">
        <v>2118.2527503176689</v>
      </c>
      <c r="K27" s="150">
        <v>1103.8708772053933</v>
      </c>
      <c r="L27" s="150">
        <v>1104.4288937319577</v>
      </c>
      <c r="M27" s="150">
        <v>996.26691885330467</v>
      </c>
      <c r="N27" s="150">
        <v>612.18905026340371</v>
      </c>
      <c r="O27" s="150">
        <v>971.16001824506134</v>
      </c>
      <c r="P27" s="150">
        <v>1487.8913176475162</v>
      </c>
      <c r="Q27" s="150">
        <v>1347.388940656251</v>
      </c>
      <c r="R27" s="150">
        <v>1381.7500356422515</v>
      </c>
      <c r="S27" s="150">
        <v>1664.1293632959676</v>
      </c>
      <c r="T27" s="150">
        <v>1456.2851011099247</v>
      </c>
      <c r="U27" s="150">
        <v>1457.2402334130943</v>
      </c>
      <c r="V27" s="150">
        <v>1766.0829141154647</v>
      </c>
      <c r="W27" s="150">
        <v>1294.9476143375302</v>
      </c>
      <c r="X27" s="150">
        <v>1657.0156731311486</v>
      </c>
      <c r="Y27" s="150">
        <v>1348.8926527546362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6276.7996633431821</v>
      </c>
      <c r="D29" s="139">
        <f t="shared" si="13"/>
        <v>3164.2164840515688</v>
      </c>
      <c r="E29" s="139">
        <f t="shared" si="13"/>
        <v>2331.9090890356792</v>
      </c>
      <c r="F29" s="139">
        <f t="shared" si="13"/>
        <v>3630.7162030680438</v>
      </c>
      <c r="G29" s="139">
        <f t="shared" si="13"/>
        <v>4081.931791916466</v>
      </c>
      <c r="H29" s="139">
        <f t="shared" si="13"/>
        <v>4954.6089063236959</v>
      </c>
      <c r="I29" s="139">
        <f t="shared" si="13"/>
        <v>4368.3202799337323</v>
      </c>
      <c r="J29" s="139">
        <f t="shared" si="13"/>
        <v>2821.4306646964042</v>
      </c>
      <c r="K29" s="139">
        <f t="shared" si="13"/>
        <v>1602.8039220361229</v>
      </c>
      <c r="L29" s="139">
        <f t="shared" si="13"/>
        <v>1502.7436006328114</v>
      </c>
      <c r="M29" s="139">
        <f t="shared" si="13"/>
        <v>1520.759073368703</v>
      </c>
      <c r="N29" s="139">
        <f t="shared" si="13"/>
        <v>979.78119464667452</v>
      </c>
      <c r="O29" s="139">
        <f t="shared" si="13"/>
        <v>1608.9445874043599</v>
      </c>
      <c r="P29" s="139">
        <f t="shared" si="13"/>
        <v>2141.1391046948734</v>
      </c>
      <c r="Q29" s="139">
        <f t="shared" si="13"/>
        <v>2042.6874726113992</v>
      </c>
      <c r="R29" s="139">
        <f t="shared" ref="R29:W29" si="14">SUM(R30:R33)</f>
        <v>2154.2734978864564</v>
      </c>
      <c r="S29" s="139">
        <f t="shared" si="14"/>
        <v>2671.5343763923856</v>
      </c>
      <c r="T29" s="139">
        <f t="shared" si="14"/>
        <v>2566.0981225853502</v>
      </c>
      <c r="U29" s="139">
        <f t="shared" si="14"/>
        <v>2440.3574993418474</v>
      </c>
      <c r="V29" s="139">
        <f t="shared" si="14"/>
        <v>2274.173052072626</v>
      </c>
      <c r="W29" s="139">
        <f t="shared" si="14"/>
        <v>2111.7759368610737</v>
      </c>
      <c r="X29" s="139">
        <f t="shared" ref="X29:Y29" si="15">SUM(X30:X33)</f>
        <v>2027.6618244693909</v>
      </c>
      <c r="Y29" s="139">
        <f t="shared" si="15"/>
        <v>1982.0798571261043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777.30981452199808</v>
      </c>
      <c r="D30" s="140">
        <v>1478.8262744943165</v>
      </c>
      <c r="E30" s="140">
        <v>1229.3977256439562</v>
      </c>
      <c r="F30" s="140">
        <v>2178.9938215386087</v>
      </c>
      <c r="G30" s="140">
        <v>2623.321782519763</v>
      </c>
      <c r="H30" s="140">
        <v>1578.8178719222356</v>
      </c>
      <c r="I30" s="140">
        <v>1374.0721317824111</v>
      </c>
      <c r="J30" s="140">
        <v>276.44358729479893</v>
      </c>
      <c r="K30" s="140">
        <v>0</v>
      </c>
      <c r="L30" s="140">
        <v>0</v>
      </c>
      <c r="M30" s="140">
        <v>0</v>
      </c>
      <c r="N30" s="140">
        <v>0.75522304754400893</v>
      </c>
      <c r="O30" s="140">
        <v>534.01683223293503</v>
      </c>
      <c r="P30" s="140">
        <v>1425.9606273818777</v>
      </c>
      <c r="Q30" s="140">
        <v>1043.3270963024454</v>
      </c>
      <c r="R30" s="140">
        <v>809.38493897123601</v>
      </c>
      <c r="S30" s="140">
        <v>839.97762850231936</v>
      </c>
      <c r="T30" s="140">
        <v>706.3849963810693</v>
      </c>
      <c r="U30" s="140">
        <v>51.821740281697139</v>
      </c>
      <c r="V30" s="140">
        <v>0</v>
      </c>
      <c r="W30" s="140">
        <v>0</v>
      </c>
      <c r="X30" s="140">
        <v>243.09811250165885</v>
      </c>
      <c r="Y30" s="140">
        <v>652.42986174235421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411.37070889517179</v>
      </c>
      <c r="D31" s="140">
        <v>273.94545975261855</v>
      </c>
      <c r="E31" s="140">
        <v>238.5044027416597</v>
      </c>
      <c r="F31" s="140">
        <v>428.24909614243757</v>
      </c>
      <c r="G31" s="140">
        <v>471.63171598106879</v>
      </c>
      <c r="H31" s="140">
        <v>486.89890967150092</v>
      </c>
      <c r="I31" s="140">
        <v>427.05342550102051</v>
      </c>
      <c r="J31" s="140">
        <v>340.23810832720653</v>
      </c>
      <c r="K31" s="140">
        <v>234.95757322274034</v>
      </c>
      <c r="L31" s="140">
        <v>206.10101414725264</v>
      </c>
      <c r="M31" s="140">
        <v>396.87008031743892</v>
      </c>
      <c r="N31" s="140">
        <v>211.94451206637859</v>
      </c>
      <c r="O31" s="140">
        <v>791.66649451730871</v>
      </c>
      <c r="P31" s="140">
        <v>565.0486789304673</v>
      </c>
      <c r="Q31" s="140">
        <v>477.62874173026972</v>
      </c>
      <c r="R31" s="140">
        <v>373.61646595128025</v>
      </c>
      <c r="S31" s="140">
        <v>465.01583790648766</v>
      </c>
      <c r="T31" s="140">
        <v>456.53539390805241</v>
      </c>
      <c r="U31" s="140">
        <v>455.08308040230298</v>
      </c>
      <c r="V31" s="140">
        <v>274.16725163721935</v>
      </c>
      <c r="W31" s="140">
        <v>192.60556936569179</v>
      </c>
      <c r="X31" s="140">
        <v>118.43292219593566</v>
      </c>
      <c r="Y31" s="140">
        <v>398.02965455243606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767.08145953275186</v>
      </c>
      <c r="O32" s="140">
        <v>151.02941994452817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73.405745727269718</v>
      </c>
      <c r="X32" s="140">
        <v>298.69398946302857</v>
      </c>
      <c r="Y32" s="140">
        <v>378.44669187271103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5088.1191399260124</v>
      </c>
      <c r="D33" s="152">
        <v>1411.4447498046336</v>
      </c>
      <c r="E33" s="152">
        <v>864.00696065006309</v>
      </c>
      <c r="F33" s="152">
        <v>1023.4732853869974</v>
      </c>
      <c r="G33" s="152">
        <v>986.97829341563431</v>
      </c>
      <c r="H33" s="152">
        <v>2888.8921247299591</v>
      </c>
      <c r="I33" s="152">
        <v>2567.1947226503007</v>
      </c>
      <c r="J33" s="152">
        <v>2204.7489690743987</v>
      </c>
      <c r="K33" s="152">
        <v>1367.8463488133825</v>
      </c>
      <c r="L33" s="152">
        <v>1296.6425864855587</v>
      </c>
      <c r="M33" s="152">
        <v>1123.8889930512642</v>
      </c>
      <c r="N33" s="152">
        <v>0</v>
      </c>
      <c r="O33" s="152">
        <v>132.231840709588</v>
      </c>
      <c r="P33" s="152">
        <v>150.12979838252835</v>
      </c>
      <c r="Q33" s="152">
        <v>521.73163457868407</v>
      </c>
      <c r="R33" s="152">
        <v>971.27209296394028</v>
      </c>
      <c r="S33" s="152">
        <v>1366.5409099835788</v>
      </c>
      <c r="T33" s="152">
        <v>1403.1777322962282</v>
      </c>
      <c r="U33" s="152">
        <v>1933.4526786578474</v>
      </c>
      <c r="V33" s="152">
        <v>2000.0058004354066</v>
      </c>
      <c r="W33" s="152">
        <v>1845.764621768112</v>
      </c>
      <c r="X33" s="152">
        <v>1367.4368003087679</v>
      </c>
      <c r="Y33" s="152">
        <v>553.17364895860305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34.776961108802865</v>
      </c>
      <c r="D3" s="125">
        <f t="shared" si="0"/>
        <v>15.680729442148495</v>
      </c>
      <c r="E3" s="125">
        <f t="shared" si="0"/>
        <v>12.177224790894265</v>
      </c>
      <c r="F3" s="125">
        <f t="shared" si="0"/>
        <v>20.790448532910254</v>
      </c>
      <c r="G3" s="125">
        <f t="shared" si="0"/>
        <v>23.097622153661458</v>
      </c>
      <c r="H3" s="125">
        <f t="shared" si="0"/>
        <v>26.570178926405571</v>
      </c>
      <c r="I3" s="125">
        <f t="shared" si="0"/>
        <v>21.88063072445248</v>
      </c>
      <c r="J3" s="125">
        <f t="shared" si="0"/>
        <v>12.709465475694717</v>
      </c>
      <c r="K3" s="125">
        <f t="shared" si="0"/>
        <v>7.3603445536789707</v>
      </c>
      <c r="L3" s="125">
        <f t="shared" si="0"/>
        <v>7.0879255692933194</v>
      </c>
      <c r="M3" s="125">
        <f t="shared" si="0"/>
        <v>7.6251931931695225</v>
      </c>
      <c r="N3" s="125">
        <f t="shared" si="0"/>
        <v>5.2147508694479523</v>
      </c>
      <c r="O3" s="125">
        <f t="shared" si="0"/>
        <v>7.9747418770891043</v>
      </c>
      <c r="P3" s="125">
        <f t="shared" si="0"/>
        <v>11.480734519950076</v>
      </c>
      <c r="Q3" s="125">
        <f t="shared" si="0"/>
        <v>11.019776644149854</v>
      </c>
      <c r="R3" s="125">
        <f t="shared" ref="R3:W3" si="1">SUM(R4,R16,R19,R29)</f>
        <v>10.812425411466364</v>
      </c>
      <c r="S3" s="125">
        <f t="shared" si="1"/>
        <v>13.780801421100605</v>
      </c>
      <c r="T3" s="125">
        <f t="shared" si="1"/>
        <v>14.013549085539021</v>
      </c>
      <c r="U3" s="125">
        <f t="shared" si="1"/>
        <v>10.853226888899146</v>
      </c>
      <c r="V3" s="125">
        <f t="shared" si="1"/>
        <v>7.8895047333117443</v>
      </c>
      <c r="W3" s="125">
        <f t="shared" si="1"/>
        <v>7.8233245907631774</v>
      </c>
      <c r="X3" s="125">
        <f t="shared" ref="X3:Y3" si="2">SUM(X4,X16,X19,X29)</f>
        <v>9.6439391842638056</v>
      </c>
      <c r="Y3" s="125">
        <f t="shared" si="2"/>
        <v>10.104646087395787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16.015619193381347</v>
      </c>
      <c r="D4" s="130">
        <f t="shared" si="3"/>
        <v>6.0079783254398151</v>
      </c>
      <c r="E4" s="130">
        <f t="shared" si="3"/>
        <v>4.3279451149901469</v>
      </c>
      <c r="F4" s="130">
        <f t="shared" si="3"/>
        <v>9.1963559823069598</v>
      </c>
      <c r="G4" s="130">
        <f t="shared" si="3"/>
        <v>9.385752292461957</v>
      </c>
      <c r="H4" s="130">
        <f t="shared" si="3"/>
        <v>9.9639168872955484</v>
      </c>
      <c r="I4" s="130">
        <f t="shared" si="3"/>
        <v>9.1368912005745564</v>
      </c>
      <c r="J4" s="130">
        <f t="shared" si="3"/>
        <v>5.1295473381362129</v>
      </c>
      <c r="K4" s="130">
        <f t="shared" si="3"/>
        <v>2.9747795860852957</v>
      </c>
      <c r="L4" s="130">
        <f t="shared" si="3"/>
        <v>2.3770071054739668</v>
      </c>
      <c r="M4" s="130">
        <f t="shared" si="3"/>
        <v>3.3413649834733281</v>
      </c>
      <c r="N4" s="130">
        <f t="shared" si="3"/>
        <v>1.5591195747284907</v>
      </c>
      <c r="O4" s="130">
        <f t="shared" si="3"/>
        <v>3.101379965105493</v>
      </c>
      <c r="P4" s="130">
        <f t="shared" si="3"/>
        <v>5.1605178693247415</v>
      </c>
      <c r="Q4" s="130">
        <f t="shared" si="3"/>
        <v>5.1235483781780093</v>
      </c>
      <c r="R4" s="130">
        <f t="shared" ref="R4:W4" si="4">SUM(R5:R15)</f>
        <v>4.43110844296372</v>
      </c>
      <c r="S4" s="130">
        <f t="shared" si="4"/>
        <v>6.1071588478279244</v>
      </c>
      <c r="T4" s="130">
        <f t="shared" si="4"/>
        <v>6.876501554137274</v>
      </c>
      <c r="U4" s="130">
        <f t="shared" si="4"/>
        <v>4.897928777880967</v>
      </c>
      <c r="V4" s="130">
        <f t="shared" si="4"/>
        <v>2.2693636116691991</v>
      </c>
      <c r="W4" s="130">
        <f t="shared" si="4"/>
        <v>2.9426358226881928</v>
      </c>
      <c r="X4" s="130">
        <f t="shared" ref="X4:Y4" si="5">SUM(X5:X15)</f>
        <v>4.2089759366892849</v>
      </c>
      <c r="Y4" s="130">
        <f t="shared" si="5"/>
        <v>4.5433452756020394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10.457668989238861</v>
      </c>
      <c r="D7" s="132">
        <v>1.4683643055105595</v>
      </c>
      <c r="E7" s="132">
        <v>0.93074375498473971</v>
      </c>
      <c r="F7" s="132">
        <v>3.7813655908121482</v>
      </c>
      <c r="G7" s="132">
        <v>2.2695099421674878</v>
      </c>
      <c r="H7" s="132">
        <v>0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0</v>
      </c>
      <c r="O7" s="132">
        <v>1.2838345408079472</v>
      </c>
      <c r="P7" s="132">
        <v>0</v>
      </c>
      <c r="Q7" s="132">
        <v>0</v>
      </c>
      <c r="R7" s="132">
        <v>0.31386371025522103</v>
      </c>
      <c r="S7" s="132">
        <v>1.2620665053673188</v>
      </c>
      <c r="T7" s="132">
        <v>0.34814857706691638</v>
      </c>
      <c r="U7" s="132">
        <v>1.284577174596504</v>
      </c>
      <c r="V7" s="132">
        <v>0</v>
      </c>
      <c r="W7" s="132">
        <v>0</v>
      </c>
      <c r="X7" s="132">
        <v>0</v>
      </c>
      <c r="Y7" s="132">
        <v>0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1.2039713153541182E-2</v>
      </c>
      <c r="D8" s="132">
        <v>1.0438059248894252E-2</v>
      </c>
      <c r="E8" s="132">
        <v>5.153148848425675E-3</v>
      </c>
      <c r="F8" s="132">
        <v>2.9762702264954917E-3</v>
      </c>
      <c r="G8" s="132">
        <v>4.5563996737096211E-3</v>
      </c>
      <c r="H8" s="132">
        <v>1.8793238349101182E-2</v>
      </c>
      <c r="I8" s="132">
        <v>2.1708235115264183E-2</v>
      </c>
      <c r="J8" s="132">
        <v>2.0953374767168277E-2</v>
      </c>
      <c r="K8" s="132">
        <v>1.3609049380878259E-2</v>
      </c>
      <c r="L8" s="132">
        <v>1.211471484619933E-2</v>
      </c>
      <c r="M8" s="132">
        <v>1.463158531243342E-2</v>
      </c>
      <c r="N8" s="132">
        <v>8.3508577313689998E-3</v>
      </c>
      <c r="O8" s="132">
        <v>1.300547545088631E-2</v>
      </c>
      <c r="P8" s="132">
        <v>1.22617890524257E-2</v>
      </c>
      <c r="Q8" s="132">
        <v>1.2228678728070406E-2</v>
      </c>
      <c r="R8" s="132">
        <v>5.661393672167777E-3</v>
      </c>
      <c r="S8" s="132">
        <v>2.0585713352811378E-3</v>
      </c>
      <c r="T8" s="132">
        <v>1.47125180444322E-3</v>
      </c>
      <c r="U8" s="132">
        <v>6.2118583923059904E-3</v>
      </c>
      <c r="V8" s="132">
        <v>9.6334366704142558E-3</v>
      </c>
      <c r="W8" s="132">
        <v>1.1021026331528103E-2</v>
      </c>
      <c r="X8" s="132">
        <v>1.0849252413799923E-2</v>
      </c>
      <c r="Y8" s="132">
        <v>1.0362397930876179E-2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3.1847228058440686</v>
      </c>
      <c r="D9" s="132">
        <v>2.3793167454567747</v>
      </c>
      <c r="E9" s="132">
        <v>0.82452593258536455</v>
      </c>
      <c r="F9" s="132">
        <v>0.76596300421046026</v>
      </c>
      <c r="G9" s="132">
        <v>0</v>
      </c>
      <c r="H9" s="132">
        <v>1.7968782996503463</v>
      </c>
      <c r="I9" s="132">
        <v>2.2633350362278564</v>
      </c>
      <c r="J9" s="132">
        <v>1.972603280832548</v>
      </c>
      <c r="K9" s="132">
        <v>1.3524429325198226</v>
      </c>
      <c r="L9" s="132">
        <v>0.66023819963256047</v>
      </c>
      <c r="M9" s="132">
        <v>0.89261010275109698</v>
      </c>
      <c r="N9" s="132">
        <v>0.27511603127144174</v>
      </c>
      <c r="O9" s="132">
        <v>0.27539331361168884</v>
      </c>
      <c r="P9" s="132">
        <v>0</v>
      </c>
      <c r="Q9" s="132">
        <v>1.6974744434241396</v>
      </c>
      <c r="R9" s="132">
        <v>2.5183804054672487</v>
      </c>
      <c r="S9" s="132">
        <v>1.9238414647735196</v>
      </c>
      <c r="T9" s="132">
        <v>0.69679126538479863</v>
      </c>
      <c r="U9" s="132">
        <v>0</v>
      </c>
      <c r="V9" s="132">
        <v>0.41003872027472432</v>
      </c>
      <c r="W9" s="132">
        <v>0.38582661841779203</v>
      </c>
      <c r="X9" s="132">
        <v>0.64905794052849808</v>
      </c>
      <c r="Y9" s="132">
        <v>0.39728570786498291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0.96730928865593324</v>
      </c>
      <c r="N10" s="132">
        <v>0.12679978001547981</v>
      </c>
      <c r="O10" s="132">
        <v>0</v>
      </c>
      <c r="P10" s="132">
        <v>0</v>
      </c>
      <c r="Q10" s="132">
        <v>0</v>
      </c>
      <c r="R10" s="132">
        <v>4.3841369420472238E-2</v>
      </c>
      <c r="S10" s="132">
        <v>7.1415794370000077E-2</v>
      </c>
      <c r="T10" s="132">
        <v>0</v>
      </c>
      <c r="U10" s="132">
        <v>0</v>
      </c>
      <c r="V10" s="132">
        <v>0</v>
      </c>
      <c r="W10" s="132">
        <v>2.2422307810082392E-2</v>
      </c>
      <c r="X10" s="132">
        <v>5.755365683142543E-2</v>
      </c>
      <c r="Y10" s="132">
        <v>3.8429519911428789E-2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3.4713952973651806E-3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1.356332487696143E-2</v>
      </c>
      <c r="K11" s="132">
        <v>1.7624238745692751E-2</v>
      </c>
      <c r="L11" s="132">
        <v>1.5414000648391338E-2</v>
      </c>
      <c r="M11" s="132">
        <v>2.9588700177631318E-2</v>
      </c>
      <c r="N11" s="132">
        <v>1.1488626402571535E-2</v>
      </c>
      <c r="O11" s="132">
        <v>5.3524346045580413E-3</v>
      </c>
      <c r="P11" s="132">
        <v>0</v>
      </c>
      <c r="Q11" s="132">
        <v>2.1232146786418632E-3</v>
      </c>
      <c r="R11" s="132">
        <v>5.4721439014537975E-3</v>
      </c>
      <c r="S11" s="132">
        <v>1.2542410395323562E-2</v>
      </c>
      <c r="T11" s="132">
        <v>7.0970481828447861E-3</v>
      </c>
      <c r="U11" s="132">
        <v>2.6589777683268326E-3</v>
      </c>
      <c r="V11" s="132">
        <v>3.2010216934733363E-4</v>
      </c>
      <c r="W11" s="132">
        <v>7.0363094348626747E-3</v>
      </c>
      <c r="X11" s="132">
        <v>1.7812428702146485E-2</v>
      </c>
      <c r="Y11" s="132">
        <v>2.0026001085165262E-2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0.51577930129452398</v>
      </c>
      <c r="D12" s="132">
        <v>0.3795368540216858</v>
      </c>
      <c r="E12" s="132">
        <v>9.9054322435603512E-2</v>
      </c>
      <c r="F12" s="132">
        <v>4.9263308081859254E-2</v>
      </c>
      <c r="G12" s="132">
        <v>0</v>
      </c>
      <c r="H12" s="132">
        <v>0</v>
      </c>
      <c r="I12" s="132">
        <v>0</v>
      </c>
      <c r="J12" s="132">
        <v>8.9763257903424654E-2</v>
      </c>
      <c r="K12" s="132">
        <v>8.9943652287957476E-2</v>
      </c>
      <c r="L12" s="132">
        <v>0.22879705836819514</v>
      </c>
      <c r="M12" s="132">
        <v>0.19424582739378743</v>
      </c>
      <c r="N12" s="132">
        <v>0.22934286427408299</v>
      </c>
      <c r="O12" s="132">
        <v>0.17145092112044233</v>
      </c>
      <c r="P12" s="132">
        <v>0</v>
      </c>
      <c r="Q12" s="132">
        <v>6.7034876386772562E-3</v>
      </c>
      <c r="R12" s="132">
        <v>0.15784756456099755</v>
      </c>
      <c r="S12" s="132">
        <v>0.29394809169280489</v>
      </c>
      <c r="T12" s="132">
        <v>0.14403799899196199</v>
      </c>
      <c r="U12" s="132">
        <v>9.0759873879968075E-2</v>
      </c>
      <c r="V12" s="132">
        <v>6.6335775436137945E-2</v>
      </c>
      <c r="W12" s="132">
        <v>0</v>
      </c>
      <c r="X12" s="132">
        <v>0</v>
      </c>
      <c r="Y12" s="132">
        <v>0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0.67308572094798869</v>
      </c>
      <c r="D13" s="132">
        <v>1.0763288892771776</v>
      </c>
      <c r="E13" s="132">
        <v>1.6716029035360453</v>
      </c>
      <c r="F13" s="132">
        <v>1.7734532455046013</v>
      </c>
      <c r="G13" s="132">
        <v>3.2426984477694134</v>
      </c>
      <c r="H13" s="132">
        <v>4.5878103159047861</v>
      </c>
      <c r="I13" s="132">
        <v>4.016625225637382</v>
      </c>
      <c r="J13" s="132">
        <v>3.0132834711148444</v>
      </c>
      <c r="K13" s="132">
        <v>1.4877703813301164</v>
      </c>
      <c r="L13" s="132">
        <v>1.4532190508002738</v>
      </c>
      <c r="M13" s="132">
        <v>1.2291938477251116</v>
      </c>
      <c r="N13" s="132">
        <v>0.90385829534028128</v>
      </c>
      <c r="O13" s="132">
        <v>1.1690943253952919</v>
      </c>
      <c r="P13" s="132">
        <v>1.6435455553665841</v>
      </c>
      <c r="Q13" s="132">
        <v>1.3569549661495011</v>
      </c>
      <c r="R13" s="132">
        <v>1.3527976180779915</v>
      </c>
      <c r="S13" s="132">
        <v>1.2579193046710415</v>
      </c>
      <c r="T13" s="132">
        <v>1.2663421453126815</v>
      </c>
      <c r="U13" s="132">
        <v>1.4677698900694494</v>
      </c>
      <c r="V13" s="132">
        <v>1.630135364377812</v>
      </c>
      <c r="W13" s="132">
        <v>1.2034937405695576</v>
      </c>
      <c r="X13" s="132">
        <v>1.0849769199905059</v>
      </c>
      <c r="Y13" s="132">
        <v>1.0538274194226349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1.0355926063457896</v>
      </c>
      <c r="D14" s="65">
        <v>0.65498154679059606</v>
      </c>
      <c r="E14" s="65">
        <v>0.77966807659635373</v>
      </c>
      <c r="F14" s="65">
        <v>2.7807773980912072</v>
      </c>
      <c r="G14" s="65">
        <v>3.8481737855728739</v>
      </c>
      <c r="H14" s="65">
        <v>3.5429562902686897</v>
      </c>
      <c r="I14" s="65">
        <v>2.8133338337637945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0.1670110204205717</v>
      </c>
      <c r="P14" s="65">
        <v>3.5045911696292475</v>
      </c>
      <c r="Q14" s="65">
        <v>2.0286744995773223</v>
      </c>
      <c r="R14" s="65">
        <v>0</v>
      </c>
      <c r="S14" s="65">
        <v>1.2457851519338297</v>
      </c>
      <c r="T14" s="65">
        <v>4.4001248296337714</v>
      </c>
      <c r="U14" s="65">
        <v>2.0316051357087068</v>
      </c>
      <c r="V14" s="65">
        <v>0.14770191020721199</v>
      </c>
      <c r="W14" s="65">
        <v>1.3079770943961226</v>
      </c>
      <c r="X14" s="65">
        <v>2.3804939982834603</v>
      </c>
      <c r="Y14" s="65">
        <v>3.0182696469229144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0.13325866125921082</v>
      </c>
      <c r="D15" s="134">
        <v>3.901192513412672E-2</v>
      </c>
      <c r="E15" s="134">
        <v>1.7196976003613872E-2</v>
      </c>
      <c r="F15" s="134">
        <v>4.2557165380187889E-2</v>
      </c>
      <c r="G15" s="134">
        <v>2.0813717278471918E-2</v>
      </c>
      <c r="H15" s="134">
        <v>1.7478743122625682E-2</v>
      </c>
      <c r="I15" s="134">
        <v>2.1888869830260626E-2</v>
      </c>
      <c r="J15" s="134">
        <v>1.9380628641266502E-2</v>
      </c>
      <c r="K15" s="134">
        <v>1.3389331820827785E-2</v>
      </c>
      <c r="L15" s="134">
        <v>7.2240811783463969E-3</v>
      </c>
      <c r="M15" s="134">
        <v>1.378563145733405E-2</v>
      </c>
      <c r="N15" s="134">
        <v>4.1631196932644284E-3</v>
      </c>
      <c r="O15" s="134">
        <v>1.6237933694106282E-2</v>
      </c>
      <c r="P15" s="134">
        <v>1.1935527648471644E-4</v>
      </c>
      <c r="Q15" s="134">
        <v>1.9389087981656682E-2</v>
      </c>
      <c r="R15" s="134">
        <v>3.3244237608167075E-2</v>
      </c>
      <c r="S15" s="134">
        <v>3.7581553288805553E-2</v>
      </c>
      <c r="T15" s="134">
        <v>1.2488437759855822E-2</v>
      </c>
      <c r="U15" s="134">
        <v>1.4345867465705981E-2</v>
      </c>
      <c r="V15" s="134">
        <v>5.1983025335513395E-3</v>
      </c>
      <c r="W15" s="134">
        <v>4.858725728247232E-3</v>
      </c>
      <c r="X15" s="134">
        <v>8.2317399394484531E-3</v>
      </c>
      <c r="Y15" s="134">
        <v>5.1445824640366858E-3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5.4536744467661631</v>
      </c>
      <c r="D16" s="130">
        <f t="shared" si="6"/>
        <v>2.3485714167661689</v>
      </c>
      <c r="E16" s="130">
        <f t="shared" si="6"/>
        <v>2.3541032535320201</v>
      </c>
      <c r="F16" s="130">
        <f t="shared" si="6"/>
        <v>2.9387528211096829</v>
      </c>
      <c r="G16" s="130">
        <f t="shared" si="6"/>
        <v>3.4836629043112488</v>
      </c>
      <c r="H16" s="130">
        <f t="shared" si="6"/>
        <v>4.9105767850243307</v>
      </c>
      <c r="I16" s="130">
        <f t="shared" si="6"/>
        <v>2.7104851590510863</v>
      </c>
      <c r="J16" s="130">
        <f t="shared" si="6"/>
        <v>1.6365616570098707</v>
      </c>
      <c r="K16" s="130">
        <f t="shared" si="6"/>
        <v>1.0927577461394238</v>
      </c>
      <c r="L16" s="130">
        <f t="shared" si="6"/>
        <v>1.3396261153336722</v>
      </c>
      <c r="M16" s="130">
        <f t="shared" si="6"/>
        <v>0.85619358783281274</v>
      </c>
      <c r="N16" s="130">
        <f t="shared" si="6"/>
        <v>0.54911202911547086</v>
      </c>
      <c r="O16" s="130">
        <f t="shared" si="6"/>
        <v>1.1126984962520525</v>
      </c>
      <c r="P16" s="130">
        <f t="shared" si="6"/>
        <v>0.94488658426618588</v>
      </c>
      <c r="Q16" s="130">
        <f t="shared" si="6"/>
        <v>1.0186733105543797</v>
      </c>
      <c r="R16" s="130">
        <f t="shared" ref="R16:W16" si="7">SUM(R17:R18)</f>
        <v>1.5538946726556158</v>
      </c>
      <c r="S16" s="130">
        <f t="shared" si="7"/>
        <v>1.7751303370468792</v>
      </c>
      <c r="T16" s="130">
        <f t="shared" si="7"/>
        <v>1.432033681429538</v>
      </c>
      <c r="U16" s="130">
        <f t="shared" si="7"/>
        <v>1.0547737681216385</v>
      </c>
      <c r="V16" s="130">
        <f t="shared" si="7"/>
        <v>1.3608302903438698</v>
      </c>
      <c r="W16" s="130">
        <f t="shared" si="7"/>
        <v>0.75807432240991068</v>
      </c>
      <c r="X16" s="130">
        <f t="shared" ref="X16:Y16" si="8">SUM(X17:X18)</f>
        <v>1.3458461359242024</v>
      </c>
      <c r="Y16" s="130">
        <f t="shared" si="8"/>
        <v>1.0802534636163152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2.2686964549074363E-2</v>
      </c>
      <c r="D17" s="132">
        <v>4.9112239207357439E-3</v>
      </c>
      <c r="E17" s="132">
        <v>5.0168709739302425E-3</v>
      </c>
      <c r="F17" s="132">
        <v>2.9513211969155882E-2</v>
      </c>
      <c r="G17" s="132">
        <v>1.8406666028215498E-2</v>
      </c>
      <c r="H17" s="132">
        <v>3.062906852812337E-2</v>
      </c>
      <c r="I17" s="132">
        <v>3.3085647374983804E-2</v>
      </c>
      <c r="J17" s="132">
        <v>1.812550943805347E-2</v>
      </c>
      <c r="K17" s="132">
        <v>2.3101612892924516E-2</v>
      </c>
      <c r="L17" s="132">
        <v>1.1667303001313547E-2</v>
      </c>
      <c r="M17" s="132">
        <v>1.5626443902542239E-2</v>
      </c>
      <c r="N17" s="132">
        <v>7.2544576815260298E-3</v>
      </c>
      <c r="O17" s="132">
        <v>2.6764206317860445E-2</v>
      </c>
      <c r="P17" s="132">
        <v>2.4071081718178376E-2</v>
      </c>
      <c r="Q17" s="132">
        <v>3.4551494352650383E-2</v>
      </c>
      <c r="R17" s="132">
        <v>6.8739975391874666E-2</v>
      </c>
      <c r="S17" s="132">
        <v>6.6040400034105509E-2</v>
      </c>
      <c r="T17" s="132">
        <v>5.8156955029105901E-2</v>
      </c>
      <c r="U17" s="132">
        <v>5.2476375328227104E-2</v>
      </c>
      <c r="V17" s="132">
        <v>4.1621638867713993E-2</v>
      </c>
      <c r="W17" s="132">
        <v>2.1131770408329541E-2</v>
      </c>
      <c r="X17" s="132">
        <v>4.9141783903944643E-2</v>
      </c>
      <c r="Y17" s="132">
        <v>4.3005653204117075E-2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5.4309874822170885</v>
      </c>
      <c r="D18" s="132">
        <v>2.3436601928454333</v>
      </c>
      <c r="E18" s="132">
        <v>2.3490863825580899</v>
      </c>
      <c r="F18" s="132">
        <v>2.9092396091405273</v>
      </c>
      <c r="G18" s="132">
        <v>3.4652562382830334</v>
      </c>
      <c r="H18" s="132">
        <v>4.8799477164962077</v>
      </c>
      <c r="I18" s="132">
        <v>2.6773995116761027</v>
      </c>
      <c r="J18" s="132">
        <v>1.6184361475718172</v>
      </c>
      <c r="K18" s="132">
        <v>1.0696561332464993</v>
      </c>
      <c r="L18" s="132">
        <v>1.3279588123323587</v>
      </c>
      <c r="M18" s="132">
        <v>0.84056714393027054</v>
      </c>
      <c r="N18" s="132">
        <v>0.54185757143394486</v>
      </c>
      <c r="O18" s="132">
        <v>1.0859342899341922</v>
      </c>
      <c r="P18" s="132">
        <v>0.92081550254800748</v>
      </c>
      <c r="Q18" s="132">
        <v>0.98412181620172923</v>
      </c>
      <c r="R18" s="132">
        <v>1.4851546972637411</v>
      </c>
      <c r="S18" s="132">
        <v>1.7090899370127737</v>
      </c>
      <c r="T18" s="132">
        <v>1.3738767264004321</v>
      </c>
      <c r="U18" s="132">
        <v>1.0022973927934113</v>
      </c>
      <c r="V18" s="132">
        <v>1.3192086514761558</v>
      </c>
      <c r="W18" s="132">
        <v>0.7369425520015811</v>
      </c>
      <c r="X18" s="132">
        <v>1.2967043520202577</v>
      </c>
      <c r="Y18" s="132">
        <v>1.0372478104121983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6.7897939005328958</v>
      </c>
      <c r="D19" s="130">
        <f t="shared" si="9"/>
        <v>3.3440876167690119</v>
      </c>
      <c r="E19" s="130">
        <f t="shared" si="9"/>
        <v>2.5442932942887193</v>
      </c>
      <c r="F19" s="130">
        <f t="shared" si="9"/>
        <v>3.9596712495028159</v>
      </c>
      <c r="G19" s="130">
        <f t="shared" si="9"/>
        <v>4.1346524715796225</v>
      </c>
      <c r="H19" s="130">
        <f t="shared" si="9"/>
        <v>5.4881051112280099</v>
      </c>
      <c r="I19" s="130">
        <f t="shared" si="9"/>
        <v>4.5925599739444456</v>
      </c>
      <c r="J19" s="130">
        <f t="shared" si="9"/>
        <v>2.6906953575833068</v>
      </c>
      <c r="K19" s="130">
        <f t="shared" si="9"/>
        <v>1.5937203339027903</v>
      </c>
      <c r="L19" s="130">
        <f t="shared" si="9"/>
        <v>1.4604000146618317</v>
      </c>
      <c r="M19" s="130">
        <f t="shared" si="9"/>
        <v>1.5424043073344005</v>
      </c>
      <c r="N19" s="130">
        <f t="shared" si="9"/>
        <v>1.0035544707079613</v>
      </c>
      <c r="O19" s="130">
        <f t="shared" si="9"/>
        <v>1.6407575462467197</v>
      </c>
      <c r="P19" s="130">
        <f t="shared" si="9"/>
        <v>2.0216123206422729</v>
      </c>
      <c r="Q19" s="130">
        <f t="shared" si="9"/>
        <v>1.922876585702014</v>
      </c>
      <c r="R19" s="130">
        <f t="shared" ref="R19:W19" si="10">SUM(R20:R27)</f>
        <v>2.0264845010643922</v>
      </c>
      <c r="S19" s="130">
        <f t="shared" si="10"/>
        <v>2.500495616017175</v>
      </c>
      <c r="T19" s="130">
        <f t="shared" si="10"/>
        <v>2.4347259026678314</v>
      </c>
      <c r="U19" s="130">
        <f t="shared" si="10"/>
        <v>2.2806456083299964</v>
      </c>
      <c r="V19" s="130">
        <f t="shared" si="10"/>
        <v>1.8617426341627779</v>
      </c>
      <c r="W19" s="130">
        <f t="shared" si="10"/>
        <v>1.8593906721983331</v>
      </c>
      <c r="X19" s="130">
        <f t="shared" ref="X19:Y19" si="11">SUM(X20:X27)</f>
        <v>1.7285505434594646</v>
      </c>
      <c r="Y19" s="130">
        <f t="shared" si="11"/>
        <v>1.7474540282105884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9.6938527087763113E-2</v>
      </c>
      <c r="D21" s="132">
        <v>7.5679087025464303E-2</v>
      </c>
      <c r="E21" s="132">
        <v>8.9551839907257125E-2</v>
      </c>
      <c r="F21" s="132">
        <v>0.17693278199418008</v>
      </c>
      <c r="G21" s="132">
        <v>0.20492886205482091</v>
      </c>
      <c r="H21" s="132">
        <v>0.26422210043523614</v>
      </c>
      <c r="I21" s="132">
        <v>0.24356639679308043</v>
      </c>
      <c r="J21" s="132">
        <v>0.13052142555147797</v>
      </c>
      <c r="K21" s="132">
        <v>8.8843190931176264E-2</v>
      </c>
      <c r="L21" s="132">
        <v>6.4548503183986167E-2</v>
      </c>
      <c r="M21" s="132">
        <v>7.5850903463352298E-2</v>
      </c>
      <c r="N21" s="132">
        <v>5.2255126326490681E-2</v>
      </c>
      <c r="O21" s="132">
        <v>8.1347085813639836E-2</v>
      </c>
      <c r="P21" s="132">
        <v>6.4961210318735002E-2</v>
      </c>
      <c r="Q21" s="132">
        <v>7.2653381935394459E-2</v>
      </c>
      <c r="R21" s="132">
        <v>7.9608275534401085E-2</v>
      </c>
      <c r="S21" s="132">
        <v>9.8588121786097702E-2</v>
      </c>
      <c r="T21" s="132">
        <v>0.12245069432962577</v>
      </c>
      <c r="U21" s="132">
        <v>0.11656553956213352</v>
      </c>
      <c r="V21" s="132">
        <v>6.1604416837961751E-2</v>
      </c>
      <c r="W21" s="132">
        <v>8.523592090428915E-2</v>
      </c>
      <c r="X21" s="132">
        <v>4.3464965860128456E-2</v>
      </c>
      <c r="Y21" s="132">
        <v>5.8661865831197209E-2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0.60655997694278174</v>
      </c>
      <c r="D22" s="132">
        <v>0.17884669469380673</v>
      </c>
      <c r="E22" s="132">
        <v>0.29500979777479974</v>
      </c>
      <c r="F22" s="132">
        <v>0.58002127931632264</v>
      </c>
      <c r="G22" s="132">
        <v>0.78364824634150709</v>
      </c>
      <c r="H22" s="132">
        <v>1.046338691339094</v>
      </c>
      <c r="I22" s="132">
        <v>0.87063553458536647</v>
      </c>
      <c r="J22" s="132">
        <v>0.45392189961661789</v>
      </c>
      <c r="K22" s="132">
        <v>0.32410280172234246</v>
      </c>
      <c r="L22" s="132">
        <v>0.31867860083941529</v>
      </c>
      <c r="M22" s="132">
        <v>0.41168325724629629</v>
      </c>
      <c r="N22" s="132">
        <v>0.28712063099813484</v>
      </c>
      <c r="O22" s="132">
        <v>0.44499247646543605</v>
      </c>
      <c r="P22" s="132">
        <v>0.23866190164858478</v>
      </c>
      <c r="Q22" s="132">
        <v>0.24994586078668896</v>
      </c>
      <c r="R22" s="132">
        <v>0.28785135049431576</v>
      </c>
      <c r="S22" s="132">
        <v>0.43605707634795959</v>
      </c>
      <c r="T22" s="132">
        <v>0.54425157675419256</v>
      </c>
      <c r="U22" s="132">
        <v>0.54461300640601962</v>
      </c>
      <c r="V22" s="132">
        <v>0.41678634498878497</v>
      </c>
      <c r="W22" s="132">
        <v>0.42055080830490094</v>
      </c>
      <c r="X22" s="132">
        <v>0.27841936046091409</v>
      </c>
      <c r="Y22" s="132">
        <v>0.28288750946904134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0.59338859061083726</v>
      </c>
      <c r="D23" s="132">
        <v>0.36712569086278385</v>
      </c>
      <c r="E23" s="132">
        <v>0.29614392156793728</v>
      </c>
      <c r="F23" s="132">
        <v>0.46235515616458078</v>
      </c>
      <c r="G23" s="132">
        <v>0.60110287178663857</v>
      </c>
      <c r="H23" s="132">
        <v>0.82039179893073688</v>
      </c>
      <c r="I23" s="132">
        <v>0.79963173986876357</v>
      </c>
      <c r="J23" s="132">
        <v>0.45573776066768285</v>
      </c>
      <c r="K23" s="132">
        <v>0.29353101545183657</v>
      </c>
      <c r="L23" s="132">
        <v>0.2581266939124876</v>
      </c>
      <c r="M23" s="132">
        <v>0.28340278008762659</v>
      </c>
      <c r="N23" s="132">
        <v>0.1839785762799854</v>
      </c>
      <c r="O23" s="132">
        <v>0.28583683576841085</v>
      </c>
      <c r="P23" s="132">
        <v>0.46328232263494029</v>
      </c>
      <c r="Q23" s="132">
        <v>0.47648141155924723</v>
      </c>
      <c r="R23" s="132">
        <v>0.549773382988336</v>
      </c>
      <c r="S23" s="132">
        <v>0.64937041598202849</v>
      </c>
      <c r="T23" s="132">
        <v>0.59939006138993067</v>
      </c>
      <c r="U23" s="132">
        <v>0.47383558561963723</v>
      </c>
      <c r="V23" s="132">
        <v>0.2291765563801389</v>
      </c>
      <c r="W23" s="132">
        <v>0.34298610566612625</v>
      </c>
      <c r="X23" s="132">
        <v>0.25097740856202433</v>
      </c>
      <c r="Y23" s="132">
        <v>0.363517223849745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0.17747431773090003</v>
      </c>
      <c r="D25" s="132">
        <v>0.10898948265915884</v>
      </c>
      <c r="E25" s="132">
        <v>5.715967567869612E-2</v>
      </c>
      <c r="F25" s="132">
        <v>2.2969209200612434E-2</v>
      </c>
      <c r="G25" s="132">
        <v>0</v>
      </c>
      <c r="H25" s="132">
        <v>0</v>
      </c>
      <c r="I25" s="132">
        <v>8.6624936316955566E-4</v>
      </c>
      <c r="J25" s="132">
        <v>0</v>
      </c>
      <c r="K25" s="132">
        <v>0</v>
      </c>
      <c r="L25" s="132">
        <v>1.6986575258914755E-3</v>
      </c>
      <c r="M25" s="132">
        <v>2.5912943373729059E-2</v>
      </c>
      <c r="N25" s="132">
        <v>3.0257222512039304E-2</v>
      </c>
      <c r="O25" s="132">
        <v>5.9562732828877127E-2</v>
      </c>
      <c r="P25" s="132">
        <v>7.8711546711010549E-2</v>
      </c>
      <c r="Q25" s="132">
        <v>5.2809256242520579E-2</v>
      </c>
      <c r="R25" s="132">
        <v>2.964830980643186E-2</v>
      </c>
      <c r="S25" s="132">
        <v>3.0919919657396034E-2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4.4811919305138002</v>
      </c>
      <c r="D26" s="65">
        <v>1.9115793867758839</v>
      </c>
      <c r="E26" s="65">
        <v>1.4258199074418307</v>
      </c>
      <c r="F26" s="65">
        <v>1.9977577054041633</v>
      </c>
      <c r="G26" s="65">
        <v>1.0394421533309879</v>
      </c>
      <c r="H26" s="65">
        <v>2.5516452898993642</v>
      </c>
      <c r="I26" s="65">
        <v>1.4137214478502327</v>
      </c>
      <c r="J26" s="65">
        <v>0.34251046556518411</v>
      </c>
      <c r="K26" s="65">
        <v>0.20095417299749518</v>
      </c>
      <c r="L26" s="65">
        <v>9.0188527185556852E-2</v>
      </c>
      <c r="M26" s="65">
        <v>1.7793157463741563E-2</v>
      </c>
      <c r="N26" s="65">
        <v>5.4974489404763047E-3</v>
      </c>
      <c r="O26" s="65">
        <v>9.3325152137447298E-3</v>
      </c>
      <c r="P26" s="65">
        <v>1.389567460591604E-2</v>
      </c>
      <c r="Q26" s="65">
        <v>1.2369072103594397E-2</v>
      </c>
      <c r="R26" s="65">
        <v>1.2094257235147178E-2</v>
      </c>
      <c r="S26" s="65">
        <v>1.3597991358087317E-2</v>
      </c>
      <c r="T26" s="65">
        <v>1.1659048782613897E-2</v>
      </c>
      <c r="U26" s="65">
        <v>1.0824951161407649E-2</v>
      </c>
      <c r="V26" s="65">
        <v>8.0424432971704669E-3</v>
      </c>
      <c r="W26" s="65">
        <v>9.1331429112651574E-3</v>
      </c>
      <c r="X26" s="65">
        <v>1.0216638275026628E-2</v>
      </c>
      <c r="Y26" s="65">
        <v>1.0197983598015622E-2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0.83424055764681326</v>
      </c>
      <c r="D27" s="147">
        <v>0.70186727475191413</v>
      </c>
      <c r="E27" s="147">
        <v>0.38060815191819852</v>
      </c>
      <c r="F27" s="147">
        <v>0.71963511742295716</v>
      </c>
      <c r="G27" s="147">
        <v>1.5055303380656677</v>
      </c>
      <c r="H27" s="147">
        <v>0.80550723062357843</v>
      </c>
      <c r="I27" s="147">
        <v>1.2641386054838328</v>
      </c>
      <c r="J27" s="147">
        <v>1.308003806182344</v>
      </c>
      <c r="K27" s="147">
        <v>0.68628915279993985</v>
      </c>
      <c r="L27" s="147">
        <v>0.72715903201449428</v>
      </c>
      <c r="M27" s="147">
        <v>0.72776126569965471</v>
      </c>
      <c r="N27" s="147">
        <v>0.4444454656508347</v>
      </c>
      <c r="O27" s="147">
        <v>0.75968590015661097</v>
      </c>
      <c r="P27" s="147">
        <v>1.1620996647230861</v>
      </c>
      <c r="Q27" s="147">
        <v>1.0586176030745684</v>
      </c>
      <c r="R27" s="147">
        <v>1.0675089250057601</v>
      </c>
      <c r="S27" s="147">
        <v>1.2719620908856062</v>
      </c>
      <c r="T27" s="147">
        <v>1.1569745214114686</v>
      </c>
      <c r="U27" s="147">
        <v>1.1348065255807984</v>
      </c>
      <c r="V27" s="147">
        <v>1.1461328726587219</v>
      </c>
      <c r="W27" s="147">
        <v>1.0014846944117517</v>
      </c>
      <c r="X27" s="147">
        <v>1.1454721703013711</v>
      </c>
      <c r="Y27" s="147">
        <v>1.0321894454625891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6.5178735681224609</v>
      </c>
      <c r="D29" s="130">
        <f t="shared" si="12"/>
        <v>3.9800920831734974</v>
      </c>
      <c r="E29" s="130">
        <f t="shared" si="12"/>
        <v>2.9508831280833778</v>
      </c>
      <c r="F29" s="130">
        <f t="shared" si="12"/>
        <v>4.6956684799907986</v>
      </c>
      <c r="G29" s="130">
        <f t="shared" si="12"/>
        <v>6.093554485308629</v>
      </c>
      <c r="H29" s="130">
        <f t="shared" si="12"/>
        <v>6.207580142857684</v>
      </c>
      <c r="I29" s="130">
        <f t="shared" si="12"/>
        <v>5.4406943908823902</v>
      </c>
      <c r="J29" s="130">
        <f t="shared" si="12"/>
        <v>3.2526611229653266</v>
      </c>
      <c r="K29" s="130">
        <f t="shared" si="12"/>
        <v>1.6990868875514615</v>
      </c>
      <c r="L29" s="130">
        <f t="shared" si="12"/>
        <v>1.9108923338238493</v>
      </c>
      <c r="M29" s="130">
        <f t="shared" si="12"/>
        <v>1.8852303145289804</v>
      </c>
      <c r="N29" s="130">
        <f t="shared" si="12"/>
        <v>2.1029647948960295</v>
      </c>
      <c r="O29" s="130">
        <f t="shared" si="12"/>
        <v>2.1199058694848389</v>
      </c>
      <c r="P29" s="130">
        <f t="shared" si="12"/>
        <v>3.353717745716875</v>
      </c>
      <c r="Q29" s="130">
        <f t="shared" si="12"/>
        <v>2.9546783697154497</v>
      </c>
      <c r="R29" s="130">
        <f t="shared" ref="R29:W29" si="13">SUM(R30:R33)</f>
        <v>2.8009377947826382</v>
      </c>
      <c r="S29" s="130">
        <f t="shared" si="13"/>
        <v>3.3980166202086259</v>
      </c>
      <c r="T29" s="130">
        <f t="shared" si="13"/>
        <v>3.2702879473043769</v>
      </c>
      <c r="U29" s="130">
        <f t="shared" si="13"/>
        <v>2.619878734566544</v>
      </c>
      <c r="V29" s="130">
        <f t="shared" si="13"/>
        <v>2.3975681971358975</v>
      </c>
      <c r="W29" s="130">
        <f t="shared" si="13"/>
        <v>2.2632237734667413</v>
      </c>
      <c r="X29" s="130">
        <f t="shared" ref="X29:Y29" si="14">SUM(X30:X33)</f>
        <v>2.3605665681908543</v>
      </c>
      <c r="Y29" s="130">
        <f t="shared" si="14"/>
        <v>2.733593319966845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0.79773954760851806</v>
      </c>
      <c r="D30" s="132">
        <v>2.1366214262901071</v>
      </c>
      <c r="E30" s="132">
        <v>1.6685186464273667</v>
      </c>
      <c r="F30" s="132">
        <v>2.9248935968322294</v>
      </c>
      <c r="G30" s="132">
        <v>4.4436950395312049</v>
      </c>
      <c r="H30" s="132">
        <v>2.2484734536204694</v>
      </c>
      <c r="I30" s="132">
        <v>1.9766673550224914</v>
      </c>
      <c r="J30" s="132">
        <v>0.46688125242841372</v>
      </c>
      <c r="K30" s="132">
        <v>0</v>
      </c>
      <c r="L30" s="132">
        <v>0</v>
      </c>
      <c r="M30" s="132">
        <v>0</v>
      </c>
      <c r="N30" s="132">
        <v>8.2830451043592159E-4</v>
      </c>
      <c r="O30" s="132">
        <v>0.58672883504609663</v>
      </c>
      <c r="P30" s="132">
        <v>2.3914558068910252</v>
      </c>
      <c r="Q30" s="132">
        <v>1.7102630790029809</v>
      </c>
      <c r="R30" s="132">
        <v>1.1638369208114374</v>
      </c>
      <c r="S30" s="132">
        <v>1.1563018284187485</v>
      </c>
      <c r="T30" s="132">
        <v>1.2222586725751916</v>
      </c>
      <c r="U30" s="132">
        <v>8.8016036102355602E-2</v>
      </c>
      <c r="V30" s="132">
        <v>0</v>
      </c>
      <c r="W30" s="132">
        <v>0</v>
      </c>
      <c r="X30" s="132">
        <v>0.39266775991206271</v>
      </c>
      <c r="Y30" s="132">
        <v>0.9997923702519621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0.52651159673074988</v>
      </c>
      <c r="D31" s="132">
        <v>0.37610335640425369</v>
      </c>
      <c r="E31" s="132">
        <v>0.32450098333172239</v>
      </c>
      <c r="F31" s="132">
        <v>0.61697913022323136</v>
      </c>
      <c r="G31" s="132">
        <v>0.69035770028121213</v>
      </c>
      <c r="H31" s="132">
        <v>0.71370498438054653</v>
      </c>
      <c r="I31" s="132">
        <v>0.61927809173229487</v>
      </c>
      <c r="J31" s="132">
        <v>0.47521676832159632</v>
      </c>
      <c r="K31" s="132">
        <v>0.33116208889570908</v>
      </c>
      <c r="L31" s="132">
        <v>0.32303871426874958</v>
      </c>
      <c r="M31" s="132">
        <v>0.58063608594249638</v>
      </c>
      <c r="N31" s="132">
        <v>0.29034930665947389</v>
      </c>
      <c r="O31" s="132">
        <v>1.1992489590416453</v>
      </c>
      <c r="P31" s="132">
        <v>0.80581387772062818</v>
      </c>
      <c r="Q31" s="132">
        <v>0.71811346153745503</v>
      </c>
      <c r="R31" s="132">
        <v>0.56543526852933912</v>
      </c>
      <c r="S31" s="132">
        <v>0.6953682697896616</v>
      </c>
      <c r="T31" s="132">
        <v>0.67999227205368851</v>
      </c>
      <c r="U31" s="132">
        <v>0.69607086228208548</v>
      </c>
      <c r="V31" s="132">
        <v>0.39739244276966973</v>
      </c>
      <c r="W31" s="132">
        <v>0.27520927865827549</v>
      </c>
      <c r="X31" s="132">
        <v>0.16912357680256401</v>
      </c>
      <c r="Y31" s="132">
        <v>0.60636222719652932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1.8117871837261197</v>
      </c>
      <c r="O32" s="132">
        <v>0.19440177797557395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0.10462298729791757</v>
      </c>
      <c r="X32" s="132">
        <v>0.4303543799601498</v>
      </c>
      <c r="Y32" s="132">
        <v>0.56628351152006018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5.1936224237831929</v>
      </c>
      <c r="D33" s="68">
        <v>1.4673673004791368</v>
      </c>
      <c r="E33" s="68">
        <v>0.95786349832428863</v>
      </c>
      <c r="F33" s="68">
        <v>1.1537957529353382</v>
      </c>
      <c r="G33" s="68">
        <v>0.95950174549621192</v>
      </c>
      <c r="H33" s="68">
        <v>3.2454017048566683</v>
      </c>
      <c r="I33" s="68">
        <v>2.8447489441276033</v>
      </c>
      <c r="J33" s="68">
        <v>2.3105631022153168</v>
      </c>
      <c r="K33" s="68">
        <v>1.3679247986557523</v>
      </c>
      <c r="L33" s="68">
        <v>1.5878536195550996</v>
      </c>
      <c r="M33" s="68">
        <v>1.304594228586484</v>
      </c>
      <c r="N33" s="68">
        <v>0</v>
      </c>
      <c r="O33" s="68">
        <v>0.13952629742152303</v>
      </c>
      <c r="P33" s="68">
        <v>0.15644806110522164</v>
      </c>
      <c r="Q33" s="68">
        <v>0.52630182917501378</v>
      </c>
      <c r="R33" s="68">
        <v>1.0716656054418618</v>
      </c>
      <c r="S33" s="68">
        <v>1.5463465220002157</v>
      </c>
      <c r="T33" s="68">
        <v>1.3680370026754969</v>
      </c>
      <c r="U33" s="68">
        <v>1.8357918361821028</v>
      </c>
      <c r="V33" s="68">
        <v>2.0001757543662277</v>
      </c>
      <c r="W33" s="68">
        <v>1.8833915075105481</v>
      </c>
      <c r="X33" s="68">
        <v>1.3684208515160778</v>
      </c>
      <c r="Y33" s="68">
        <v>0.56115521099829346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30.310035412335271</v>
      </c>
      <c r="D3" s="125">
        <f t="shared" si="0"/>
        <v>14.948287636644434</v>
      </c>
      <c r="E3" s="125">
        <f t="shared" si="0"/>
        <v>13.957898378459241</v>
      </c>
      <c r="F3" s="125">
        <f t="shared" si="0"/>
        <v>20.755308038302541</v>
      </c>
      <c r="G3" s="125">
        <f t="shared" si="0"/>
        <v>26.430677220106077</v>
      </c>
      <c r="H3" s="125">
        <f t="shared" si="0"/>
        <v>34.744053339296521</v>
      </c>
      <c r="I3" s="125">
        <f t="shared" si="0"/>
        <v>27.012087384070394</v>
      </c>
      <c r="J3" s="125">
        <f t="shared" si="0"/>
        <v>17.659816415671596</v>
      </c>
      <c r="K3" s="125">
        <f t="shared" si="0"/>
        <v>10.361254830232847</v>
      </c>
      <c r="L3" s="125">
        <f t="shared" si="0"/>
        <v>11.173393254686671</v>
      </c>
      <c r="M3" s="125">
        <f t="shared" si="0"/>
        <v>9.9573470237434201</v>
      </c>
      <c r="N3" s="125">
        <f t="shared" si="0"/>
        <v>7.0125107364085322</v>
      </c>
      <c r="O3" s="125">
        <f t="shared" si="0"/>
        <v>11.450169579004511</v>
      </c>
      <c r="P3" s="125">
        <f t="shared" si="0"/>
        <v>15.323511458054028</v>
      </c>
      <c r="Q3" s="125">
        <f t="shared" si="0"/>
        <v>14.89155884625775</v>
      </c>
      <c r="R3" s="125">
        <f t="shared" ref="R3:W3" si="1">SUM(R4,R16,R19,R29)</f>
        <v>16.908167770437736</v>
      </c>
      <c r="S3" s="125">
        <f t="shared" si="1"/>
        <v>19.913164559635312</v>
      </c>
      <c r="T3" s="125">
        <f t="shared" si="1"/>
        <v>19.407143775146153</v>
      </c>
      <c r="U3" s="125">
        <f t="shared" si="1"/>
        <v>16.713214090930599</v>
      </c>
      <c r="V3" s="125">
        <f t="shared" si="1"/>
        <v>16.287368833542914</v>
      </c>
      <c r="W3" s="125">
        <f t="shared" si="1"/>
        <v>12.991131329563149</v>
      </c>
      <c r="X3" s="125">
        <f t="shared" ref="X3:Y3" si="2">SUM(X4,X16,X19,X29)</f>
        <v>16.002478047503338</v>
      </c>
      <c r="Y3" s="125">
        <f t="shared" si="2"/>
        <v>15.193294791431462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9.1214698159816034</v>
      </c>
      <c r="D4" s="130">
        <f t="shared" si="3"/>
        <v>4.7106394541708223</v>
      </c>
      <c r="E4" s="130">
        <f t="shared" si="3"/>
        <v>4.7429338495644355</v>
      </c>
      <c r="F4" s="130">
        <f t="shared" si="3"/>
        <v>7.9160311508154724</v>
      </c>
      <c r="G4" s="130">
        <f t="shared" si="3"/>
        <v>10.780597580883081</v>
      </c>
      <c r="H4" s="130">
        <f t="shared" si="3"/>
        <v>13.761931823528299</v>
      </c>
      <c r="I4" s="130">
        <f t="shared" si="3"/>
        <v>12.684107837098793</v>
      </c>
      <c r="J4" s="130">
        <f t="shared" si="3"/>
        <v>8.5918898847471148</v>
      </c>
      <c r="K4" s="130">
        <f t="shared" si="3"/>
        <v>4.6828983026049569</v>
      </c>
      <c r="L4" s="130">
        <f t="shared" si="3"/>
        <v>4.483531325969885</v>
      </c>
      <c r="M4" s="130">
        <f t="shared" si="3"/>
        <v>4.7108431802295332</v>
      </c>
      <c r="N4" s="130">
        <f t="shared" si="3"/>
        <v>3.1534414350311115</v>
      </c>
      <c r="O4" s="130">
        <f t="shared" si="3"/>
        <v>5.0051049243613681</v>
      </c>
      <c r="P4" s="130">
        <f t="shared" si="3"/>
        <v>8.2455468397892968</v>
      </c>
      <c r="Q4" s="130">
        <f t="shared" si="3"/>
        <v>7.6394000507542348</v>
      </c>
      <c r="R4" s="130">
        <f t="shared" ref="R4:W4" si="4">SUM(R5:R15)</f>
        <v>7.3262159429564102</v>
      </c>
      <c r="S4" s="130">
        <f t="shared" si="4"/>
        <v>8.4405223205984505</v>
      </c>
      <c r="T4" s="130">
        <f t="shared" si="4"/>
        <v>9.3900735525268519</v>
      </c>
      <c r="U4" s="130">
        <f t="shared" si="4"/>
        <v>8.5203839694209638</v>
      </c>
      <c r="V4" s="130">
        <f t="shared" si="4"/>
        <v>7.1243094131959985</v>
      </c>
      <c r="W4" s="130">
        <f t="shared" si="4"/>
        <v>6.379345880684089</v>
      </c>
      <c r="X4" s="130">
        <f t="shared" ref="X4:Y4" si="5">SUM(X5:X15)</f>
        <v>7.1051911069310849</v>
      </c>
      <c r="Y4" s="130">
        <f t="shared" si="5"/>
        <v>7.3927143428740658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5.0562562776431994</v>
      </c>
      <c r="D7" s="132">
        <v>0.71695825794520107</v>
      </c>
      <c r="E7" s="132">
        <v>0.45913277209627884</v>
      </c>
      <c r="F7" s="132">
        <v>1.8842386497129104</v>
      </c>
      <c r="G7" s="132">
        <v>1.1427403998209655</v>
      </c>
      <c r="H7" s="132">
        <v>0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0</v>
      </c>
      <c r="O7" s="132">
        <v>0.77108538933178117</v>
      </c>
      <c r="P7" s="132">
        <v>0</v>
      </c>
      <c r="Q7" s="132">
        <v>0</v>
      </c>
      <c r="R7" s="132">
        <v>0.2114208844811136</v>
      </c>
      <c r="S7" s="132">
        <v>0.85641078010270988</v>
      </c>
      <c r="T7" s="132">
        <v>0.23682049431667279</v>
      </c>
      <c r="U7" s="132">
        <v>0.8744269185535497</v>
      </c>
      <c r="V7" s="132">
        <v>0</v>
      </c>
      <c r="W7" s="132">
        <v>0</v>
      </c>
      <c r="X7" s="132">
        <v>0</v>
      </c>
      <c r="Y7" s="132">
        <v>0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1.4878584391286875E-2</v>
      </c>
      <c r="D8" s="132">
        <v>1.3588630103439445E-2</v>
      </c>
      <c r="E8" s="132">
        <v>7.0534790450123312E-3</v>
      </c>
      <c r="F8" s="132">
        <v>4.2736472185831102E-3</v>
      </c>
      <c r="G8" s="132">
        <v>6.8523581287188206E-3</v>
      </c>
      <c r="H8" s="132">
        <v>2.9555665325291438E-2</v>
      </c>
      <c r="I8" s="132">
        <v>3.56538328622844E-2</v>
      </c>
      <c r="J8" s="132">
        <v>3.5909128596562367E-2</v>
      </c>
      <c r="K8" s="132">
        <v>2.4323462574048108E-2</v>
      </c>
      <c r="L8" s="132">
        <v>2.2571952926108904E-2</v>
      </c>
      <c r="M8" s="132">
        <v>2.863810128722204E-2</v>
      </c>
      <c r="N8" s="132">
        <v>1.732822677862874E-2</v>
      </c>
      <c r="O8" s="132">
        <v>2.8852631866096393E-2</v>
      </c>
      <c r="P8" s="132">
        <v>2.9098489793836609E-2</v>
      </c>
      <c r="Q8" s="132">
        <v>3.0499949477135919E-2</v>
      </c>
      <c r="R8" s="132">
        <v>1.4749531315151471E-2</v>
      </c>
      <c r="S8" s="132">
        <v>5.512504551454623E-3</v>
      </c>
      <c r="T8" s="132">
        <v>4.0074544620703426E-3</v>
      </c>
      <c r="U8" s="132">
        <v>1.7116625204392531E-2</v>
      </c>
      <c r="V8" s="132">
        <v>2.6824670165479948E-2</v>
      </c>
      <c r="W8" s="132">
        <v>3.1001116037327574E-2</v>
      </c>
      <c r="X8" s="132">
        <v>3.0771342385207446E-2</v>
      </c>
      <c r="Y8" s="132">
        <v>2.9595663502944722E-2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1.6448305207048213</v>
      </c>
      <c r="D9" s="132">
        <v>1.2389474347759413</v>
      </c>
      <c r="E9" s="132">
        <v>0.43305981183797027</v>
      </c>
      <c r="F9" s="132">
        <v>0.40574087816433724</v>
      </c>
      <c r="G9" s="132">
        <v>0</v>
      </c>
      <c r="H9" s="132">
        <v>0.96919792739816102</v>
      </c>
      <c r="I9" s="132">
        <v>1.2325721016591311</v>
      </c>
      <c r="J9" s="132">
        <v>1.0855406163814649</v>
      </c>
      <c r="K9" s="132">
        <v>0.75300324266418828</v>
      </c>
      <c r="L9" s="132">
        <v>0.37239279708862749</v>
      </c>
      <c r="M9" s="132">
        <v>0.5154358415083965</v>
      </c>
      <c r="N9" s="132">
        <v>0.16471295341976108</v>
      </c>
      <c r="O9" s="132">
        <v>0.17319660762213376</v>
      </c>
      <c r="P9" s="132">
        <v>0</v>
      </c>
      <c r="Q9" s="132">
        <v>1.1788149054008894</v>
      </c>
      <c r="R9" s="132">
        <v>1.7871663515191731</v>
      </c>
      <c r="S9" s="132">
        <v>1.3875886936517245</v>
      </c>
      <c r="T9" s="132">
        <v>0.50912678802844802</v>
      </c>
      <c r="U9" s="132">
        <v>0</v>
      </c>
      <c r="V9" s="132">
        <v>0.30599788113941079</v>
      </c>
      <c r="W9" s="132">
        <v>0.29005713005073036</v>
      </c>
      <c r="X9" s="132">
        <v>0.49023015312080492</v>
      </c>
      <c r="Y9" s="132">
        <v>0.30102080528898673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0.51029566996852371</v>
      </c>
      <c r="N10" s="132">
        <v>6.7819269212355801E-2</v>
      </c>
      <c r="O10" s="132">
        <v>0</v>
      </c>
      <c r="P10" s="132">
        <v>0</v>
      </c>
      <c r="Q10" s="132">
        <v>0</v>
      </c>
      <c r="R10" s="132">
        <v>2.4609524858230022E-2</v>
      </c>
      <c r="S10" s="132">
        <v>4.0827934872601446E-2</v>
      </c>
      <c r="T10" s="132">
        <v>0</v>
      </c>
      <c r="U10" s="132">
        <v>0</v>
      </c>
      <c r="V10" s="132">
        <v>0</v>
      </c>
      <c r="W10" s="132">
        <v>1.3597018766466899E-2</v>
      </c>
      <c r="X10" s="132">
        <v>3.5236495207928924E-2</v>
      </c>
      <c r="Y10" s="132">
        <v>2.3739177411639854E-2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2.6524239000118672E-3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1.0778194940857152E-2</v>
      </c>
      <c r="K11" s="132">
        <v>1.4082283598366481E-2</v>
      </c>
      <c r="L11" s="132">
        <v>1.2383656453841114E-2</v>
      </c>
      <c r="M11" s="132">
        <v>2.3902452817611684E-2</v>
      </c>
      <c r="N11" s="132">
        <v>9.332300747152418E-3</v>
      </c>
      <c r="O11" s="132">
        <v>4.3720561256707048E-3</v>
      </c>
      <c r="P11" s="132">
        <v>0</v>
      </c>
      <c r="Q11" s="132">
        <v>1.7526538314312377E-3</v>
      </c>
      <c r="R11" s="132">
        <v>4.5369654559283355E-3</v>
      </c>
      <c r="S11" s="132">
        <v>1.0440866515490217E-2</v>
      </c>
      <c r="T11" s="132">
        <v>5.9300049277708202E-3</v>
      </c>
      <c r="U11" s="132">
        <v>2.2295627818610928E-3</v>
      </c>
      <c r="V11" s="132">
        <v>2.6931372279139523E-4</v>
      </c>
      <c r="W11" s="132">
        <v>5.9385436787813698E-3</v>
      </c>
      <c r="X11" s="132">
        <v>1.5078531930782856E-2</v>
      </c>
      <c r="Y11" s="132">
        <v>1.7000969400128713E-2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0.39574077986398853</v>
      </c>
      <c r="D12" s="132">
        <v>0.29188404406146212</v>
      </c>
      <c r="E12" s="132">
        <v>7.635968987943699E-2</v>
      </c>
      <c r="F12" s="132">
        <v>3.8067105529557423E-2</v>
      </c>
      <c r="G12" s="132">
        <v>0</v>
      </c>
      <c r="H12" s="132">
        <v>0</v>
      </c>
      <c r="I12" s="132">
        <v>0</v>
      </c>
      <c r="J12" s="132">
        <v>7.0066599813877917E-2</v>
      </c>
      <c r="K12" s="132">
        <v>7.0403539414720856E-2</v>
      </c>
      <c r="L12" s="132">
        <v>0.17961955631858564</v>
      </c>
      <c r="M12" s="132">
        <v>0.15311576468696589</v>
      </c>
      <c r="N12" s="132">
        <v>0.18177326413141187</v>
      </c>
      <c r="O12" s="132">
        <v>0.13686022516609225</v>
      </c>
      <c r="P12" s="132">
        <v>0</v>
      </c>
      <c r="Q12" s="132">
        <v>5.4370576907993243E-3</v>
      </c>
      <c r="R12" s="132">
        <v>0.12878028561760199</v>
      </c>
      <c r="S12" s="132">
        <v>0.24118317845582726</v>
      </c>
      <c r="T12" s="132">
        <v>0.11882828192601659</v>
      </c>
      <c r="U12" s="132">
        <v>7.5264428670047664E-2</v>
      </c>
      <c r="V12" s="132">
        <v>5.5280140719595687E-2</v>
      </c>
      <c r="W12" s="132">
        <v>0</v>
      </c>
      <c r="X12" s="132">
        <v>0</v>
      </c>
      <c r="Y12" s="132">
        <v>0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1.1535948158093572</v>
      </c>
      <c r="D13" s="132">
        <v>1.9525642980812181</v>
      </c>
      <c r="E13" s="132">
        <v>3.2027742651456128</v>
      </c>
      <c r="F13" s="132">
        <v>3.5798718318321425</v>
      </c>
      <c r="G13" s="132">
        <v>6.8835560241816491</v>
      </c>
      <c r="H13" s="132">
        <v>10.223828062761442</v>
      </c>
      <c r="I13" s="132">
        <v>9.3823606656104079</v>
      </c>
      <c r="J13" s="132">
        <v>7.3702147163730851</v>
      </c>
      <c r="K13" s="132">
        <v>3.8076964425328055</v>
      </c>
      <c r="L13" s="132">
        <v>3.8893392820043755</v>
      </c>
      <c r="M13" s="132">
        <v>3.4656697185034795</v>
      </c>
      <c r="N13" s="132">
        <v>2.708312301048537</v>
      </c>
      <c r="O13" s="132">
        <v>3.7525558218577353</v>
      </c>
      <c r="P13" s="132">
        <v>5.6507860622541877</v>
      </c>
      <c r="Q13" s="132">
        <v>4.906430186780673</v>
      </c>
      <c r="R13" s="132">
        <v>5.1217081621010445</v>
      </c>
      <c r="S13" s="132">
        <v>4.901193475853165</v>
      </c>
      <c r="T13" s="132">
        <v>5.0210499047054746</v>
      </c>
      <c r="U13" s="132">
        <v>5.8875772931449823</v>
      </c>
      <c r="V13" s="132">
        <v>6.6082014674350678</v>
      </c>
      <c r="W13" s="132">
        <v>4.9299123238579448</v>
      </c>
      <c r="X13" s="132">
        <v>4.4831252071116072</v>
      </c>
      <c r="Y13" s="132">
        <v>4.3866536937849556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0.72025775240972834</v>
      </c>
      <c r="D14" s="65">
        <v>0.45768486406943309</v>
      </c>
      <c r="E14" s="65">
        <v>0.54735685555651015</v>
      </c>
      <c r="F14" s="65">
        <v>1.9612818729777541</v>
      </c>
      <c r="G14" s="65">
        <v>2.7266350814732756</v>
      </c>
      <c r="H14" s="65">
        <v>2.5218714249207785</v>
      </c>
      <c r="I14" s="65">
        <v>2.0116323671367096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0.12194425869775243</v>
      </c>
      <c r="P14" s="65">
        <v>2.5655429324647874</v>
      </c>
      <c r="Q14" s="65">
        <v>1.4970762095916486</v>
      </c>
      <c r="R14" s="65">
        <v>0</v>
      </c>
      <c r="S14" s="65">
        <v>0.95978333330667198</v>
      </c>
      <c r="T14" s="65">
        <v>3.4818221864005428</v>
      </c>
      <c r="U14" s="65">
        <v>1.6494232736004264</v>
      </c>
      <c r="V14" s="65">
        <v>0.12253763748010166</v>
      </c>
      <c r="W14" s="65">
        <v>1.1039810225645914</v>
      </c>
      <c r="X14" s="65">
        <v>2.0425176372353047</v>
      </c>
      <c r="Y14" s="65">
        <v>2.6295594510213736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0.13325866125921082</v>
      </c>
      <c r="D15" s="134">
        <v>3.901192513412672E-2</v>
      </c>
      <c r="E15" s="134">
        <v>1.7196976003613872E-2</v>
      </c>
      <c r="F15" s="134">
        <v>4.2557165380187889E-2</v>
      </c>
      <c r="G15" s="134">
        <v>2.0813717278471918E-2</v>
      </c>
      <c r="H15" s="134">
        <v>1.7478743122625682E-2</v>
      </c>
      <c r="I15" s="134">
        <v>2.1888869830260626E-2</v>
      </c>
      <c r="J15" s="134">
        <v>1.9380628641266502E-2</v>
      </c>
      <c r="K15" s="134">
        <v>1.3389331820827785E-2</v>
      </c>
      <c r="L15" s="134">
        <v>7.2240811783463969E-3</v>
      </c>
      <c r="M15" s="134">
        <v>1.378563145733405E-2</v>
      </c>
      <c r="N15" s="134">
        <v>4.1631196932644284E-3</v>
      </c>
      <c r="O15" s="134">
        <v>1.6237933694106282E-2</v>
      </c>
      <c r="P15" s="134">
        <v>1.1935527648471644E-4</v>
      </c>
      <c r="Q15" s="134">
        <v>1.9389087981656682E-2</v>
      </c>
      <c r="R15" s="134">
        <v>3.3244237608167075E-2</v>
      </c>
      <c r="S15" s="134">
        <v>3.7581553288805553E-2</v>
      </c>
      <c r="T15" s="134">
        <v>1.2488437759855822E-2</v>
      </c>
      <c r="U15" s="134">
        <v>1.4345867465705981E-2</v>
      </c>
      <c r="V15" s="134">
        <v>5.1983025335513395E-3</v>
      </c>
      <c r="W15" s="134">
        <v>4.858725728247232E-3</v>
      </c>
      <c r="X15" s="134">
        <v>8.2317399394484531E-3</v>
      </c>
      <c r="Y15" s="134">
        <v>5.1445824640366858E-3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12.361265444788138</v>
      </c>
      <c r="D16" s="130">
        <f t="shared" si="6"/>
        <v>5.5514671578217056</v>
      </c>
      <c r="E16" s="130">
        <f t="shared" si="6"/>
        <v>5.7911345750980914</v>
      </c>
      <c r="F16" s="130">
        <f t="shared" si="6"/>
        <v>7.4835099919686279</v>
      </c>
      <c r="G16" s="130">
        <f t="shared" si="6"/>
        <v>9.2352588507151534</v>
      </c>
      <c r="H16" s="130">
        <f t="shared" si="6"/>
        <v>13.499078073480327</v>
      </c>
      <c r="I16" s="130">
        <f t="shared" si="6"/>
        <v>7.6982591885609857</v>
      </c>
      <c r="J16" s="130">
        <f t="shared" si="6"/>
        <v>4.8182250675742893</v>
      </c>
      <c r="K16" s="130">
        <f t="shared" si="6"/>
        <v>3.311943385583723</v>
      </c>
      <c r="L16" s="130">
        <f t="shared" si="6"/>
        <v>4.2328285488098052</v>
      </c>
      <c r="M16" s="130">
        <f t="shared" si="6"/>
        <v>2.794317371103507</v>
      </c>
      <c r="N16" s="130">
        <f t="shared" si="6"/>
        <v>1.8752853384955728</v>
      </c>
      <c r="O16" s="130">
        <f t="shared" si="6"/>
        <v>3.9522364900977642</v>
      </c>
      <c r="P16" s="130">
        <f t="shared" si="6"/>
        <v>3.5068880565465665</v>
      </c>
      <c r="Q16" s="130">
        <f t="shared" si="6"/>
        <v>3.8866964436336513</v>
      </c>
      <c r="R16" s="130">
        <f t="shared" ref="R16:W16" si="7">SUM(R17:R18)</f>
        <v>6.0669560048929103</v>
      </c>
      <c r="S16" s="130">
        <f t="shared" si="7"/>
        <v>7.0692531740431122</v>
      </c>
      <c r="T16" s="130">
        <f t="shared" si="7"/>
        <v>5.7461046073543223</v>
      </c>
      <c r="U16" s="130">
        <f t="shared" si="7"/>
        <v>4.2366872985423756</v>
      </c>
      <c r="V16" s="130">
        <f t="shared" si="7"/>
        <v>5.5708615987755756</v>
      </c>
      <c r="W16" s="130">
        <f t="shared" si="7"/>
        <v>3.1289872707622384</v>
      </c>
      <c r="X16" s="130">
        <f t="shared" ref="X16:Y16" si="8">SUM(X17:X18)</f>
        <v>5.5521294243995216</v>
      </c>
      <c r="Y16" s="130">
        <f t="shared" si="8"/>
        <v>4.4659887603196466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2.6451263434524752E-2</v>
      </c>
      <c r="D17" s="132">
        <v>5.8167671764772378E-3</v>
      </c>
      <c r="E17" s="132">
        <v>6.0330601695050695E-3</v>
      </c>
      <c r="F17" s="132">
        <v>3.60152335143826E-2</v>
      </c>
      <c r="G17" s="132">
        <v>2.2783909526255933E-2</v>
      </c>
      <c r="H17" s="132">
        <v>3.8441139230508597E-2</v>
      </c>
      <c r="I17" s="132">
        <v>4.2088141549453305E-2</v>
      </c>
      <c r="J17" s="132">
        <v>2.3365062559018414E-2</v>
      </c>
      <c r="K17" s="132">
        <v>3.0172657939278428E-2</v>
      </c>
      <c r="L17" s="132">
        <v>1.5437772735257675E-2</v>
      </c>
      <c r="M17" s="132">
        <v>2.0987045692342398E-2</v>
      </c>
      <c r="N17" s="132">
        <v>9.9076124073080307E-3</v>
      </c>
      <c r="O17" s="132">
        <v>3.722212923583923E-2</v>
      </c>
      <c r="P17" s="132">
        <v>3.4072903134856627E-2</v>
      </c>
      <c r="Q17" s="132">
        <v>4.955424383304987E-2</v>
      </c>
      <c r="R17" s="132">
        <v>0.10019678883203272</v>
      </c>
      <c r="S17" s="132">
        <v>9.8187974525468527E-2</v>
      </c>
      <c r="T17" s="132">
        <v>8.8275031051243374E-2</v>
      </c>
      <c r="U17" s="132">
        <v>8.1144654441094463E-2</v>
      </c>
      <c r="V17" s="132">
        <v>6.5430822683351431E-2</v>
      </c>
      <c r="W17" s="132">
        <v>3.3637724745567497E-2</v>
      </c>
      <c r="X17" s="132">
        <v>7.8599586343483657E-2</v>
      </c>
      <c r="Y17" s="132">
        <v>6.8838574568781841E-2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12.334814181353613</v>
      </c>
      <c r="D18" s="132">
        <v>5.5456503906452284</v>
      </c>
      <c r="E18" s="132">
        <v>5.785101514928586</v>
      </c>
      <c r="F18" s="132">
        <v>7.447494758454245</v>
      </c>
      <c r="G18" s="132">
        <v>9.2124749411888978</v>
      </c>
      <c r="H18" s="132">
        <v>13.460636934249818</v>
      </c>
      <c r="I18" s="132">
        <v>7.6561710470115321</v>
      </c>
      <c r="J18" s="132">
        <v>4.7948600050152708</v>
      </c>
      <c r="K18" s="132">
        <v>3.2817707276444446</v>
      </c>
      <c r="L18" s="132">
        <v>4.2173907760745477</v>
      </c>
      <c r="M18" s="132">
        <v>2.7733303254111648</v>
      </c>
      <c r="N18" s="132">
        <v>1.8653777260882647</v>
      </c>
      <c r="O18" s="132">
        <v>3.915014360861925</v>
      </c>
      <c r="P18" s="132">
        <v>3.4728151534117098</v>
      </c>
      <c r="Q18" s="132">
        <v>3.8371421998006014</v>
      </c>
      <c r="R18" s="132">
        <v>5.9667592160608773</v>
      </c>
      <c r="S18" s="132">
        <v>6.9710651995176436</v>
      </c>
      <c r="T18" s="132">
        <v>5.6578295763030786</v>
      </c>
      <c r="U18" s="132">
        <v>4.1555426441012813</v>
      </c>
      <c r="V18" s="132">
        <v>5.5054307760922239</v>
      </c>
      <c r="W18" s="132">
        <v>3.0953495460166707</v>
      </c>
      <c r="X18" s="132">
        <v>5.473529838056038</v>
      </c>
      <c r="Y18" s="132">
        <v>4.3971501857508652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4.5342661879458843</v>
      </c>
      <c r="D19" s="130">
        <f t="shared" si="9"/>
        <v>2.3540402213027978</v>
      </c>
      <c r="E19" s="130">
        <f t="shared" si="9"/>
        <v>1.7139215094921083</v>
      </c>
      <c r="F19" s="130">
        <f t="shared" si="9"/>
        <v>2.6940971209723767</v>
      </c>
      <c r="G19" s="130">
        <f t="shared" si="9"/>
        <v>3.0500291572139382</v>
      </c>
      <c r="H19" s="130">
        <f t="shared" si="9"/>
        <v>3.6483008878568826</v>
      </c>
      <c r="I19" s="130">
        <f t="shared" si="9"/>
        <v>3.2615171392093076</v>
      </c>
      <c r="J19" s="130">
        <f t="shared" si="9"/>
        <v>2.1215985128431063</v>
      </c>
      <c r="K19" s="130">
        <f t="shared" si="9"/>
        <v>1.2222100196142351</v>
      </c>
      <c r="L19" s="130">
        <f t="shared" si="9"/>
        <v>1.1576277701214499</v>
      </c>
      <c r="M19" s="130">
        <f t="shared" si="9"/>
        <v>1.2115835774405321</v>
      </c>
      <c r="N19" s="130">
        <f t="shared" si="9"/>
        <v>0.78868578499453601</v>
      </c>
      <c r="O19" s="130">
        <f t="shared" si="9"/>
        <v>1.3284752786145893</v>
      </c>
      <c r="P19" s="130">
        <f t="shared" si="9"/>
        <v>1.759288851541825</v>
      </c>
      <c r="Q19" s="130">
        <f t="shared" si="9"/>
        <v>1.6791872148622242</v>
      </c>
      <c r="R19" s="130">
        <f t="shared" ref="R19:W19" si="10">SUM(R20:R27)</f>
        <v>1.7699517840081223</v>
      </c>
      <c r="S19" s="130">
        <f t="shared" si="10"/>
        <v>2.1881379113850197</v>
      </c>
      <c r="T19" s="130">
        <f t="shared" si="10"/>
        <v>2.122400698657251</v>
      </c>
      <c r="U19" s="130">
        <f t="shared" si="10"/>
        <v>2.013372544532646</v>
      </c>
      <c r="V19" s="130">
        <f t="shared" si="10"/>
        <v>1.7005285484347477</v>
      </c>
      <c r="W19" s="130">
        <f t="shared" si="10"/>
        <v>1.6735392509569911</v>
      </c>
      <c r="X19" s="130">
        <f t="shared" ref="X19:Y19" si="11">SUM(X20:X27)</f>
        <v>1.6046747405160291</v>
      </c>
      <c r="Y19" s="130">
        <f t="shared" si="11"/>
        <v>1.5977266425424848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5.2353057681767415E-2</v>
      </c>
      <c r="D21" s="132">
        <v>4.1049011705139547E-2</v>
      </c>
      <c r="E21" s="132">
        <v>4.8812846533534501E-2</v>
      </c>
      <c r="F21" s="132">
        <v>9.6922707406997391E-2</v>
      </c>
      <c r="G21" s="132">
        <v>0.11287662142258188</v>
      </c>
      <c r="H21" s="132">
        <v>0.1464034806025096</v>
      </c>
      <c r="I21" s="132">
        <v>0.1358389271198088</v>
      </c>
      <c r="J21" s="132">
        <v>7.3341740827276611E-2</v>
      </c>
      <c r="K21" s="132">
        <v>5.0367710774076917E-2</v>
      </c>
      <c r="L21" s="132">
        <v>3.6974096321790662E-2</v>
      </c>
      <c r="M21" s="132">
        <v>4.4357883140244768E-2</v>
      </c>
      <c r="N21" s="132">
        <v>3.159198732351412E-2</v>
      </c>
      <c r="O21" s="132">
        <v>5.1531121612106663E-2</v>
      </c>
      <c r="P21" s="132">
        <v>4.3427666882027045E-2</v>
      </c>
      <c r="Q21" s="132">
        <v>5.0862435166447992E-2</v>
      </c>
      <c r="R21" s="132">
        <v>5.7360990543981236E-2</v>
      </c>
      <c r="S21" s="132">
        <v>7.2915854772169941E-2</v>
      </c>
      <c r="T21" s="132">
        <v>9.2657036089289976E-2</v>
      </c>
      <c r="U21" s="132">
        <v>8.9900205581542644E-2</v>
      </c>
      <c r="V21" s="132">
        <v>4.8217673980020956E-2</v>
      </c>
      <c r="W21" s="132">
        <v>6.7314230930188332E-2</v>
      </c>
      <c r="X21" s="132">
        <v>3.4475354870749472E-2</v>
      </c>
      <c r="Y21" s="132">
        <v>4.6631218893560387E-2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0.30886459047359976</v>
      </c>
      <c r="D22" s="132">
        <v>9.1510956499697593E-2</v>
      </c>
      <c r="E22" s="132">
        <v>0.1517769239129427</v>
      </c>
      <c r="F22" s="132">
        <v>0.30006591037525149</v>
      </c>
      <c r="G22" s="132">
        <v>0.40789420213090488</v>
      </c>
      <c r="H22" s="132">
        <v>0.54823981768131813</v>
      </c>
      <c r="I22" s="132">
        <v>0.45948888031724333</v>
      </c>
      <c r="J22" s="132">
        <v>0.24157062579763566</v>
      </c>
      <c r="K22" s="132">
        <v>0.17419212037095885</v>
      </c>
      <c r="L22" s="132">
        <v>0.17324848894104822</v>
      </c>
      <c r="M22" s="132">
        <v>0.22900251225687515</v>
      </c>
      <c r="N22" s="132">
        <v>0.16568277266260034</v>
      </c>
      <c r="O22" s="132">
        <v>0.27030784252058521</v>
      </c>
      <c r="P22" s="132">
        <v>0.15376985449417202</v>
      </c>
      <c r="Q22" s="132">
        <v>0.16933432041954796</v>
      </c>
      <c r="R22" s="132">
        <v>0.20121185426477173</v>
      </c>
      <c r="S22" s="132">
        <v>0.31355062447627952</v>
      </c>
      <c r="T22" s="132">
        <v>0.40112961815467774</v>
      </c>
      <c r="U22" s="132">
        <v>0.40973159061106612</v>
      </c>
      <c r="V22" s="132">
        <v>0.31858489358287434</v>
      </c>
      <c r="W22" s="132">
        <v>0.3245769413643968</v>
      </c>
      <c r="X22" s="132">
        <v>0.2158160774168793</v>
      </c>
      <c r="Y22" s="132">
        <v>0.21976049684011195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0.32757889650300814</v>
      </c>
      <c r="D23" s="132">
        <v>0.20481890038331624</v>
      </c>
      <c r="E23" s="132">
        <v>0.16702940818928899</v>
      </c>
      <c r="F23" s="132">
        <v>0.26362434555408387</v>
      </c>
      <c r="G23" s="132">
        <v>0.34658518863148358</v>
      </c>
      <c r="H23" s="132">
        <v>0.47845530347946602</v>
      </c>
      <c r="I23" s="132">
        <v>0.47185224367753736</v>
      </c>
      <c r="J23" s="132">
        <v>0.27226948644918825</v>
      </c>
      <c r="K23" s="132">
        <v>0.17769821546630832</v>
      </c>
      <c r="L23" s="132">
        <v>0.1584877622258809</v>
      </c>
      <c r="M23" s="132">
        <v>0.17777204718482947</v>
      </c>
      <c r="N23" s="132">
        <v>0.1189378991070215</v>
      </c>
      <c r="O23" s="132">
        <v>0.19221884414477958</v>
      </c>
      <c r="P23" s="132">
        <v>0.3255528053519029</v>
      </c>
      <c r="Q23" s="132">
        <v>0.34743976719714881</v>
      </c>
      <c r="R23" s="132">
        <v>0.40977777496198814</v>
      </c>
      <c r="S23" s="132">
        <v>0.49296070018239385</v>
      </c>
      <c r="T23" s="132">
        <v>0.46196823992413799</v>
      </c>
      <c r="U23" s="132">
        <v>0.3697557733686116</v>
      </c>
      <c r="V23" s="132">
        <v>0.18062865492528715</v>
      </c>
      <c r="W23" s="132">
        <v>0.27210373665735071</v>
      </c>
      <c r="X23" s="132">
        <v>0.19975785804937257</v>
      </c>
      <c r="Y23" s="132">
        <v>0.28988087962380238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0.13696331974092824</v>
      </c>
      <c r="D25" s="132">
        <v>8.4330624219119479E-2</v>
      </c>
      <c r="E25" s="132">
        <v>4.4345539449087E-2</v>
      </c>
      <c r="F25" s="132">
        <v>1.7867621523406114E-2</v>
      </c>
      <c r="G25" s="132">
        <v>0</v>
      </c>
      <c r="H25" s="132">
        <v>0</v>
      </c>
      <c r="I25" s="132">
        <v>6.7950117561929276E-4</v>
      </c>
      <c r="J25" s="132">
        <v>0</v>
      </c>
      <c r="K25" s="132">
        <v>0</v>
      </c>
      <c r="L25" s="132">
        <v>1.345007824958124E-3</v>
      </c>
      <c r="M25" s="132">
        <v>2.0611482775613154E-2</v>
      </c>
      <c r="N25" s="132">
        <v>2.4214601975416885E-2</v>
      </c>
      <c r="O25" s="132">
        <v>4.8048114825519274E-2</v>
      </c>
      <c r="P25" s="132">
        <v>6.4081302631174328E-2</v>
      </c>
      <c r="Q25" s="132">
        <v>4.3364581502137164E-2</v>
      </c>
      <c r="R25" s="132">
        <v>2.4505489296028499E-2</v>
      </c>
      <c r="S25" s="132">
        <v>2.5718481807942676E-2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2.8742657658997679</v>
      </c>
      <c r="D26" s="65">
        <v>1.2304634537436105</v>
      </c>
      <c r="E26" s="65">
        <v>0.92134863948905665</v>
      </c>
      <c r="F26" s="65">
        <v>1.2959814186896808</v>
      </c>
      <c r="G26" s="65">
        <v>0.67714280696330031</v>
      </c>
      <c r="H26" s="65">
        <v>1.6696950554700103</v>
      </c>
      <c r="I26" s="65">
        <v>0.9295189814352659</v>
      </c>
      <c r="J26" s="65">
        <v>0.22641285358666149</v>
      </c>
      <c r="K26" s="65">
        <v>0.13366282020295134</v>
      </c>
      <c r="L26" s="65">
        <v>6.0413382793277633E-2</v>
      </c>
      <c r="M26" s="65">
        <v>1.2078386383314944E-2</v>
      </c>
      <c r="N26" s="65">
        <v>3.8130582751484733E-3</v>
      </c>
      <c r="O26" s="65">
        <v>6.683455354987683E-3</v>
      </c>
      <c r="P26" s="65">
        <v>1.0357557459462687E-2</v>
      </c>
      <c r="Q26" s="65">
        <v>9.5685075023738877E-3</v>
      </c>
      <c r="R26" s="65">
        <v>9.5867499355925239E-3</v>
      </c>
      <c r="S26" s="65">
        <v>1.1030159260627446E-2</v>
      </c>
      <c r="T26" s="65">
        <v>9.671283077676722E-3</v>
      </c>
      <c r="U26" s="65">
        <v>9.178449390627173E-3</v>
      </c>
      <c r="V26" s="65">
        <v>6.9644532878433436E-3</v>
      </c>
      <c r="W26" s="65">
        <v>8.059647593303498E-3</v>
      </c>
      <c r="X26" s="65">
        <v>9.1532798776566837E-3</v>
      </c>
      <c r="Y26" s="65">
        <v>9.264601722420886E-3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0.83424055764681326</v>
      </c>
      <c r="D27" s="147">
        <v>0.70186727475191413</v>
      </c>
      <c r="E27" s="147">
        <v>0.38060815191819852</v>
      </c>
      <c r="F27" s="147">
        <v>0.71963511742295716</v>
      </c>
      <c r="G27" s="147">
        <v>1.5055303380656677</v>
      </c>
      <c r="H27" s="147">
        <v>0.80550723062357843</v>
      </c>
      <c r="I27" s="147">
        <v>1.2641386054838328</v>
      </c>
      <c r="J27" s="147">
        <v>1.308003806182344</v>
      </c>
      <c r="K27" s="147">
        <v>0.68628915279993985</v>
      </c>
      <c r="L27" s="147">
        <v>0.72715903201449428</v>
      </c>
      <c r="M27" s="147">
        <v>0.72776126569965471</v>
      </c>
      <c r="N27" s="147">
        <v>0.4444454656508347</v>
      </c>
      <c r="O27" s="147">
        <v>0.75968590015661097</v>
      </c>
      <c r="P27" s="147">
        <v>1.1620996647230861</v>
      </c>
      <c r="Q27" s="147">
        <v>1.0586176030745684</v>
      </c>
      <c r="R27" s="147">
        <v>1.0675089250057601</v>
      </c>
      <c r="S27" s="147">
        <v>1.2719620908856062</v>
      </c>
      <c r="T27" s="147">
        <v>1.1569745214114686</v>
      </c>
      <c r="U27" s="147">
        <v>1.1348065255807984</v>
      </c>
      <c r="V27" s="147">
        <v>1.1461328726587219</v>
      </c>
      <c r="W27" s="147">
        <v>1.0014846944117517</v>
      </c>
      <c r="X27" s="147">
        <v>1.1454721703013711</v>
      </c>
      <c r="Y27" s="147">
        <v>1.0321894454625891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4.2930339636196422</v>
      </c>
      <c r="D29" s="130">
        <f t="shared" si="12"/>
        <v>2.3321408033491071</v>
      </c>
      <c r="E29" s="130">
        <f t="shared" si="12"/>
        <v>1.709908444304606</v>
      </c>
      <c r="F29" s="130">
        <f t="shared" si="12"/>
        <v>2.6616697745460622</v>
      </c>
      <c r="G29" s="130">
        <f t="shared" si="12"/>
        <v>3.3647916312939055</v>
      </c>
      <c r="H29" s="130">
        <f t="shared" si="12"/>
        <v>3.834742554431009</v>
      </c>
      <c r="I29" s="130">
        <f t="shared" si="12"/>
        <v>3.3682032192013098</v>
      </c>
      <c r="J29" s="130">
        <f t="shared" si="12"/>
        <v>2.1281029505070848</v>
      </c>
      <c r="K29" s="130">
        <f t="shared" si="12"/>
        <v>1.1442031224299303</v>
      </c>
      <c r="L29" s="130">
        <f t="shared" si="12"/>
        <v>1.2994056097855282</v>
      </c>
      <c r="M29" s="130">
        <f t="shared" si="12"/>
        <v>1.240602894969848</v>
      </c>
      <c r="N29" s="130">
        <f t="shared" si="12"/>
        <v>1.1950981778873115</v>
      </c>
      <c r="O29" s="130">
        <f t="shared" si="12"/>
        <v>1.1643528859307875</v>
      </c>
      <c r="P29" s="130">
        <f t="shared" si="12"/>
        <v>1.8117877101763407</v>
      </c>
      <c r="Q29" s="130">
        <f t="shared" si="12"/>
        <v>1.6862751370076394</v>
      </c>
      <c r="R29" s="130">
        <f t="shared" ref="R29:W29" si="13">SUM(R30:R33)</f>
        <v>1.7450440385802928</v>
      </c>
      <c r="S29" s="130">
        <f t="shared" si="13"/>
        <v>2.2152511536087309</v>
      </c>
      <c r="T29" s="130">
        <f t="shared" si="13"/>
        <v>2.1485649166077305</v>
      </c>
      <c r="U29" s="130">
        <f t="shared" si="13"/>
        <v>1.9427702784346108</v>
      </c>
      <c r="V29" s="130">
        <f t="shared" si="13"/>
        <v>1.8916692731365923</v>
      </c>
      <c r="W29" s="130">
        <f t="shared" si="13"/>
        <v>1.8092589271598309</v>
      </c>
      <c r="X29" s="130">
        <f t="shared" ref="X29:Y29" si="14">SUM(X30:X33)</f>
        <v>1.740482775656703</v>
      </c>
      <c r="Y29" s="130">
        <f t="shared" si="14"/>
        <v>1.7368650456952663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0.41538658231825376</v>
      </c>
      <c r="D30" s="132">
        <v>1.1141845855661636</v>
      </c>
      <c r="E30" s="132">
        <v>0.87136071698740047</v>
      </c>
      <c r="F30" s="132">
        <v>1.5297251401525802</v>
      </c>
      <c r="G30" s="132">
        <v>2.3274647934030237</v>
      </c>
      <c r="H30" s="132">
        <v>1.1794004734925503</v>
      </c>
      <c r="I30" s="132">
        <v>1.0383431802476586</v>
      </c>
      <c r="J30" s="132">
        <v>0.2456103880786501</v>
      </c>
      <c r="K30" s="132">
        <v>0</v>
      </c>
      <c r="L30" s="132">
        <v>0</v>
      </c>
      <c r="M30" s="132">
        <v>0</v>
      </c>
      <c r="N30" s="132">
        <v>4.3776427514174911E-4</v>
      </c>
      <c r="O30" s="132">
        <v>0.31020407577697517</v>
      </c>
      <c r="P30" s="132">
        <v>1.2656625996159057</v>
      </c>
      <c r="Q30" s="132">
        <v>0.9089231728909718</v>
      </c>
      <c r="R30" s="132">
        <v>0.62527596739203428</v>
      </c>
      <c r="S30" s="132">
        <v>0.63069080557303092</v>
      </c>
      <c r="T30" s="132">
        <v>0.67764128960987235</v>
      </c>
      <c r="U30" s="132">
        <v>4.9518285431653798E-2</v>
      </c>
      <c r="V30" s="132">
        <v>0</v>
      </c>
      <c r="W30" s="132">
        <v>0</v>
      </c>
      <c r="X30" s="132">
        <v>0.22444301650957268</v>
      </c>
      <c r="Y30" s="132">
        <v>0.57150411836746029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0.27753617501144395</v>
      </c>
      <c r="D31" s="132">
        <v>0.19853610147877995</v>
      </c>
      <c r="E31" s="132">
        <v>0.17154106065398145</v>
      </c>
      <c r="F31" s="132">
        <v>0.3266190155388537</v>
      </c>
      <c r="G31" s="132">
        <v>0.36598497212333647</v>
      </c>
      <c r="H31" s="132">
        <v>0.37890040106094591</v>
      </c>
      <c r="I31" s="132">
        <v>0.3292368874823669</v>
      </c>
      <c r="J31" s="132">
        <v>0.25300563280992117</v>
      </c>
      <c r="K31" s="132">
        <v>0.17656067290469235</v>
      </c>
      <c r="L31" s="132">
        <v>0.17247340645609294</v>
      </c>
      <c r="M31" s="132">
        <v>0.31033979292935288</v>
      </c>
      <c r="N31" s="132">
        <v>0.155279606034574</v>
      </c>
      <c r="O31" s="132">
        <v>0.64159121456926327</v>
      </c>
      <c r="P31" s="132">
        <v>0.43153617869677785</v>
      </c>
      <c r="Q31" s="132">
        <v>0.38613144500562097</v>
      </c>
      <c r="R31" s="132">
        <v>0.30726524444034109</v>
      </c>
      <c r="S31" s="132">
        <v>0.38347460339848549</v>
      </c>
      <c r="T31" s="132">
        <v>0.3810057775788076</v>
      </c>
      <c r="U31" s="132">
        <v>0.39562520800584972</v>
      </c>
      <c r="V31" s="132">
        <v>0.22813834940647293</v>
      </c>
      <c r="W31" s="132">
        <v>0.15875088231045065</v>
      </c>
      <c r="X31" s="132">
        <v>9.7621230058133446E-2</v>
      </c>
      <c r="Y31" s="132">
        <v>0.35002652317849281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1.0393808075775959</v>
      </c>
      <c r="O32" s="132">
        <v>0.11153792417517411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6.168328209424663E-2</v>
      </c>
      <c r="X32" s="132">
        <v>0.25389334935850139</v>
      </c>
      <c r="Y32" s="132">
        <v>0.33410846386555226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3.6001112062899447</v>
      </c>
      <c r="D33" s="68">
        <v>1.0194201163041634</v>
      </c>
      <c r="E33" s="68">
        <v>0.66700666666322395</v>
      </c>
      <c r="F33" s="68">
        <v>0.80532561885462817</v>
      </c>
      <c r="G33" s="68">
        <v>0.67134186576754495</v>
      </c>
      <c r="H33" s="68">
        <v>2.2764416798775127</v>
      </c>
      <c r="I33" s="68">
        <v>2.0006231514712844</v>
      </c>
      <c r="J33" s="68">
        <v>1.6294869296185133</v>
      </c>
      <c r="K33" s="68">
        <v>0.96764244952523781</v>
      </c>
      <c r="L33" s="68">
        <v>1.1269322033294353</v>
      </c>
      <c r="M33" s="68">
        <v>0.93026310204049512</v>
      </c>
      <c r="N33" s="68">
        <v>0</v>
      </c>
      <c r="O33" s="68">
        <v>0.10101967140937496</v>
      </c>
      <c r="P33" s="68">
        <v>0.11458893186365736</v>
      </c>
      <c r="Q33" s="68">
        <v>0.39122051911104677</v>
      </c>
      <c r="R33" s="68">
        <v>0.81250282674791741</v>
      </c>
      <c r="S33" s="68">
        <v>1.2010857446372145</v>
      </c>
      <c r="T33" s="68">
        <v>1.0899178494190502</v>
      </c>
      <c r="U33" s="68">
        <v>1.4976267849971072</v>
      </c>
      <c r="V33" s="68">
        <v>1.6635309237301195</v>
      </c>
      <c r="W33" s="68">
        <v>1.5888247627551337</v>
      </c>
      <c r="X33" s="68">
        <v>1.1645251797304954</v>
      </c>
      <c r="Y33" s="68">
        <v>0.48122594028376109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0.87155503085814734</v>
      </c>
      <c r="D3" s="126">
        <f>IF(SER_hh_tes_in!D3=0,"",SER_hh_tes_in!D3/SER_hh_fec_in!D3)</f>
        <v>0.95329032311881368</v>
      </c>
      <c r="E3" s="126">
        <f>IF(SER_hh_tes_in!E3=0,"",SER_hh_tes_in!E3/SER_hh_fec_in!E3)</f>
        <v>1.1462298362839214</v>
      </c>
      <c r="F3" s="126">
        <f>IF(SER_hh_tes_in!F3=0,"",SER_hh_tes_in!F3/SER_hh_fec_in!F3)</f>
        <v>0.9983097769847491</v>
      </c>
      <c r="G3" s="126">
        <f>IF(SER_hh_tes_in!G3=0,"",SER_hh_tes_in!G3/SER_hh_fec_in!G3)</f>
        <v>1.1443029522377159</v>
      </c>
      <c r="H3" s="126">
        <f>IF(SER_hh_tes_in!H3=0,"",SER_hh_tes_in!H3/SER_hh_fec_in!H3)</f>
        <v>1.3076333974088414</v>
      </c>
      <c r="I3" s="126">
        <f>IF(SER_hh_tes_in!I3=0,"",SER_hh_tes_in!I3/SER_hh_fec_in!I3)</f>
        <v>1.2345205092229496</v>
      </c>
      <c r="J3" s="126">
        <f>IF(SER_hh_tes_in!J3=0,"",SER_hh_tes_in!J3/SER_hh_fec_in!J3)</f>
        <v>1.3895011123358267</v>
      </c>
      <c r="K3" s="126">
        <f>IF(SER_hh_tes_in!K3=0,"",SER_hh_tes_in!K3/SER_hh_fec_in!K3)</f>
        <v>1.4077132876957386</v>
      </c>
      <c r="L3" s="126">
        <f>IF(SER_hh_tes_in!L3=0,"",SER_hh_tes_in!L3/SER_hh_fec_in!L3)</f>
        <v>1.5763982205305072</v>
      </c>
      <c r="M3" s="126">
        <f>IF(SER_hh_tes_in!M3=0,"",SER_hh_tes_in!M3/SER_hh_fec_in!M3)</f>
        <v>1.3058484908504338</v>
      </c>
      <c r="N3" s="126">
        <f>IF(SER_hh_tes_in!N3=0,"",SER_hh_tes_in!N3/SER_hh_fec_in!N3)</f>
        <v>1.3447451109300828</v>
      </c>
      <c r="O3" s="126">
        <f>IF(SER_hh_tes_in!O3=0,"",SER_hh_tes_in!O3/SER_hh_fec_in!O3)</f>
        <v>1.4358044129177492</v>
      </c>
      <c r="P3" s="126">
        <f>IF(SER_hh_tes_in!P3=0,"",SER_hh_tes_in!P3/SER_hh_fec_in!P3)</f>
        <v>1.3347152511388847</v>
      </c>
      <c r="Q3" s="126">
        <f>IF(SER_hh_tes_in!Q3=0,"",SER_hh_tes_in!Q3/SER_hh_fec_in!Q3)</f>
        <v>1.3513485188616174</v>
      </c>
      <c r="R3" s="126">
        <f>IF(SER_hh_tes_in!R3=0,"",SER_hh_tes_in!R3/SER_hh_fec_in!R3)</f>
        <v>1.5637719685452773</v>
      </c>
      <c r="S3" s="126">
        <f>IF(SER_hh_tes_in!S3=0,"",SER_hh_tes_in!S3/SER_hh_fec_in!S3)</f>
        <v>1.444993215644562</v>
      </c>
      <c r="T3" s="126">
        <f>IF(SER_hh_tes_in!T3=0,"",SER_hh_tes_in!T3/SER_hh_fec_in!T3)</f>
        <v>1.3848842756880866</v>
      </c>
      <c r="U3" s="126">
        <f>IF(SER_hh_tes_in!U3=0,"",SER_hh_tes_in!U3/SER_hh_fec_in!U3)</f>
        <v>1.5399304061380255</v>
      </c>
      <c r="V3" s="126">
        <f>IF(SER_hh_tes_in!V3=0,"",SER_hh_tes_in!V3/SER_hh_fec_in!V3)</f>
        <v>2.064434889654478</v>
      </c>
      <c r="W3" s="126">
        <f>IF(SER_hh_tes_in!W3=0,"",SER_hh_tes_in!W3/SER_hh_fec_in!W3)</f>
        <v>1.6605640196626232</v>
      </c>
      <c r="X3" s="126">
        <f>IF(SER_hh_tes_in!X3=0,"",SER_hh_tes_in!X3/SER_hh_fec_in!X3)</f>
        <v>1.6593300457156426</v>
      </c>
      <c r="Y3" s="126">
        <f>IF(SER_hh_tes_in!Y3=0,"",SER_hh_tes_in!Y3/SER_hh_fec_in!Y3)</f>
        <v>1.5035949463270259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0.56953588280565282</v>
      </c>
      <c r="D4" s="135">
        <f>IF(SER_hh_tes_in!D4=0,"",SER_hh_tes_in!D4/SER_hh_fec_in!D4)</f>
        <v>0.78406398941626987</v>
      </c>
      <c r="E4" s="135">
        <f>IF(SER_hh_tes_in!E4=0,"",SER_hh_tes_in!E4/SER_hh_fec_in!E4)</f>
        <v>1.0958858588887705</v>
      </c>
      <c r="F4" s="135">
        <f>IF(SER_hh_tes_in!F4=0,"",SER_hh_tes_in!F4/SER_hh_fec_in!F4)</f>
        <v>0.86077911360165615</v>
      </c>
      <c r="G4" s="135">
        <f>IF(SER_hh_tes_in!G4=0,"",SER_hh_tes_in!G4/SER_hh_fec_in!G4)</f>
        <v>1.1486130514590052</v>
      </c>
      <c r="H4" s="135">
        <f>IF(SER_hh_tes_in!H4=0,"",SER_hh_tes_in!H4/SER_hh_fec_in!H4)</f>
        <v>1.3811768985222461</v>
      </c>
      <c r="I4" s="135">
        <f>IF(SER_hh_tes_in!I4=0,"",SER_hh_tes_in!I4/SER_hh_fec_in!I4)</f>
        <v>1.3882301494737266</v>
      </c>
      <c r="J4" s="135">
        <f>IF(SER_hh_tes_in!J4=0,"",SER_hh_tes_in!J4/SER_hh_fec_in!J4)</f>
        <v>1.674980133406649</v>
      </c>
      <c r="K4" s="135">
        <f>IF(SER_hh_tes_in!K4=0,"",SER_hh_tes_in!K4/SER_hh_fec_in!K4)</f>
        <v>1.5742000935159988</v>
      </c>
      <c r="L4" s="135">
        <f>IF(SER_hh_tes_in!L4=0,"",SER_hh_tes_in!L4/SER_hh_fec_in!L4)</f>
        <v>1.8862086342295072</v>
      </c>
      <c r="M4" s="135">
        <f>IF(SER_hh_tes_in!M4=0,"",SER_hh_tes_in!M4/SER_hh_fec_in!M4)</f>
        <v>1.4098559132359856</v>
      </c>
      <c r="N4" s="135">
        <f>IF(SER_hh_tes_in!N4=0,"",SER_hh_tes_in!N4/SER_hh_fec_in!N4)</f>
        <v>2.0225783103135373</v>
      </c>
      <c r="O4" s="135">
        <f>IF(SER_hh_tes_in!O4=0,"",SER_hh_tes_in!O4/SER_hh_fec_in!O4)</f>
        <v>1.6138315784183896</v>
      </c>
      <c r="P4" s="135">
        <f>IF(SER_hh_tes_in!P4=0,"",SER_hh_tes_in!P4/SER_hh_fec_in!P4)</f>
        <v>1.5978138335306713</v>
      </c>
      <c r="Q4" s="135">
        <f>IF(SER_hh_tes_in!Q4=0,"",SER_hh_tes_in!Q4/SER_hh_fec_in!Q4)</f>
        <v>1.4910369702551516</v>
      </c>
      <c r="R4" s="135">
        <f>IF(SER_hh_tes_in!R4=0,"",SER_hh_tes_in!R4/SER_hh_fec_in!R4)</f>
        <v>1.6533596587079495</v>
      </c>
      <c r="S4" s="135">
        <f>IF(SER_hh_tes_in!S4=0,"",SER_hh_tes_in!S4/SER_hh_fec_in!S4)</f>
        <v>1.3820702115191275</v>
      </c>
      <c r="T4" s="135">
        <f>IF(SER_hh_tes_in!T4=0,"",SER_hh_tes_in!T4/SER_hh_fec_in!T4)</f>
        <v>1.3655306377233751</v>
      </c>
      <c r="U4" s="135">
        <f>IF(SER_hh_tes_in!U4=0,"",SER_hh_tes_in!U4/SER_hh_fec_in!U4)</f>
        <v>1.7395891928643377</v>
      </c>
      <c r="V4" s="135">
        <f>IF(SER_hh_tes_in!V4=0,"",SER_hh_tes_in!V4/SER_hh_fec_in!V4)</f>
        <v>3.1393424026728844</v>
      </c>
      <c r="W4" s="135">
        <f>IF(SER_hh_tes_in!W4=0,"",SER_hh_tes_in!W4/SER_hh_fec_in!W4)</f>
        <v>2.1679019304727793</v>
      </c>
      <c r="X4" s="135">
        <f>IF(SER_hh_tes_in!X4=0,"",SER_hh_tes_in!X4/SER_hh_fec_in!X4)</f>
        <v>1.6881044733460553</v>
      </c>
      <c r="Y4" s="135">
        <f>IF(SER_hh_tes_in!Y4=0,"",SER_hh_tes_in!Y4/SER_hh_fec_in!Y4)</f>
        <v>1.6271522181184999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0.48349744889097013</v>
      </c>
      <c r="D7" s="136">
        <f>IF(SER_hh_tes_in!D7=0,"",SER_hh_tes_in!D7/SER_hh_fec_in!D7)</f>
        <v>0.48827001259466746</v>
      </c>
      <c r="E7" s="136">
        <f>IF(SER_hh_tes_in!E7=0,"",SER_hh_tes_in!E7/SER_hh_fec_in!E7)</f>
        <v>0.49329664543793439</v>
      </c>
      <c r="F7" s="136">
        <f>IF(SER_hh_tes_in!F7=0,"",SER_hh_tes_in!F7/SER_hh_fec_in!F7)</f>
        <v>0.49829581521849636</v>
      </c>
      <c r="G7" s="136">
        <f>IF(SER_hh_tes_in!G7=0,"",SER_hh_tes_in!G7/SER_hh_fec_in!G7)</f>
        <v>0.50351856962106767</v>
      </c>
      <c r="H7" s="136" t="str">
        <f>IF(SER_hh_tes_in!H7=0,"",SER_hh_tes_in!H7/SER_hh_fec_in!H7)</f>
        <v/>
      </c>
      <c r="I7" s="136" t="str">
        <f>IF(SER_hh_tes_in!I7=0,"",SER_hh_tes_in!I7/SER_hh_fec_in!I7)</f>
        <v/>
      </c>
      <c r="J7" s="136" t="str">
        <f>IF(SER_hh_tes_in!J7=0,"",SER_hh_tes_in!J7/SER_hh_fec_in!J7)</f>
        <v/>
      </c>
      <c r="K7" s="136" t="str">
        <f>IF(SER_hh_tes_in!K7=0,"",SER_hh_tes_in!K7/SER_hh_fec_in!K7)</f>
        <v/>
      </c>
      <c r="L7" s="136" t="str">
        <f>IF(SER_hh_tes_in!L7=0,"",SER_hh_tes_in!L7/SER_hh_fec_in!L7)</f>
        <v/>
      </c>
      <c r="M7" s="136" t="str">
        <f>IF(SER_hh_tes_in!M7=0,"",SER_hh_tes_in!M7/SER_hh_fec_in!M7)</f>
        <v/>
      </c>
      <c r="N7" s="136" t="str">
        <f>IF(SER_hh_tes_in!N7=0,"",SER_hh_tes_in!N7/SER_hh_fec_in!N7)</f>
        <v/>
      </c>
      <c r="O7" s="136">
        <f>IF(SER_hh_tes_in!O7=0,"",SER_hh_tes_in!O7/SER_hh_fec_in!O7)</f>
        <v>0.60061118845308448</v>
      </c>
      <c r="P7" s="136" t="str">
        <f>IF(SER_hh_tes_in!P7=0,"",SER_hh_tes_in!P7/SER_hh_fec_in!P7)</f>
        <v/>
      </c>
      <c r="Q7" s="136" t="str">
        <f>IF(SER_hh_tes_in!Q7=0,"",SER_hh_tes_in!Q7/SER_hh_fec_in!Q7)</f>
        <v/>
      </c>
      <c r="R7" s="136">
        <f>IF(SER_hh_tes_in!R7=0,"",SER_hh_tes_in!R7/SER_hh_fec_in!R7)</f>
        <v>0.67360729378109641</v>
      </c>
      <c r="S7" s="136">
        <f>IF(SER_hh_tes_in!S7=0,"",SER_hh_tes_in!S7/SER_hh_fec_in!S7)</f>
        <v>0.67857817037419543</v>
      </c>
      <c r="T7" s="136">
        <f>IF(SER_hh_tes_in!T7=0,"",SER_hh_tes_in!T7/SER_hh_fec_in!T7)</f>
        <v>0.68022824137854909</v>
      </c>
      <c r="U7" s="136">
        <f>IF(SER_hh_tes_in!U7=0,"",SER_hh_tes_in!U7/SER_hh_fec_in!U7)</f>
        <v>0.68071186056082167</v>
      </c>
      <c r="V7" s="136" t="str">
        <f>IF(SER_hh_tes_in!V7=0,"",SER_hh_tes_in!V7/SER_hh_fec_in!V7)</f>
        <v/>
      </c>
      <c r="W7" s="136" t="str">
        <f>IF(SER_hh_tes_in!W7=0,"",SER_hh_tes_in!W7/SER_hh_fec_in!W7)</f>
        <v/>
      </c>
      <c r="X7" s="136" t="str">
        <f>IF(SER_hh_tes_in!X7=0,"",SER_hh_tes_in!X7/SER_hh_fec_in!X7)</f>
        <v/>
      </c>
      <c r="Y7" s="136" t="str">
        <f>IF(SER_hh_tes_in!Y7=0,"",SER_hh_tes_in!Y7/SER_hh_fec_in!Y7)</f>
        <v/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1.2357922652759139</v>
      </c>
      <c r="D8" s="136">
        <f>IF(SER_hh_tes_in!D8=0,"",SER_hh_tes_in!D8/SER_hh_fec_in!D8)</f>
        <v>1.3018349273002017</v>
      </c>
      <c r="E8" s="136">
        <f>IF(SER_hh_tes_in!E8=0,"",SER_hh_tes_in!E8/SER_hh_fec_in!E8)</f>
        <v>1.3687706783721609</v>
      </c>
      <c r="F8" s="136">
        <f>IF(SER_hh_tes_in!F8=0,"",SER_hh_tes_in!F8/SER_hh_fec_in!F8)</f>
        <v>1.4359069887330957</v>
      </c>
      <c r="G8" s="136">
        <f>IF(SER_hh_tes_in!G8=0,"",SER_hh_tes_in!G8/SER_hh_fec_in!G8)</f>
        <v>1.5038975110670945</v>
      </c>
      <c r="H8" s="136">
        <f>IF(SER_hh_tes_in!H8=0,"",SER_hh_tes_in!H8/SER_hh_fec_in!H8)</f>
        <v>1.5726754897835362</v>
      </c>
      <c r="I8" s="136">
        <f>IF(SER_hh_tes_in!I8=0,"",SER_hh_tes_in!I8/SER_hh_fec_in!I8)</f>
        <v>1.6424104803072797</v>
      </c>
      <c r="J8" s="136">
        <f>IF(SER_hh_tes_in!J8=0,"",SER_hh_tes_in!J8/SER_hh_fec_in!J8)</f>
        <v>1.7137634865782181</v>
      </c>
      <c r="K8" s="136">
        <f>IF(SER_hh_tes_in!K8=0,"",SER_hh_tes_in!K8/SER_hh_fec_in!K8)</f>
        <v>1.7873006330790751</v>
      </c>
      <c r="L8" s="136">
        <f>IF(SER_hh_tes_in!L8=0,"",SER_hh_tes_in!L8/SER_hh_fec_in!L8)</f>
        <v>1.8631848304040153</v>
      </c>
      <c r="M8" s="136">
        <f>IF(SER_hh_tes_in!M8=0,"",SER_hh_tes_in!M8/SER_hh_fec_in!M8)</f>
        <v>1.9572794523424857</v>
      </c>
      <c r="N8" s="136">
        <f>IF(SER_hh_tes_in!N8=0,"",SER_hh_tes_in!N8/SER_hh_fec_in!N8)</f>
        <v>2.0750235887191955</v>
      </c>
      <c r="O8" s="136">
        <f>IF(SER_hh_tes_in!O8=0,"",SER_hh_tes_in!O8/SER_hh_fec_in!O8)</f>
        <v>2.2184988142152169</v>
      </c>
      <c r="P8" s="136">
        <f>IF(SER_hh_tes_in!P8=0,"",SER_hh_tes_in!P8/SER_hh_fec_in!P8)</f>
        <v>2.3731031148411557</v>
      </c>
      <c r="Q8" s="136">
        <f>IF(SER_hh_tes_in!Q8=0,"",SER_hh_tes_in!Q8/SER_hh_fec_in!Q8)</f>
        <v>2.4941328622138546</v>
      </c>
      <c r="R8" s="136">
        <f>IF(SER_hh_tes_in!R8=0,"",SER_hh_tes_in!R8/SER_hh_fec_in!R8)</f>
        <v>2.6052827570819321</v>
      </c>
      <c r="S8" s="136">
        <f>IF(SER_hh_tes_in!S8=0,"",SER_hh_tes_in!S8/SER_hh_fec_in!S8)</f>
        <v>2.6778302296246554</v>
      </c>
      <c r="T8" s="136">
        <f>IF(SER_hh_tes_in!T8=0,"",SER_hh_tes_in!T8/SER_hh_fec_in!T8)</f>
        <v>2.7238399640141289</v>
      </c>
      <c r="U8" s="136">
        <f>IF(SER_hh_tes_in!U8=0,"",SER_hh_tes_in!U8/SER_hh_fec_in!U8)</f>
        <v>2.7554757567547239</v>
      </c>
      <c r="V8" s="136">
        <f>IF(SER_hh_tes_in!V8=0,"",SER_hh_tes_in!V8/SER_hh_fec_in!V8)</f>
        <v>2.7845379674174406</v>
      </c>
      <c r="W8" s="136">
        <f>IF(SER_hh_tes_in!W8=0,"",SER_hh_tes_in!W8/SER_hh_fec_in!W8)</f>
        <v>2.8129064485257573</v>
      </c>
      <c r="X8" s="136">
        <f>IF(SER_hh_tes_in!X8=0,"",SER_hh_tes_in!X8/SER_hh_fec_in!X8)</f>
        <v>2.836263846720648</v>
      </c>
      <c r="Y8" s="136">
        <f>IF(SER_hh_tes_in!Y8=0,"",SER_hh_tes_in!Y8/SER_hh_fec_in!Y8)</f>
        <v>2.8560632105007668</v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0.51647525419999019</v>
      </c>
      <c r="D9" s="136">
        <f>IF(SER_hh_tes_in!D9=0,"",SER_hh_tes_in!D9/SER_hh_fec_in!D9)</f>
        <v>0.52071563701708468</v>
      </c>
      <c r="E9" s="136">
        <f>IF(SER_hh_tes_in!E9=0,"",SER_hh_tes_in!E9/SER_hh_fec_in!E9)</f>
        <v>0.5252227913318358</v>
      </c>
      <c r="F9" s="136">
        <f>IF(SER_hh_tes_in!F9=0,"",SER_hh_tes_in!F9/SER_hh_fec_in!F9)</f>
        <v>0.52971341426935759</v>
      </c>
      <c r="G9" s="136" t="str">
        <f>IF(SER_hh_tes_in!G9=0,"",SER_hh_tes_in!G9/SER_hh_fec_in!G9)</f>
        <v/>
      </c>
      <c r="H9" s="136">
        <f>IF(SER_hh_tes_in!H9=0,"",SER_hh_tes_in!H9/SER_hh_fec_in!H9)</f>
        <v>0.53937872564143985</v>
      </c>
      <c r="I9" s="136">
        <f>IF(SER_hh_tes_in!I9=0,"",SER_hh_tes_in!I9/SER_hh_fec_in!I9)</f>
        <v>0.5445822566832057</v>
      </c>
      <c r="J9" s="136">
        <f>IF(SER_hh_tes_in!J9=0,"",SER_hh_tes_in!J9/SER_hh_fec_in!J9)</f>
        <v>0.55030863373770045</v>
      </c>
      <c r="K9" s="136">
        <f>IF(SER_hh_tes_in!K9=0,"",SER_hh_tes_in!K9/SER_hh_fec_in!K9)</f>
        <v>0.55677265528773179</v>
      </c>
      <c r="L9" s="136">
        <f>IF(SER_hh_tes_in!L9=0,"",SER_hh_tes_in!L9/SER_hh_fec_in!L9)</f>
        <v>0.56402794824030733</v>
      </c>
      <c r="M9" s="136">
        <f>IF(SER_hh_tes_in!M9=0,"",SER_hh_tes_in!M9/SER_hh_fec_in!M9)</f>
        <v>0.57744791361847836</v>
      </c>
      <c r="N9" s="136">
        <f>IF(SER_hh_tes_in!N9=0,"",SER_hh_tes_in!N9/SER_hh_fec_in!N9)</f>
        <v>0.59870358211604158</v>
      </c>
      <c r="O9" s="136">
        <f>IF(SER_hh_tes_in!O9=0,"",SER_hh_tes_in!O9/SER_hh_fec_in!O9)</f>
        <v>0.62890636432206604</v>
      </c>
      <c r="P9" s="136" t="str">
        <f>IF(SER_hh_tes_in!P9=0,"",SER_hh_tes_in!P9/SER_hh_fec_in!P9)</f>
        <v/>
      </c>
      <c r="Q9" s="136">
        <f>IF(SER_hh_tes_in!Q9=0,"",SER_hh_tes_in!Q9/SER_hh_fec_in!Q9)</f>
        <v>0.69445222575662935</v>
      </c>
      <c r="R9" s="136">
        <f>IF(SER_hh_tes_in!R9=0,"",SER_hh_tes_in!R9/SER_hh_fec_in!R9)</f>
        <v>0.70964908543576066</v>
      </c>
      <c r="S9" s="136">
        <f>IF(SER_hh_tes_in!S9=0,"",SER_hh_tes_in!S9/SER_hh_fec_in!S9)</f>
        <v>0.72125937560820563</v>
      </c>
      <c r="T9" s="136">
        <f>IF(SER_hh_tes_in!T9=0,"",SER_hh_tes_in!T9/SER_hh_fec_in!T9)</f>
        <v>0.73067332115204675</v>
      </c>
      <c r="U9" s="136" t="str">
        <f>IF(SER_hh_tes_in!U9=0,"",SER_hh_tes_in!U9/SER_hh_fec_in!U9)</f>
        <v/>
      </c>
      <c r="V9" s="136">
        <f>IF(SER_hh_tes_in!V9=0,"",SER_hh_tes_in!V9/SER_hh_fec_in!V9)</f>
        <v>0.74626581834611472</v>
      </c>
      <c r="W9" s="136">
        <f>IF(SER_hh_tes_in!W9=0,"",SER_hh_tes_in!W9/SER_hh_fec_in!W9)</f>
        <v>0.75178102340425423</v>
      </c>
      <c r="X9" s="136">
        <f>IF(SER_hh_tes_in!X9=0,"",SER_hh_tes_in!X9/SER_hh_fec_in!X9)</f>
        <v>0.75529490128667565</v>
      </c>
      <c r="Y9" s="136">
        <f>IF(SER_hh_tes_in!Y9=0,"",SER_hh_tes_in!Y9/SER_hh_fec_in!Y9)</f>
        <v>0.75769351710806643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 t="str">
        <f>IF(SER_hh_tes_in!C10=0,"",SER_hh_tes_in!C10/SER_hh_fec_in!C10)</f>
        <v/>
      </c>
      <c r="D10" s="136" t="str">
        <f>IF(SER_hh_tes_in!D10=0,"",SER_hh_tes_in!D10/SER_hh_fec_in!D10)</f>
        <v/>
      </c>
      <c r="E10" s="136" t="str">
        <f>IF(SER_hh_tes_in!E10=0,"",SER_hh_tes_in!E10/SER_hh_fec_in!E10)</f>
        <v/>
      </c>
      <c r="F10" s="136" t="str">
        <f>IF(SER_hh_tes_in!F10=0,"",SER_hh_tes_in!F10/SER_hh_fec_in!F10)</f>
        <v/>
      </c>
      <c r="G10" s="136" t="str">
        <f>IF(SER_hh_tes_in!G10=0,"",SER_hh_tes_in!G10/SER_hh_fec_in!G10)</f>
        <v/>
      </c>
      <c r="H10" s="136" t="str">
        <f>IF(SER_hh_tes_in!H10=0,"",SER_hh_tes_in!H10/SER_hh_fec_in!H10)</f>
        <v/>
      </c>
      <c r="I10" s="136" t="str">
        <f>IF(SER_hh_tes_in!I10=0,"",SER_hh_tes_in!I10/SER_hh_fec_in!I10)</f>
        <v/>
      </c>
      <c r="J10" s="136" t="str">
        <f>IF(SER_hh_tes_in!J10=0,"",SER_hh_tes_in!J10/SER_hh_fec_in!J10)</f>
        <v/>
      </c>
      <c r="K10" s="136" t="str">
        <f>IF(SER_hh_tes_in!K10=0,"",SER_hh_tes_in!K10/SER_hh_fec_in!K10)</f>
        <v/>
      </c>
      <c r="L10" s="136" t="str">
        <f>IF(SER_hh_tes_in!L10=0,"",SER_hh_tes_in!L10/SER_hh_fec_in!L10)</f>
        <v/>
      </c>
      <c r="M10" s="136">
        <f>IF(SER_hh_tes_in!M10=0,"",SER_hh_tes_in!M10/SER_hh_fec_in!M10)</f>
        <v>0.52754137270569845</v>
      </c>
      <c r="N10" s="136">
        <f>IF(SER_hh_tes_in!N10=0,"",SER_hh_tes_in!N10/SER_hh_fec_in!N10)</f>
        <v>0.53485320876799924</v>
      </c>
      <c r="O10" s="136" t="str">
        <f>IF(SER_hh_tes_in!O10=0,"",SER_hh_tes_in!O10/SER_hh_fec_in!O10)</f>
        <v/>
      </c>
      <c r="P10" s="136" t="str">
        <f>IF(SER_hh_tes_in!P10=0,"",SER_hh_tes_in!P10/SER_hh_fec_in!P10)</f>
        <v/>
      </c>
      <c r="Q10" s="136" t="str">
        <f>IF(SER_hh_tes_in!Q10=0,"",SER_hh_tes_in!Q10/SER_hh_fec_in!Q10)</f>
        <v/>
      </c>
      <c r="R10" s="136">
        <f>IF(SER_hh_tes_in!R10=0,"",SER_hh_tes_in!R10/SER_hh_fec_in!R10)</f>
        <v>0.56133111678619962</v>
      </c>
      <c r="S10" s="136">
        <f>IF(SER_hh_tes_in!S10=0,"",SER_hh_tes_in!S10/SER_hh_fec_in!S10)</f>
        <v>0.57169335204863592</v>
      </c>
      <c r="T10" s="136" t="str">
        <f>IF(SER_hh_tes_in!T10=0,"",SER_hh_tes_in!T10/SER_hh_fec_in!T10)</f>
        <v/>
      </c>
      <c r="U10" s="136" t="str">
        <f>IF(SER_hh_tes_in!U10=0,"",SER_hh_tes_in!U10/SER_hh_fec_in!U10)</f>
        <v/>
      </c>
      <c r="V10" s="136" t="str">
        <f>IF(SER_hh_tes_in!V10=0,"",SER_hh_tes_in!V10/SER_hh_fec_in!V10)</f>
        <v/>
      </c>
      <c r="W10" s="136">
        <f>IF(SER_hh_tes_in!W10=0,"",SER_hh_tes_in!W10/SER_hh_fec_in!W10)</f>
        <v>0.60640585624076027</v>
      </c>
      <c r="X10" s="136">
        <f>IF(SER_hh_tes_in!X10=0,"",SER_hh_tes_in!X10/SER_hh_fec_in!X10)</f>
        <v>0.61223729555771866</v>
      </c>
      <c r="Y10" s="136">
        <f>IF(SER_hh_tes_in!Y10=0,"",SER_hh_tes_in!Y10/SER_hh_fec_in!Y10)</f>
        <v>0.61773286438012243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>
        <f>IF(SER_hh_tes_in!C11=0,"",SER_hh_tes_in!C11/SER_hh_fec_in!C11)</f>
        <v>0.7640800521983423</v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>
        <f>IF(SER_hh_tes_in!J11=0,"",SER_hh_tes_in!J11/SER_hh_fec_in!J11)</f>
        <v>0.79465728636825028</v>
      </c>
      <c r="K11" s="136">
        <f>IF(SER_hh_tes_in!K11=0,"",SER_hh_tes_in!K11/SER_hh_fec_in!K11)</f>
        <v>0.79902932555359862</v>
      </c>
      <c r="L11" s="136">
        <f>IF(SER_hh_tes_in!L11=0,"",SER_hh_tes_in!L11/SER_hh_fec_in!L11)</f>
        <v>0.80340313565080312</v>
      </c>
      <c r="M11" s="136">
        <f>IF(SER_hh_tes_in!M11=0,"",SER_hh_tes_in!M11/SER_hh_fec_in!M11)</f>
        <v>0.80782368519458092</v>
      </c>
      <c r="N11" s="136">
        <f>IF(SER_hh_tes_in!N11=0,"",SER_hh_tes_in!N11/SER_hh_fec_in!N11)</f>
        <v>0.81230779208413806</v>
      </c>
      <c r="O11" s="136">
        <f>IF(SER_hh_tes_in!O11=0,"",SER_hh_tes_in!O11/SER_hh_fec_in!O11)</f>
        <v>0.81683503838562299</v>
      </c>
      <c r="P11" s="136" t="str">
        <f>IF(SER_hh_tes_in!P11=0,"",SER_hh_tes_in!P11/SER_hh_fec_in!P11)</f>
        <v/>
      </c>
      <c r="Q11" s="136">
        <f>IF(SER_hh_tes_in!Q11=0,"",SER_hh_tes_in!Q11/SER_hh_fec_in!Q11)</f>
        <v>0.82547179475621435</v>
      </c>
      <c r="R11" s="136">
        <f>IF(SER_hh_tes_in!R11=0,"",SER_hh_tes_in!R11/SER_hh_fec_in!R11)</f>
        <v>0.82910200053821481</v>
      </c>
      <c r="S11" s="136">
        <f>IF(SER_hh_tes_in!S11=0,"",SER_hh_tes_in!S11/SER_hh_fec_in!S11)</f>
        <v>0.83244497559919528</v>
      </c>
      <c r="T11" s="136">
        <f>IF(SER_hh_tes_in!T11=0,"",SER_hh_tes_in!T11/SER_hh_fec_in!T11)</f>
        <v>0.8355593445321422</v>
      </c>
      <c r="U11" s="136">
        <f>IF(SER_hh_tes_in!U11=0,"",SER_hh_tes_in!U11/SER_hh_fec_in!U11)</f>
        <v>0.8385037319300529</v>
      </c>
      <c r="V11" s="136">
        <f>IF(SER_hh_tes_in!V11=0,"",SER_hh_tes_in!V11/SER_hh_fec_in!V11)</f>
        <v>0.84133676238592026</v>
      </c>
      <c r="W11" s="136">
        <f>IF(SER_hh_tes_in!W11=0,"",SER_hh_tes_in!W11/SER_hh_fec_in!W11)</f>
        <v>0.84398557706370547</v>
      </c>
      <c r="X11" s="136">
        <f>IF(SER_hh_tes_in!X11=0,"",SER_hh_tes_in!X11/SER_hh_fec_in!X11)</f>
        <v>0.84651746165113462</v>
      </c>
      <c r="Y11" s="136">
        <f>IF(SER_hh_tes_in!Y11=0,"",SER_hh_tes_in!Y11/SER_hh_fec_in!Y11)</f>
        <v>0.84894479570974291</v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0.76726766442690142</v>
      </c>
      <c r="D12" s="136">
        <f>IF(SER_hh_tes_in!D12=0,"",SER_hh_tes_in!D12/SER_hh_fec_in!D12)</f>
        <v>0.76905323150722171</v>
      </c>
      <c r="E12" s="136">
        <f>IF(SER_hh_tes_in!E12=0,"",SER_hh_tes_in!E12/SER_hh_fec_in!E12)</f>
        <v>0.77088700424031875</v>
      </c>
      <c r="F12" s="136">
        <f>IF(SER_hh_tes_in!F12=0,"",SER_hh_tes_in!F12/SER_hh_fec_in!F12)</f>
        <v>0.77272735047152208</v>
      </c>
      <c r="G12" s="136" t="str">
        <f>IF(SER_hh_tes_in!G12=0,"",SER_hh_tes_in!G12/SER_hh_fec_in!G12)</f>
        <v/>
      </c>
      <c r="H12" s="136" t="str">
        <f>IF(SER_hh_tes_in!H12=0,"",SER_hh_tes_in!H12/SER_hh_fec_in!H12)</f>
        <v/>
      </c>
      <c r="I12" s="136" t="str">
        <f>IF(SER_hh_tes_in!I12=0,"",SER_hh_tes_in!I12/SER_hh_fec_in!I12)</f>
        <v/>
      </c>
      <c r="J12" s="136">
        <f>IF(SER_hh_tes_in!J12=0,"",SER_hh_tes_in!J12/SER_hh_fec_in!J12)</f>
        <v>0.78057104265602562</v>
      </c>
      <c r="K12" s="136">
        <f>IF(SER_hh_tes_in!K12=0,"",SER_hh_tes_in!K12/SER_hh_fec_in!K12)</f>
        <v>0.78275161863920839</v>
      </c>
      <c r="L12" s="136">
        <f>IF(SER_hh_tes_in!L12=0,"",SER_hh_tes_in!L12/SER_hh_fec_in!L12)</f>
        <v>0.78506060173872583</v>
      </c>
      <c r="M12" s="136">
        <f>IF(SER_hh_tes_in!M12=0,"",SER_hh_tes_in!M12/SER_hh_fec_in!M12)</f>
        <v>0.78825767709573458</v>
      </c>
      <c r="N12" s="136">
        <f>IF(SER_hh_tes_in!N12=0,"",SER_hh_tes_in!N12/SER_hh_fec_in!N12)</f>
        <v>0.79258303809347364</v>
      </c>
      <c r="O12" s="136">
        <f>IF(SER_hh_tes_in!O12=0,"",SER_hh_tes_in!O12/SER_hh_fec_in!O12)</f>
        <v>0.79824724341929609</v>
      </c>
      <c r="P12" s="136" t="str">
        <f>IF(SER_hh_tes_in!P12=0,"",SER_hh_tes_in!P12/SER_hh_fec_in!P12)</f>
        <v/>
      </c>
      <c r="Q12" s="136">
        <f>IF(SER_hh_tes_in!Q12=0,"",SER_hh_tes_in!Q12/SER_hh_fec_in!Q12)</f>
        <v>0.81107894634264943</v>
      </c>
      <c r="R12" s="136">
        <f>IF(SER_hh_tes_in!R12=0,"",SER_hh_tes_in!R12/SER_hh_fec_in!R12)</f>
        <v>0.81585221777582129</v>
      </c>
      <c r="S12" s="136">
        <f>IF(SER_hh_tes_in!S12=0,"",SER_hh_tes_in!S12/SER_hh_fec_in!S12)</f>
        <v>0.82049581294060436</v>
      </c>
      <c r="T12" s="136">
        <f>IF(SER_hh_tes_in!T12=0,"",SER_hh_tes_in!T12/SER_hh_fec_in!T12)</f>
        <v>0.82497870532516759</v>
      </c>
      <c r="U12" s="136">
        <f>IF(SER_hh_tes_in!U12=0,"",SER_hh_tes_in!U12/SER_hh_fec_in!U12)</f>
        <v>0.82926986841769434</v>
      </c>
      <c r="V12" s="136">
        <f>IF(SER_hh_tes_in!V12=0,"",SER_hh_tes_in!V12/SER_hh_fec_in!V12)</f>
        <v>0.83333827570636276</v>
      </c>
      <c r="W12" s="136" t="str">
        <f>IF(SER_hh_tes_in!W12=0,"",SER_hh_tes_in!W12/SER_hh_fec_in!W12)</f>
        <v/>
      </c>
      <c r="X12" s="136" t="str">
        <f>IF(SER_hh_tes_in!X12=0,"",SER_hh_tes_in!X12/SER_hh_fec_in!X12)</f>
        <v/>
      </c>
      <c r="Y12" s="136" t="str">
        <f>IF(SER_hh_tes_in!Y12=0,"",SER_hh_tes_in!Y12/SER_hh_fec_in!Y12)</f>
        <v/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1.7138898953087416</v>
      </c>
      <c r="D13" s="136">
        <f>IF(SER_hh_tes_in!D13=0,"",SER_hh_tes_in!D13/SER_hh_fec_in!D13)</f>
        <v>1.8140963394492622</v>
      </c>
      <c r="E13" s="136">
        <f>IF(SER_hh_tes_in!E13=0,"",SER_hh_tes_in!E13/SER_hh_fec_in!E13)</f>
        <v>1.9159898911222191</v>
      </c>
      <c r="F13" s="136">
        <f>IF(SER_hh_tes_in!F13=0,"",SER_hh_tes_in!F13/SER_hh_fec_in!F13)</f>
        <v>2.0185882209787609</v>
      </c>
      <c r="G13" s="136">
        <f>IF(SER_hh_tes_in!G13=0,"",SER_hh_tes_in!G13/SER_hh_fec_in!G13)</f>
        <v>2.1227863568123975</v>
      </c>
      <c r="H13" s="136">
        <f>IF(SER_hh_tes_in!H13=0,"",SER_hh_tes_in!H13/SER_hh_fec_in!H13)</f>
        <v>2.2284766280153296</v>
      </c>
      <c r="I13" s="136">
        <f>IF(SER_hh_tes_in!I13=0,"",SER_hh_tes_in!I13/SER_hh_fec_in!I13)</f>
        <v>2.3358815270402928</v>
      </c>
      <c r="J13" s="136">
        <f>IF(SER_hh_tes_in!J13=0,"",SER_hh_tes_in!J13/SER_hh_fec_in!J13)</f>
        <v>2.4459081885337119</v>
      </c>
      <c r="K13" s="136">
        <f>IF(SER_hh_tes_in!K13=0,"",SER_hh_tes_in!K13/SER_hh_fec_in!K13)</f>
        <v>2.5593307208660772</v>
      </c>
      <c r="L13" s="136">
        <f>IF(SER_hh_tes_in!L13=0,"",SER_hh_tes_in!L13/SER_hh_fec_in!L13)</f>
        <v>2.6763613371725024</v>
      </c>
      <c r="M13" s="136">
        <f>IF(SER_hh_tes_in!M13=0,"",SER_hh_tes_in!M13/SER_hh_fec_in!M13)</f>
        <v>2.8194655585996049</v>
      </c>
      <c r="N13" s="136">
        <f>IF(SER_hh_tes_in!N13=0,"",SER_hh_tes_in!N13/SER_hh_fec_in!N13)</f>
        <v>2.9963903800085405</v>
      </c>
      <c r="O13" s="136">
        <f>IF(SER_hh_tes_in!O13=0,"",SER_hh_tes_in!O13/SER_hh_fec_in!O13)</f>
        <v>3.2097973109132392</v>
      </c>
      <c r="P13" s="136">
        <f>IF(SER_hh_tes_in!P13=0,"",SER_hh_tes_in!P13/SER_hh_fec_in!P13)</f>
        <v>3.4381681991125643</v>
      </c>
      <c r="Q13" s="136">
        <f>IF(SER_hh_tes_in!Q13=0,"",SER_hh_tes_in!Q13/SER_hh_fec_in!Q13)</f>
        <v>3.615764936328854</v>
      </c>
      <c r="R13" s="136">
        <f>IF(SER_hh_tes_in!R13=0,"",SER_hh_tes_in!R13/SER_hh_fec_in!R13)</f>
        <v>3.7860121082840106</v>
      </c>
      <c r="S13" s="136">
        <f>IF(SER_hh_tes_in!S13=0,"",SER_hh_tes_in!S13/SER_hh_fec_in!S13)</f>
        <v>3.8962701801725479</v>
      </c>
      <c r="T13" s="136">
        <f>IF(SER_hh_tes_in!T13=0,"",SER_hh_tes_in!T13/SER_hh_fec_in!T13)</f>
        <v>3.9650026047784199</v>
      </c>
      <c r="U13" s="136">
        <f>IF(SER_hh_tes_in!U13=0,"",SER_hh_tes_in!U13/SER_hh_fec_in!U13)</f>
        <v>4.0112399995249968</v>
      </c>
      <c r="V13" s="136">
        <f>IF(SER_hh_tes_in!V13=0,"",SER_hh_tes_in!V13/SER_hh_fec_in!V13)</f>
        <v>4.0537746814401991</v>
      </c>
      <c r="W13" s="136">
        <f>IF(SER_hh_tes_in!W13=0,"",SER_hh_tes_in!W13/SER_hh_fec_in!W13)</f>
        <v>4.096333996323775</v>
      </c>
      <c r="X13" s="136">
        <f>IF(SER_hh_tes_in!X13=0,"",SER_hh_tes_in!X13/SER_hh_fec_in!X13)</f>
        <v>4.1320005287769961</v>
      </c>
      <c r="Y13" s="136">
        <f>IF(SER_hh_tes_in!Y13=0,"",SER_hh_tes_in!Y13/SER_hh_fec_in!Y13)</f>
        <v>4.1625921027831021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0.69550298833364843</v>
      </c>
      <c r="D14" s="137">
        <f>IF(SER_hh_tes_in!D14=0,"",SER_hh_tes_in!D14/SER_hh_fec_in!D14)</f>
        <v>0.69877520414442973</v>
      </c>
      <c r="E14" s="137">
        <f>IF(SER_hh_tes_in!E14=0,"",SER_hh_tes_in!E14/SER_hh_fec_in!E14)</f>
        <v>0.70203830576980941</v>
      </c>
      <c r="F14" s="137">
        <f>IF(SER_hh_tes_in!F14=0,"",SER_hh_tes_in!F14/SER_hh_fec_in!F14)</f>
        <v>0.70529984684283809</v>
      </c>
      <c r="G14" s="137">
        <f>IF(SER_hh_tes_in!G14=0,"",SER_hh_tes_in!G14/SER_hh_fec_in!G14)</f>
        <v>0.70855300030774571</v>
      </c>
      <c r="H14" s="137">
        <f>IF(SER_hh_tes_in!H14=0,"",SER_hh_tes_in!H14/SER_hh_fec_in!H14)</f>
        <v>0.71179862756069323</v>
      </c>
      <c r="I14" s="137">
        <f>IF(SER_hh_tes_in!I14=0,"",SER_hh_tes_in!I14/SER_hh_fec_in!I14)</f>
        <v>0.71503507439977876</v>
      </c>
      <c r="J14" s="137" t="str">
        <f>IF(SER_hh_tes_in!J14=0,"",SER_hh_tes_in!J14/SER_hh_fec_in!J14)</f>
        <v/>
      </c>
      <c r="K14" s="137" t="str">
        <f>IF(SER_hh_tes_in!K14=0,"",SER_hh_tes_in!K14/SER_hh_fec_in!K14)</f>
        <v/>
      </c>
      <c r="L14" s="137" t="str">
        <f>IF(SER_hh_tes_in!L14=0,"",SER_hh_tes_in!L14/SER_hh_fec_in!L14)</f>
        <v/>
      </c>
      <c r="M14" s="137" t="str">
        <f>IF(SER_hh_tes_in!M14=0,"",SER_hh_tes_in!M14/SER_hh_fec_in!M14)</f>
        <v/>
      </c>
      <c r="N14" s="137" t="str">
        <f>IF(SER_hh_tes_in!N14=0,"",SER_hh_tes_in!N14/SER_hh_fec_in!N14)</f>
        <v/>
      </c>
      <c r="O14" s="137">
        <f>IF(SER_hh_tes_in!O14=0,"",SER_hh_tes_in!O14/SER_hh_fec_in!O14)</f>
        <v>0.73015695844902373</v>
      </c>
      <c r="P14" s="137">
        <f>IF(SER_hh_tes_in!P14=0,"",SER_hh_tes_in!P14/SER_hh_fec_in!P14)</f>
        <v>0.73205198788884618</v>
      </c>
      <c r="Q14" s="137">
        <f>IF(SER_hh_tes_in!Q14=0,"",SER_hh_tes_in!Q14/SER_hh_fec_in!Q14)</f>
        <v>0.73795781920833869</v>
      </c>
      <c r="R14" s="137" t="str">
        <f>IF(SER_hh_tes_in!R14=0,"",SER_hh_tes_in!R14/SER_hh_fec_in!R14)</f>
        <v/>
      </c>
      <c r="S14" s="137">
        <f>IF(SER_hh_tes_in!S14=0,"",SER_hh_tes_in!S14/SER_hh_fec_in!S14)</f>
        <v>0.77042444422844691</v>
      </c>
      <c r="T14" s="137">
        <f>IF(SER_hh_tes_in!T14=0,"",SER_hh_tes_in!T14/SER_hh_fec_in!T14)</f>
        <v>0.79130077468514448</v>
      </c>
      <c r="U14" s="137">
        <f>IF(SER_hh_tes_in!U14=0,"",SER_hh_tes_in!U14/SER_hh_fec_in!U14)</f>
        <v>0.81188181926161562</v>
      </c>
      <c r="V14" s="137">
        <f>IF(SER_hh_tes_in!V14=0,"",SER_hh_tes_in!V14/SER_hh_fec_in!V14)</f>
        <v>0.82962798049255282</v>
      </c>
      <c r="W14" s="137">
        <f>IF(SER_hh_tes_in!W14=0,"",SER_hh_tes_in!W14/SER_hh_fec_in!W14)</f>
        <v>0.84403696922099869</v>
      </c>
      <c r="X14" s="137">
        <f>IF(SER_hh_tes_in!X14=0,"",SER_hh_tes_in!X14/SER_hh_fec_in!X14)</f>
        <v>0.85802259476736109</v>
      </c>
      <c r="Y14" s="137">
        <f>IF(SER_hh_tes_in!Y14=0,"",SER_hh_tes_in!Y14/SER_hh_fec_in!Y14)</f>
        <v>0.8712142249126662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2.2665939387192306</v>
      </c>
      <c r="D16" s="135">
        <f>IF(SER_hh_tes_in!D16=0,"",SER_hh_tes_in!D16/SER_hh_fec_in!D16)</f>
        <v>2.3637634002485295</v>
      </c>
      <c r="E16" s="135">
        <f>IF(SER_hh_tes_in!E16=0,"",SER_hh_tes_in!E16/SER_hh_fec_in!E16)</f>
        <v>2.46001723433722</v>
      </c>
      <c r="F16" s="135">
        <f>IF(SER_hh_tes_in!F16=0,"",SER_hh_tes_in!F16/SER_hh_fec_in!F16)</f>
        <v>2.5464918104758567</v>
      </c>
      <c r="G16" s="135">
        <f>IF(SER_hh_tes_in!G16=0,"",SER_hh_tes_in!G16/SER_hh_fec_in!G16)</f>
        <v>2.6510196607386862</v>
      </c>
      <c r="H16" s="135">
        <f>IF(SER_hh_tes_in!H16=0,"",SER_hh_tes_in!H16/SER_hh_fec_in!H16)</f>
        <v>2.748980143157143</v>
      </c>
      <c r="I16" s="135">
        <f>IF(SER_hh_tes_in!I16=0,"",SER_hh_tes_in!I16/SER_hh_fec_in!I16)</f>
        <v>2.8401775832840452</v>
      </c>
      <c r="J16" s="135">
        <f>IF(SER_hh_tes_in!J16=0,"",SER_hh_tes_in!J16/SER_hh_fec_in!J16)</f>
        <v>2.9441145996158635</v>
      </c>
      <c r="K16" s="135">
        <f>IF(SER_hh_tes_in!K16=0,"",SER_hh_tes_in!K16/SER_hh_fec_in!K16)</f>
        <v>3.0308120873857027</v>
      </c>
      <c r="L16" s="135">
        <f>IF(SER_hh_tes_in!L16=0,"",SER_hh_tes_in!L16/SER_hh_fec_in!L16)</f>
        <v>3.1597088921751113</v>
      </c>
      <c r="M16" s="135">
        <f>IF(SER_hh_tes_in!M16=0,"",SER_hh_tes_in!M16/SER_hh_fec_in!M16)</f>
        <v>3.2636513643794629</v>
      </c>
      <c r="N16" s="135">
        <f>IF(SER_hh_tes_in!N16=0,"",SER_hh_tes_in!N16/SER_hh_fec_in!N16)</f>
        <v>3.4151233975266377</v>
      </c>
      <c r="O16" s="135">
        <f>IF(SER_hh_tes_in!O16=0,"",SER_hh_tes_in!O16/SER_hh_fec_in!O16)</f>
        <v>3.551938376307906</v>
      </c>
      <c r="P16" s="135">
        <f>IF(SER_hh_tes_in!P16=0,"",SER_hh_tes_in!P16/SER_hh_fec_in!P16)</f>
        <v>3.7114380867943768</v>
      </c>
      <c r="Q16" s="135">
        <f>IF(SER_hh_tes_in!Q16=0,"",SER_hh_tes_in!Q16/SER_hh_fec_in!Q16)</f>
        <v>3.8154493725946779</v>
      </c>
      <c r="R16" s="135">
        <f>IF(SER_hh_tes_in!R16=0,"",SER_hh_tes_in!R16/SER_hh_fec_in!R16)</f>
        <v>3.9043547234282259</v>
      </c>
      <c r="S16" s="135">
        <f>IF(SER_hh_tes_in!S16=0,"",SER_hh_tes_in!S16/SER_hh_fec_in!S16)</f>
        <v>3.98238542066921</v>
      </c>
      <c r="T16" s="135">
        <f>IF(SER_hh_tes_in!T16=0,"",SER_hh_tes_in!T16/SER_hh_fec_in!T16)</f>
        <v>4.0125485048775049</v>
      </c>
      <c r="U16" s="135">
        <f>IF(SER_hh_tes_in!U16=0,"",SER_hh_tes_in!U16/SER_hh_fec_in!U16)</f>
        <v>4.0166786723252992</v>
      </c>
      <c r="V16" s="135">
        <f>IF(SER_hh_tes_in!V16=0,"",SER_hh_tes_in!V16/SER_hh_fec_in!V16)</f>
        <v>4.0937225150741376</v>
      </c>
      <c r="W16" s="135">
        <f>IF(SER_hh_tes_in!W16=0,"",SER_hh_tes_in!W16/SER_hh_fec_in!W16)</f>
        <v>4.1275468357973386</v>
      </c>
      <c r="X16" s="135">
        <f>IF(SER_hh_tes_in!X16=0,"",SER_hh_tes_in!X16/SER_hh_fec_in!X16)</f>
        <v>4.1253820003627926</v>
      </c>
      <c r="Y16" s="135">
        <f>IF(SER_hh_tes_in!Y16=0,"",SER_hh_tes_in!Y16/SER_hh_fec_in!Y16)</f>
        <v>4.1342045276754398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1.1659234260849574</v>
      </c>
      <c r="D17" s="136">
        <f>IF(SER_hh_tes_in!D17=0,"",SER_hh_tes_in!D17/SER_hh_fec_in!D17)</f>
        <v>1.1843824004680763</v>
      </c>
      <c r="E17" s="136">
        <f>IF(SER_hh_tes_in!E17=0,"",SER_hh_tes_in!E17/SER_hh_fec_in!E17)</f>
        <v>1.202554381178103</v>
      </c>
      <c r="F17" s="136">
        <f>IF(SER_hh_tes_in!F17=0,"",SER_hh_tes_in!F17/SER_hh_fec_in!F17)</f>
        <v>1.2203088417493138</v>
      </c>
      <c r="G17" s="136">
        <f>IF(SER_hh_tes_in!G17=0,"",SER_hh_tes_in!G17/SER_hh_fec_in!G17)</f>
        <v>1.2378075144803833</v>
      </c>
      <c r="H17" s="136">
        <f>IF(SER_hh_tes_in!H17=0,"",SER_hh_tes_in!H17/SER_hh_fec_in!H17)</f>
        <v>1.2550541390186987</v>
      </c>
      <c r="I17" s="136">
        <f>IF(SER_hh_tes_in!I17=0,"",SER_hh_tes_in!I17/SER_hh_fec_in!I17)</f>
        <v>1.2720966609006517</v>
      </c>
      <c r="J17" s="136">
        <f>IF(SER_hh_tes_in!J17=0,"",SER_hh_tes_in!J17/SER_hh_fec_in!J17)</f>
        <v>1.289070667992636</v>
      </c>
      <c r="K17" s="136">
        <f>IF(SER_hh_tes_in!K17=0,"",SER_hh_tes_in!K17/SER_hh_fec_in!K17)</f>
        <v>1.3060844746697149</v>
      </c>
      <c r="L17" s="136">
        <f>IF(SER_hh_tes_in!L17=0,"",SER_hh_tes_in!L17/SER_hh_fec_in!L17)</f>
        <v>1.3231654936466153</v>
      </c>
      <c r="M17" s="136">
        <f>IF(SER_hh_tes_in!M17=0,"",SER_hh_tes_in!M17/SER_hh_fec_in!M17)</f>
        <v>1.3430468136725626</v>
      </c>
      <c r="N17" s="136">
        <f>IF(SER_hh_tes_in!N17=0,"",SER_hh_tes_in!N17/SER_hh_fec_in!N17)</f>
        <v>1.3657275074522028</v>
      </c>
      <c r="O17" s="136">
        <f>IF(SER_hh_tes_in!O17=0,"",SER_hh_tes_in!O17/SER_hh_fec_in!O17)</f>
        <v>1.3907428747849677</v>
      </c>
      <c r="P17" s="136">
        <f>IF(SER_hh_tes_in!P17=0,"",SER_hh_tes_in!P17/SER_hh_fec_in!P17)</f>
        <v>1.4155119214740117</v>
      </c>
      <c r="Q17" s="136">
        <f>IF(SER_hh_tes_in!Q17=0,"",SER_hh_tes_in!Q17/SER_hh_fec_in!Q17)</f>
        <v>1.4342142000364351</v>
      </c>
      <c r="R17" s="136">
        <f>IF(SER_hh_tes_in!R17=0,"",SER_hh_tes_in!R17/SER_hh_fec_in!R17)</f>
        <v>1.4576203768015368</v>
      </c>
      <c r="S17" s="136">
        <f>IF(SER_hh_tes_in!S17=0,"",SER_hh_tes_in!S17/SER_hh_fec_in!S17)</f>
        <v>1.4867864894028642</v>
      </c>
      <c r="T17" s="136">
        <f>IF(SER_hh_tes_in!T17=0,"",SER_hh_tes_in!T17/SER_hh_fec_in!T17)</f>
        <v>1.5178757382855452</v>
      </c>
      <c r="U17" s="136">
        <f>IF(SER_hh_tes_in!U17=0,"",SER_hh_tes_in!U17/SER_hh_fec_in!U17)</f>
        <v>1.5463082946097968</v>
      </c>
      <c r="V17" s="136">
        <f>IF(SER_hh_tes_in!V17=0,"",SER_hh_tes_in!V17/SER_hh_fec_in!V17)</f>
        <v>1.5720385949075706</v>
      </c>
      <c r="W17" s="136">
        <f>IF(SER_hh_tes_in!W17=0,"",SER_hh_tes_in!W17/SER_hh_fec_in!W17)</f>
        <v>1.5918081682502316</v>
      </c>
      <c r="X17" s="136">
        <f>IF(SER_hh_tes_in!X17=0,"",SER_hh_tes_in!X17/SER_hh_fec_in!X17)</f>
        <v>1.5994451177661546</v>
      </c>
      <c r="Y17" s="136">
        <f>IF(SER_hh_tes_in!Y17=0,"",SER_hh_tes_in!Y17/SER_hh_fec_in!Y17)</f>
        <v>1.6006866409412355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2.2711917900275069</v>
      </c>
      <c r="D18" s="136">
        <f>IF(SER_hh_tes_in!D18=0,"",SER_hh_tes_in!D18/SER_hh_fec_in!D18)</f>
        <v>2.3662348353974751</v>
      </c>
      <c r="E18" s="136">
        <f>IF(SER_hh_tes_in!E18=0,"",SER_hh_tes_in!E18/SER_hh_fec_in!E18)</f>
        <v>2.4627027587758485</v>
      </c>
      <c r="F18" s="136">
        <f>IF(SER_hh_tes_in!F18=0,"",SER_hh_tes_in!F18/SER_hh_fec_in!F18)</f>
        <v>2.5599454699623205</v>
      </c>
      <c r="G18" s="136">
        <f>IF(SER_hh_tes_in!G18=0,"",SER_hh_tes_in!G18/SER_hh_fec_in!G18)</f>
        <v>2.6585263275518982</v>
      </c>
      <c r="H18" s="136">
        <f>IF(SER_hh_tes_in!H18=0,"",SER_hh_tes_in!H18/SER_hh_fec_in!H18)</f>
        <v>2.7583567931982942</v>
      </c>
      <c r="I18" s="136">
        <f>IF(SER_hh_tes_in!I18=0,"",SER_hh_tes_in!I18/SER_hh_fec_in!I18)</f>
        <v>2.8595549575709844</v>
      </c>
      <c r="J18" s="136">
        <f>IF(SER_hh_tes_in!J18=0,"",SER_hh_tes_in!J18/SER_hh_fec_in!J18)</f>
        <v>2.9626500941721594</v>
      </c>
      <c r="K18" s="136">
        <f>IF(SER_hh_tes_in!K18=0,"",SER_hh_tes_in!K18/SER_hh_fec_in!K18)</f>
        <v>3.0680614317462802</v>
      </c>
      <c r="L18" s="136">
        <f>IF(SER_hh_tes_in!L18=0,"",SER_hh_tes_in!L18/SER_hh_fec_in!L18)</f>
        <v>3.1758445645368618</v>
      </c>
      <c r="M18" s="136">
        <f>IF(SER_hh_tes_in!M18=0,"",SER_hh_tes_in!M18/SER_hh_fec_in!M18)</f>
        <v>3.2993560900367847</v>
      </c>
      <c r="N18" s="136">
        <f>IF(SER_hh_tes_in!N18=0,"",SER_hh_tes_in!N18/SER_hh_fec_in!N18)</f>
        <v>3.4425609688387708</v>
      </c>
      <c r="O18" s="136">
        <f>IF(SER_hh_tes_in!O18=0,"",SER_hh_tes_in!O18/SER_hh_fec_in!O18)</f>
        <v>3.6052037376029222</v>
      </c>
      <c r="P18" s="136">
        <f>IF(SER_hh_tes_in!P18=0,"",SER_hh_tes_in!P18/SER_hh_fec_in!P18)</f>
        <v>3.7714560015573277</v>
      </c>
      <c r="Q18" s="136">
        <f>IF(SER_hh_tes_in!Q18=0,"",SER_hh_tes_in!Q18/SER_hh_fec_in!Q18)</f>
        <v>3.8990520651297591</v>
      </c>
      <c r="R18" s="136">
        <f>IF(SER_hh_tes_in!R18=0,"",SER_hh_tes_in!R18/SER_hh_fec_in!R18)</f>
        <v>4.0176011475801641</v>
      </c>
      <c r="S18" s="136">
        <f>IF(SER_hh_tes_in!S18=0,"",SER_hh_tes_in!S18/SER_hh_fec_in!S18)</f>
        <v>4.0788170643038208</v>
      </c>
      <c r="T18" s="136">
        <f>IF(SER_hh_tes_in!T18=0,"",SER_hh_tes_in!T18/SER_hh_fec_in!T18)</f>
        <v>4.118149370742044</v>
      </c>
      <c r="U18" s="136">
        <f>IF(SER_hh_tes_in!U18=0,"",SER_hh_tes_in!U18/SER_hh_fec_in!U18)</f>
        <v>4.1460176131155535</v>
      </c>
      <c r="V18" s="136">
        <f>IF(SER_hh_tes_in!V18=0,"",SER_hh_tes_in!V18/SER_hh_fec_in!V18)</f>
        <v>4.173282800966934</v>
      </c>
      <c r="W18" s="136">
        <f>IF(SER_hh_tes_in!W18=0,"",SER_hh_tes_in!W18/SER_hh_fec_in!W18)</f>
        <v>4.2002589450283629</v>
      </c>
      <c r="X18" s="136">
        <f>IF(SER_hh_tes_in!X18=0,"",SER_hh_tes_in!X18/SER_hh_fec_in!X18)</f>
        <v>4.2211085584222117</v>
      </c>
      <c r="Y18" s="136">
        <f>IF(SER_hh_tes_in!Y18=0,"",SER_hh_tes_in!Y18/SER_hh_fec_in!Y18)</f>
        <v>4.239247498631455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0.66780615941671118</v>
      </c>
      <c r="D19" s="135">
        <f>IF(SER_hh_tes_in!D19=0,"",SER_hh_tes_in!D19/SER_hh_fec_in!D19)</f>
        <v>0.7039409522341471</v>
      </c>
      <c r="E19" s="135">
        <f>IF(SER_hh_tes_in!E19=0,"",SER_hh_tes_in!E19/SER_hh_fec_in!E19)</f>
        <v>0.67363362287650519</v>
      </c>
      <c r="F19" s="135">
        <f>IF(SER_hh_tes_in!F19=0,"",SER_hh_tes_in!F19/SER_hh_fec_in!F19)</f>
        <v>0.68038403978882156</v>
      </c>
      <c r="G19" s="135">
        <f>IF(SER_hh_tes_in!G19=0,"",SER_hh_tes_in!G19/SER_hh_fec_in!G19)</f>
        <v>0.73767485373412545</v>
      </c>
      <c r="H19" s="135">
        <f>IF(SER_hh_tes_in!H19=0,"",SER_hh_tes_in!H19/SER_hh_fec_in!H19)</f>
        <v>0.66476512638085106</v>
      </c>
      <c r="I19" s="135">
        <f>IF(SER_hh_tes_in!I19=0,"",SER_hh_tes_in!I19/SER_hh_fec_in!I19)</f>
        <v>0.71017409847955992</v>
      </c>
      <c r="J19" s="135">
        <f>IF(SER_hh_tes_in!J19=0,"",SER_hh_tes_in!J19/SER_hh_fec_in!J19)</f>
        <v>0.78849450825553724</v>
      </c>
      <c r="K19" s="135">
        <f>IF(SER_hh_tes_in!K19=0,"",SER_hh_tes_in!K19/SER_hh_fec_in!K19)</f>
        <v>0.76689114998063668</v>
      </c>
      <c r="L19" s="135">
        <f>IF(SER_hh_tes_in!L19=0,"",SER_hh_tes_in!L19/SER_hh_fec_in!L19)</f>
        <v>0.79267855279329658</v>
      </c>
      <c r="M19" s="135">
        <f>IF(SER_hh_tes_in!M19=0,"",SER_hh_tes_in!M19/SER_hh_fec_in!M19)</f>
        <v>0.78551620458996496</v>
      </c>
      <c r="N19" s="135">
        <f>IF(SER_hh_tes_in!N19=0,"",SER_hh_tes_in!N19/SER_hh_fec_in!N19)</f>
        <v>0.78589235364389798</v>
      </c>
      <c r="O19" s="135">
        <f>IF(SER_hh_tes_in!O19=0,"",SER_hh_tes_in!O19/SER_hh_fec_in!O19)</f>
        <v>0.80967189921113869</v>
      </c>
      <c r="P19" s="135">
        <f>IF(SER_hh_tes_in!P19=0,"",SER_hh_tes_in!P19/SER_hh_fec_in!P19)</f>
        <v>0.87024046775837471</v>
      </c>
      <c r="Q19" s="135">
        <f>IF(SER_hh_tes_in!Q19=0,"",SER_hh_tes_in!Q19/SER_hh_fec_in!Q19)</f>
        <v>0.87326832483592676</v>
      </c>
      <c r="R19" s="135">
        <f>IF(SER_hh_tes_in!R19=0,"",SER_hh_tes_in!R19/SER_hh_fec_in!R19)</f>
        <v>0.87340997825469258</v>
      </c>
      <c r="S19" s="135">
        <f>IF(SER_hh_tes_in!S19=0,"",SER_hh_tes_in!S19/SER_hh_fec_in!S19)</f>
        <v>0.87508168275468401</v>
      </c>
      <c r="T19" s="135">
        <f>IF(SER_hh_tes_in!T19=0,"",SER_hh_tes_in!T19/SER_hh_fec_in!T19)</f>
        <v>0.87172058929986629</v>
      </c>
      <c r="U19" s="135">
        <f>IF(SER_hh_tes_in!U19=0,"",SER_hh_tes_in!U19/SER_hh_fec_in!U19)</f>
        <v>0.88280815624262587</v>
      </c>
      <c r="V19" s="135">
        <f>IF(SER_hh_tes_in!V19=0,"",SER_hh_tes_in!V19/SER_hh_fec_in!V19)</f>
        <v>0.91340688945412274</v>
      </c>
      <c r="W19" s="135">
        <f>IF(SER_hh_tes_in!W19=0,"",SER_hh_tes_in!W19/SER_hh_fec_in!W19)</f>
        <v>0.90004713693566485</v>
      </c>
      <c r="X19" s="135">
        <f>IF(SER_hh_tes_in!X19=0,"",SER_hh_tes_in!X19/SER_hh_fec_in!X19)</f>
        <v>0.92833544647441169</v>
      </c>
      <c r="Y19" s="135">
        <f>IF(SER_hh_tes_in!Y19=0,"",SER_hh_tes_in!Y19/SER_hh_fec_in!Y19)</f>
        <v>0.91431683852568868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0.54006450535780959</v>
      </c>
      <c r="D21" s="136">
        <f>IF(SER_hh_tes_in!D21=0,"",SER_hh_tes_in!D21/SER_hh_fec_in!D21)</f>
        <v>0.54240891795282209</v>
      </c>
      <c r="E21" s="136">
        <f>IF(SER_hh_tes_in!E21=0,"",SER_hh_tes_in!E21/SER_hh_fec_in!E21)</f>
        <v>0.54507921427506922</v>
      </c>
      <c r="F21" s="136">
        <f>IF(SER_hh_tes_in!F21=0,"",SER_hh_tes_in!F21/SER_hh_fec_in!F21)</f>
        <v>0.54779394928739378</v>
      </c>
      <c r="G21" s="136">
        <f>IF(SER_hh_tes_in!G21=0,"",SER_hh_tes_in!G21/SER_hh_fec_in!G21)</f>
        <v>0.55080880404433241</v>
      </c>
      <c r="H21" s="136">
        <f>IF(SER_hh_tes_in!H21=0,"",SER_hh_tes_in!H21/SER_hh_fec_in!H21)</f>
        <v>0.55409248643981157</v>
      </c>
      <c r="I21" s="136">
        <f>IF(SER_hh_tes_in!I21=0,"",SER_hh_tes_in!I21/SER_hh_fec_in!I21)</f>
        <v>0.55770799629314016</v>
      </c>
      <c r="J21" s="136">
        <f>IF(SER_hh_tes_in!J21=0,"",SER_hh_tes_in!J21/SER_hh_fec_in!J21)</f>
        <v>0.56191342162709101</v>
      </c>
      <c r="K21" s="136">
        <f>IF(SER_hh_tes_in!K21=0,"",SER_hh_tes_in!K21/SER_hh_fec_in!K21)</f>
        <v>0.56692820514624509</v>
      </c>
      <c r="L21" s="136">
        <f>IF(SER_hh_tes_in!L21=0,"",SER_hh_tes_in!L21/SER_hh_fec_in!L21)</f>
        <v>0.57281105677077204</v>
      </c>
      <c r="M21" s="136">
        <f>IF(SER_hh_tes_in!M21=0,"",SER_hh_tes_in!M21/SER_hh_fec_in!M21)</f>
        <v>0.5848036228293112</v>
      </c>
      <c r="N21" s="136">
        <f>IF(SER_hh_tes_in!N21=0,"",SER_hh_tes_in!N21/SER_hh_fec_in!N21)</f>
        <v>0.60457202086024997</v>
      </c>
      <c r="O21" s="136">
        <f>IF(SER_hh_tes_in!O21=0,"",SER_hh_tes_in!O21/SER_hh_fec_in!O21)</f>
        <v>0.63347225160788989</v>
      </c>
      <c r="P21" s="136">
        <f>IF(SER_hh_tes_in!P21=0,"",SER_hh_tes_in!P21/SER_hh_fec_in!P21)</f>
        <v>0.66851689906864897</v>
      </c>
      <c r="Q21" s="136">
        <f>IF(SER_hh_tes_in!Q21=0,"",SER_hh_tes_in!Q21/SER_hh_fec_in!Q21)</f>
        <v>0.700069753279708</v>
      </c>
      <c r="R21" s="136">
        <f>IF(SER_hh_tes_in!R21=0,"",SER_hh_tes_in!R21/SER_hh_fec_in!R21)</f>
        <v>0.72054054881761453</v>
      </c>
      <c r="S21" s="136">
        <f>IF(SER_hh_tes_in!S21=0,"",SER_hh_tes_in!S21/SER_hh_fec_in!S21)</f>
        <v>0.73960081043406278</v>
      </c>
      <c r="T21" s="136">
        <f>IF(SER_hh_tes_in!T21=0,"",SER_hh_tes_in!T21/SER_hh_fec_in!T21)</f>
        <v>0.7566885316294405</v>
      </c>
      <c r="U21" s="136">
        <f>IF(SER_hh_tes_in!U21=0,"",SER_hh_tes_in!U21/SER_hh_fec_in!U21)</f>
        <v>0.77124170590419383</v>
      </c>
      <c r="V21" s="136">
        <f>IF(SER_hh_tes_in!V21=0,"",SER_hh_tes_in!V21/SER_hh_fec_in!V21)</f>
        <v>0.78269832675874562</v>
      </c>
      <c r="W21" s="136">
        <f>IF(SER_hh_tes_in!W21=0,"",SER_hh_tes_in!W21/SER_hh_fec_in!W21)</f>
        <v>0.78974017311052502</v>
      </c>
      <c r="X21" s="136">
        <f>IF(SER_hh_tes_in!X21=0,"",SER_hh_tes_in!X21/SER_hh_fec_in!X21)</f>
        <v>0.79317570343186705</v>
      </c>
      <c r="Y21" s="136">
        <f>IF(SER_hh_tes_in!Y21=0,"",SER_hh_tes_in!Y21/SER_hh_fec_in!Y21)</f>
        <v>0.7949153719001083</v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0.50920700708008582</v>
      </c>
      <c r="D22" s="136">
        <f>IF(SER_hh_tes_in!D22=0,"",SER_hh_tes_in!D22/SER_hh_fec_in!D22)</f>
        <v>0.51167261802835273</v>
      </c>
      <c r="E22" s="136">
        <f>IF(SER_hh_tes_in!E22=0,"",SER_hh_tes_in!E22/SER_hh_fec_in!E22)</f>
        <v>0.51448095981138886</v>
      </c>
      <c r="F22" s="136">
        <f>IF(SER_hh_tes_in!F22=0,"",SER_hh_tes_in!F22/SER_hh_fec_in!F22)</f>
        <v>0.51733603761734814</v>
      </c>
      <c r="G22" s="136">
        <f>IF(SER_hh_tes_in!G22=0,"",SER_hh_tes_in!G22/SER_hh_fec_in!G22)</f>
        <v>0.52050675036302974</v>
      </c>
      <c r="H22" s="136">
        <f>IF(SER_hh_tes_in!H22=0,"",SER_hh_tes_in!H22/SER_hh_fec_in!H22)</f>
        <v>0.52396018824429225</v>
      </c>
      <c r="I22" s="136">
        <f>IF(SER_hh_tes_in!I22=0,"",SER_hh_tes_in!I22/SER_hh_fec_in!I22)</f>
        <v>0.52776260796209218</v>
      </c>
      <c r="J22" s="136">
        <f>IF(SER_hh_tes_in!J22=0,"",SER_hh_tes_in!J22/SER_hh_fec_in!J22)</f>
        <v>0.53218543983373801</v>
      </c>
      <c r="K22" s="136">
        <f>IF(SER_hh_tes_in!K22=0,"",SER_hh_tes_in!K22/SER_hh_fec_in!K22)</f>
        <v>0.53745947102360603</v>
      </c>
      <c r="L22" s="136">
        <f>IF(SER_hh_tes_in!L22=0,"",SER_hh_tes_in!L22/SER_hh_fec_in!L22)</f>
        <v>0.54364644655996064</v>
      </c>
      <c r="M22" s="136">
        <f>IF(SER_hh_tes_in!M22=0,"",SER_hh_tes_in!M22/SER_hh_fec_in!M22)</f>
        <v>0.55625898849675737</v>
      </c>
      <c r="N22" s="136">
        <f>IF(SER_hh_tes_in!N22=0,"",SER_hh_tes_in!N22/SER_hh_fec_in!N22)</f>
        <v>0.5770493471215471</v>
      </c>
      <c r="O22" s="136">
        <f>IF(SER_hh_tes_in!O22=0,"",SER_hh_tes_in!O22/SER_hh_fec_in!O22)</f>
        <v>0.60744362391839413</v>
      </c>
      <c r="P22" s="136">
        <f>IF(SER_hh_tes_in!P22=0,"",SER_hh_tes_in!P22/SER_hh_fec_in!P22)</f>
        <v>0.6442999633874904</v>
      </c>
      <c r="Q22" s="136">
        <f>IF(SER_hh_tes_in!Q22=0,"",SER_hh_tes_in!Q22/SER_hh_fec_in!Q22)</f>
        <v>0.67748399548037641</v>
      </c>
      <c r="R22" s="136">
        <f>IF(SER_hh_tes_in!R22=0,"",SER_hh_tes_in!R22/SER_hh_fec_in!R22)</f>
        <v>0.69901306323294488</v>
      </c>
      <c r="S22" s="136">
        <f>IF(SER_hh_tes_in!S22=0,"",SER_hh_tes_in!S22/SER_hh_fec_in!S22)</f>
        <v>0.71905867713995342</v>
      </c>
      <c r="T22" s="136">
        <f>IF(SER_hh_tes_in!T22=0,"",SER_hh_tes_in!T22/SER_hh_fec_in!T22)</f>
        <v>0.73702977683029325</v>
      </c>
      <c r="U22" s="136">
        <f>IF(SER_hh_tes_in!U22=0,"",SER_hh_tes_in!U22/SER_hh_fec_in!U22)</f>
        <v>0.75233530193291642</v>
      </c>
      <c r="V22" s="136">
        <f>IF(SER_hh_tes_in!V22=0,"",SER_hh_tes_in!V22/SER_hh_fec_in!V22)</f>
        <v>0.76438419207675079</v>
      </c>
      <c r="W22" s="136">
        <f>IF(SER_hh_tes_in!W22=0,"",SER_hh_tes_in!W22/SER_hh_fec_in!W22)</f>
        <v>0.77179007852263426</v>
      </c>
      <c r="X22" s="136">
        <f>IF(SER_hh_tes_in!X22=0,"",SER_hh_tes_in!X22/SER_hh_fec_in!X22)</f>
        <v>0.77514752228294359</v>
      </c>
      <c r="Y22" s="136">
        <f>IF(SER_hh_tes_in!Y22=0,"",SER_hh_tes_in!Y22/SER_hh_fec_in!Y22)</f>
        <v>0.77684764962788899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0.55204785141857338</v>
      </c>
      <c r="D23" s="136">
        <f>IF(SER_hh_tes_in!D23=0,"",SER_hh_tes_in!D23/SER_hh_fec_in!D23)</f>
        <v>0.55789857664815112</v>
      </c>
      <c r="E23" s="136">
        <f>IF(SER_hh_tes_in!E23=0,"",SER_hh_tes_in!E23/SER_hh_fec_in!E23)</f>
        <v>0.56401430529098806</v>
      </c>
      <c r="F23" s="136">
        <f>IF(SER_hh_tes_in!F23=0,"",SER_hh_tes_in!F23/SER_hh_fec_in!F23)</f>
        <v>0.57017715070153485</v>
      </c>
      <c r="G23" s="136">
        <f>IF(SER_hh_tes_in!G23=0,"",SER_hh_tes_in!G23/SER_hh_fec_in!G23)</f>
        <v>0.57658215406847024</v>
      </c>
      <c r="H23" s="136">
        <f>IF(SER_hh_tes_in!H23=0,"",SER_hh_tes_in!H23/SER_hh_fec_in!H23)</f>
        <v>0.58320342073514619</v>
      </c>
      <c r="I23" s="136">
        <f>IF(SER_hh_tes_in!I23=0,"",SER_hh_tes_in!I23/SER_hh_fec_in!I23)</f>
        <v>0.59008693646275001</v>
      </c>
      <c r="J23" s="136">
        <f>IF(SER_hh_tes_in!J23=0,"",SER_hh_tes_in!J23/SER_hh_fec_in!J23)</f>
        <v>0.59742577847904743</v>
      </c>
      <c r="K23" s="136">
        <f>IF(SER_hh_tes_in!K23=0,"",SER_hh_tes_in!K23/SER_hh_fec_in!K23)</f>
        <v>0.60538139451047401</v>
      </c>
      <c r="L23" s="136">
        <f>IF(SER_hh_tes_in!L23=0,"",SER_hh_tes_in!L23/SER_hh_fec_in!L23)</f>
        <v>0.61399214402681201</v>
      </c>
      <c r="M23" s="136">
        <f>IF(SER_hh_tes_in!M23=0,"",SER_hh_tes_in!M23/SER_hh_fec_in!M23)</f>
        <v>0.62727700529212638</v>
      </c>
      <c r="N23" s="136">
        <f>IF(SER_hh_tes_in!N23=0,"",SER_hh_tes_in!N23/SER_hh_fec_in!N23)</f>
        <v>0.64647689699488387</v>
      </c>
      <c r="O23" s="136">
        <f>IF(SER_hh_tes_in!O23=0,"",SER_hh_tes_in!O23/SER_hh_fec_in!O23)</f>
        <v>0.67247751196251726</v>
      </c>
      <c r="P23" s="136">
        <f>IF(SER_hh_tes_in!P23=0,"",SER_hh_tes_in!P23/SER_hh_fec_in!P23)</f>
        <v>0.70270931880220644</v>
      </c>
      <c r="Q23" s="136">
        <f>IF(SER_hh_tes_in!Q23=0,"",SER_hh_tes_in!Q23/SER_hh_fec_in!Q23)</f>
        <v>0.72917800940057664</v>
      </c>
      <c r="R23" s="136">
        <f>IF(SER_hh_tes_in!R23=0,"",SER_hh_tes_in!R23/SER_hh_fec_in!R23)</f>
        <v>0.74535761032047265</v>
      </c>
      <c r="S23" s="136">
        <f>IF(SER_hh_tes_in!S23=0,"",SER_hh_tes_in!S23/SER_hh_fec_in!S23)</f>
        <v>0.75913636970495535</v>
      </c>
      <c r="T23" s="136">
        <f>IF(SER_hh_tes_in!T23=0,"",SER_hh_tes_in!T23/SER_hh_fec_in!T23)</f>
        <v>0.77073056375488769</v>
      </c>
      <c r="U23" s="136">
        <f>IF(SER_hh_tes_in!U23=0,"",SER_hh_tes_in!U23/SER_hh_fec_in!U23)</f>
        <v>0.78034614661767132</v>
      </c>
      <c r="V23" s="136">
        <f>IF(SER_hh_tes_in!V23=0,"",SER_hh_tes_in!V23/SER_hh_fec_in!V23)</f>
        <v>0.78816375365059355</v>
      </c>
      <c r="W23" s="136">
        <f>IF(SER_hh_tes_in!W23=0,"",SER_hh_tes_in!W23/SER_hh_fec_in!W23)</f>
        <v>0.79333749140912802</v>
      </c>
      <c r="X23" s="136">
        <f>IF(SER_hh_tes_in!X23=0,"",SER_hh_tes_in!X23/SER_hh_fec_in!X23)</f>
        <v>0.79591967736811731</v>
      </c>
      <c r="Y23" s="136">
        <f>IF(SER_hh_tes_in!Y23=0,"",SER_hh_tes_in!Y23/SER_hh_fec_in!Y23)</f>
        <v>0.79743368568313222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0.77173599815496896</v>
      </c>
      <c r="D25" s="136">
        <f>IF(SER_hh_tes_in!D25=0,"",SER_hh_tes_in!D25/SER_hh_fec_in!D25)</f>
        <v>0.77375011020875628</v>
      </c>
      <c r="E25" s="136">
        <f>IF(SER_hh_tes_in!E25=0,"",SER_hh_tes_in!E25/SER_hh_fec_in!E25)</f>
        <v>0.77581859803335007</v>
      </c>
      <c r="F25" s="136">
        <f>IF(SER_hh_tes_in!F25=0,"",SER_hh_tes_in!F25/SER_hh_fec_in!F25)</f>
        <v>0.77789450073578092</v>
      </c>
      <c r="G25" s="136" t="str">
        <f>IF(SER_hh_tes_in!G25=0,"",SER_hh_tes_in!G25/SER_hh_fec_in!G25)</f>
        <v/>
      </c>
      <c r="H25" s="136" t="str">
        <f>IF(SER_hh_tes_in!H25=0,"",SER_hh_tes_in!H25/SER_hh_fec_in!H25)</f>
        <v/>
      </c>
      <c r="I25" s="136">
        <f>IF(SER_hh_tes_in!I25=0,"",SER_hh_tes_in!I25/SER_hh_fec_in!I25)</f>
        <v>0.78441751822251016</v>
      </c>
      <c r="J25" s="136" t="str">
        <f>IF(SER_hh_tes_in!J25=0,"",SER_hh_tes_in!J25/SER_hh_fec_in!J25)</f>
        <v/>
      </c>
      <c r="K25" s="136" t="str">
        <f>IF(SER_hh_tes_in!K25=0,"",SER_hh_tes_in!K25/SER_hh_fec_in!K25)</f>
        <v/>
      </c>
      <c r="L25" s="136">
        <f>IF(SER_hh_tes_in!L25=0,"",SER_hh_tes_in!L25/SER_hh_fec_in!L25)</f>
        <v>0.79180635558203416</v>
      </c>
      <c r="M25" s="136">
        <f>IF(SER_hh_tes_in!M25=0,"",SER_hh_tes_in!M25/SER_hh_fec_in!M25)</f>
        <v>0.79541264295392211</v>
      </c>
      <c r="N25" s="136">
        <f>IF(SER_hh_tes_in!N25=0,"",SER_hh_tes_in!N25/SER_hh_fec_in!N25)</f>
        <v>0.8002916317180776</v>
      </c>
      <c r="O25" s="136">
        <f>IF(SER_hh_tes_in!O25=0,"",SER_hh_tes_in!O25/SER_hh_fec_in!O25)</f>
        <v>0.80668083117611167</v>
      </c>
      <c r="P25" s="136">
        <f>IF(SER_hh_tes_in!P25=0,"",SER_hh_tes_in!P25/SER_hh_fec_in!P25)</f>
        <v>0.81412836246820097</v>
      </c>
      <c r="Q25" s="136">
        <f>IF(SER_hh_tes_in!Q25=0,"",SER_hh_tes_in!Q25/SER_hh_fec_in!Q25)</f>
        <v>0.82115493736533973</v>
      </c>
      <c r="R25" s="136">
        <f>IF(SER_hh_tes_in!R25=0,"",SER_hh_tes_in!R25/SER_hh_fec_in!R25)</f>
        <v>0.82653916719098486</v>
      </c>
      <c r="S25" s="136">
        <f>IF(SER_hh_tes_in!S25=0,"",SER_hh_tes_in!S25/SER_hh_fec_in!S25)</f>
        <v>0.8317771227387657</v>
      </c>
      <c r="T25" s="136" t="str">
        <f>IF(SER_hh_tes_in!T25=0,"",SER_hh_tes_in!T25/SER_hh_fec_in!T25)</f>
        <v/>
      </c>
      <c r="U25" s="136" t="str">
        <f>IF(SER_hh_tes_in!U25=0,"",SER_hh_tes_in!U25/SER_hh_fec_in!U25)</f>
        <v/>
      </c>
      <c r="V25" s="136" t="str">
        <f>IF(SER_hh_tes_in!V25=0,"",SER_hh_tes_in!V25/SER_hh_fec_in!V25)</f>
        <v/>
      </c>
      <c r="W25" s="136" t="str">
        <f>IF(SER_hh_tes_in!W25=0,"",SER_hh_tes_in!W25/SER_hh_fec_in!W25)</f>
        <v/>
      </c>
      <c r="X25" s="136" t="str">
        <f>IF(SER_hh_tes_in!X25=0,"",SER_hh_tes_in!X25/SER_hh_fec_in!X25)</f>
        <v/>
      </c>
      <c r="Y25" s="136" t="str">
        <f>IF(SER_hh_tes_in!Y25=0,"",SER_hh_tes_in!Y25/SER_hh_fec_in!Y25)</f>
        <v/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0.6414065298850552</v>
      </c>
      <c r="D26" s="137">
        <f>IF(SER_hh_tes_in!D26=0,"",SER_hh_tes_in!D26/SER_hh_fec_in!D26)</f>
        <v>0.64368943411706281</v>
      </c>
      <c r="E26" s="137">
        <f>IF(SER_hh_tes_in!E26=0,"",SER_hh_tes_in!E26/SER_hh_fec_in!E26)</f>
        <v>0.64618864884704585</v>
      </c>
      <c r="F26" s="137">
        <f>IF(SER_hh_tes_in!F26=0,"",SER_hh_tes_in!F26/SER_hh_fec_in!F26)</f>
        <v>0.64871801779760507</v>
      </c>
      <c r="G26" s="137">
        <f>IF(SER_hh_tes_in!G26=0,"",SER_hh_tes_in!G26/SER_hh_fec_in!G26)</f>
        <v>0.65144828386393028</v>
      </c>
      <c r="H26" s="137">
        <f>IF(SER_hh_tes_in!H26=0,"",SER_hh_tes_in!H26/SER_hh_fec_in!H26)</f>
        <v>0.65436017383743117</v>
      </c>
      <c r="I26" s="137">
        <f>IF(SER_hh_tes_in!I26=0,"",SER_hh_tes_in!I26/SER_hh_fec_in!I26)</f>
        <v>0.65749796952485484</v>
      </c>
      <c r="J26" s="137">
        <f>IF(SER_hh_tes_in!J26=0,"",SER_hh_tes_in!J26/SER_hh_fec_in!J26)</f>
        <v>0.66103922755485045</v>
      </c>
      <c r="K26" s="137">
        <f>IF(SER_hh_tes_in!K26=0,"",SER_hh_tes_in!K26/SER_hh_fec_in!K26)</f>
        <v>0.66514080404101583</v>
      </c>
      <c r="L26" s="137">
        <f>IF(SER_hh_tes_in!L26=0,"",SER_hh_tes_in!L26/SER_hh_fec_in!L26)</f>
        <v>0.66985662898099163</v>
      </c>
      <c r="M26" s="137">
        <f>IF(SER_hh_tes_in!M26=0,"",SER_hh_tes_in!M26/SER_hh_fec_in!M26)</f>
        <v>0.67882198018693241</v>
      </c>
      <c r="N26" s="137">
        <f>IF(SER_hh_tes_in!N26=0,"",SER_hh_tes_in!N26/SER_hh_fec_in!N26)</f>
        <v>0.69360503688791075</v>
      </c>
      <c r="O26" s="137">
        <f>IF(SER_hh_tes_in!O26=0,"",SER_hh_tes_in!O26/SER_hh_fec_in!O26)</f>
        <v>0.71614727668961442</v>
      </c>
      <c r="P26" s="137">
        <f>IF(SER_hh_tes_in!P26=0,"",SER_hh_tes_in!P26/SER_hh_fec_in!P26)</f>
        <v>0.74537996557957609</v>
      </c>
      <c r="Q26" s="137">
        <f>IF(SER_hh_tes_in!Q26=0,"",SER_hh_tes_in!Q26/SER_hh_fec_in!Q26)</f>
        <v>0.77358329082691035</v>
      </c>
      <c r="R26" s="137">
        <f>IF(SER_hh_tes_in!R26=0,"",SER_hh_tes_in!R26/SER_hh_fec_in!R26)</f>
        <v>0.79266959096358758</v>
      </c>
      <c r="S26" s="137">
        <f>IF(SER_hh_tes_in!S26=0,"",SER_hh_tes_in!S26/SER_hh_fec_in!S26)</f>
        <v>0.81116092591626265</v>
      </c>
      <c r="T26" s="137">
        <f>IF(SER_hh_tes_in!T26=0,"",SER_hh_tes_in!T26/SER_hh_fec_in!T26)</f>
        <v>0.82950875821865044</v>
      </c>
      <c r="U26" s="137">
        <f>IF(SER_hh_tes_in!U26=0,"",SER_hh_tes_in!U26/SER_hh_fec_in!U26)</f>
        <v>0.84789753355650532</v>
      </c>
      <c r="V26" s="137">
        <f>IF(SER_hh_tes_in!V26=0,"",SER_hh_tes_in!V26/SER_hh_fec_in!V26)</f>
        <v>0.86596237368482443</v>
      </c>
      <c r="W26" s="137">
        <f>IF(SER_hh_tes_in!W26=0,"",SER_hh_tes_in!W26/SER_hh_fec_in!W26)</f>
        <v>0.88246156570729117</v>
      </c>
      <c r="X26" s="137">
        <f>IF(SER_hh_tes_in!X26=0,"",SER_hh_tes_in!X26/SER_hh_fec_in!X26)</f>
        <v>0.89591895408794109</v>
      </c>
      <c r="Y26" s="137">
        <f>IF(SER_hh_tes_in!Y26=0,"",SER_hh_tes_in!Y26/SER_hh_fec_in!Y26)</f>
        <v>0.90847387950532121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>
        <f>IF(SER_hh_tes_in!C27=0,"",SER_hh_tes_in!C27/SER_hh_fec_in!C27)</f>
        <v>1</v>
      </c>
      <c r="D27" s="148">
        <f>IF(SER_hh_tes_in!D27=0,"",SER_hh_tes_in!D27/SER_hh_fec_in!D27)</f>
        <v>1</v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0.65865560581229465</v>
      </c>
      <c r="D29" s="135">
        <f>IF(SER_hh_tes_in!D29=0,"",SER_hh_tes_in!D29/SER_hh_fec_in!D29)</f>
        <v>0.58595146911515461</v>
      </c>
      <c r="E29" s="135">
        <f>IF(SER_hh_tes_in!E29=0,"",SER_hh_tes_in!E29/SER_hh_fec_in!E29)</f>
        <v>0.57945651185962255</v>
      </c>
      <c r="F29" s="135">
        <f>IF(SER_hh_tes_in!F29=0,"",SER_hh_tes_in!F29/SER_hh_fec_in!F29)</f>
        <v>0.56683511322998636</v>
      </c>
      <c r="G29" s="135">
        <f>IF(SER_hh_tes_in!G29=0,"",SER_hh_tes_in!G29/SER_hh_fec_in!G29)</f>
        <v>0.55218865104206649</v>
      </c>
      <c r="H29" s="135">
        <f>IF(SER_hh_tes_in!H29=0,"",SER_hh_tes_in!H29/SER_hh_fec_in!H29)</f>
        <v>0.61775159823642167</v>
      </c>
      <c r="I29" s="135">
        <f>IF(SER_hh_tes_in!I29=0,"",SER_hh_tes_in!I29/SER_hh_fec_in!I29)</f>
        <v>0.61907598133903696</v>
      </c>
      <c r="J29" s="135">
        <f>IF(SER_hh_tes_in!J29=0,"",SER_hh_tes_in!J29/SER_hh_fec_in!J29)</f>
        <v>0.65426519088683144</v>
      </c>
      <c r="K29" s="135">
        <f>IF(SER_hh_tes_in!K29=0,"",SER_hh_tes_in!K29/SER_hh_fec_in!K29)</f>
        <v>0.67342237222419554</v>
      </c>
      <c r="L29" s="135">
        <f>IF(SER_hh_tes_in!L29=0,"",SER_hh_tes_in!L29/SER_hh_fec_in!L29)</f>
        <v>0.67999938394504578</v>
      </c>
      <c r="M29" s="135">
        <f>IF(SER_hh_tes_in!M29=0,"",SER_hh_tes_in!M29/SER_hh_fec_in!M29)</f>
        <v>0.65806436773737598</v>
      </c>
      <c r="N29" s="135">
        <f>IF(SER_hh_tes_in!N29=0,"",SER_hh_tes_in!N29/SER_hh_fec_in!N29)</f>
        <v>0.56829205167288455</v>
      </c>
      <c r="O29" s="135">
        <f>IF(SER_hh_tes_in!O29=0,"",SER_hh_tes_in!O29/SER_hh_fec_in!O29)</f>
        <v>0.54924744663957104</v>
      </c>
      <c r="P29" s="135">
        <f>IF(SER_hh_tes_in!P29=0,"",SER_hh_tes_in!P29/SER_hh_fec_in!P29)</f>
        <v>0.54023261572630088</v>
      </c>
      <c r="Q29" s="135">
        <f>IF(SER_hh_tes_in!Q29=0,"",SER_hh_tes_in!Q29/SER_hh_fec_in!Q29)</f>
        <v>0.57071360263487358</v>
      </c>
      <c r="R29" s="135">
        <f>IF(SER_hh_tes_in!R29=0,"",SER_hh_tes_in!R29/SER_hh_fec_in!R29)</f>
        <v>0.62302134728976155</v>
      </c>
      <c r="S29" s="135">
        <f>IF(SER_hh_tes_in!S29=0,"",SER_hh_tes_in!S29/SER_hh_fec_in!S29)</f>
        <v>0.65192475529231597</v>
      </c>
      <c r="T29" s="135">
        <f>IF(SER_hh_tes_in!T29=0,"",SER_hh_tes_in!T29/SER_hh_fec_in!T29)</f>
        <v>0.65699563806873429</v>
      </c>
      <c r="U29" s="135">
        <f>IF(SER_hh_tes_in!U29=0,"",SER_hh_tes_in!U29/SER_hh_fec_in!U29)</f>
        <v>0.74154969571751572</v>
      </c>
      <c r="V29" s="135">
        <f>IF(SER_hh_tes_in!V29=0,"",SER_hh_tes_in!V29/SER_hh_fec_in!V29)</f>
        <v>0.78899498057921968</v>
      </c>
      <c r="W29" s="135">
        <f>IF(SER_hh_tes_in!W29=0,"",SER_hh_tes_in!W29/SER_hh_fec_in!W29)</f>
        <v>0.79941672068443326</v>
      </c>
      <c r="X29" s="135">
        <f>IF(SER_hh_tes_in!X29=0,"",SER_hh_tes_in!X29/SER_hh_fec_in!X29)</f>
        <v>0.73731569323656665</v>
      </c>
      <c r="Y29" s="135">
        <f>IF(SER_hh_tes_in!Y29=0,"",SER_hh_tes_in!Y29/SER_hh_fec_in!Y29)</f>
        <v>0.63537799606429102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0.52070451259876638</v>
      </c>
      <c r="D30" s="136">
        <f>IF(SER_hh_tes_in!D30=0,"",SER_hh_tes_in!D30/SER_hh_fec_in!D30)</f>
        <v>0.52147028568404963</v>
      </c>
      <c r="E30" s="136">
        <f>IF(SER_hh_tes_in!E30=0,"",SER_hh_tes_in!E30/SER_hh_fec_in!E30)</f>
        <v>0.52223612774910166</v>
      </c>
      <c r="F30" s="136">
        <f>IF(SER_hh_tes_in!F30=0,"",SER_hh_tes_in!F30/SER_hh_fec_in!F30)</f>
        <v>0.5230019792204853</v>
      </c>
      <c r="G30" s="136">
        <f>IF(SER_hh_tes_in!G30=0,"",SER_hh_tes_in!G30/SER_hh_fec_in!G30)</f>
        <v>0.52376789421817826</v>
      </c>
      <c r="H30" s="136">
        <f>IF(SER_hh_tes_in!H30=0,"",SER_hh_tes_in!H30/SER_hh_fec_in!H30)</f>
        <v>0.52453386611858432</v>
      </c>
      <c r="I30" s="136">
        <f>IF(SER_hh_tes_in!I30=0,"",SER_hh_tes_in!I30/SER_hh_fec_in!I30)</f>
        <v>0.52529990825686701</v>
      </c>
      <c r="J30" s="136">
        <f>IF(SER_hh_tes_in!J30=0,"",SER_hh_tes_in!J30/SER_hh_fec_in!J30)</f>
        <v>0.52606607526248705</v>
      </c>
      <c r="K30" s="136" t="str">
        <f>IF(SER_hh_tes_in!K30=0,"",SER_hh_tes_in!K30/SER_hh_fec_in!K30)</f>
        <v/>
      </c>
      <c r="L30" s="136" t="str">
        <f>IF(SER_hh_tes_in!L30=0,"",SER_hh_tes_in!L30/SER_hh_fec_in!L30)</f>
        <v/>
      </c>
      <c r="M30" s="136" t="str">
        <f>IF(SER_hh_tes_in!M30=0,"",SER_hh_tes_in!M30/SER_hh_fec_in!M30)</f>
        <v/>
      </c>
      <c r="N30" s="136">
        <f>IF(SER_hh_tes_in!N30=0,"",SER_hh_tes_in!N30/SER_hh_fec_in!N30)</f>
        <v>0.52850644856607354</v>
      </c>
      <c r="O30" s="136">
        <f>IF(SER_hh_tes_in!O30=0,"",SER_hh_tes_in!O30/SER_hh_fec_in!O30)</f>
        <v>0.52870092152979642</v>
      </c>
      <c r="P30" s="136">
        <f>IF(SER_hh_tes_in!P30=0,"",SER_hh_tes_in!P30/SER_hh_fec_in!P30)</f>
        <v>0.52924356618628488</v>
      </c>
      <c r="Q30" s="136">
        <f>IF(SER_hh_tes_in!Q30=0,"",SER_hh_tes_in!Q30/SER_hh_fec_in!Q30)</f>
        <v>0.53145225670242491</v>
      </c>
      <c r="R30" s="136">
        <f>IF(SER_hh_tes_in!R30=0,"",SER_hh_tes_in!R30/SER_hh_fec_in!R30)</f>
        <v>0.5372539367079765</v>
      </c>
      <c r="S30" s="136">
        <f>IF(SER_hh_tes_in!S30=0,"",SER_hh_tes_in!S30/SER_hh_fec_in!S30)</f>
        <v>0.54543786931090943</v>
      </c>
      <c r="T30" s="136">
        <f>IF(SER_hh_tes_in!T30=0,"",SER_hh_tes_in!T30/SER_hh_fec_in!T30)</f>
        <v>0.55441724801358272</v>
      </c>
      <c r="U30" s="136">
        <f>IF(SER_hh_tes_in!U30=0,"",SER_hh_tes_in!U30/SER_hh_fec_in!U30)</f>
        <v>0.56260526631837859</v>
      </c>
      <c r="V30" s="136" t="str">
        <f>IF(SER_hh_tes_in!V30=0,"",SER_hh_tes_in!V30/SER_hh_fec_in!V30)</f>
        <v/>
      </c>
      <c r="W30" s="136" t="str">
        <f>IF(SER_hh_tes_in!W30=0,"",SER_hh_tes_in!W30/SER_hh_fec_in!W30)</f>
        <v/>
      </c>
      <c r="X30" s="136">
        <f>IF(SER_hh_tes_in!X30=0,"",SER_hh_tes_in!X30/SER_hh_fec_in!X30)</f>
        <v>0.57158503809896777</v>
      </c>
      <c r="Y30" s="136">
        <f>IF(SER_hh_tes_in!Y30=0,"",SER_hh_tes_in!Y30/SER_hh_fec_in!Y30)</f>
        <v>0.57162280426628287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0.5271226250945652</v>
      </c>
      <c r="D31" s="136">
        <f>IF(SER_hh_tes_in!D31=0,"",SER_hh_tes_in!D31/SER_hh_fec_in!D31)</f>
        <v>0.52787644166989023</v>
      </c>
      <c r="E31" s="136">
        <f>IF(SER_hh_tes_in!E31=0,"",SER_hh_tes_in!E31/SER_hh_fec_in!E31)</f>
        <v>0.52863032614795791</v>
      </c>
      <c r="F31" s="136">
        <f>IF(SER_hh_tes_in!F31=0,"",SER_hh_tes_in!F31/SER_hh_fec_in!F31)</f>
        <v>0.52938421988549034</v>
      </c>
      <c r="G31" s="136">
        <f>IF(SER_hh_tes_in!G31=0,"",SER_hh_tes_in!G31/SER_hh_fec_in!G31)</f>
        <v>0.53013817615745462</v>
      </c>
      <c r="H31" s="136">
        <f>IF(SER_hh_tes_in!H31=0,"",SER_hh_tes_in!H31/SER_hh_fec_in!H31)</f>
        <v>0.53089218844367314</v>
      </c>
      <c r="I31" s="136">
        <f>IF(SER_hh_tes_in!I31=0,"",SER_hh_tes_in!I31/SER_hh_fec_in!I31)</f>
        <v>0.53164626987109909</v>
      </c>
      <c r="J31" s="136">
        <f>IF(SER_hh_tes_in!J31=0,"",SER_hh_tes_in!J31/SER_hh_fec_in!J31)</f>
        <v>0.53240047421622783</v>
      </c>
      <c r="K31" s="136">
        <f>IF(SER_hh_tes_in!K31=0,"",SER_hh_tes_in!K31/SER_hh_fec_in!K31)</f>
        <v>0.53315484720322426</v>
      </c>
      <c r="L31" s="136">
        <f>IF(SER_hh_tes_in!L31=0,"",SER_hh_tes_in!L31/SER_hh_fec_in!L31)</f>
        <v>0.53390940106517704</v>
      </c>
      <c r="M31" s="136">
        <f>IF(SER_hh_tes_in!M31=0,"",SER_hh_tes_in!M31/SER_hh_fec_in!M31)</f>
        <v>0.53448244165810865</v>
      </c>
      <c r="N31" s="136">
        <f>IF(SER_hh_tes_in!N31=0,"",SER_hh_tes_in!N31/SER_hh_fec_in!N31)</f>
        <v>0.53480274439466213</v>
      </c>
      <c r="O31" s="136">
        <f>IF(SER_hh_tes_in!O31=0,"",SER_hh_tes_in!O31/SER_hh_fec_in!O31)</f>
        <v>0.53499418092635032</v>
      </c>
      <c r="P31" s="136">
        <f>IF(SER_hh_tes_in!P31=0,"",SER_hh_tes_in!P31/SER_hh_fec_in!P31)</f>
        <v>0.53552835292120571</v>
      </c>
      <c r="Q31" s="136">
        <f>IF(SER_hh_tes_in!Q31=0,"",SER_hh_tes_in!Q31/SER_hh_fec_in!Q31)</f>
        <v>0.53770255772524789</v>
      </c>
      <c r="R31" s="136">
        <f>IF(SER_hh_tes_in!R31=0,"",SER_hh_tes_in!R31/SER_hh_fec_in!R31)</f>
        <v>0.54341365235231665</v>
      </c>
      <c r="S31" s="136">
        <f>IF(SER_hh_tes_in!S31=0,"",SER_hh_tes_in!S31/SER_hh_fec_in!S31)</f>
        <v>0.55146980392775291</v>
      </c>
      <c r="T31" s="136">
        <f>IF(SER_hh_tes_in!T31=0,"",SER_hh_tes_in!T31/SER_hh_fec_in!T31)</f>
        <v>0.56030898178902455</v>
      </c>
      <c r="U31" s="136">
        <f>IF(SER_hh_tes_in!U31=0,"",SER_hh_tes_in!U31/SER_hh_fec_in!U31)</f>
        <v>0.56836915527362075</v>
      </c>
      <c r="V31" s="136">
        <f>IF(SER_hh_tes_in!V31=0,"",SER_hh_tes_in!V31/SER_hh_fec_in!V31)</f>
        <v>0.57408829371901982</v>
      </c>
      <c r="W31" s="136">
        <f>IF(SER_hh_tes_in!W31=0,"",SER_hh_tes_in!W31/SER_hh_fec_in!W31)</f>
        <v>0.57683695507799349</v>
      </c>
      <c r="X31" s="136">
        <f>IF(SER_hh_tes_in!X31=0,"",SER_hh_tes_in!X31/SER_hh_fec_in!X31)</f>
        <v>0.57721833882508955</v>
      </c>
      <c r="Y31" s="136">
        <f>IF(SER_hh_tes_in!Y31=0,"",SER_hh_tes_in!Y31/SER_hh_fec_in!Y31)</f>
        <v>0.57725647719979922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>
        <f>IF(SER_hh_tes_in!N32=0,"",SER_hh_tes_in!N32/SER_hh_fec_in!N32)</f>
        <v>0.57367709459121263</v>
      </c>
      <c r="O32" s="136">
        <f>IF(SER_hh_tes_in!O32=0,"",SER_hh_tes_in!O32/SER_hh_fec_in!O32)</f>
        <v>0.57374950649468104</v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>
        <f>IF(SER_hh_tes_in!W32=0,"",SER_hh_tes_in!W32/SER_hh_fec_in!W32)</f>
        <v>0.58957676211826526</v>
      </c>
      <c r="X32" s="136">
        <f>IF(SER_hh_tes_in!X32=0,"",SER_hh_tes_in!X32/SER_hh_fec_in!X32)</f>
        <v>0.58996343753260172</v>
      </c>
      <c r="Y32" s="136">
        <f>IF(SER_hh_tes_in!Y32=0,"",SER_hh_tes_in!Y32/SER_hh_fec_in!Y32)</f>
        <v>0.59000210507403539</v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0.69317923263037551</v>
      </c>
      <c r="D33" s="149">
        <f>IF(SER_hh_tes_in!D33=0,"",SER_hh_tes_in!D33/SER_hh_fec_in!D33)</f>
        <v>0.69472729559347135</v>
      </c>
      <c r="E33" s="149">
        <f>IF(SER_hh_tes_in!E33=0,"",SER_hh_tes_in!E33/SER_hh_fec_in!E33)</f>
        <v>0.69634835008339158</v>
      </c>
      <c r="F33" s="149">
        <f>IF(SER_hh_tes_in!F33=0,"",SER_hh_tes_in!F33/SER_hh_fec_in!F33)</f>
        <v>0.69797935796333332</v>
      </c>
      <c r="G33" s="149">
        <f>IF(SER_hh_tes_in!G33=0,"",SER_hh_tes_in!G33/SER_hh_fec_in!G33)</f>
        <v>0.6996775867461883</v>
      </c>
      <c r="H33" s="149">
        <f>IF(SER_hh_tes_in!H33=0,"",SER_hh_tes_in!H33/SER_hh_fec_in!H33)</f>
        <v>0.70143602761743495</v>
      </c>
      <c r="I33" s="149">
        <f>IF(SER_hh_tes_in!I33=0,"",SER_hh_tes_in!I33/SER_hh_fec_in!I33)</f>
        <v>0.70326879129392339</v>
      </c>
      <c r="J33" s="149">
        <f>IF(SER_hh_tes_in!J33=0,"",SER_hh_tes_in!J33/SER_hh_fec_in!J33)</f>
        <v>0.70523368440195255</v>
      </c>
      <c r="K33" s="149">
        <f>IF(SER_hh_tes_in!K33=0,"",SER_hh_tes_in!K33/SER_hh_fec_in!K33)</f>
        <v>0.70737985777882784</v>
      </c>
      <c r="L33" s="149">
        <f>IF(SER_hh_tes_in!L33=0,"",SER_hh_tes_in!L33/SER_hh_fec_in!L33)</f>
        <v>0.70972046128861066</v>
      </c>
      <c r="M33" s="149">
        <f>IF(SER_hh_tes_in!M33=0,"",SER_hh_tes_in!M33/SER_hh_fec_in!M33)</f>
        <v>0.7130670070865075</v>
      </c>
      <c r="N33" s="149" t="str">
        <f>IF(SER_hh_tes_in!N33=0,"",SER_hh_tes_in!N33/SER_hh_fec_in!N33)</f>
        <v/>
      </c>
      <c r="O33" s="149">
        <f>IF(SER_hh_tes_in!O33=0,"",SER_hh_tes_in!O33/SER_hh_fec_in!O33)</f>
        <v>0.72401886437353336</v>
      </c>
      <c r="P33" s="149">
        <f>IF(SER_hh_tes_in!P33=0,"",SER_hh_tes_in!P33/SER_hh_fec_in!P33)</f>
        <v>0.73244072859802811</v>
      </c>
      <c r="Q33" s="149">
        <f>IF(SER_hh_tes_in!Q33=0,"",SER_hh_tes_in!Q33/SER_hh_fec_in!Q33)</f>
        <v>0.74333870304857375</v>
      </c>
      <c r="R33" s="149">
        <f>IF(SER_hh_tes_in!R33=0,"",SER_hh_tes_in!R33/SER_hh_fec_in!R33)</f>
        <v>0.75816824074792599</v>
      </c>
      <c r="S33" s="149">
        <f>IF(SER_hh_tes_in!S33=0,"",SER_hh_tes_in!S33/SER_hh_fec_in!S33)</f>
        <v>0.7767248333727923</v>
      </c>
      <c r="T33" s="149">
        <f>IF(SER_hh_tes_in!T33=0,"",SER_hh_tes_in!T33/SER_hh_fec_in!T33)</f>
        <v>0.79670202435129789</v>
      </c>
      <c r="U33" s="149">
        <f>IF(SER_hh_tes_in!U33=0,"",SER_hh_tes_in!U33/SER_hh_fec_in!U33)</f>
        <v>0.81579335711162237</v>
      </c>
      <c r="V33" s="149">
        <f>IF(SER_hh_tes_in!V33=0,"",SER_hh_tes_in!V33/SER_hh_fec_in!V33)</f>
        <v>0.83169237508192029</v>
      </c>
      <c r="W33" s="149">
        <f>IF(SER_hh_tes_in!W33=0,"",SER_hh_tes_in!W33/SER_hh_fec_in!W33)</f>
        <v>0.84359770999245387</v>
      </c>
      <c r="X33" s="149">
        <f>IF(SER_hh_tes_in!X33=0,"",SER_hh_tes_in!X33/SER_hh_fec_in!X33)</f>
        <v>0.85099929487358672</v>
      </c>
      <c r="Y33" s="149">
        <f>IF(SER_hh_tes_in!Y33=0,"",SER_hh_tes_in!Y33/SER_hh_fec_in!Y33)</f>
        <v>0.85756298944041087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46.768819818818088</v>
      </c>
      <c r="D3" s="125">
        <f t="shared" si="0"/>
        <v>18.316923126871082</v>
      </c>
      <c r="E3" s="125">
        <f t="shared" si="0"/>
        <v>11.859118108724136</v>
      </c>
      <c r="F3" s="125">
        <f t="shared" si="0"/>
        <v>26.257330395615043</v>
      </c>
      <c r="G3" s="125">
        <f t="shared" si="0"/>
        <v>24.968723485863535</v>
      </c>
      <c r="H3" s="125">
        <f t="shared" si="0"/>
        <v>17.869758984365269</v>
      </c>
      <c r="I3" s="125">
        <f t="shared" si="0"/>
        <v>17.335336864067987</v>
      </c>
      <c r="J3" s="125">
        <f t="shared" si="0"/>
        <v>9.8842822996578512</v>
      </c>
      <c r="K3" s="125">
        <f t="shared" si="0"/>
        <v>5.9603129441299476</v>
      </c>
      <c r="L3" s="125">
        <f t="shared" si="0"/>
        <v>4.1341216868480304</v>
      </c>
      <c r="M3" s="125">
        <f t="shared" si="0"/>
        <v>5.6717099306622103</v>
      </c>
      <c r="N3" s="125">
        <f t="shared" si="0"/>
        <v>2.8261960410213769</v>
      </c>
      <c r="O3" s="125">
        <f t="shared" si="0"/>
        <v>11.246091687991372</v>
      </c>
      <c r="P3" s="125">
        <f t="shared" si="0"/>
        <v>10.284674707671353</v>
      </c>
      <c r="Q3" s="125">
        <f t="shared" si="0"/>
        <v>12.374841820979011</v>
      </c>
      <c r="R3" s="125">
        <f t="shared" ref="R3:W3" si="1">SUM(R4,R16,R19,R29)</f>
        <v>13.835191151042487</v>
      </c>
      <c r="S3" s="125">
        <f t="shared" si="1"/>
        <v>16.357001571813939</v>
      </c>
      <c r="T3" s="125">
        <f t="shared" si="1"/>
        <v>11.059504113795395</v>
      </c>
      <c r="U3" s="125">
        <f t="shared" si="1"/>
        <v>9.0248516609500768</v>
      </c>
      <c r="V3" s="125">
        <f t="shared" si="1"/>
        <v>3.9897109902535335</v>
      </c>
      <c r="W3" s="125">
        <f t="shared" si="1"/>
        <v>3.9310090848734607</v>
      </c>
      <c r="X3" s="125">
        <f t="shared" ref="X3:Y3" si="2">SUM(X4,X16,X19,X29)</f>
        <v>4.6586498288149034</v>
      </c>
      <c r="Y3" s="125">
        <f t="shared" si="2"/>
        <v>6.9971681330164905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39.852157974029332</v>
      </c>
      <c r="D4" s="130">
        <f t="shared" si="3"/>
        <v>10.16112674239176</v>
      </c>
      <c r="E4" s="130">
        <f t="shared" si="3"/>
        <v>4.8313103750416948</v>
      </c>
      <c r="F4" s="130">
        <f t="shared" si="3"/>
        <v>13.642647149863629</v>
      </c>
      <c r="G4" s="130">
        <f t="shared" si="3"/>
        <v>7.1469474202272263</v>
      </c>
      <c r="H4" s="130">
        <f t="shared" si="3"/>
        <v>4.2646398669611054</v>
      </c>
      <c r="I4" s="130">
        <f t="shared" si="3"/>
        <v>5.3670977535057114</v>
      </c>
      <c r="J4" s="130">
        <f t="shared" si="3"/>
        <v>4.6824555061780044</v>
      </c>
      <c r="K4" s="130">
        <f t="shared" si="3"/>
        <v>3.2085757916180611</v>
      </c>
      <c r="L4" s="130">
        <f t="shared" si="3"/>
        <v>1.5792190292925561</v>
      </c>
      <c r="M4" s="130">
        <f t="shared" si="3"/>
        <v>2.1309245592668429</v>
      </c>
      <c r="N4" s="130">
        <f t="shared" si="3"/>
        <v>0.66580555486197912</v>
      </c>
      <c r="O4" s="130">
        <f t="shared" si="3"/>
        <v>4.5780724504676877</v>
      </c>
      <c r="P4" s="130">
        <f t="shared" si="3"/>
        <v>2.8800426365034413E-2</v>
      </c>
      <c r="Q4" s="130">
        <f t="shared" si="3"/>
        <v>4.0157418028548761</v>
      </c>
      <c r="R4" s="130">
        <f t="shared" ref="R4:W4" si="4">SUM(R5:R15)</f>
        <v>6.888677277662687</v>
      </c>
      <c r="S4" s="130">
        <f t="shared" si="4"/>
        <v>8.3916448731226314</v>
      </c>
      <c r="T4" s="130">
        <f t="shared" si="4"/>
        <v>2.7032762351400912</v>
      </c>
      <c r="U4" s="130">
        <f t="shared" si="4"/>
        <v>3.9463339306253644</v>
      </c>
      <c r="V4" s="130">
        <f t="shared" si="4"/>
        <v>0.98572377993752547</v>
      </c>
      <c r="W4" s="130">
        <f t="shared" si="4"/>
        <v>0.93211368437945052</v>
      </c>
      <c r="X4" s="130">
        <f t="shared" ref="X4:Y4" si="5">SUM(X5:X15)</f>
        <v>1.5499865832654665</v>
      </c>
      <c r="Y4" s="130">
        <f t="shared" si="5"/>
        <v>0.95622724621626609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32.365800518527784</v>
      </c>
      <c r="D7" s="132">
        <v>4.5480830838240678</v>
      </c>
      <c r="E7" s="132">
        <v>2.8825644629012319</v>
      </c>
      <c r="F7" s="132">
        <v>11.836566580550334</v>
      </c>
      <c r="G7" s="132">
        <v>7.1362453723668953</v>
      </c>
      <c r="H7" s="132">
        <v>0</v>
      </c>
      <c r="I7" s="132">
        <v>0</v>
      </c>
      <c r="J7" s="132">
        <v>0</v>
      </c>
      <c r="K7" s="132">
        <v>0</v>
      </c>
      <c r="L7" s="132">
        <v>0</v>
      </c>
      <c r="M7" s="132">
        <v>0</v>
      </c>
      <c r="N7" s="132">
        <v>0</v>
      </c>
      <c r="O7" s="132">
        <v>3.9006828743912143</v>
      </c>
      <c r="P7" s="132">
        <v>0</v>
      </c>
      <c r="Q7" s="132">
        <v>0</v>
      </c>
      <c r="R7" s="132">
        <v>0.96022102486138106</v>
      </c>
      <c r="S7" s="132">
        <v>3.8681008829904675</v>
      </c>
      <c r="T7" s="132">
        <v>1.063200865731089</v>
      </c>
      <c r="U7" s="132">
        <v>3.9317435499351796</v>
      </c>
      <c r="V7" s="132">
        <v>0</v>
      </c>
      <c r="W7" s="132">
        <v>0</v>
      </c>
      <c r="X7" s="132">
        <v>0</v>
      </c>
      <c r="Y7" s="132">
        <v>0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2.8195274373204234E-2</v>
      </c>
      <c r="D8" s="132">
        <v>2.4516859285894727E-2</v>
      </c>
      <c r="E8" s="132">
        <v>1.2103689218808212E-2</v>
      </c>
      <c r="F8" s="132">
        <v>6.9906480313874338E-3</v>
      </c>
      <c r="G8" s="132">
        <v>1.0702047860330856E-2</v>
      </c>
      <c r="H8" s="132">
        <v>4.4141460509529447E-2</v>
      </c>
      <c r="I8" s="132">
        <v>5.0988189755909921E-2</v>
      </c>
      <c r="J8" s="132">
        <v>4.9215177695576068E-2</v>
      </c>
      <c r="K8" s="132">
        <v>3.1964864418750079E-2</v>
      </c>
      <c r="L8" s="132">
        <v>2.8454979234235789E-2</v>
      </c>
      <c r="M8" s="132">
        <v>3.4366591497599998E-2</v>
      </c>
      <c r="N8" s="132">
        <v>1.9614451214979307E-2</v>
      </c>
      <c r="O8" s="132">
        <v>3.0547193110569425E-2</v>
      </c>
      <c r="P8" s="132">
        <v>2.8800426365034413E-2</v>
      </c>
      <c r="Q8" s="132">
        <v>2.8722657007362387E-2</v>
      </c>
      <c r="R8" s="132">
        <v>1.3297452017940581E-2</v>
      </c>
      <c r="S8" s="132">
        <v>4.8351616477373934E-3</v>
      </c>
      <c r="T8" s="132">
        <v>3.4556685877668524E-3</v>
      </c>
      <c r="U8" s="132">
        <v>1.4590380690184672E-2</v>
      </c>
      <c r="V8" s="132">
        <v>2.2626965957598319E-2</v>
      </c>
      <c r="W8" s="132">
        <v>2.5886129338156288E-2</v>
      </c>
      <c r="X8" s="132">
        <v>2.548266765342071E-2</v>
      </c>
      <c r="Y8" s="132">
        <v>2.4307256912904602E-2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7.4581621811283467</v>
      </c>
      <c r="D9" s="132">
        <v>5.5885267992817971</v>
      </c>
      <c r="E9" s="132">
        <v>1.9366422229216547</v>
      </c>
      <c r="F9" s="132">
        <v>1.7990899212819074</v>
      </c>
      <c r="G9" s="132">
        <v>0</v>
      </c>
      <c r="H9" s="132">
        <v>4.2204984064515756</v>
      </c>
      <c r="I9" s="132">
        <v>5.3161095637498015</v>
      </c>
      <c r="J9" s="132">
        <v>4.6332403284824286</v>
      </c>
      <c r="K9" s="132">
        <v>3.1766109271993108</v>
      </c>
      <c r="L9" s="132">
        <v>1.5507640500583202</v>
      </c>
      <c r="M9" s="132">
        <v>2.0965579677692427</v>
      </c>
      <c r="N9" s="132">
        <v>0.64619110364699983</v>
      </c>
      <c r="O9" s="132">
        <v>0.64684238296590402</v>
      </c>
      <c r="P9" s="132">
        <v>0</v>
      </c>
      <c r="Q9" s="132">
        <v>3.9870191458475137</v>
      </c>
      <c r="R9" s="132">
        <v>5.9151588007833658</v>
      </c>
      <c r="S9" s="132">
        <v>4.5187088284844261</v>
      </c>
      <c r="T9" s="132">
        <v>1.6366197008212353</v>
      </c>
      <c r="U9" s="132">
        <v>0</v>
      </c>
      <c r="V9" s="132">
        <v>0.96309681397992719</v>
      </c>
      <c r="W9" s="132">
        <v>0.90622755504129426</v>
      </c>
      <c r="X9" s="132">
        <v>1.5245039156120457</v>
      </c>
      <c r="Y9" s="132">
        <v>0.93191998930336151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5.3129603836796373E-2</v>
      </c>
      <c r="D16" s="130">
        <f t="shared" si="6"/>
        <v>1.1535457206659728E-2</v>
      </c>
      <c r="E16" s="130">
        <f t="shared" si="6"/>
        <v>1.1783600455838289E-2</v>
      </c>
      <c r="F16" s="130">
        <f t="shared" si="6"/>
        <v>6.9320478804451108E-2</v>
      </c>
      <c r="G16" s="130">
        <f t="shared" si="6"/>
        <v>4.3233481452409218E-2</v>
      </c>
      <c r="H16" s="130">
        <f t="shared" si="6"/>
        <v>7.1941396887699835E-2</v>
      </c>
      <c r="I16" s="130">
        <f t="shared" si="6"/>
        <v>7.7711396508995612E-2</v>
      </c>
      <c r="J16" s="130">
        <f t="shared" si="6"/>
        <v>4.2573102315450917E-2</v>
      </c>
      <c r="K16" s="130">
        <f t="shared" si="6"/>
        <v>5.4260948234514064E-2</v>
      </c>
      <c r="L16" s="130">
        <f t="shared" si="6"/>
        <v>2.7404100619509656E-2</v>
      </c>
      <c r="M16" s="130">
        <f t="shared" si="6"/>
        <v>3.6703310180782919E-2</v>
      </c>
      <c r="N16" s="130">
        <f t="shared" si="6"/>
        <v>1.7039232479188399E-2</v>
      </c>
      <c r="O16" s="130">
        <f t="shared" si="6"/>
        <v>6.2863628625517767E-2</v>
      </c>
      <c r="P16" s="130">
        <f t="shared" si="6"/>
        <v>5.653803157003244E-2</v>
      </c>
      <c r="Q16" s="130">
        <f t="shared" si="6"/>
        <v>8.1154370267734602E-2</v>
      </c>
      <c r="R16" s="130">
        <f t="shared" ref="R16:W16" si="7">SUM(R17:R18)</f>
        <v>0.1614560967525632</v>
      </c>
      <c r="S16" s="130">
        <f t="shared" si="7"/>
        <v>0.15511534819002687</v>
      </c>
      <c r="T16" s="130">
        <f t="shared" si="7"/>
        <v>0.1365987535561978</v>
      </c>
      <c r="U16" s="130">
        <f t="shared" si="7"/>
        <v>0.12325623749378813</v>
      </c>
      <c r="V16" s="130">
        <f t="shared" si="7"/>
        <v>9.7760688939964521E-2</v>
      </c>
      <c r="W16" s="130">
        <f t="shared" si="7"/>
        <v>4.9634192449878309E-2</v>
      </c>
      <c r="X16" s="130">
        <f t="shared" ref="X16:Y16" si="8">SUM(X17:X18)</f>
        <v>0.11542396649630889</v>
      </c>
      <c r="Y16" s="130">
        <f t="shared" si="8"/>
        <v>0.10087910810923321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5.3129603836796373E-2</v>
      </c>
      <c r="D17" s="132">
        <v>1.1535457206659728E-2</v>
      </c>
      <c r="E17" s="132">
        <v>1.1783600455838289E-2</v>
      </c>
      <c r="F17" s="132">
        <v>6.9320478804451108E-2</v>
      </c>
      <c r="G17" s="132">
        <v>4.3233481452409218E-2</v>
      </c>
      <c r="H17" s="132">
        <v>7.1941396887699835E-2</v>
      </c>
      <c r="I17" s="132">
        <v>7.7711396508995612E-2</v>
      </c>
      <c r="J17" s="132">
        <v>4.2573102315450917E-2</v>
      </c>
      <c r="K17" s="132">
        <v>5.4260948234514064E-2</v>
      </c>
      <c r="L17" s="132">
        <v>2.7404100619509656E-2</v>
      </c>
      <c r="M17" s="132">
        <v>3.6703310180782919E-2</v>
      </c>
      <c r="N17" s="132">
        <v>1.7039232479188399E-2</v>
      </c>
      <c r="O17" s="132">
        <v>6.2863628625517767E-2</v>
      </c>
      <c r="P17" s="132">
        <v>5.653803157003244E-2</v>
      </c>
      <c r="Q17" s="132">
        <v>8.1154370267734602E-2</v>
      </c>
      <c r="R17" s="132">
        <v>0.1614560967525632</v>
      </c>
      <c r="S17" s="132">
        <v>0.15511534819002687</v>
      </c>
      <c r="T17" s="132">
        <v>0.1365987535561978</v>
      </c>
      <c r="U17" s="132">
        <v>0.12325623749378813</v>
      </c>
      <c r="V17" s="132">
        <v>9.7760688939964521E-2</v>
      </c>
      <c r="W17" s="132">
        <v>4.9634192449878309E-2</v>
      </c>
      <c r="X17" s="132">
        <v>0.11542396649630889</v>
      </c>
      <c r="Y17" s="132">
        <v>0.10087910810923321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3.5229930872183495</v>
      </c>
      <c r="D19" s="130">
        <f t="shared" si="9"/>
        <v>1.6161935627176172</v>
      </c>
      <c r="E19" s="130">
        <f t="shared" si="9"/>
        <v>1.8458272197301802</v>
      </c>
      <c r="F19" s="130">
        <f t="shared" si="9"/>
        <v>3.3690144075920703</v>
      </c>
      <c r="G19" s="130">
        <f t="shared" si="9"/>
        <v>4.417365838581091</v>
      </c>
      <c r="H19" s="130">
        <f t="shared" si="9"/>
        <v>5.9166548027742847</v>
      </c>
      <c r="I19" s="130">
        <f t="shared" si="9"/>
        <v>5.2138707858913884</v>
      </c>
      <c r="J19" s="130">
        <f t="shared" si="9"/>
        <v>2.8096270689997693</v>
      </c>
      <c r="K19" s="130">
        <f t="shared" si="9"/>
        <v>1.9196444119219929</v>
      </c>
      <c r="L19" s="130">
        <f t="shared" si="9"/>
        <v>1.7687469046628403</v>
      </c>
      <c r="M19" s="130">
        <f t="shared" si="9"/>
        <v>2.1402870418604958</v>
      </c>
      <c r="N19" s="130">
        <f t="shared" si="9"/>
        <v>1.4591920385152028</v>
      </c>
      <c r="O19" s="130">
        <f t="shared" si="9"/>
        <v>2.2383041131694363</v>
      </c>
      <c r="P19" s="130">
        <f t="shared" si="9"/>
        <v>1.988727538262399</v>
      </c>
      <c r="Q19" s="130">
        <f t="shared" si="9"/>
        <v>2.0729503948511567</v>
      </c>
      <c r="R19" s="130">
        <f t="shared" ref="R19:W19" si="10">SUM(R20:R27)</f>
        <v>2.3822595811152718</v>
      </c>
      <c r="S19" s="130">
        <f t="shared" si="10"/>
        <v>3.1221639378482271</v>
      </c>
      <c r="T19" s="130">
        <f t="shared" si="10"/>
        <v>3.3934173153360567</v>
      </c>
      <c r="U19" s="130">
        <f t="shared" si="10"/>
        <v>3.0878068753606867</v>
      </c>
      <c r="V19" s="130">
        <f t="shared" si="10"/>
        <v>1.9728332182393453</v>
      </c>
      <c r="W19" s="130">
        <f t="shared" si="10"/>
        <v>2.3028510854198236</v>
      </c>
      <c r="X19" s="130">
        <f t="shared" ref="X19:Y19" si="11">SUM(X20:X27)</f>
        <v>1.5586252122887765</v>
      </c>
      <c r="Y19" s="130">
        <f t="shared" si="11"/>
        <v>1.8763850954529446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0.25609906410817046</v>
      </c>
      <c r="D21" s="132">
        <v>0.19993437018323304</v>
      </c>
      <c r="E21" s="132">
        <v>0.23658439093725733</v>
      </c>
      <c r="F21" s="132">
        <v>0.46743355031319017</v>
      </c>
      <c r="G21" s="132">
        <v>0.5413955767398595</v>
      </c>
      <c r="H21" s="132">
        <v>0.69804065185451769</v>
      </c>
      <c r="I21" s="132">
        <v>0.64347095154885292</v>
      </c>
      <c r="J21" s="132">
        <v>0.34482074293882359</v>
      </c>
      <c r="K21" s="132">
        <v>0.23471223189989943</v>
      </c>
      <c r="L21" s="132">
        <v>0.17052880574548013</v>
      </c>
      <c r="M21" s="132">
        <v>0.20038828701344935</v>
      </c>
      <c r="N21" s="132">
        <v>0.13805129239226702</v>
      </c>
      <c r="O21" s="132">
        <v>0.21490849067614934</v>
      </c>
      <c r="P21" s="132">
        <v>0.17161912467372473</v>
      </c>
      <c r="Q21" s="132">
        <v>0.19194084825636612</v>
      </c>
      <c r="R21" s="132">
        <v>0.21031477857268865</v>
      </c>
      <c r="S21" s="132">
        <v>0.26045708017353542</v>
      </c>
      <c r="T21" s="132">
        <v>0.32349891378916401</v>
      </c>
      <c r="U21" s="132">
        <v>0.30795109525544534</v>
      </c>
      <c r="V21" s="132">
        <v>0.1627509099952395</v>
      </c>
      <c r="W21" s="132">
        <v>0.22518229054815114</v>
      </c>
      <c r="X21" s="132">
        <v>0.11482882412887027</v>
      </c>
      <c r="Y21" s="132">
        <v>0.15497707041295763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1.877263397460216</v>
      </c>
      <c r="D22" s="132">
        <v>0.55395627888946974</v>
      </c>
      <c r="E22" s="132">
        <v>0.91366152576254389</v>
      </c>
      <c r="F22" s="132">
        <v>1.8156034707263247</v>
      </c>
      <c r="G22" s="132">
        <v>2.4641029623237078</v>
      </c>
      <c r="H22" s="132">
        <v>3.2916821596286066</v>
      </c>
      <c r="I22" s="132">
        <v>2.6922289618238304</v>
      </c>
      <c r="J22" s="132">
        <v>1.3943718436410479</v>
      </c>
      <c r="K22" s="132">
        <v>0.99548805729010015</v>
      </c>
      <c r="L22" s="132">
        <v>0.99193146251451758</v>
      </c>
      <c r="M22" s="132">
        <v>1.2742437786716856</v>
      </c>
      <c r="N22" s="132">
        <v>0.88901282284510252</v>
      </c>
      <c r="O22" s="132">
        <v>1.3520235489919896</v>
      </c>
      <c r="P22" s="132">
        <v>0.72895330325180396</v>
      </c>
      <c r="Q22" s="132">
        <v>0.76185248482777079</v>
      </c>
      <c r="R22" s="132">
        <v>0.8806399394011708</v>
      </c>
      <c r="S22" s="132">
        <v>1.336469001342266</v>
      </c>
      <c r="T22" s="132">
        <v>1.6620741421825425</v>
      </c>
      <c r="U22" s="132">
        <v>1.6669132205468828</v>
      </c>
      <c r="V22" s="132">
        <v>1.2717936043365285</v>
      </c>
      <c r="W22" s="132">
        <v>1.2720648134108243</v>
      </c>
      <c r="X22" s="132">
        <v>0.85430195601194792</v>
      </c>
      <c r="Y22" s="132">
        <v>0.86869935554822608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1.3896306256499626</v>
      </c>
      <c r="D23" s="132">
        <v>0.8623029136449144</v>
      </c>
      <c r="E23" s="132">
        <v>0.69558130303037891</v>
      </c>
      <c r="F23" s="132">
        <v>1.0859773865525555</v>
      </c>
      <c r="G23" s="132">
        <v>1.4118672995175237</v>
      </c>
      <c r="H23" s="132">
        <v>1.9269319912911604</v>
      </c>
      <c r="I23" s="132">
        <v>1.878170872518705</v>
      </c>
      <c r="J23" s="132">
        <v>1.0704344824198981</v>
      </c>
      <c r="K23" s="132">
        <v>0.6894441227319934</v>
      </c>
      <c r="L23" s="132">
        <v>0.60628663640284264</v>
      </c>
      <c r="M23" s="132">
        <v>0.66565497617536107</v>
      </c>
      <c r="N23" s="132">
        <v>0.43212792327783311</v>
      </c>
      <c r="O23" s="132">
        <v>0.67137207350129746</v>
      </c>
      <c r="P23" s="132">
        <v>1.0881551103368703</v>
      </c>
      <c r="Q23" s="132">
        <v>1.1191570617670199</v>
      </c>
      <c r="R23" s="132">
        <v>1.2913048631414121</v>
      </c>
      <c r="S23" s="132">
        <v>1.5252378563324256</v>
      </c>
      <c r="T23" s="132">
        <v>1.4078442593643503</v>
      </c>
      <c r="U23" s="132">
        <v>1.1129425595583586</v>
      </c>
      <c r="V23" s="132">
        <v>0.5382887039075771</v>
      </c>
      <c r="W23" s="132">
        <v>0.805603981460848</v>
      </c>
      <c r="X23" s="132">
        <v>0.58949443214795838</v>
      </c>
      <c r="Y23" s="132">
        <v>0.85270866949176105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3.3405391537336131</v>
      </c>
      <c r="D29" s="130">
        <f t="shared" si="12"/>
        <v>6.5280673645550458</v>
      </c>
      <c r="E29" s="130">
        <f t="shared" si="12"/>
        <v>5.1701969134964214</v>
      </c>
      <c r="F29" s="130">
        <f t="shared" si="12"/>
        <v>9.1763483593548898</v>
      </c>
      <c r="G29" s="130">
        <f t="shared" si="12"/>
        <v>13.361176745602807</v>
      </c>
      <c r="H29" s="130">
        <f t="shared" si="12"/>
        <v>7.6165229177421825</v>
      </c>
      <c r="I29" s="130">
        <f t="shared" si="12"/>
        <v>6.6766569281618908</v>
      </c>
      <c r="J29" s="130">
        <f t="shared" si="12"/>
        <v>2.3496266221646258</v>
      </c>
      <c r="K29" s="130">
        <f t="shared" si="12"/>
        <v>0.77783179235537936</v>
      </c>
      <c r="L29" s="130">
        <f t="shared" si="12"/>
        <v>0.75875165227312491</v>
      </c>
      <c r="M29" s="130">
        <f t="shared" si="12"/>
        <v>1.3637950193540889</v>
      </c>
      <c r="N29" s="130">
        <f t="shared" si="12"/>
        <v>0.68415921516500666</v>
      </c>
      <c r="O29" s="130">
        <f t="shared" si="12"/>
        <v>4.3668514957287297</v>
      </c>
      <c r="P29" s="130">
        <f t="shared" si="12"/>
        <v>8.2106087114738866</v>
      </c>
      <c r="Q29" s="130">
        <f t="shared" si="12"/>
        <v>6.2049952530052437</v>
      </c>
      <c r="R29" s="130">
        <f t="shared" ref="R29:W29" si="13">SUM(R30:R33)</f>
        <v>4.4027981955119646</v>
      </c>
      <c r="S29" s="130">
        <f t="shared" si="13"/>
        <v>4.6880774126530564</v>
      </c>
      <c r="T29" s="130">
        <f t="shared" si="13"/>
        <v>4.8262118097630502</v>
      </c>
      <c r="U29" s="130">
        <f t="shared" si="13"/>
        <v>1.8674546174702378</v>
      </c>
      <c r="V29" s="130">
        <f t="shared" si="13"/>
        <v>0.93339330313669799</v>
      </c>
      <c r="W29" s="130">
        <f t="shared" si="13"/>
        <v>0.64641012262430853</v>
      </c>
      <c r="X29" s="130">
        <f t="shared" ref="X29:Y29" si="14">SUM(X30:X33)</f>
        <v>1.4346140667643521</v>
      </c>
      <c r="Y29" s="130">
        <f t="shared" si="14"/>
        <v>4.0636766832380466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2.1075248168321541</v>
      </c>
      <c r="D30" s="132">
        <v>5.6446777567701876</v>
      </c>
      <c r="E30" s="132">
        <v>4.4080106912519854</v>
      </c>
      <c r="F30" s="132">
        <v>7.7271909865780408</v>
      </c>
      <c r="G30" s="132">
        <v>11.739668169042337</v>
      </c>
      <c r="H30" s="132">
        <v>5.9401763616950731</v>
      </c>
      <c r="I30" s="132">
        <v>5.2220997665471538</v>
      </c>
      <c r="J30" s="132">
        <v>1.2334399478580556</v>
      </c>
      <c r="K30" s="132">
        <v>0</v>
      </c>
      <c r="L30" s="132">
        <v>0</v>
      </c>
      <c r="M30" s="132">
        <v>0</v>
      </c>
      <c r="N30" s="132">
        <v>2.1882734996289568E-3</v>
      </c>
      <c r="O30" s="132">
        <v>1.5500617768262996</v>
      </c>
      <c r="P30" s="132">
        <v>6.3179172657158391</v>
      </c>
      <c r="Q30" s="132">
        <v>4.5182940887360692</v>
      </c>
      <c r="R30" s="132">
        <v>3.0747067770536494</v>
      </c>
      <c r="S30" s="132">
        <v>3.0548000364861023</v>
      </c>
      <c r="T30" s="132">
        <v>3.2290494971231607</v>
      </c>
      <c r="U30" s="132">
        <v>0.23252699571055913</v>
      </c>
      <c r="V30" s="132">
        <v>0</v>
      </c>
      <c r="W30" s="132">
        <v>0</v>
      </c>
      <c r="X30" s="132">
        <v>1.0373774890130891</v>
      </c>
      <c r="Y30" s="132">
        <v>2.6413222690314475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1.233014336901459</v>
      </c>
      <c r="D31" s="132">
        <v>0.88338960778485787</v>
      </c>
      <c r="E31" s="132">
        <v>0.76218622224443622</v>
      </c>
      <c r="F31" s="132">
        <v>1.4491573727768488</v>
      </c>
      <c r="G31" s="132">
        <v>1.6215085765604698</v>
      </c>
      <c r="H31" s="132">
        <v>1.6763465560471091</v>
      </c>
      <c r="I31" s="132">
        <v>1.4545571616147372</v>
      </c>
      <c r="J31" s="132">
        <v>1.1161866743065703</v>
      </c>
      <c r="K31" s="132">
        <v>0.77783179235537936</v>
      </c>
      <c r="L31" s="132">
        <v>0.75875165227312491</v>
      </c>
      <c r="M31" s="132">
        <v>1.3637950193540889</v>
      </c>
      <c r="N31" s="132">
        <v>0.68197094166537775</v>
      </c>
      <c r="O31" s="132">
        <v>2.81678971890243</v>
      </c>
      <c r="P31" s="132">
        <v>1.8926914457580475</v>
      </c>
      <c r="Q31" s="132">
        <v>1.6867011642691745</v>
      </c>
      <c r="R31" s="132">
        <v>1.3280914184583155</v>
      </c>
      <c r="S31" s="132">
        <v>1.6332773761669546</v>
      </c>
      <c r="T31" s="132">
        <v>1.5971623126398891</v>
      </c>
      <c r="U31" s="132">
        <v>1.6349276217596787</v>
      </c>
      <c r="V31" s="132">
        <v>0.93339330313669799</v>
      </c>
      <c r="W31" s="132">
        <v>0.64641012262430853</v>
      </c>
      <c r="X31" s="132">
        <v>0.39723657775126303</v>
      </c>
      <c r="Y31" s="132">
        <v>1.4223544142065996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64436.66826861156</v>
      </c>
      <c r="D3" s="125">
        <f>IF(SER_hh_fec_in!D3=0,0,11630*1000*SER_hh_fec_in!D3/SER_hh_num_in!D3)</f>
        <v>57634.136074873844</v>
      </c>
      <c r="E3" s="125">
        <f>IF(SER_hh_fec_in!E3=0,0,11630*1000*SER_hh_fec_in!E3/SER_hh_num_in!E3)</f>
        <v>60731.837696410941</v>
      </c>
      <c r="F3" s="125">
        <f>IF(SER_hh_fec_in!F3=0,0,11630*1000*SER_hh_fec_in!F3/SER_hh_num_in!F3)</f>
        <v>66596.479293376149</v>
      </c>
      <c r="G3" s="125">
        <f>IF(SER_hh_fec_in!G3=0,0,11630*1000*SER_hh_fec_in!G3/SER_hh_num_in!G3)</f>
        <v>65808.386651400477</v>
      </c>
      <c r="H3" s="125">
        <f>IF(SER_hh_fec_in!H3=0,0,11630*1000*SER_hh_fec_in!H3/SER_hh_num_in!H3)</f>
        <v>62368.430436496761</v>
      </c>
      <c r="I3" s="125">
        <f>IF(SER_hh_fec_in!I3=0,0,11630*1000*SER_hh_fec_in!I3/SER_hh_num_in!I3)</f>
        <v>58253.909745199067</v>
      </c>
      <c r="J3" s="125">
        <f>IF(SER_hh_fec_in!J3=0,0,11630*1000*SER_hh_fec_in!J3/SER_hh_num_in!J3)</f>
        <v>52388.699581329085</v>
      </c>
      <c r="K3" s="125">
        <f>IF(SER_hh_fec_in!K3=0,0,11630*1000*SER_hh_fec_in!K3/SER_hh_num_in!K3)</f>
        <v>53406.911464593482</v>
      </c>
      <c r="L3" s="125">
        <f>IF(SER_hh_fec_in!L3=0,0,11630*1000*SER_hh_fec_in!L3/SER_hh_num_in!L3)</f>
        <v>54854.716623759778</v>
      </c>
      <c r="M3" s="125">
        <f>IF(SER_hh_fec_in!M3=0,0,11630*1000*SER_hh_fec_in!M3/SER_hh_num_in!M3)</f>
        <v>58313.639806284511</v>
      </c>
      <c r="N3" s="125">
        <f>IF(SER_hh_fec_in!N3=0,0,11630*1000*SER_hh_fec_in!N3/SER_hh_num_in!N3)</f>
        <v>61899.078021751797</v>
      </c>
      <c r="O3" s="125">
        <f>IF(SER_hh_fec_in!O3=0,0,11630*1000*SER_hh_fec_in!O3/SER_hh_num_in!O3)</f>
        <v>57644.153040826437</v>
      </c>
      <c r="P3" s="125">
        <f>IF(SER_hh_fec_in!P3=0,0,11630*1000*SER_hh_fec_in!P3/SER_hh_num_in!P3)</f>
        <v>62359.770168247422</v>
      </c>
      <c r="Q3" s="125">
        <f>IF(SER_hh_fec_in!Q3=0,0,11630*1000*SER_hh_fec_in!Q3/SER_hh_num_in!Q3)</f>
        <v>62740.876462918393</v>
      </c>
      <c r="R3" s="125">
        <f>IF(SER_hh_fec_in!R3=0,0,11630*1000*SER_hh_fec_in!R3/SER_hh_num_in!R3)</f>
        <v>58371.654137102298</v>
      </c>
      <c r="S3" s="125">
        <f>IF(SER_hh_fec_in!S3=0,0,11630*1000*SER_hh_fec_in!S3/SER_hh_num_in!S3)</f>
        <v>59992.011311427726</v>
      </c>
      <c r="T3" s="125">
        <f>IF(SER_hh_fec_in!T3=0,0,11630*1000*SER_hh_fec_in!T3/SER_hh_num_in!T3)</f>
        <v>63511.825378142006</v>
      </c>
      <c r="U3" s="125">
        <f>IF(SER_hh_fec_in!U3=0,0,11630*1000*SER_hh_fec_in!U3/SER_hh_num_in!U3)</f>
        <v>51723.171195998446</v>
      </c>
      <c r="V3" s="125">
        <f>IF(SER_hh_fec_in!V3=0,0,11630*1000*SER_hh_fec_in!V3/SER_hh_num_in!V3)</f>
        <v>40346.507476549494</v>
      </c>
      <c r="W3" s="125">
        <f>IF(SER_hh_fec_in!W3=0,0,11630*1000*SER_hh_fec_in!W3/SER_hh_num_in!W3)</f>
        <v>43084.715287463456</v>
      </c>
      <c r="X3" s="125">
        <f>IF(SER_hh_fec_in!X3=0,0,11630*1000*SER_hh_fec_in!X3/SER_hh_num_in!X3)</f>
        <v>55314.456957011753</v>
      </c>
      <c r="Y3" s="125">
        <f>IF(SER_hh_fec_in!Y3=0,0,11630*1000*SER_hh_fec_in!Y3/SER_hh_num_in!Y3)</f>
        <v>59289.757460532172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29674.621018542657</v>
      </c>
      <c r="D4" s="130">
        <f>IF(SER_hh_fec_in!D4=0,0,11630*1000*SER_hh_fec_in!D4/SER_hh_num_in!D4)</f>
        <v>22082.176828621279</v>
      </c>
      <c r="E4" s="130">
        <f>IF(SER_hh_fec_in!E4=0,0,11630*1000*SER_hh_fec_in!E4/SER_hh_num_in!E4)</f>
        <v>21584.890218919376</v>
      </c>
      <c r="F4" s="130">
        <f>IF(SER_hh_fec_in!F4=0,0,11630*1000*SER_hh_fec_in!F4/SER_hh_num_in!F4)</f>
        <v>29457.995087539894</v>
      </c>
      <c r="G4" s="130">
        <f>IF(SER_hh_fec_in!G4=0,0,11630*1000*SER_hh_fec_in!G4/SER_hh_num_in!G4)</f>
        <v>26741.333448417012</v>
      </c>
      <c r="H4" s="130">
        <f>IF(SER_hh_fec_in!H4=0,0,11630*1000*SER_hh_fec_in!H4/SER_hh_num_in!H4)</f>
        <v>23388.395651440038</v>
      </c>
      <c r="I4" s="130">
        <f>IF(SER_hh_fec_in!I4=0,0,11630*1000*SER_hh_fec_in!I4/SER_hh_num_in!I4)</f>
        <v>24325.607522599988</v>
      </c>
      <c r="J4" s="130">
        <f>IF(SER_hh_fec_in!J4=0,0,11630*1000*SER_hh_fec_in!J4/SER_hh_num_in!J4)</f>
        <v>21144.108302566925</v>
      </c>
      <c r="K4" s="130">
        <f>IF(SER_hh_fec_in!K4=0,0,11630*1000*SER_hh_fec_in!K4/SER_hh_num_in!K4)</f>
        <v>21585.102276404505</v>
      </c>
      <c r="L4" s="130">
        <f>IF(SER_hh_fec_in!L4=0,0,11630*1000*SER_hh_fec_in!L4/SER_hh_num_in!L4)</f>
        <v>18396.080758567852</v>
      </c>
      <c r="M4" s="130">
        <f>IF(SER_hh_fec_in!M4=0,0,11630*1000*SER_hh_fec_in!M4/SER_hh_num_in!M4)</f>
        <v>25553.077695413038</v>
      </c>
      <c r="N4" s="130">
        <f>IF(SER_hh_fec_in!N4=0,0,11630*1000*SER_hh_fec_in!N4/SER_hh_num_in!N4)</f>
        <v>18506.744927505217</v>
      </c>
      <c r="O4" s="130">
        <f>IF(SER_hh_fec_in!O4=0,0,11630*1000*SER_hh_fec_in!O4/SER_hh_num_in!O4)</f>
        <v>22417.831711883566</v>
      </c>
      <c r="P4" s="130">
        <f>IF(SER_hh_fec_in!P4=0,0,11630*1000*SER_hh_fec_in!P4/SER_hh_num_in!P4)</f>
        <v>28030.32399373208</v>
      </c>
      <c r="Q4" s="130">
        <f>IF(SER_hh_fec_in!Q4=0,0,11630*1000*SER_hh_fec_in!Q4/SER_hh_num_in!Q4)</f>
        <v>29170.819539042648</v>
      </c>
      <c r="R4" s="130">
        <f>IF(SER_hh_fec_in!R4=0,0,11630*1000*SER_hh_fec_in!R4/SER_hh_num_in!R4)</f>
        <v>23921.656763743104</v>
      </c>
      <c r="S4" s="130">
        <f>IF(SER_hh_fec_in!S4=0,0,11630*1000*SER_hh_fec_in!S4/SER_hh_num_in!S4)</f>
        <v>26586.316099047144</v>
      </c>
      <c r="T4" s="130">
        <f>IF(SER_hh_fec_in!T4=0,0,11630*1000*SER_hh_fec_in!T4/SER_hh_num_in!T4)</f>
        <v>31165.492999169797</v>
      </c>
      <c r="U4" s="130">
        <f>IF(SER_hh_fec_in!U4=0,0,11630*1000*SER_hh_fec_in!U4/SER_hh_num_in!U4)</f>
        <v>23342.035624746892</v>
      </c>
      <c r="V4" s="130">
        <f>IF(SER_hh_fec_in!V4=0,0,11630*1000*SER_hh_fec_in!V4/SER_hh_num_in!V4)</f>
        <v>11605.404777643953</v>
      </c>
      <c r="W4" s="130">
        <f>IF(SER_hh_fec_in!W4=0,0,11630*1000*SER_hh_fec_in!W4/SER_hh_num_in!W4)</f>
        <v>16205.722406673623</v>
      </c>
      <c r="X4" s="130">
        <f>IF(SER_hh_fec_in!X4=0,0,11630*1000*SER_hh_fec_in!X4/SER_hh_num_in!X4)</f>
        <v>24141.298885728127</v>
      </c>
      <c r="Y4" s="130">
        <f>IF(SER_hh_fec_in!Y4=0,0,11630*1000*SER_hh_fec_in!Y4/SER_hh_num_in!Y4)</f>
        <v>26658.414072107673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35152.794221082426</v>
      </c>
      <c r="D7" s="132">
        <f>IF(SER_hh_fec_in!D7=0,0,11630*1000*SER_hh_fec_in!D7/SER_hh_num_in!D7)</f>
        <v>37304.881129529618</v>
      </c>
      <c r="E7" s="132">
        <f>IF(SER_hh_fec_in!E7=0,0,11630*1000*SER_hh_fec_in!E7/SER_hh_num_in!E7)</f>
        <v>41193.774273467585</v>
      </c>
      <c r="F7" s="132">
        <f>IF(SER_hh_fec_in!F7=0,0,11630*1000*SER_hh_fec_in!F7/SER_hh_num_in!F7)</f>
        <v>53755.684435424708</v>
      </c>
      <c r="G7" s="132">
        <f>IF(SER_hh_fec_in!G7=0,0,11630*1000*SER_hh_fec_in!G7/SER_hh_num_in!G7)</f>
        <v>63697.114523705153</v>
      </c>
      <c r="H7" s="132">
        <f>IF(SER_hh_fec_in!H7=0,0,11630*1000*SER_hh_fec_in!H7/SER_hh_num_in!H7)</f>
        <v>0</v>
      </c>
      <c r="I7" s="132">
        <f>IF(SER_hh_fec_in!I7=0,0,11630*1000*SER_hh_fec_in!I7/SER_hh_num_in!I7)</f>
        <v>0</v>
      </c>
      <c r="J7" s="132">
        <f>IF(SER_hh_fec_in!J7=0,0,11630*1000*SER_hh_fec_in!J7/SER_hh_num_in!J7)</f>
        <v>0</v>
      </c>
      <c r="K7" s="132">
        <f>IF(SER_hh_fec_in!K7=0,0,11630*1000*SER_hh_fec_in!K7/SER_hh_num_in!K7)</f>
        <v>0</v>
      </c>
      <c r="L7" s="132">
        <f>IF(SER_hh_fec_in!L7=0,0,11630*1000*SER_hh_fec_in!L7/SER_hh_num_in!L7)</f>
        <v>0</v>
      </c>
      <c r="M7" s="132">
        <f>IF(SER_hh_fec_in!M7=0,0,11630*1000*SER_hh_fec_in!M7/SER_hh_num_in!M7)</f>
        <v>0</v>
      </c>
      <c r="N7" s="132">
        <f>IF(SER_hh_fec_in!N7=0,0,11630*1000*SER_hh_fec_in!N7/SER_hh_num_in!N7)</f>
        <v>0</v>
      </c>
      <c r="O7" s="132">
        <f>IF(SER_hh_fec_in!O7=0,0,11630*1000*SER_hh_fec_in!O7/SER_hh_num_in!O7)</f>
        <v>59080.414843826009</v>
      </c>
      <c r="P7" s="132">
        <f>IF(SER_hh_fec_in!P7=0,0,11630*1000*SER_hh_fec_in!P7/SER_hh_num_in!P7)</f>
        <v>0</v>
      </c>
      <c r="Q7" s="132">
        <f>IF(SER_hh_fec_in!Q7=0,0,11630*1000*SER_hh_fec_in!Q7/SER_hh_num_in!Q7)</f>
        <v>0</v>
      </c>
      <c r="R7" s="132">
        <f>IF(SER_hh_fec_in!R7=0,0,11630*1000*SER_hh_fec_in!R7/SER_hh_num_in!R7)</f>
        <v>52050.933588906497</v>
      </c>
      <c r="S7" s="132">
        <f>IF(SER_hh_fec_in!S7=0,0,11630*1000*SER_hh_fec_in!S7/SER_hh_num_in!S7)</f>
        <v>51631.416397352477</v>
      </c>
      <c r="T7" s="132">
        <f>IF(SER_hh_fec_in!T7=0,0,11630*1000*SER_hh_fec_in!T7/SER_hh_num_in!T7)</f>
        <v>56150.939777741158</v>
      </c>
      <c r="U7" s="132">
        <f>IF(SER_hh_fec_in!U7=0,0,11630*1000*SER_hh_fec_in!U7/SER_hh_num_in!U7)</f>
        <v>56703.448691190759</v>
      </c>
      <c r="V7" s="132">
        <f>IF(SER_hh_fec_in!V7=0,0,11630*1000*SER_hh_fec_in!V7/SER_hh_num_in!V7)</f>
        <v>0</v>
      </c>
      <c r="W7" s="132">
        <f>IF(SER_hh_fec_in!W7=0,0,11630*1000*SER_hh_fec_in!W7/SER_hh_num_in!W7)</f>
        <v>0</v>
      </c>
      <c r="X7" s="132">
        <f>IF(SER_hh_fec_in!X7=0,0,11630*1000*SER_hh_fec_in!X7/SER_hh_num_in!X7)</f>
        <v>0</v>
      </c>
      <c r="Y7" s="132">
        <f>IF(SER_hh_fec_in!Y7=0,0,11630*1000*SER_hh_fec_in!Y7/SER_hh_num_in!Y7)</f>
        <v>0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13012.545761707035</v>
      </c>
      <c r="D8" s="132">
        <f>IF(SER_hh_fec_in!D8=0,0,11630*1000*SER_hh_fec_in!D8/SER_hh_num_in!D8)</f>
        <v>15166.742575172213</v>
      </c>
      <c r="E8" s="132">
        <f>IF(SER_hh_fec_in!E8=0,0,11630*1000*SER_hh_fec_in!E8/SER_hh_num_in!E8)</f>
        <v>17141.857150012605</v>
      </c>
      <c r="F8" s="132">
        <f>IF(SER_hh_fec_in!F8=0,0,11630*1000*SER_hh_fec_in!F8/SER_hh_num_in!F8)</f>
        <v>17978.403403765136</v>
      </c>
      <c r="G8" s="132">
        <f>IF(SER_hh_fec_in!G8=0,0,11630*1000*SER_hh_fec_in!G8/SER_hh_num_in!G8)</f>
        <v>17956.115838612342</v>
      </c>
      <c r="H8" s="132">
        <f>IF(SER_hh_fec_in!H8=0,0,11630*1000*SER_hh_fec_in!H8/SER_hh_num_in!H8)</f>
        <v>19552.288859168679</v>
      </c>
      <c r="I8" s="132">
        <f>IF(SER_hh_fec_in!I8=0,0,11630*1000*SER_hh_fec_in!I8/SER_hh_num_in!I8)</f>
        <v>19807.710502454011</v>
      </c>
      <c r="J8" s="132">
        <f>IF(SER_hh_fec_in!J8=0,0,11630*1000*SER_hh_fec_in!J8/SER_hh_num_in!J8)</f>
        <v>20320.34516140123</v>
      </c>
      <c r="K8" s="132">
        <f>IF(SER_hh_fec_in!K8=0,0,11630*1000*SER_hh_fec_in!K8/SER_hh_num_in!K8)</f>
        <v>18548.533352947725</v>
      </c>
      <c r="L8" s="132">
        <f>IF(SER_hh_fec_in!L8=0,0,11630*1000*SER_hh_fec_in!L8/SER_hh_num_in!L8)</f>
        <v>18083.434193506015</v>
      </c>
      <c r="M8" s="132">
        <f>IF(SER_hh_fec_in!M8=0,0,11630*1000*SER_hh_fec_in!M8/SER_hh_num_in!M8)</f>
        <v>18296.750669155077</v>
      </c>
      <c r="N8" s="132">
        <f>IF(SER_hh_fec_in!N8=0,0,11630*1000*SER_hh_fec_in!N8/SER_hh_num_in!N8)</f>
        <v>17457.254226654841</v>
      </c>
      <c r="O8" s="132">
        <f>IF(SER_hh_fec_in!O8=0,0,11630*1000*SER_hh_fec_in!O8/SER_hh_num_in!O8)</f>
        <v>17249.662984143626</v>
      </c>
      <c r="P8" s="132">
        <f>IF(SER_hh_fec_in!P8=0,0,11630*1000*SER_hh_fec_in!P8/SER_hh_num_in!P8)</f>
        <v>17475.203430968588</v>
      </c>
      <c r="Q8" s="132">
        <f>IF(SER_hh_fec_in!Q8=0,0,11630*1000*SER_hh_fec_in!Q8/SER_hh_num_in!Q8)</f>
        <v>17102.13000310626</v>
      </c>
      <c r="R8" s="132">
        <f>IF(SER_hh_fec_in!R8=0,0,11630*1000*SER_hh_fec_in!R8/SER_hh_num_in!R8)</f>
        <v>15343.891030241588</v>
      </c>
      <c r="S8" s="132">
        <f>IF(SER_hh_fec_in!S8=0,0,11630*1000*SER_hh_fec_in!S8/SER_hh_num_in!S8)</f>
        <v>14275.12125669635</v>
      </c>
      <c r="T8" s="132">
        <f>IF(SER_hh_fec_in!T8=0,0,11630*1000*SER_hh_fec_in!T8/SER_hh_num_in!T8)</f>
        <v>13915.779229070398</v>
      </c>
      <c r="U8" s="132">
        <f>IF(SER_hh_fec_in!U8=0,0,11630*1000*SER_hh_fec_in!U8/SER_hh_num_in!U8)</f>
        <v>13699.841865875644</v>
      </c>
      <c r="V8" s="132">
        <f>IF(SER_hh_fec_in!V8=0,0,11630*1000*SER_hh_fec_in!V8/SER_hh_num_in!V8)</f>
        <v>12722.889648310009</v>
      </c>
      <c r="W8" s="132">
        <f>IF(SER_hh_fec_in!W8=0,0,11630*1000*SER_hh_fec_in!W8/SER_hh_num_in!W8)</f>
        <v>13031.64239516658</v>
      </c>
      <c r="X8" s="132">
        <f>IF(SER_hh_fec_in!X8=0,0,11630*1000*SER_hh_fec_in!X8/SER_hh_num_in!X8)</f>
        <v>14103.316717165128</v>
      </c>
      <c r="Y8" s="132">
        <f>IF(SER_hh_fec_in!Y8=0,0,11630*1000*SER_hh_fec_in!Y8/SER_hh_num_in!Y8)</f>
        <v>14792.205377919885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30966.950566417287</v>
      </c>
      <c r="D9" s="132">
        <f>IF(SER_hh_fec_in!D9=0,0,11630*1000*SER_hh_fec_in!D9/SER_hh_num_in!D9)</f>
        <v>38599.93669055077</v>
      </c>
      <c r="E9" s="132">
        <f>IF(SER_hh_fec_in!E9=0,0,11630*1000*SER_hh_fec_in!E9/SER_hh_num_in!E9)</f>
        <v>41171.929343752388</v>
      </c>
      <c r="F9" s="132">
        <f>IF(SER_hh_fec_in!F9=0,0,11630*1000*SER_hh_fec_in!F9/SER_hh_num_in!F9)</f>
        <v>51686.642613443692</v>
      </c>
      <c r="G9" s="132">
        <f>IF(SER_hh_fec_in!G9=0,0,11630*1000*SER_hh_fec_in!G9/SER_hh_num_in!G9)</f>
        <v>0</v>
      </c>
      <c r="H9" s="132">
        <f>IF(SER_hh_fec_in!H9=0,0,11630*1000*SER_hh_fec_in!H9/SER_hh_num_in!H9)</f>
        <v>58612.525440946039</v>
      </c>
      <c r="I9" s="132">
        <f>IF(SER_hh_fec_in!I9=0,0,11630*1000*SER_hh_fec_in!I9/SER_hh_num_in!I9)</f>
        <v>60929.534885100802</v>
      </c>
      <c r="J9" s="132">
        <f>IF(SER_hh_fec_in!J9=0,0,11630*1000*SER_hh_fec_in!J9/SER_hh_num_in!J9)</f>
        <v>61150.338223437386</v>
      </c>
      <c r="K9" s="132">
        <f>IF(SER_hh_fec_in!K9=0,0,11630*1000*SER_hh_fec_in!K9/SER_hh_num_in!K9)</f>
        <v>65353.893406871219</v>
      </c>
      <c r="L9" s="132">
        <f>IF(SER_hh_fec_in!L9=0,0,11630*1000*SER_hh_fec_in!L9/SER_hh_num_in!L9)</f>
        <v>56608.924087341897</v>
      </c>
      <c r="M9" s="132">
        <f>IF(SER_hh_fec_in!M9=0,0,11630*1000*SER_hh_fec_in!M9/SER_hh_num_in!M9)</f>
        <v>62136.724926637755</v>
      </c>
      <c r="N9" s="132">
        <f>IF(SER_hh_fec_in!N9=0,0,11630*1000*SER_hh_fec_in!N9/SER_hh_num_in!N9)</f>
        <v>61487.136671710592</v>
      </c>
      <c r="O9" s="132">
        <f>IF(SER_hh_fec_in!O9=0,0,11630*1000*SER_hh_fec_in!O9/SER_hh_num_in!O9)</f>
        <v>57364.045845114721</v>
      </c>
      <c r="P9" s="132">
        <f>IF(SER_hh_fec_in!P9=0,0,11630*1000*SER_hh_fec_in!P9/SER_hh_num_in!P9)</f>
        <v>0</v>
      </c>
      <c r="Q9" s="132">
        <f>IF(SER_hh_fec_in!Q9=0,0,11630*1000*SER_hh_fec_in!Q9/SER_hh_num_in!Q9)</f>
        <v>56206.991900126101</v>
      </c>
      <c r="R9" s="132">
        <f>IF(SER_hh_fec_in!R9=0,0,11630*1000*SER_hh_fec_in!R9/SER_hh_num_in!R9)</f>
        <v>56822.830801319004</v>
      </c>
      <c r="S9" s="132">
        <f>IF(SER_hh_fec_in!S9=0,0,11630*1000*SER_hh_fec_in!S9/SER_hh_num_in!S9)</f>
        <v>54512.772766005241</v>
      </c>
      <c r="T9" s="132">
        <f>IF(SER_hh_fec_in!T9=0,0,11630*1000*SER_hh_fec_in!T9/SER_hh_num_in!T9)</f>
        <v>56936.395083368385</v>
      </c>
      <c r="U9" s="132">
        <f>IF(SER_hh_fec_in!U9=0,0,11630*1000*SER_hh_fec_in!U9/SER_hh_num_in!U9)</f>
        <v>0</v>
      </c>
      <c r="V9" s="132">
        <f>IF(SER_hh_fec_in!V9=0,0,11630*1000*SER_hh_fec_in!V9/SER_hh_num_in!V9)</f>
        <v>38297.331795703787</v>
      </c>
      <c r="W9" s="132">
        <f>IF(SER_hh_fec_in!W9=0,0,11630*1000*SER_hh_fec_in!W9/SER_hh_num_in!W9)</f>
        <v>52532.696739345498</v>
      </c>
      <c r="X9" s="132">
        <f>IF(SER_hh_fec_in!X9=0,0,11630*1000*SER_hh_fec_in!X9/SER_hh_num_in!X9)</f>
        <v>51161.67008586273</v>
      </c>
      <c r="Y9" s="132">
        <f>IF(SER_hh_fec_in!Y9=0,0,11630*1000*SER_hh_fec_in!Y9/SER_hh_num_in!Y9)</f>
        <v>54110.902162186605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0</v>
      </c>
      <c r="D10" s="132">
        <f>IF(SER_hh_fec_in!D10=0,0,11630*1000*SER_hh_fec_in!D10/SER_hh_num_in!D10)</f>
        <v>0</v>
      </c>
      <c r="E10" s="132">
        <f>IF(SER_hh_fec_in!E10=0,0,11630*1000*SER_hh_fec_in!E10/SER_hh_num_in!E10)</f>
        <v>0</v>
      </c>
      <c r="F10" s="132">
        <f>IF(SER_hh_fec_in!F10=0,0,11630*1000*SER_hh_fec_in!F10/SER_hh_num_in!F10)</f>
        <v>0</v>
      </c>
      <c r="G10" s="132">
        <f>IF(SER_hh_fec_in!G10=0,0,11630*1000*SER_hh_fec_in!G10/SER_hh_num_in!G10)</f>
        <v>0</v>
      </c>
      <c r="H10" s="132">
        <f>IF(SER_hh_fec_in!H10=0,0,11630*1000*SER_hh_fec_in!H10/SER_hh_num_in!H10)</f>
        <v>0</v>
      </c>
      <c r="I10" s="132">
        <f>IF(SER_hh_fec_in!I10=0,0,11630*1000*SER_hh_fec_in!I10/SER_hh_num_in!I10)</f>
        <v>0</v>
      </c>
      <c r="J10" s="132">
        <f>IF(SER_hh_fec_in!J10=0,0,11630*1000*SER_hh_fec_in!J10/SER_hh_num_in!J10)</f>
        <v>0</v>
      </c>
      <c r="K10" s="132">
        <f>IF(SER_hh_fec_in!K10=0,0,11630*1000*SER_hh_fec_in!K10/SER_hh_num_in!K10)</f>
        <v>0</v>
      </c>
      <c r="L10" s="132">
        <f>IF(SER_hh_fec_in!L10=0,0,11630*1000*SER_hh_fec_in!L10/SER_hh_num_in!L10)</f>
        <v>0</v>
      </c>
      <c r="M10" s="132">
        <f>IF(SER_hh_fec_in!M10=0,0,11630*1000*SER_hh_fec_in!M10/SER_hh_num_in!M10)</f>
        <v>97321.891714197074</v>
      </c>
      <c r="N10" s="132">
        <f>IF(SER_hh_fec_in!N10=0,0,11630*1000*SER_hh_fec_in!N10/SER_hh_num_in!N10)</f>
        <v>84470.431204146706</v>
      </c>
      <c r="O10" s="132">
        <f>IF(SER_hh_fec_in!O10=0,0,11630*1000*SER_hh_fec_in!O10/SER_hh_num_in!O10)</f>
        <v>0</v>
      </c>
      <c r="P10" s="132">
        <f>IF(SER_hh_fec_in!P10=0,0,11630*1000*SER_hh_fec_in!P10/SER_hh_num_in!P10)</f>
        <v>0</v>
      </c>
      <c r="Q10" s="132">
        <f>IF(SER_hh_fec_in!Q10=0,0,11630*1000*SER_hh_fec_in!Q10/SER_hh_num_in!Q10)</f>
        <v>0</v>
      </c>
      <c r="R10" s="132">
        <f>IF(SER_hh_fec_in!R10=0,0,11630*1000*SER_hh_fec_in!R10/SER_hh_num_in!R10)</f>
        <v>63751.394025435395</v>
      </c>
      <c r="S10" s="132">
        <f>IF(SER_hh_fec_in!S10=0,0,11630*1000*SER_hh_fec_in!S10/SER_hh_num_in!S10)</f>
        <v>78178.636044756568</v>
      </c>
      <c r="T10" s="132">
        <f>IF(SER_hh_fec_in!T10=0,0,11630*1000*SER_hh_fec_in!T10/SER_hh_num_in!T10)</f>
        <v>0</v>
      </c>
      <c r="U10" s="132">
        <f>IF(SER_hh_fec_in!U10=0,0,11630*1000*SER_hh_fec_in!U10/SER_hh_num_in!U10)</f>
        <v>0</v>
      </c>
      <c r="V10" s="132">
        <f>IF(SER_hh_fec_in!V10=0,0,11630*1000*SER_hh_fec_in!V10/SER_hh_num_in!V10)</f>
        <v>0</v>
      </c>
      <c r="W10" s="132">
        <f>IF(SER_hh_fec_in!W10=0,0,11630*1000*SER_hh_fec_in!W10/SER_hh_num_in!W10)</f>
        <v>53711.066144937351</v>
      </c>
      <c r="X10" s="132">
        <f>IF(SER_hh_fec_in!X10=0,0,11630*1000*SER_hh_fec_in!X10/SER_hh_num_in!X10)</f>
        <v>81744.927033054657</v>
      </c>
      <c r="Y10" s="132">
        <f>IF(SER_hh_fec_in!Y10=0,0,11630*1000*SER_hh_fec_in!Y10/SER_hh_num_in!Y10)</f>
        <v>60340.00908065158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21898.429124141076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42255.049997883441</v>
      </c>
      <c r="K11" s="132">
        <f>IF(SER_hh_fec_in!K11=0,0,11630*1000*SER_hh_fec_in!K11/SER_hh_num_in!K11)</f>
        <v>40669.383374759069</v>
      </c>
      <c r="L11" s="132">
        <f>IF(SER_hh_fec_in!L11=0,0,11630*1000*SER_hh_fec_in!L11/SER_hh_num_in!L11)</f>
        <v>36699.658976391547</v>
      </c>
      <c r="M11" s="132">
        <f>IF(SER_hh_fec_in!M11=0,0,11630*1000*SER_hh_fec_in!M11/SER_hh_num_in!M11)</f>
        <v>49632.676039604376</v>
      </c>
      <c r="N11" s="132">
        <f>IF(SER_hh_fec_in!N11=0,0,11630*1000*SER_hh_fec_in!N11/SER_hh_num_in!N11)</f>
        <v>49108.929165810136</v>
      </c>
      <c r="O11" s="132">
        <f>IF(SER_hh_fec_in!O11=0,0,11630*1000*SER_hh_fec_in!O11/SER_hh_num_in!O11)</f>
        <v>41734.970006910131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52351.624204453772</v>
      </c>
      <c r="R11" s="132">
        <f>IF(SER_hh_fec_in!R11=0,0,11630*1000*SER_hh_fec_in!R11/SER_hh_num_in!R11)</f>
        <v>44084.733428566695</v>
      </c>
      <c r="S11" s="132">
        <f>IF(SER_hh_fec_in!S11=0,0,11630*1000*SER_hh_fec_in!S11/SER_hh_num_in!S11)</f>
        <v>46268.357577405935</v>
      </c>
      <c r="T11" s="132">
        <f>IF(SER_hh_fec_in!T11=0,0,11630*1000*SER_hh_fec_in!T11/SER_hh_num_in!T11)</f>
        <v>49913.219900899501</v>
      </c>
      <c r="U11" s="132">
        <f>IF(SER_hh_fec_in!U11=0,0,11630*1000*SER_hh_fec_in!U11/SER_hh_num_in!U11)</f>
        <v>49156.1592732262</v>
      </c>
      <c r="V11" s="132">
        <f>IF(SER_hh_fec_in!V11=0,0,11630*1000*SER_hh_fec_in!V11/SER_hh_num_in!V11)</f>
        <v>38570.44800538681</v>
      </c>
      <c r="W11" s="132">
        <f>IF(SER_hh_fec_in!W11=0,0,11630*1000*SER_hh_fec_in!W11/SER_hh_num_in!W11)</f>
        <v>38761.611100700953</v>
      </c>
      <c r="X11" s="132">
        <f>IF(SER_hh_fec_in!X11=0,0,11630*1000*SER_hh_fec_in!X11/SER_hh_num_in!X11)</f>
        <v>48855.608924101311</v>
      </c>
      <c r="Y11" s="132">
        <f>IF(SER_hh_fec_in!Y11=0,0,11630*1000*SER_hh_fec_in!Y11/SER_hh_num_in!Y11)</f>
        <v>49591.7741527576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21088.073480560841</v>
      </c>
      <c r="D12" s="132">
        <f>IF(SER_hh_fec_in!D12=0,0,11630*1000*SER_hh_fec_in!D12/SER_hh_num_in!D12)</f>
        <v>28221.724788200776</v>
      </c>
      <c r="E12" s="132">
        <f>IF(SER_hh_fec_in!E12=0,0,11630*1000*SER_hh_fec_in!E12/SER_hh_num_in!E12)</f>
        <v>28203.514928005621</v>
      </c>
      <c r="F12" s="132">
        <f>IF(SER_hh_fec_in!F12=0,0,11630*1000*SER_hh_fec_in!F12/SER_hh_num_in!F12)</f>
        <v>37677.819494426389</v>
      </c>
      <c r="G12" s="132">
        <f>IF(SER_hh_fec_in!G12=0,0,11630*1000*SER_hh_fec_in!G12/SER_hh_num_in!G12)</f>
        <v>0</v>
      </c>
      <c r="H12" s="132">
        <f>IF(SER_hh_fec_in!H12=0,0,11630*1000*SER_hh_fec_in!H12/SER_hh_num_in!H12)</f>
        <v>0</v>
      </c>
      <c r="I12" s="132">
        <f>IF(SER_hh_fec_in!I12=0,0,11630*1000*SER_hh_fec_in!I12/SER_hh_num_in!I12)</f>
        <v>0</v>
      </c>
      <c r="J12" s="132">
        <f>IF(SER_hh_fec_in!J12=0,0,11630*1000*SER_hh_fec_in!J12/SER_hh_num_in!J12)</f>
        <v>40855.899047889623</v>
      </c>
      <c r="K12" s="132">
        <f>IF(SER_hh_fec_in!K12=0,0,11630*1000*SER_hh_fec_in!K12/SER_hh_num_in!K12)</f>
        <v>36338.582210507448</v>
      </c>
      <c r="L12" s="132">
        <f>IF(SER_hh_fec_in!L12=0,0,11630*1000*SER_hh_fec_in!L12/SER_hh_num_in!L12)</f>
        <v>47190.100947545463</v>
      </c>
      <c r="M12" s="132">
        <f>IF(SER_hh_fec_in!M12=0,0,11630*1000*SER_hh_fec_in!M12/SER_hh_num_in!M12)</f>
        <v>39695.726070753866</v>
      </c>
      <c r="N12" s="132">
        <f>IF(SER_hh_fec_in!N12=0,0,11630*1000*SER_hh_fec_in!N12/SER_hh_num_in!N12)</f>
        <v>50538.978303549266</v>
      </c>
      <c r="O12" s="132">
        <f>IF(SER_hh_fec_in!O12=0,0,11630*1000*SER_hh_fec_in!O12/SER_hh_num_in!O12)</f>
        <v>49294.835722041877</v>
      </c>
      <c r="P12" s="132">
        <f>IF(SER_hh_fec_in!P12=0,0,11630*1000*SER_hh_fec_in!P12/SER_hh_num_in!P12)</f>
        <v>0</v>
      </c>
      <c r="Q12" s="132">
        <f>IF(SER_hh_fec_in!Q12=0,0,11630*1000*SER_hh_fec_in!Q12/SER_hh_num_in!Q12)</f>
        <v>48589.299625238258</v>
      </c>
      <c r="R12" s="132">
        <f>IF(SER_hh_fec_in!R12=0,0,11630*1000*SER_hh_fec_in!R12/SER_hh_num_in!R12)</f>
        <v>45293.064299030913</v>
      </c>
      <c r="S12" s="132">
        <f>IF(SER_hh_fec_in!S12=0,0,11630*1000*SER_hh_fec_in!S12/SER_hh_num_in!S12)</f>
        <v>48930.711110327808</v>
      </c>
      <c r="T12" s="132">
        <f>IF(SER_hh_fec_in!T12=0,0,11630*1000*SER_hh_fec_in!T12/SER_hh_num_in!T12)</f>
        <v>47695.222953959943</v>
      </c>
      <c r="U12" s="132">
        <f>IF(SER_hh_fec_in!U12=0,0,11630*1000*SER_hh_fec_in!U12/SER_hh_num_in!U12)</f>
        <v>45796.774816845689</v>
      </c>
      <c r="V12" s="132">
        <f>IF(SER_hh_fec_in!V12=0,0,11630*1000*SER_hh_fec_in!V12/SER_hh_num_in!V12)</f>
        <v>43920.766125359129</v>
      </c>
      <c r="W12" s="132">
        <f>IF(SER_hh_fec_in!W12=0,0,11630*1000*SER_hh_fec_in!W12/SER_hh_num_in!W12)</f>
        <v>0</v>
      </c>
      <c r="X12" s="132">
        <f>IF(SER_hh_fec_in!X12=0,0,11630*1000*SER_hh_fec_in!X12/SER_hh_num_in!X12)</f>
        <v>0</v>
      </c>
      <c r="Y12" s="132">
        <f>IF(SER_hh_fec_in!Y12=0,0,11630*1000*SER_hh_fec_in!Y12/SER_hh_num_in!Y12)</f>
        <v>0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9528.4755388442809</v>
      </c>
      <c r="D13" s="132">
        <f>IF(SER_hh_fec_in!D13=0,0,11630*1000*SER_hh_fec_in!D13/SER_hh_num_in!D13)</f>
        <v>8144.7407245025679</v>
      </c>
      <c r="E13" s="132">
        <f>IF(SER_hh_fec_in!E13=0,0,11630*1000*SER_hh_fec_in!E13/SER_hh_num_in!E13)</f>
        <v>13150.669865325757</v>
      </c>
      <c r="F13" s="132">
        <f>IF(SER_hh_fec_in!F13=0,0,11630*1000*SER_hh_fec_in!F13/SER_hh_num_in!F13)</f>
        <v>11672.061318517199</v>
      </c>
      <c r="G13" s="132">
        <f>IF(SER_hh_fec_in!G13=0,0,11630*1000*SER_hh_fec_in!G13/SER_hh_num_in!G13)</f>
        <v>14108.838535846937</v>
      </c>
      <c r="H13" s="132">
        <f>IF(SER_hh_fec_in!H13=0,0,11630*1000*SER_hh_fec_in!H13/SER_hh_num_in!H13)</f>
        <v>14557.589585694714</v>
      </c>
      <c r="I13" s="132">
        <f>IF(SER_hh_fec_in!I13=0,0,11630*1000*SER_hh_fec_in!I13/SER_hh_num_in!I13)</f>
        <v>14221.400321041461</v>
      </c>
      <c r="J13" s="132">
        <f>IF(SER_hh_fec_in!J13=0,0,11630*1000*SER_hh_fec_in!J13/SER_hh_num_in!J13)</f>
        <v>14571.573725244518</v>
      </c>
      <c r="K13" s="132">
        <f>IF(SER_hh_fec_in!K13=0,0,11630*1000*SER_hh_fec_in!K13/SER_hh_num_in!K13)</f>
        <v>13110.42202842909</v>
      </c>
      <c r="L13" s="132">
        <f>IF(SER_hh_fec_in!L13=0,0,11630*1000*SER_hh_fec_in!L13/SER_hh_num_in!L13)</f>
        <v>13020.370083439191</v>
      </c>
      <c r="M13" s="132">
        <f>IF(SER_hh_fec_in!M13=0,0,11630*1000*SER_hh_fec_in!M13/SER_hh_num_in!M13)</f>
        <v>12271.32231184701</v>
      </c>
      <c r="N13" s="132">
        <f>IF(SER_hh_fec_in!N13=0,0,11630*1000*SER_hh_fec_in!N13/SER_hh_num_in!N13)</f>
        <v>12378.179261546162</v>
      </c>
      <c r="O13" s="132">
        <f>IF(SER_hh_fec_in!O13=0,0,11630*1000*SER_hh_fec_in!O13/SER_hh_num_in!O13)</f>
        <v>11791.177048595062</v>
      </c>
      <c r="P13" s="132">
        <f>IF(SER_hh_fec_in!P13=0,0,11630*1000*SER_hh_fec_in!P13/SER_hh_num_in!P13)</f>
        <v>12359.072331995974</v>
      </c>
      <c r="Q13" s="132">
        <f>IF(SER_hh_fec_in!Q13=0,0,11630*1000*SER_hh_fec_in!Q13/SER_hh_num_in!Q13)</f>
        <v>11407.289808605869</v>
      </c>
      <c r="R13" s="132">
        <f>IF(SER_hh_fec_in!R13=0,0,11630*1000*SER_hh_fec_in!R13/SER_hh_num_in!R13)</f>
        <v>10388.669738215736</v>
      </c>
      <c r="S13" s="132">
        <f>IF(SER_hh_fec_in!S13=0,0,11630*1000*SER_hh_fec_in!S13/SER_hh_num_in!S13)</f>
        <v>9979.883804819925</v>
      </c>
      <c r="T13" s="132">
        <f>IF(SER_hh_fec_in!T13=0,0,11630*1000*SER_hh_fec_in!T13/SER_hh_num_in!T13)</f>
        <v>9797.3688271975261</v>
      </c>
      <c r="U13" s="132">
        <f>IF(SER_hh_fec_in!U13=0,0,11630*1000*SER_hh_fec_in!U13/SER_hh_num_in!U13)</f>
        <v>9556.7022052122484</v>
      </c>
      <c r="V13" s="132">
        <f>IF(SER_hh_fec_in!V13=0,0,11630*1000*SER_hh_fec_in!V13/SER_hh_num_in!V13)</f>
        <v>9142.0864432846447</v>
      </c>
      <c r="W13" s="132">
        <f>IF(SER_hh_fec_in!W13=0,0,11630*1000*SER_hh_fec_in!W13/SER_hh_num_in!W13)</f>
        <v>8869.479148319464</v>
      </c>
      <c r="X13" s="132">
        <f>IF(SER_hh_fec_in!X13=0,0,11630*1000*SER_hh_fec_in!X13/SER_hh_num_in!X13)</f>
        <v>9850.9587262847526</v>
      </c>
      <c r="Y13" s="132">
        <f>IF(SER_hh_fec_in!Y13=0,0,11630*1000*SER_hh_fec_in!Y13/SER_hh_num_in!Y13)</f>
        <v>10050.198362921365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23976.67665894876</v>
      </c>
      <c r="D14" s="65">
        <f>IF(SER_hh_fec_in!D14=0,0,11630*1000*SER_hh_fec_in!D14/SER_hh_num_in!D14)</f>
        <v>26426.27099554169</v>
      </c>
      <c r="E14" s="65">
        <f>IF(SER_hh_fec_in!E14=0,0,11630*1000*SER_hh_fec_in!E14/SER_hh_num_in!E14)</f>
        <v>28916.181578106916</v>
      </c>
      <c r="F14" s="65">
        <f>IF(SER_hh_fec_in!F14=0,0,11630*1000*SER_hh_fec_in!F14/SER_hh_num_in!F14)</f>
        <v>37777.459152472868</v>
      </c>
      <c r="G14" s="65">
        <f>IF(SER_hh_fec_in!G14=0,0,11630*1000*SER_hh_fec_in!G14/SER_hh_num_in!G14)</f>
        <v>45131.954156334126</v>
      </c>
      <c r="H14" s="65">
        <f>IF(SER_hh_fec_in!H14=0,0,11630*1000*SER_hh_fec_in!H14/SER_hh_num_in!H14)</f>
        <v>44704.62384848568</v>
      </c>
      <c r="I14" s="65">
        <f>IF(SER_hh_fec_in!I14=0,0,11630*1000*SER_hh_fec_in!I14/SER_hh_num_in!I14)</f>
        <v>51216.765933936869</v>
      </c>
      <c r="J14" s="65">
        <f>IF(SER_hh_fec_in!J14=0,0,11630*1000*SER_hh_fec_in!J14/SER_hh_num_in!J14)</f>
        <v>0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20114.43524429739</v>
      </c>
      <c r="P14" s="65">
        <f>IF(SER_hh_fec_in!P14=0,0,11630*1000*SER_hh_fec_in!P14/SER_hh_num_in!P14)</f>
        <v>69507.634012591443</v>
      </c>
      <c r="Q14" s="65">
        <f>IF(SER_hh_fec_in!Q14=0,0,11630*1000*SER_hh_fec_in!Q14/SER_hh_num_in!Q14)</f>
        <v>79274.624047253543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34043.833841921878</v>
      </c>
      <c r="T14" s="65">
        <f>IF(SER_hh_fec_in!T14=0,0,11630*1000*SER_hh_fec_in!T14/SER_hh_num_in!T14)</f>
        <v>63142.832698096754</v>
      </c>
      <c r="U14" s="65">
        <f>IF(SER_hh_fec_in!U14=0,0,11630*1000*SER_hh_fec_in!U14/SER_hh_num_in!U14)</f>
        <v>65316.605267427607</v>
      </c>
      <c r="V14" s="65">
        <f>IF(SER_hh_fec_in!V14=0,0,11630*1000*SER_hh_fec_in!V14/SER_hh_num_in!V14)</f>
        <v>34752.926151421649</v>
      </c>
      <c r="W14" s="65">
        <f>IF(SER_hh_fec_in!W14=0,0,11630*1000*SER_hh_fec_in!W14/SER_hh_num_in!W14)</f>
        <v>35254.018882746066</v>
      </c>
      <c r="X14" s="65">
        <f>IF(SER_hh_fec_in!X14=0,0,11630*1000*SER_hh_fec_in!X14/SER_hh_num_in!X14)</f>
        <v>47912.711127480536</v>
      </c>
      <c r="Y14" s="65">
        <f>IF(SER_hh_fec_in!Y14=0,0,11630*1000*SER_hh_fec_in!Y14/SER_hh_num_in!Y14)</f>
        <v>53431.562337477051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312.90442354305071</v>
      </c>
      <c r="D15" s="134">
        <f>IF(SER_hh_fec_in!D15=0,0,11630*1000*SER_hh_fec_in!D15/SER_hh_num_in!D15)</f>
        <v>338.82686399429485</v>
      </c>
      <c r="E15" s="134">
        <f>IF(SER_hh_fec_in!E15=0,0,11630*1000*SER_hh_fec_in!E15/SER_hh_num_in!E15)</f>
        <v>370.35759638670453</v>
      </c>
      <c r="F15" s="134">
        <f>IF(SER_hh_fec_in!F15=0,0,11630*1000*SER_hh_fec_in!F15/SER_hh_num_in!F15)</f>
        <v>491.21834642561839</v>
      </c>
      <c r="G15" s="134">
        <f>IF(SER_hh_fec_in!G15=0,0,11630*1000*SER_hh_fec_in!G15/SER_hh_num_in!G15)</f>
        <v>580.03643183817996</v>
      </c>
      <c r="H15" s="134">
        <f>IF(SER_hh_fec_in!H15=0,0,11630*1000*SER_hh_fec_in!H15/SER_hh_num_in!H15)</f>
        <v>552.80852875515029</v>
      </c>
      <c r="I15" s="134">
        <f>IF(SER_hh_fec_in!I15=0,0,11630*1000*SER_hh_fec_in!I15/SER_hh_num_in!I15)</f>
        <v>572.36708452095081</v>
      </c>
      <c r="J15" s="134">
        <f>IF(SER_hh_fec_in!J15=0,0,11630*1000*SER_hh_fec_in!J15/SER_hh_num_in!J15)</f>
        <v>541.24547352868876</v>
      </c>
      <c r="K15" s="134">
        <f>IF(SER_hh_fec_in!K15=0,0,11630*1000*SER_hh_fec_in!K15/SER_hh_num_in!K15)</f>
        <v>550.17821491118582</v>
      </c>
      <c r="L15" s="134">
        <f>IF(SER_hh_fec_in!L15=0,0,11630*1000*SER_hh_fec_in!L15/SER_hh_num_in!L15)</f>
        <v>410.42423889621506</v>
      </c>
      <c r="M15" s="134">
        <f>IF(SER_hh_fec_in!M15=0,0,11630*1000*SER_hh_fec_in!M15/SER_hh_num_in!M15)</f>
        <v>450.60300833151081</v>
      </c>
      <c r="N15" s="134">
        <f>IF(SER_hh_fec_in!N15=0,0,11630*1000*SER_hh_fec_in!N15/SER_hh_num_in!N15)</f>
        <v>370.8553424361798</v>
      </c>
      <c r="O15" s="134">
        <f>IF(SER_hh_fec_in!O15=0,0,11630*1000*SER_hh_fec_in!O15/SER_hh_num_in!O15)</f>
        <v>525.64637943299931</v>
      </c>
      <c r="P15" s="134">
        <f>IF(SER_hh_fec_in!P15=0,0,11630*1000*SER_hh_fec_in!P15/SER_hh_num_in!P15)</f>
        <v>170.10223615919281</v>
      </c>
      <c r="Q15" s="134">
        <f>IF(SER_hh_fec_in!Q15=0,0,11630*1000*SER_hh_fec_in!Q15/SER_hh_num_in!Q15)</f>
        <v>623.56421271868555</v>
      </c>
      <c r="R15" s="134">
        <f>IF(SER_hh_fec_in!R15=0,0,11630*1000*SER_hh_fec_in!R15/SER_hh_num_in!R15)</f>
        <v>604.26909072677961</v>
      </c>
      <c r="S15" s="134">
        <f>IF(SER_hh_fec_in!S15=0,0,11630*1000*SER_hh_fec_in!S15/SER_hh_num_in!S15)</f>
        <v>560.32024854997996</v>
      </c>
      <c r="T15" s="134">
        <f>IF(SER_hh_fec_in!T15=0,0,11630*1000*SER_hh_fec_in!T15/SER_hh_num_in!T15)</f>
        <v>575.34041504877246</v>
      </c>
      <c r="U15" s="134">
        <f>IF(SER_hh_fec_in!U15=0,0,11630*1000*SER_hh_fec_in!U15/SER_hh_num_in!U15)</f>
        <v>570.55699958941875</v>
      </c>
      <c r="V15" s="134">
        <f>IF(SER_hh_fec_in!V15=0,0,11630*1000*SER_hh_fec_in!V15/SER_hh_num_in!V15)</f>
        <v>400.4071554352571</v>
      </c>
      <c r="W15" s="134">
        <f>IF(SER_hh_fec_in!W15=0,0,11630*1000*SER_hh_fec_in!W15/SER_hh_num_in!W15)</f>
        <v>552.80596025340878</v>
      </c>
      <c r="X15" s="134">
        <f>IF(SER_hh_fec_in!X15=0,0,11630*1000*SER_hh_fec_in!X15/SER_hh_num_in!X15)</f>
        <v>566.75494585676984</v>
      </c>
      <c r="Y15" s="134">
        <f>IF(SER_hh_fec_in!Y15=0,0,11630*1000*SER_hh_fec_in!Y15/SER_hh_num_in!Y15)</f>
        <v>566.37844890440124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10104.868279658946</v>
      </c>
      <c r="D16" s="130">
        <f>IF(SER_hh_fec_in!D16=0,0,11630*1000*SER_hh_fec_in!D16/SER_hh_num_in!D16)</f>
        <v>8632.1165807267826</v>
      </c>
      <c r="E16" s="130">
        <f>IF(SER_hh_fec_in!E16=0,0,11630*1000*SER_hh_fec_in!E16/SER_hh_num_in!E16)</f>
        <v>11740.689620923082</v>
      </c>
      <c r="F16" s="130">
        <f>IF(SER_hh_fec_in!F16=0,0,11630*1000*SER_hh_fec_in!F16/SER_hh_num_in!F16)</f>
        <v>9413.4857691781672</v>
      </c>
      <c r="G16" s="130">
        <f>IF(SER_hh_fec_in!G16=0,0,11630*1000*SER_hh_fec_in!G16/SER_hh_num_in!G16)</f>
        <v>9925.447470085739</v>
      </c>
      <c r="H16" s="130">
        <f>IF(SER_hh_fec_in!H16=0,0,11630*1000*SER_hh_fec_in!H16/SER_hh_num_in!H16)</f>
        <v>11526.642988297617</v>
      </c>
      <c r="I16" s="130">
        <f>IF(SER_hh_fec_in!I16=0,0,11630*1000*SER_hh_fec_in!I16/SER_hh_num_in!I16)</f>
        <v>7216.2617161034568</v>
      </c>
      <c r="J16" s="130">
        <f>IF(SER_hh_fec_in!J16=0,0,11630*1000*SER_hh_fec_in!J16/SER_hh_num_in!J16)</f>
        <v>6745.9435772003399</v>
      </c>
      <c r="K16" s="130">
        <f>IF(SER_hh_fec_in!K16=0,0,11630*1000*SER_hh_fec_in!K16/SER_hh_num_in!K16)</f>
        <v>7929.087527722606</v>
      </c>
      <c r="L16" s="130">
        <f>IF(SER_hh_fec_in!L16=0,0,11630*1000*SER_hh_fec_in!L16/SER_hh_num_in!L16)</f>
        <v>10367.604769549422</v>
      </c>
      <c r="M16" s="130">
        <f>IF(SER_hh_fec_in!M16=0,0,11630*1000*SER_hh_fec_in!M16/SER_hh_num_in!M16)</f>
        <v>6547.7376402813297</v>
      </c>
      <c r="N16" s="130">
        <f>IF(SER_hh_fec_in!N16=0,0,11630*1000*SER_hh_fec_in!N16/SER_hh_num_in!N16)</f>
        <v>6517.958227312055</v>
      </c>
      <c r="O16" s="130">
        <f>IF(SER_hh_fec_in!O16=0,0,11630*1000*SER_hh_fec_in!O16/SER_hh_num_in!O16)</f>
        <v>8042.9640726707739</v>
      </c>
      <c r="P16" s="130">
        <f>IF(SER_hh_fec_in!P16=0,0,11630*1000*SER_hh_fec_in!P16/SER_hh_num_in!P16)</f>
        <v>5132.3293058914778</v>
      </c>
      <c r="Q16" s="130">
        <f>IF(SER_hh_fec_in!Q16=0,0,11630*1000*SER_hh_fec_in!Q16/SER_hh_num_in!Q16)</f>
        <v>5799.7959847483935</v>
      </c>
      <c r="R16" s="130">
        <f>IF(SER_hh_fec_in!R16=0,0,11630*1000*SER_hh_fec_in!R16/SER_hh_num_in!R16)</f>
        <v>8388.8118480382964</v>
      </c>
      <c r="S16" s="130">
        <f>IF(SER_hh_fec_in!S16=0,0,11630*1000*SER_hh_fec_in!S16/SER_hh_num_in!S16)</f>
        <v>7727.6811417016825</v>
      </c>
      <c r="T16" s="130">
        <f>IF(SER_hh_fec_in!T16=0,0,11630*1000*SER_hh_fec_in!T16/SER_hh_num_in!T16)</f>
        <v>6490.2240364238396</v>
      </c>
      <c r="U16" s="130">
        <f>IF(SER_hh_fec_in!U16=0,0,11630*1000*SER_hh_fec_in!U16/SER_hh_num_in!U16)</f>
        <v>5026.7302747908907</v>
      </c>
      <c r="V16" s="130">
        <f>IF(SER_hh_fec_in!V16=0,0,11630*1000*SER_hh_fec_in!V16/SER_hh_num_in!V16)</f>
        <v>6959.2137072749847</v>
      </c>
      <c r="W16" s="130">
        <f>IF(SER_hh_fec_in!W16=0,0,11630*1000*SER_hh_fec_in!W16/SER_hh_num_in!W16)</f>
        <v>4174.8768019072586</v>
      </c>
      <c r="X16" s="130">
        <f>IF(SER_hh_fec_in!X16=0,0,11630*1000*SER_hh_fec_in!X16/SER_hh_num_in!X16)</f>
        <v>7719.3299059592528</v>
      </c>
      <c r="Y16" s="130">
        <f>IF(SER_hh_fec_in!Y16=0,0,11630*1000*SER_hh_fec_in!Y16/SER_hh_num_in!Y16)</f>
        <v>6338.4670081223849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19643.442006184312</v>
      </c>
      <c r="D17" s="132">
        <f>IF(SER_hh_fec_in!D17=0,0,11630*1000*SER_hh_fec_in!D17/SER_hh_num_in!D17)</f>
        <v>17221.430105468</v>
      </c>
      <c r="E17" s="132">
        <f>IF(SER_hh_fec_in!E17=0,0,11630*1000*SER_hh_fec_in!E17/SER_hh_num_in!E17)</f>
        <v>24001.633034576957</v>
      </c>
      <c r="F17" s="132">
        <f>IF(SER_hh_fec_in!F17=0,0,11630*1000*SER_hh_fec_in!F17/SER_hh_num_in!F17)</f>
        <v>19671.449777104888</v>
      </c>
      <c r="G17" s="132">
        <f>IF(SER_hh_fec_in!G17=0,0,11630*1000*SER_hh_fec_in!G17/SER_hh_num_in!G17)</f>
        <v>21290.538578412696</v>
      </c>
      <c r="H17" s="132">
        <f>IF(SER_hh_fec_in!H17=0,0,11630*1000*SER_hh_fec_in!H17/SER_hh_num_in!H17)</f>
        <v>25294.837968315172</v>
      </c>
      <c r="I17" s="132">
        <f>IF(SER_hh_fec_in!I17=0,0,11630*1000*SER_hh_fec_in!I17/SER_hh_num_in!I17)</f>
        <v>16152.727257902812</v>
      </c>
      <c r="J17" s="132">
        <f>IF(SER_hh_fec_in!J17=0,0,11630*1000*SER_hh_fec_in!J17/SER_hh_num_in!J17)</f>
        <v>15434.729776650256</v>
      </c>
      <c r="K17" s="132">
        <f>IF(SER_hh_fec_in!K17=0,0,11630*1000*SER_hh_fec_in!K17/SER_hh_num_in!K17)</f>
        <v>18431.290150410961</v>
      </c>
      <c r="L17" s="132">
        <f>IF(SER_hh_fec_in!L17=0,0,11630*1000*SER_hh_fec_in!L17/SER_hh_num_in!L17)</f>
        <v>24787.927394322538</v>
      </c>
      <c r="M17" s="132">
        <f>IF(SER_hh_fec_in!M17=0,0,11630*1000*SER_hh_fec_in!M17/SER_hh_num_in!M17)</f>
        <v>15925.020543839821</v>
      </c>
      <c r="N17" s="132">
        <f>IF(SER_hh_fec_in!N17=0,0,11630*1000*SER_hh_fec_in!N17/SER_hh_num_in!N17)</f>
        <v>16304.753693939301</v>
      </c>
      <c r="O17" s="132">
        <f>IF(SER_hh_fec_in!O17=0,0,11630*1000*SER_hh_fec_in!O17/SER_hh_num_in!O17)</f>
        <v>20565.02849555928</v>
      </c>
      <c r="P17" s="132">
        <f>IF(SER_hh_fec_in!P17=0,0,11630*1000*SER_hh_fec_in!P17/SER_hh_num_in!P17)</f>
        <v>13484.956317992543</v>
      </c>
      <c r="Q17" s="132">
        <f>IF(SER_hh_fec_in!Q17=0,0,11630*1000*SER_hh_fec_in!Q17/SER_hh_num_in!Q17)</f>
        <v>15476.60928411108</v>
      </c>
      <c r="R17" s="132">
        <f>IF(SER_hh_fec_in!R17=0,0,11630*1000*SER_hh_fec_in!R17/SER_hh_num_in!R17)</f>
        <v>22558.182361331365</v>
      </c>
      <c r="S17" s="132">
        <f>IF(SER_hh_fec_in!S17=0,0,11630*1000*SER_hh_fec_in!S17/SER_hh_num_in!S17)</f>
        <v>20777.455562396361</v>
      </c>
      <c r="T17" s="132">
        <f>IF(SER_hh_fec_in!T17=0,0,11630*1000*SER_hh_fec_in!T17/SER_hh_num_in!T17)</f>
        <v>17068.829050587654</v>
      </c>
      <c r="U17" s="132">
        <f>IF(SER_hh_fec_in!U17=0,0,11630*1000*SER_hh_fec_in!U17/SER_hh_num_in!U17)</f>
        <v>13108.219956384411</v>
      </c>
      <c r="V17" s="132">
        <f>IF(SER_hh_fec_in!V17=0,0,11630*1000*SER_hh_fec_in!V17/SER_hh_num_in!V17)</f>
        <v>17467.802474628603</v>
      </c>
      <c r="W17" s="132">
        <f>IF(SER_hh_fec_in!W17=0,0,11630*1000*SER_hh_fec_in!W17/SER_hh_num_in!W17)</f>
        <v>10962.546435004573</v>
      </c>
      <c r="X17" s="132">
        <f>IF(SER_hh_fec_in!X17=0,0,11630*1000*SER_hh_fec_in!X17/SER_hh_num_in!X17)</f>
        <v>20115.788539454297</v>
      </c>
      <c r="Y17" s="132">
        <f>IF(SER_hh_fec_in!Y17=0,0,11630*1000*SER_hh_fec_in!Y17/SER_hh_num_in!Y17)</f>
        <v>16507.504053521927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10084.412593658961</v>
      </c>
      <c r="D18" s="132">
        <f>IF(SER_hh_fec_in!D18=0,0,11630*1000*SER_hh_fec_in!D18/SER_hh_num_in!D18)</f>
        <v>8623.1040250746755</v>
      </c>
      <c r="E18" s="132">
        <f>IF(SER_hh_fec_in!E18=0,0,11630*1000*SER_hh_fec_in!E18/SER_hh_num_in!E18)</f>
        <v>11727.894714922295</v>
      </c>
      <c r="F18" s="132">
        <f>IF(SER_hh_fec_in!F18=0,0,11630*1000*SER_hh_fec_in!F18/SER_hh_num_in!F18)</f>
        <v>9363.9497773030325</v>
      </c>
      <c r="G18" s="132">
        <f>IF(SER_hh_fec_in!G18=0,0,11630*1000*SER_hh_fec_in!G18/SER_hh_num_in!G18)</f>
        <v>9897.3836712701632</v>
      </c>
      <c r="H18" s="132">
        <f>IF(SER_hh_fec_in!H18=0,0,11630*1000*SER_hh_fec_in!H18/SER_hh_num_in!H18)</f>
        <v>11487.39789277248</v>
      </c>
      <c r="I18" s="132">
        <f>IF(SER_hh_fec_in!I18=0,0,11630*1000*SER_hh_fec_in!I18/SER_hh_num_in!I18)</f>
        <v>7167.2613165798521</v>
      </c>
      <c r="J18" s="132">
        <f>IF(SER_hh_fec_in!J18=0,0,11630*1000*SER_hh_fec_in!J18/SER_hh_num_in!J18)</f>
        <v>6703.6798303399446</v>
      </c>
      <c r="K18" s="132">
        <f>IF(SER_hh_fec_in!K18=0,0,11630*1000*SER_hh_fec_in!K18/SER_hh_num_in!K18)</f>
        <v>7832.6970565079391</v>
      </c>
      <c r="L18" s="132">
        <f>IF(SER_hh_fec_in!L18=0,0,11630*1000*SER_hh_fec_in!L18/SER_hh_num_in!L18)</f>
        <v>10314.883608636637</v>
      </c>
      <c r="M18" s="132">
        <f>IF(SER_hh_fec_in!M18=0,0,11630*1000*SER_hh_fec_in!M18/SER_hh_num_in!M18)</f>
        <v>6476.8373917038261</v>
      </c>
      <c r="N18" s="132">
        <f>IF(SER_hh_fec_in!N18=0,0,11630*1000*SER_hh_fec_in!N18/SER_hh_num_in!N18)</f>
        <v>6465.9967420460798</v>
      </c>
      <c r="O18" s="132">
        <f>IF(SER_hh_fec_in!O18=0,0,11630*1000*SER_hh_fec_in!O18/SER_hh_num_in!O18)</f>
        <v>7924.0469262410961</v>
      </c>
      <c r="P18" s="132">
        <f>IF(SER_hh_fec_in!P18=0,0,11630*1000*SER_hh_fec_in!P18/SER_hh_num_in!P18)</f>
        <v>5050.551522415567</v>
      </c>
      <c r="Q18" s="132">
        <f>IF(SER_hh_fec_in!Q18=0,0,11630*1000*SER_hh_fec_in!Q18/SER_hh_num_in!Q18)</f>
        <v>5675.2135743895369</v>
      </c>
      <c r="R18" s="132">
        <f>IF(SER_hh_fec_in!R18=0,0,11630*1000*SER_hh_fec_in!R18/SER_hh_num_in!R18)</f>
        <v>8151.8171859881468</v>
      </c>
      <c r="S18" s="132">
        <f>IF(SER_hh_fec_in!S18=0,0,11630*1000*SER_hh_fec_in!S18/SER_hh_num_in!S18)</f>
        <v>7544.5802320400217</v>
      </c>
      <c r="T18" s="132">
        <f>IF(SER_hh_fec_in!T18=0,0,11630*1000*SER_hh_fec_in!T18/SER_hh_num_in!T18)</f>
        <v>6324.3068035117867</v>
      </c>
      <c r="U18" s="132">
        <f>IF(SER_hh_fec_in!U18=0,0,11630*1000*SER_hh_fec_in!U18/SER_hh_num_in!U18)</f>
        <v>4869.5479954924676</v>
      </c>
      <c r="V18" s="132">
        <f>IF(SER_hh_fec_in!V18=0,0,11630*1000*SER_hh_fec_in!V18/SER_hh_num_in!V18)</f>
        <v>6829.5835543398662</v>
      </c>
      <c r="W18" s="132">
        <f>IF(SER_hh_fec_in!W18=0,0,11630*1000*SER_hh_fec_in!W18/SER_hh_num_in!W18)</f>
        <v>4102.046505135504</v>
      </c>
      <c r="X18" s="132">
        <f>IF(SER_hh_fec_in!X18=0,0,11630*1000*SER_hh_fec_in!X18/SER_hh_num_in!X18)</f>
        <v>7543.1631232951568</v>
      </c>
      <c r="Y18" s="132">
        <f>IF(SER_hh_fec_in!Y18=0,0,11630*1000*SER_hh_fec_in!Y18/SER_hh_num_in!Y18)</f>
        <v>6180.6068414917045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12580.503966752167</v>
      </c>
      <c r="D19" s="130">
        <f>IF(SER_hh_fec_in!D19=0,0,11630*1000*SER_hh_fec_in!D19/SER_hh_num_in!D19)</f>
        <v>12291.11193214736</v>
      </c>
      <c r="E19" s="130">
        <f>IF(SER_hh_fec_in!E19=0,0,11630*1000*SER_hh_fec_in!E19/SER_hh_num_in!E19)</f>
        <v>12689.230104083646</v>
      </c>
      <c r="F19" s="130">
        <f>IF(SER_hh_fec_in!F19=0,0,11630*1000*SER_hh_fec_in!F19/SER_hh_num_in!F19)</f>
        <v>12683.716946205695</v>
      </c>
      <c r="G19" s="130">
        <f>IF(SER_hh_fec_in!G19=0,0,11630*1000*SER_hh_fec_in!G19/SER_hh_num_in!G19)</f>
        <v>11780.208659952799</v>
      </c>
      <c r="H19" s="130">
        <f>IF(SER_hh_fec_in!H19=0,0,11630*1000*SER_hh_fec_in!H19/SER_hh_num_in!H19)</f>
        <v>12882.280650268505</v>
      </c>
      <c r="I19" s="130">
        <f>IF(SER_hh_fec_in!I19=0,0,11630*1000*SER_hh_fec_in!I19/SER_hh_num_in!I19)</f>
        <v>12227.004677821871</v>
      </c>
      <c r="J19" s="130">
        <f>IF(SER_hh_fec_in!J19=0,0,11630*1000*SER_hh_fec_in!J19/SER_hh_num_in!J19)</f>
        <v>11091.106154140092</v>
      </c>
      <c r="K19" s="130">
        <f>IF(SER_hh_fec_in!K19=0,0,11630*1000*SER_hh_fec_in!K19/SER_hh_num_in!K19)</f>
        <v>11564.089174266272</v>
      </c>
      <c r="L19" s="130">
        <f>IF(SER_hh_fec_in!L19=0,0,11630*1000*SER_hh_fec_in!L19/SER_hh_num_in!L19)</f>
        <v>11302.295457032646</v>
      </c>
      <c r="M19" s="130">
        <f>IF(SER_hh_fec_in!M19=0,0,11630*1000*SER_hh_fec_in!M19/SER_hh_num_in!M19)</f>
        <v>11795.531855393398</v>
      </c>
      <c r="N19" s="130">
        <f>IF(SER_hh_fec_in!N19=0,0,11630*1000*SER_hh_fec_in!N19/SER_hh_num_in!N19)</f>
        <v>11912.188719382873</v>
      </c>
      <c r="O19" s="130">
        <f>IF(SER_hh_fec_in!O19=0,0,11630*1000*SER_hh_fec_in!O19/SER_hh_num_in!O19)</f>
        <v>11859.954912203362</v>
      </c>
      <c r="P19" s="130">
        <f>IF(SER_hh_fec_in!P19=0,0,11630*1000*SER_hh_fec_in!P19/SER_hh_num_in!P19)</f>
        <v>10980.767778009527</v>
      </c>
      <c r="Q19" s="130">
        <f>IF(SER_hh_fec_in!Q19=0,0,11630*1000*SER_hh_fec_in!Q19/SER_hh_num_in!Q19)</f>
        <v>10947.859127527321</v>
      </c>
      <c r="R19" s="130">
        <f>IF(SER_hh_fec_in!R19=0,0,11630*1000*SER_hh_fec_in!R19/SER_hh_num_in!R19)</f>
        <v>10940.121934611045</v>
      </c>
      <c r="S19" s="130">
        <f>IF(SER_hh_fec_in!S19=0,0,11630*1000*SER_hh_fec_in!S19/SER_hh_num_in!S19)</f>
        <v>10885.416362693459</v>
      </c>
      <c r="T19" s="130">
        <f>IF(SER_hh_fec_in!T19=0,0,11630*1000*SER_hh_fec_in!T19/SER_hh_num_in!T19)</f>
        <v>11034.598404015267</v>
      </c>
      <c r="U19" s="130">
        <f>IF(SER_hh_fec_in!U19=0,0,11630*1000*SER_hh_fec_in!U19/SER_hh_num_in!U19)</f>
        <v>10868.861808989554</v>
      </c>
      <c r="V19" s="130">
        <f>IF(SER_hh_fec_in!V19=0,0,11630*1000*SER_hh_fec_in!V19/SER_hh_num_in!V19)</f>
        <v>9520.852784523122</v>
      </c>
      <c r="W19" s="130">
        <f>IF(SER_hh_fec_in!W19=0,0,11630*1000*SER_hh_fec_in!W19/SER_hh_num_in!W19)</f>
        <v>10240.060576601425</v>
      </c>
      <c r="X19" s="130">
        <f>IF(SER_hh_fec_in!X19=0,0,11630*1000*SER_hh_fec_in!X19/SER_hh_num_in!X19)</f>
        <v>9914.3962656071781</v>
      </c>
      <c r="Y19" s="130">
        <f>IF(SER_hh_fec_in!Y19=0,0,11630*1000*SER_hh_fec_in!Y19/SER_hh_num_in!Y19)</f>
        <v>10253.315614415304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15414.853324615644</v>
      </c>
      <c r="D21" s="132">
        <f>IF(SER_hh_fec_in!D21=0,0,11630*1000*SER_hh_fec_in!D21/SER_hh_num_in!D21)</f>
        <v>15493.348760066763</v>
      </c>
      <c r="E21" s="132">
        <f>IF(SER_hh_fec_in!E21=0,0,11630*1000*SER_hh_fec_in!E21/SER_hh_num_in!E21)</f>
        <v>15503.868042129518</v>
      </c>
      <c r="F21" s="132">
        <f>IF(SER_hh_fec_in!F21=0,0,11630*1000*SER_hh_fec_in!F21/SER_hh_num_in!F21)</f>
        <v>15457.898357325173</v>
      </c>
      <c r="G21" s="132">
        <f>IF(SER_hh_fec_in!G21=0,0,11630*1000*SER_hh_fec_in!G21/SER_hh_num_in!G21)</f>
        <v>14364.043490640697</v>
      </c>
      <c r="H21" s="132">
        <f>IF(SER_hh_fec_in!H21=0,0,11630*1000*SER_hh_fec_in!H21/SER_hh_num_in!H21)</f>
        <v>14757.900616606788</v>
      </c>
      <c r="I21" s="132">
        <f>IF(SER_hh_fec_in!I21=0,0,11630*1000*SER_hh_fec_in!I21/SER_hh_num_in!I21)</f>
        <v>14548.984673022396</v>
      </c>
      <c r="J21" s="132">
        <f>IF(SER_hh_fec_in!J21=0,0,11630*1000*SER_hh_fec_in!J21/SER_hh_num_in!J21)</f>
        <v>11784.359947362133</v>
      </c>
      <c r="K21" s="132">
        <f>IF(SER_hh_fec_in!K21=0,0,11630*1000*SER_hh_fec_in!K21/SER_hh_num_in!K21)</f>
        <v>14012.283020988622</v>
      </c>
      <c r="L21" s="132">
        <f>IF(SER_hh_fec_in!L21=0,0,11630*1000*SER_hh_fec_in!L21/SER_hh_num_in!L21)</f>
        <v>11954.062685841718</v>
      </c>
      <c r="M21" s="132">
        <f>IF(SER_hh_fec_in!M21=0,0,11630*1000*SER_hh_fec_in!M21/SER_hh_num_in!M21)</f>
        <v>13912.699152028568</v>
      </c>
      <c r="N21" s="132">
        <f>IF(SER_hh_fec_in!N21=0,0,11630*1000*SER_hh_fec_in!N21/SER_hh_num_in!N21)</f>
        <v>13672.282184162246</v>
      </c>
      <c r="O21" s="132">
        <f>IF(SER_hh_fec_in!O21=0,0,11630*1000*SER_hh_fec_in!O21/SER_hh_num_in!O21)</f>
        <v>14028.733440961953</v>
      </c>
      <c r="P21" s="132">
        <f>IF(SER_hh_fec_in!P21=0,0,11630*1000*SER_hh_fec_in!P21/SER_hh_num_in!P21)</f>
        <v>12916.979610739163</v>
      </c>
      <c r="Q21" s="132">
        <f>IF(SER_hh_fec_in!Q21=0,0,11630*1000*SER_hh_fec_in!Q21/SER_hh_num_in!Q21)</f>
        <v>12747.775579735124</v>
      </c>
      <c r="R21" s="132">
        <f>IF(SER_hh_fec_in!R21=0,0,11630*1000*SER_hh_fec_in!R21/SER_hh_num_in!R21)</f>
        <v>12206.492179479836</v>
      </c>
      <c r="S21" s="132">
        <f>IF(SER_hh_fec_in!S21=0,0,11630*1000*SER_hh_fec_in!S21/SER_hh_num_in!S21)</f>
        <v>11760.095821481249</v>
      </c>
      <c r="T21" s="132">
        <f>IF(SER_hh_fec_in!T21=0,0,11630*1000*SER_hh_fec_in!T21/SER_hh_num_in!T21)</f>
        <v>11577.953700938388</v>
      </c>
      <c r="U21" s="132">
        <f>IF(SER_hh_fec_in!U21=0,0,11630*1000*SER_hh_fec_in!U21/SER_hh_num_in!U21)</f>
        <v>10924.690738252646</v>
      </c>
      <c r="V21" s="132">
        <f>IF(SER_hh_fec_in!V21=0,0,11630*1000*SER_hh_fec_in!V21/SER_hh_num_in!V21)</f>
        <v>8155.4007499009213</v>
      </c>
      <c r="W21" s="132">
        <f>IF(SER_hh_fec_in!W21=0,0,11630*1000*SER_hh_fec_in!W21/SER_hh_num_in!W21)</f>
        <v>10534.568250276065</v>
      </c>
      <c r="X21" s="132">
        <f>IF(SER_hh_fec_in!X21=0,0,11630*1000*SER_hh_fec_in!X21/SER_hh_num_in!X21)</f>
        <v>8797.3099784527185</v>
      </c>
      <c r="Y21" s="132">
        <f>IF(SER_hh_fec_in!Y21=0,0,11630*1000*SER_hh_fec_in!Y21/SER_hh_num_in!Y21)</f>
        <v>11071.546845693583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16583.243161508559</v>
      </c>
      <c r="D22" s="132">
        <f>IF(SER_hh_fec_in!D22=0,0,11630*1000*SER_hh_fec_in!D22/SER_hh_num_in!D22)</f>
        <v>16451.469545314514</v>
      </c>
      <c r="E22" s="132">
        <f>IF(SER_hh_fec_in!E22=0,0,11630*1000*SER_hh_fec_in!E22/SER_hh_num_in!E22)</f>
        <v>16537.7090592481</v>
      </c>
      <c r="F22" s="132">
        <f>IF(SER_hh_fec_in!F22=0,0,11630*1000*SER_hh_fec_in!F22/SER_hh_num_in!F22)</f>
        <v>16475.774111722087</v>
      </c>
      <c r="G22" s="132">
        <f>IF(SER_hh_fec_in!G22=0,0,11630*1000*SER_hh_fec_in!G22/SER_hh_num_in!G22)</f>
        <v>15245.579612237148</v>
      </c>
      <c r="H22" s="132">
        <f>IF(SER_hh_fec_in!H22=0,0,11630*1000*SER_hh_fec_in!H22/SER_hh_num_in!H22)</f>
        <v>15645.758158930517</v>
      </c>
      <c r="I22" s="132">
        <f>IF(SER_hh_fec_in!I22=0,0,11630*1000*SER_hh_fec_in!I22/SER_hh_num_in!I22)</f>
        <v>15352.614041028377</v>
      </c>
      <c r="J22" s="132">
        <f>IF(SER_hh_fec_in!J22=0,0,11630*1000*SER_hh_fec_in!J22/SER_hh_num_in!J22)</f>
        <v>12055.219570736301</v>
      </c>
      <c r="K22" s="132">
        <f>IF(SER_hh_fec_in!K22=0,0,11630*1000*SER_hh_fec_in!K22/SER_hh_num_in!K22)</f>
        <v>14325.099191100668</v>
      </c>
      <c r="L22" s="132">
        <f>IF(SER_hh_fec_in!L22=0,0,11630*1000*SER_hh_fec_in!L22/SER_hh_num_in!L22)</f>
        <v>12589.876539993253</v>
      </c>
      <c r="M22" s="132">
        <f>IF(SER_hh_fec_in!M22=0,0,11630*1000*SER_hh_fec_in!M22/SER_hh_num_in!M22)</f>
        <v>14701.243873691688</v>
      </c>
      <c r="N22" s="132">
        <f>IF(SER_hh_fec_in!N22=0,0,11630*1000*SER_hh_fec_in!N22/SER_hh_num_in!N22)</f>
        <v>14390.737097631161</v>
      </c>
      <c r="O22" s="132">
        <f>IF(SER_hh_fec_in!O22=0,0,11630*1000*SER_hh_fec_in!O22/SER_hh_num_in!O22)</f>
        <v>14958.334943437772</v>
      </c>
      <c r="P22" s="132">
        <f>IF(SER_hh_fec_in!P22=0,0,11630*1000*SER_hh_fec_in!P22/SER_hh_num_in!P22)</f>
        <v>13601.046436309252</v>
      </c>
      <c r="Q22" s="132">
        <f>IF(SER_hh_fec_in!Q22=0,0,11630*1000*SER_hh_fec_in!Q22/SER_hh_num_in!Q22)</f>
        <v>13255.085004091601</v>
      </c>
      <c r="R22" s="132">
        <f>IF(SER_hh_fec_in!R22=0,0,11630*1000*SER_hh_fec_in!R22/SER_hh_num_in!R22)</f>
        <v>12446.811387017846</v>
      </c>
      <c r="S22" s="132">
        <f>IF(SER_hh_fec_in!S22=0,0,11630*1000*SER_hh_fec_in!S22/SER_hh_num_in!S22)</f>
        <v>12140.137577934089</v>
      </c>
      <c r="T22" s="132">
        <f>IF(SER_hh_fec_in!T22=0,0,11630*1000*SER_hh_fec_in!T22/SER_hh_num_in!T22)</f>
        <v>12075.155943657908</v>
      </c>
      <c r="U22" s="132">
        <f>IF(SER_hh_fec_in!U22=0,0,11630*1000*SER_hh_fec_in!U22/SER_hh_num_in!U22)</f>
        <v>11128.112695200009</v>
      </c>
      <c r="V22" s="132">
        <f>IF(SER_hh_fec_in!V22=0,0,11630*1000*SER_hh_fec_in!V22/SER_hh_num_in!V22)</f>
        <v>7988.1937062260531</v>
      </c>
      <c r="W22" s="132">
        <f>IF(SER_hh_fec_in!W22=0,0,11630*1000*SER_hh_fec_in!W22/SER_hh_num_in!W22)</f>
        <v>11351.360255176738</v>
      </c>
      <c r="X22" s="132">
        <f>IF(SER_hh_fec_in!X22=0,0,11630*1000*SER_hh_fec_in!X22/SER_hh_num_in!X22)</f>
        <v>9077.3452217678514</v>
      </c>
      <c r="Y22" s="132">
        <f>IF(SER_hh_fec_in!Y22=0,0,11630*1000*SER_hh_fec_in!Y22/SER_hh_num_in!Y22)</f>
        <v>11605.511827552315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14973.108158685822</v>
      </c>
      <c r="D23" s="132">
        <f>IF(SER_hh_fec_in!D23=0,0,11630*1000*SER_hh_fec_in!D23/SER_hh_num_in!D23)</f>
        <v>14949.223599308341</v>
      </c>
      <c r="E23" s="132">
        <f>IF(SER_hh_fec_in!E23=0,0,11630*1000*SER_hh_fec_in!E23/SER_hh_num_in!E23)</f>
        <v>14517.638954353435</v>
      </c>
      <c r="F23" s="132">
        <f>IF(SER_hh_fec_in!F23=0,0,11630*1000*SER_hh_fec_in!F23/SER_hh_num_in!F23)</f>
        <v>14353.362915143465</v>
      </c>
      <c r="G23" s="132">
        <f>IF(SER_hh_fec_in!G23=0,0,11630*1000*SER_hh_fec_in!G23/SER_hh_num_in!G23)</f>
        <v>13810.738808253593</v>
      </c>
      <c r="H23" s="132">
        <f>IF(SER_hh_fec_in!H23=0,0,11630*1000*SER_hh_fec_in!H23/SER_hh_num_in!H23)</f>
        <v>13961.369944820583</v>
      </c>
      <c r="I23" s="132">
        <f>IF(SER_hh_fec_in!I23=0,0,11630*1000*SER_hh_fec_in!I23/SER_hh_num_in!I23)</f>
        <v>13941.019961834645</v>
      </c>
      <c r="J23" s="132">
        <f>IF(SER_hh_fec_in!J23=0,0,11630*1000*SER_hh_fec_in!J23/SER_hh_num_in!J23)</f>
        <v>11654.060200712243</v>
      </c>
      <c r="K23" s="132">
        <f>IF(SER_hh_fec_in!K23=0,0,11630*1000*SER_hh_fec_in!K23/SER_hh_num_in!K23)</f>
        <v>12941.003757241368</v>
      </c>
      <c r="L23" s="132">
        <f>IF(SER_hh_fec_in!L23=0,0,11630*1000*SER_hh_fec_in!L23/SER_hh_num_in!L23)</f>
        <v>11538.463597308715</v>
      </c>
      <c r="M23" s="132">
        <f>IF(SER_hh_fec_in!M23=0,0,11630*1000*SER_hh_fec_in!M23/SER_hh_num_in!M23)</f>
        <v>13186.72553284252</v>
      </c>
      <c r="N23" s="132">
        <f>IF(SER_hh_fec_in!N23=0,0,11630*1000*SER_hh_fec_in!N23/SER_hh_num_in!N23)</f>
        <v>12996.000662556982</v>
      </c>
      <c r="O23" s="132">
        <f>IF(SER_hh_fec_in!O23=0,0,11630*1000*SER_hh_fec_in!O23/SER_hh_num_in!O23)</f>
        <v>13460.466317848808</v>
      </c>
      <c r="P23" s="132">
        <f>IF(SER_hh_fec_in!P23=0,0,11630*1000*SER_hh_fec_in!P23/SER_hh_num_in!P23)</f>
        <v>12259.430656543431</v>
      </c>
      <c r="Q23" s="132">
        <f>IF(SER_hh_fec_in!Q23=0,0,11630*1000*SER_hh_fec_in!Q23/SER_hh_num_in!Q23)</f>
        <v>12034.992668201803</v>
      </c>
      <c r="R23" s="132">
        <f>IF(SER_hh_fec_in!R23=0,0,11630*1000*SER_hh_fec_in!R23/SER_hh_num_in!R23)</f>
        <v>11792.59878208655</v>
      </c>
      <c r="S23" s="132">
        <f>IF(SER_hh_fec_in!S23=0,0,11630*1000*SER_hh_fec_in!S23/SER_hh_num_in!S23)</f>
        <v>11661.941133113529</v>
      </c>
      <c r="T23" s="132">
        <f>IF(SER_hh_fec_in!T23=0,0,11630*1000*SER_hh_fec_in!T23/SER_hh_num_in!T23)</f>
        <v>11760.395613705979</v>
      </c>
      <c r="U23" s="132">
        <f>IF(SER_hh_fec_in!U23=0,0,11630*1000*SER_hh_fec_in!U23/SER_hh_num_in!U23)</f>
        <v>11177.295387488002</v>
      </c>
      <c r="V23" s="132">
        <f>IF(SER_hh_fec_in!V23=0,0,11630*1000*SER_hh_fec_in!V23/SER_hh_num_in!V23)</f>
        <v>7184.7866239516679</v>
      </c>
      <c r="W23" s="132">
        <f>IF(SER_hh_fec_in!W23=0,0,11630*1000*SER_hh_fec_in!W23/SER_hh_num_in!W23)</f>
        <v>10855.542823270827</v>
      </c>
      <c r="X23" s="132">
        <f>IF(SER_hh_fec_in!X23=0,0,11630*1000*SER_hh_fec_in!X23/SER_hh_num_in!X23)</f>
        <v>8493.8191181671828</v>
      </c>
      <c r="Y23" s="132">
        <f>IF(SER_hh_fec_in!Y23=0,0,11630*1000*SER_hh_fec_in!Y23/SER_hh_num_in!Y23)</f>
        <v>11396.860593152052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10785.566727021489</v>
      </c>
      <c r="D25" s="132">
        <f>IF(SER_hh_fec_in!D25=0,0,11630*1000*SER_hh_fec_in!D25/SER_hh_num_in!D25)</f>
        <v>11193.354839680927</v>
      </c>
      <c r="E25" s="132">
        <f>IF(SER_hh_fec_in!E25=0,0,11630*1000*SER_hh_fec_in!E25/SER_hh_num_in!E25)</f>
        <v>11337.440526042614</v>
      </c>
      <c r="F25" s="132">
        <f>IF(SER_hh_fec_in!F25=0,0,11630*1000*SER_hh_fec_in!F25/SER_hh_num_in!F25)</f>
        <v>11584.714080434902</v>
      </c>
      <c r="G25" s="132">
        <f>IF(SER_hh_fec_in!G25=0,0,11630*1000*SER_hh_fec_in!G25/SER_hh_num_in!G25)</f>
        <v>0</v>
      </c>
      <c r="H25" s="132">
        <f>IF(SER_hh_fec_in!H25=0,0,11630*1000*SER_hh_fec_in!H25/SER_hh_num_in!H25)</f>
        <v>0</v>
      </c>
      <c r="I25" s="132">
        <f>IF(SER_hh_fec_in!I25=0,0,11630*1000*SER_hh_fec_in!I25/SER_hh_num_in!I25)</f>
        <v>2331.5404680985916</v>
      </c>
      <c r="J25" s="132">
        <f>IF(SER_hh_fec_in!J25=0,0,11630*1000*SER_hh_fec_in!J25/SER_hh_num_in!J25)</f>
        <v>0</v>
      </c>
      <c r="K25" s="132">
        <f>IF(SER_hh_fec_in!K25=0,0,11630*1000*SER_hh_fec_in!K25/SER_hh_num_in!K25)</f>
        <v>0</v>
      </c>
      <c r="L25" s="132">
        <f>IF(SER_hh_fec_in!L25=0,0,11630*1000*SER_hh_fec_in!L25/SER_hh_num_in!L25)</f>
        <v>2274.9949435013573</v>
      </c>
      <c r="M25" s="132">
        <f>IF(SER_hh_fec_in!M25=0,0,11630*1000*SER_hh_fec_in!M25/SER_hh_num_in!M25)</f>
        <v>8819.094948293472</v>
      </c>
      <c r="N25" s="132">
        <f>IF(SER_hh_fec_in!N25=0,0,11630*1000*SER_hh_fec_in!N25/SER_hh_num_in!N25)</f>
        <v>10394.121235961125</v>
      </c>
      <c r="O25" s="132">
        <f>IF(SER_hh_fec_in!O25=0,0,11630*1000*SER_hh_fec_in!O25/SER_hh_num_in!O25)</f>
        <v>11888.548704656507</v>
      </c>
      <c r="P25" s="132">
        <f>IF(SER_hh_fec_in!P25=0,0,11630*1000*SER_hh_fec_in!P25/SER_hh_num_in!P25)</f>
        <v>10878.337953090586</v>
      </c>
      <c r="Q25" s="132">
        <f>IF(SER_hh_fec_in!Q25=0,0,11630*1000*SER_hh_fec_in!Q25/SER_hh_num_in!Q25)</f>
        <v>11290.928380234838</v>
      </c>
      <c r="R25" s="132">
        <f>IF(SER_hh_fec_in!R25=0,0,11630*1000*SER_hh_fec_in!R25/SER_hh_num_in!R25)</f>
        <v>10554.065840762692</v>
      </c>
      <c r="S25" s="132">
        <f>IF(SER_hh_fec_in!S25=0,0,11630*1000*SER_hh_fec_in!S25/SER_hh_num_in!S25)</f>
        <v>11122.301154869023</v>
      </c>
      <c r="T25" s="132">
        <f>IF(SER_hh_fec_in!T25=0,0,11630*1000*SER_hh_fec_in!T25/SER_hh_num_in!T25)</f>
        <v>0</v>
      </c>
      <c r="U25" s="132">
        <f>IF(SER_hh_fec_in!U25=0,0,11630*1000*SER_hh_fec_in!U25/SER_hh_num_in!U25)</f>
        <v>0</v>
      </c>
      <c r="V25" s="132">
        <f>IF(SER_hh_fec_in!V25=0,0,11630*1000*SER_hh_fec_in!V25/SER_hh_num_in!V25)</f>
        <v>0</v>
      </c>
      <c r="W25" s="132">
        <f>IF(SER_hh_fec_in!W25=0,0,11630*1000*SER_hh_fec_in!W25/SER_hh_num_in!W25)</f>
        <v>0</v>
      </c>
      <c r="X25" s="132">
        <f>IF(SER_hh_fec_in!X25=0,0,11630*1000*SER_hh_fec_in!X25/SER_hh_num_in!X25)</f>
        <v>0</v>
      </c>
      <c r="Y25" s="132">
        <f>IF(SER_hh_fec_in!Y25=0,0,11630*1000*SER_hh_fec_in!Y25/SER_hh_num_in!Y25)</f>
        <v>0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10167.030259582689</v>
      </c>
      <c r="D26" s="65">
        <f>IF(SER_hh_fec_in!D26=0,0,11630*1000*SER_hh_fec_in!D26/SER_hh_num_in!D26)</f>
        <v>8609.8376012465797</v>
      </c>
      <c r="E26" s="65">
        <f>IF(SER_hh_fec_in!E26=0,0,11630*1000*SER_hh_fec_in!E26/SER_hh_num_in!E26)</f>
        <v>9414.2853918595538</v>
      </c>
      <c r="F26" s="65">
        <f>IF(SER_hh_fec_in!F26=0,0,11630*1000*SER_hh_fec_in!F26/SER_hh_num_in!F26)</f>
        <v>8635.6003666784345</v>
      </c>
      <c r="G26" s="65">
        <f>IF(SER_hh_fec_in!G26=0,0,11630*1000*SER_hh_fec_in!G26/SER_hh_num_in!G26)</f>
        <v>4298.9427449623672</v>
      </c>
      <c r="H26" s="65">
        <f>IF(SER_hh_fec_in!H26=0,0,11630*1000*SER_hh_fec_in!H26/SER_hh_num_in!H26)</f>
        <v>9033.0913166180235</v>
      </c>
      <c r="I26" s="65">
        <f>IF(SER_hh_fec_in!I26=0,0,11630*1000*SER_hh_fec_in!I26/SER_hh_num_in!I26)</f>
        <v>5783.7995625358753</v>
      </c>
      <c r="J26" s="65">
        <f>IF(SER_hh_fec_in!J26=0,0,11630*1000*SER_hh_fec_in!J26/SER_hh_num_in!J26)</f>
        <v>2213.1074076213417</v>
      </c>
      <c r="K26" s="65">
        <f>IF(SER_hh_fec_in!K26=0,0,11630*1000*SER_hh_fec_in!K26/SER_hh_num_in!K26)</f>
        <v>2332.0966982683253</v>
      </c>
      <c r="L26" s="65">
        <f>IF(SER_hh_fec_in!L26=0,0,11630*1000*SER_hh_fec_in!L26/SER_hh_num_in!L26)</f>
        <v>1196.403286090301</v>
      </c>
      <c r="M26" s="65">
        <f>IF(SER_hh_fec_in!M26=0,0,11630*1000*SER_hh_fec_in!M26/SER_hh_num_in!M26)</f>
        <v>244.15415878643199</v>
      </c>
      <c r="N26" s="65">
        <f>IF(SER_hh_fec_in!N26=0,0,11630*1000*SER_hh_fec_in!N26/SER_hh_num_in!N26)</f>
        <v>126.65552934845103</v>
      </c>
      <c r="O26" s="65">
        <f>IF(SER_hh_fec_in!O26=0,0,11630*1000*SER_hh_fec_in!O26/SER_hh_num_in!O26)</f>
        <v>121.91150843106637</v>
      </c>
      <c r="P26" s="65">
        <f>IF(SER_hh_fec_in!P26=0,0,11630*1000*SER_hh_fec_in!P26/SER_hh_num_in!P26)</f>
        <v>119.27323157015508</v>
      </c>
      <c r="Q26" s="65">
        <f>IF(SER_hh_fec_in!Q26=0,0,11630*1000*SER_hh_fec_in!Q26/SER_hh_num_in!Q26)</f>
        <v>115.79887399885098</v>
      </c>
      <c r="R26" s="65">
        <f>IF(SER_hh_fec_in!R26=0,0,11630*1000*SER_hh_fec_in!R26/SER_hh_num_in!R26)</f>
        <v>113.92858441836744</v>
      </c>
      <c r="S26" s="65">
        <f>IF(SER_hh_fec_in!S26=0,0,11630*1000*SER_hh_fec_in!S26/SER_hh_num_in!S26)</f>
        <v>107.11648089012392</v>
      </c>
      <c r="T26" s="65">
        <f>IF(SER_hh_fec_in!T26=0,0,11630*1000*SER_hh_fec_in!T26/SER_hh_num_in!T26)</f>
        <v>102.24573142986574</v>
      </c>
      <c r="U26" s="65">
        <f>IF(SER_hh_fec_in!U26=0,0,11630*1000*SER_hh_fec_in!U26/SER_hh_num_in!U26)</f>
        <v>100.38896869792789</v>
      </c>
      <c r="V26" s="65">
        <f>IF(SER_hh_fec_in!V26=0,0,11630*1000*SER_hh_fec_in!V26/SER_hh_num_in!V26)</f>
        <v>77.392878266503018</v>
      </c>
      <c r="W26" s="65">
        <f>IF(SER_hh_fec_in!W26=0,0,11630*1000*SER_hh_fec_in!W26/SER_hh_num_in!W26)</f>
        <v>87.11090521687639</v>
      </c>
      <c r="X26" s="65">
        <f>IF(SER_hh_fec_in!X26=0,0,11630*1000*SER_hh_fec_in!X26/SER_hh_num_in!X26)</f>
        <v>93.570363383195115</v>
      </c>
      <c r="Y26" s="65">
        <f>IF(SER_hh_fec_in!Y26=0,0,11630*1000*SER_hh_fec_in!Y26/SER_hh_num_in!Y26)</f>
        <v>93.681333271362902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1545.7268362560403</v>
      </c>
      <c r="D27" s="145">
        <f>IF(SER_hh_fec_in!D27=0,0,11630*1000*SER_hh_fec_in!D27/SER_hh_num_in!D19)</f>
        <v>2579.6959362631678</v>
      </c>
      <c r="E27" s="145">
        <f>IF(SER_hh_fec_in!E27=0,0,11630*1000*SER_hh_fec_in!E27/SER_hh_num_in!E19)</f>
        <v>1898.218428677741</v>
      </c>
      <c r="F27" s="145">
        <f>IF(SER_hh_fec_in!F27=0,0,11630*1000*SER_hh_fec_in!F27/SER_hh_num_in!F19)</f>
        <v>2305.1530187230501</v>
      </c>
      <c r="G27" s="145">
        <f>IF(SER_hh_fec_in!G27=0,0,11630*1000*SER_hh_fec_in!G27/SER_hh_num_in!G19)</f>
        <v>4289.4684978268815</v>
      </c>
      <c r="H27" s="145">
        <f>IF(SER_hh_fec_in!H27=0,0,11630*1000*SER_hh_fec_in!H27/SER_hh_num_in!H19)</f>
        <v>1890.7746845963024</v>
      </c>
      <c r="I27" s="145">
        <f>IF(SER_hh_fec_in!I27=0,0,11630*1000*SER_hh_fec_in!I27/SER_hh_num_in!I19)</f>
        <v>3365.5801405660668</v>
      </c>
      <c r="J27" s="145">
        <f>IF(SER_hh_fec_in!J27=0,0,11630*1000*SER_hh_fec_in!J27/SER_hh_num_in!J19)</f>
        <v>5391.620802965057</v>
      </c>
      <c r="K27" s="145">
        <f>IF(SER_hh_fec_in!K27=0,0,11630*1000*SER_hh_fec_in!K27/SER_hh_num_in!K19)</f>
        <v>4979.7375320394412</v>
      </c>
      <c r="L27" s="145">
        <f>IF(SER_hh_fec_in!L27=0,0,11630*1000*SER_hh_fec_in!L27/SER_hh_num_in!L19)</f>
        <v>5627.6130796812922</v>
      </c>
      <c r="M27" s="145">
        <f>IF(SER_hh_fec_in!M27=0,0,11630*1000*SER_hh_fec_in!M27/SER_hh_num_in!M19)</f>
        <v>5565.5518801793469</v>
      </c>
      <c r="N27" s="145">
        <f>IF(SER_hh_fec_in!N27=0,0,11630*1000*SER_hh_fec_in!N27/SER_hh_num_in!N19)</f>
        <v>5275.5664160131191</v>
      </c>
      <c r="O27" s="145">
        <f>IF(SER_hh_fec_in!O27=0,0,11630*1000*SER_hh_fec_in!O27/SER_hh_num_in!O19)</f>
        <v>5491.2686788516075</v>
      </c>
      <c r="P27" s="145">
        <f>IF(SER_hh_fec_in!P27=0,0,11630*1000*SER_hh_fec_in!P27/SER_hh_num_in!P19)</f>
        <v>6312.1630309281099</v>
      </c>
      <c r="Q27" s="145">
        <f>IF(SER_hh_fec_in!Q27=0,0,11630*1000*SER_hh_fec_in!Q27/SER_hh_num_in!Q19)</f>
        <v>6027.218010015873</v>
      </c>
      <c r="R27" s="145">
        <f>IF(SER_hh_fec_in!R27=0,0,11630*1000*SER_hh_fec_in!R27/SER_hh_num_in!R19)</f>
        <v>5763.0235018893336</v>
      </c>
      <c r="S27" s="145">
        <f>IF(SER_hh_fec_in!S27=0,0,11630*1000*SER_hh_fec_in!S27/SER_hh_num_in!S19)</f>
        <v>5537.2370453925487</v>
      </c>
      <c r="T27" s="145">
        <f>IF(SER_hh_fec_in!T27=0,0,11630*1000*SER_hh_fec_in!T27/SER_hh_num_in!T19)</f>
        <v>5243.6084051450134</v>
      </c>
      <c r="U27" s="145">
        <f>IF(SER_hh_fec_in!U27=0,0,11630*1000*SER_hh_fec_in!U27/SER_hh_num_in!U19)</f>
        <v>5408.1420021714302</v>
      </c>
      <c r="V27" s="145">
        <f>IF(SER_hh_fec_in!V27=0,0,11630*1000*SER_hh_fec_in!V27/SER_hh_num_in!V19)</f>
        <v>5861.2625353522371</v>
      </c>
      <c r="W27" s="145">
        <f>IF(SER_hh_fec_in!W27=0,0,11630*1000*SER_hh_fec_in!W27/SER_hh_num_in!W19)</f>
        <v>5515.3895793135498</v>
      </c>
      <c r="X27" s="145">
        <f>IF(SER_hh_fec_in!X27=0,0,11630*1000*SER_hh_fec_in!X27/SER_hh_num_in!X19)</f>
        <v>6570.0508732964245</v>
      </c>
      <c r="Y27" s="145">
        <f>IF(SER_hh_fec_in!Y27=0,0,11630*1000*SER_hh_fec_in!Y27/SER_hh_num_in!Y19)</f>
        <v>6056.447830581109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6816.1034061874252</v>
      </c>
      <c r="D28" s="146">
        <f>IF(SER_hh_fec_in!D27=0,0,11630*1000*SER_hh_fec_in!D27/SER_hh_num_in!D27)</f>
        <v>6865.7722062247967</v>
      </c>
      <c r="E28" s="146">
        <f>IF(SER_hh_fec_in!E27=0,0,11630*1000*SER_hh_fec_in!E27/SER_hh_num_in!E27)</f>
        <v>7238.4258276938908</v>
      </c>
      <c r="F28" s="146">
        <f>IF(SER_hh_fec_in!F27=0,0,11630*1000*SER_hh_fec_in!F27/SER_hh_num_in!F27)</f>
        <v>7301.2929241107195</v>
      </c>
      <c r="G28" s="146">
        <f>IF(SER_hh_fec_in!G27=0,0,11630*1000*SER_hh_fec_in!G27/SER_hh_num_in!G27)</f>
        <v>6927.904744511221</v>
      </c>
      <c r="H28" s="146">
        <f>IF(SER_hh_fec_in!H27=0,0,11630*1000*SER_hh_fec_in!H27/SER_hh_num_in!H27)</f>
        <v>7085.6984242924964</v>
      </c>
      <c r="I28" s="146">
        <f>IF(SER_hh_fec_in!I27=0,0,11630*1000*SER_hh_fec_in!I27/SER_hh_num_in!I27)</f>
        <v>7139.6665884284403</v>
      </c>
      <c r="J28" s="146">
        <f>IF(SER_hh_fec_in!J27=0,0,11630*1000*SER_hh_fec_in!J27/SER_hh_num_in!J27)</f>
        <v>7181.4301969485668</v>
      </c>
      <c r="K28" s="146">
        <f>IF(SER_hh_fec_in!K27=0,0,11630*1000*SER_hh_fec_in!K27/SER_hh_num_in!K27)</f>
        <v>7230.5040488700233</v>
      </c>
      <c r="L28" s="146">
        <f>IF(SER_hh_fec_in!L27=0,0,11630*1000*SER_hh_fec_in!L27/SER_hh_num_in!L27)</f>
        <v>7657.22410045986</v>
      </c>
      <c r="M28" s="146">
        <f>IF(SER_hh_fec_in!M27=0,0,11630*1000*SER_hh_fec_in!M27/SER_hh_num_in!M27)</f>
        <v>8495.5782029065304</v>
      </c>
      <c r="N28" s="146">
        <f>IF(SER_hh_fec_in!N27=0,0,11630*1000*SER_hh_fec_in!N27/SER_hh_num_in!N27)</f>
        <v>8443.3080978746821</v>
      </c>
      <c r="O28" s="146">
        <f>IF(SER_hh_fec_in!O27=0,0,11630*1000*SER_hh_fec_in!O27/SER_hh_num_in!O27)</f>
        <v>9097.5193097291758</v>
      </c>
      <c r="P28" s="146">
        <f>IF(SER_hh_fec_in!P27=0,0,11630*1000*SER_hh_fec_in!P27/SER_hh_num_in!P27)</f>
        <v>9083.471985103195</v>
      </c>
      <c r="Q28" s="146">
        <f>IF(SER_hh_fec_in!Q27=0,0,11630*1000*SER_hh_fec_in!Q27/SER_hh_num_in!Q27)</f>
        <v>9137.4675509513672</v>
      </c>
      <c r="R28" s="146">
        <f>IF(SER_hh_fec_in!R27=0,0,11630*1000*SER_hh_fec_in!R27/SER_hh_num_in!R27)</f>
        <v>8985.0757934276517</v>
      </c>
      <c r="S28" s="146">
        <f>IF(SER_hh_fec_in!S27=0,0,11630*1000*SER_hh_fec_in!S27/SER_hh_num_in!S27)</f>
        <v>8889.2843568968747</v>
      </c>
      <c r="T28" s="146">
        <f>IF(SER_hh_fec_in!T27=0,0,11630*1000*SER_hh_fec_in!T27/SER_hh_num_in!T27)</f>
        <v>9239.6836812791862</v>
      </c>
      <c r="U28" s="146">
        <f>IF(SER_hh_fec_in!U27=0,0,11630*1000*SER_hh_fec_in!U27/SER_hh_num_in!U27)</f>
        <v>9056.7084204045659</v>
      </c>
      <c r="V28" s="146">
        <f>IF(SER_hh_fec_in!V27=0,0,11630*1000*SER_hh_fec_in!V27/SER_hh_num_in!V27)</f>
        <v>7547.5082186030722</v>
      </c>
      <c r="W28" s="146">
        <f>IF(SER_hh_fec_in!W27=0,0,11630*1000*SER_hh_fec_in!W27/SER_hh_num_in!W27)</f>
        <v>8994.392411748011</v>
      </c>
      <c r="X28" s="146">
        <f>IF(SER_hh_fec_in!X27=0,0,11630*1000*SER_hh_fec_in!X27/SER_hh_num_in!X27)</f>
        <v>8039.6592238814364</v>
      </c>
      <c r="Y28" s="146">
        <f>IF(SER_hh_fec_in!Y27=0,0,11630*1000*SER_hh_fec_in!Y27/SER_hh_num_in!Y27)</f>
        <v>8899.4207405720863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12076.675003657787</v>
      </c>
      <c r="D29" s="130">
        <f>IF(SER_hh_fec_in!D29=0,0,11630*1000*SER_hh_fec_in!D29/SER_hh_num_in!D29)</f>
        <v>14628.730733378416</v>
      </c>
      <c r="E29" s="130">
        <f>IF(SER_hh_fec_in!E29=0,0,11630*1000*SER_hh_fec_in!E29/SER_hh_num_in!E29)</f>
        <v>14717.027752484821</v>
      </c>
      <c r="F29" s="130">
        <f>IF(SER_hh_fec_in!F29=0,0,11630*1000*SER_hh_fec_in!F29/SER_hh_num_in!F29)</f>
        <v>15041.2814904524</v>
      </c>
      <c r="G29" s="130">
        <f>IF(SER_hh_fec_in!G29=0,0,11630*1000*SER_hh_fec_in!G29/SER_hh_num_in!G29)</f>
        <v>17361.397072944925</v>
      </c>
      <c r="H29" s="130">
        <f>IF(SER_hh_fec_in!H29=0,0,11630*1000*SER_hh_fec_in!H29/SER_hh_num_in!H29)</f>
        <v>14571.111146490612</v>
      </c>
      <c r="I29" s="130">
        <f>IF(SER_hh_fec_in!I29=0,0,11630*1000*SER_hh_fec_in!I29/SER_hh_num_in!I29)</f>
        <v>14485.035828673736</v>
      </c>
      <c r="J29" s="130">
        <f>IF(SER_hh_fec_in!J29=0,0,11630*1000*SER_hh_fec_in!J29/SER_hh_num_in!J29)</f>
        <v>13407.54154742173</v>
      </c>
      <c r="K29" s="130">
        <f>IF(SER_hh_fec_in!K29=0,0,11630*1000*SER_hh_fec_in!K29/SER_hh_num_in!K29)</f>
        <v>12328.632486200113</v>
      </c>
      <c r="L29" s="130">
        <f>IF(SER_hh_fec_in!L29=0,0,11630*1000*SER_hh_fec_in!L29/SER_hh_num_in!L29)</f>
        <v>14788.735638609864</v>
      </c>
      <c r="M29" s="130">
        <f>IF(SER_hh_fec_in!M29=0,0,11630*1000*SER_hh_fec_in!M29/SER_hh_num_in!M29)</f>
        <v>14417.29261519674</v>
      </c>
      <c r="N29" s="130">
        <f>IF(SER_hh_fec_in!N29=0,0,11630*1000*SER_hh_fec_in!N29/SER_hh_num_in!N29)</f>
        <v>24962.186147551649</v>
      </c>
      <c r="O29" s="130">
        <f>IF(SER_hh_fec_in!O29=0,0,11630*1000*SER_hh_fec_in!O29/SER_hh_num_in!O29)</f>
        <v>15323.402344068738</v>
      </c>
      <c r="P29" s="130">
        <f>IF(SER_hh_fec_in!P29=0,0,11630*1000*SER_hh_fec_in!P29/SER_hh_num_in!P29)</f>
        <v>18216.349090614338</v>
      </c>
      <c r="Q29" s="130">
        <f>IF(SER_hh_fec_in!Q29=0,0,11630*1000*SER_hh_fec_in!Q29/SER_hh_num_in!Q29)</f>
        <v>16822.401811600026</v>
      </c>
      <c r="R29" s="130">
        <f>IF(SER_hh_fec_in!R29=0,0,11630*1000*SER_hh_fec_in!R29/SER_hh_num_in!R29)</f>
        <v>15121.063590709864</v>
      </c>
      <c r="S29" s="130">
        <f>IF(SER_hh_fec_in!S29=0,0,11630*1000*SER_hh_fec_in!S29/SER_hh_num_in!S29)</f>
        <v>14792.597707985442</v>
      </c>
      <c r="T29" s="130">
        <f>IF(SER_hh_fec_in!T29=0,0,11630*1000*SER_hh_fec_in!T29/SER_hh_num_in!T29)</f>
        <v>14821.509938533103</v>
      </c>
      <c r="U29" s="130">
        <f>IF(SER_hh_fec_in!U29=0,0,11630*1000*SER_hh_fec_in!U29/SER_hh_num_in!U29)</f>
        <v>12485.543487471117</v>
      </c>
      <c r="V29" s="130">
        <f>IF(SER_hh_fec_in!V29=0,0,11630*1000*SER_hh_fec_in!V29/SER_hh_num_in!V29)</f>
        <v>12261.036207107434</v>
      </c>
      <c r="W29" s="130">
        <f>IF(SER_hh_fec_in!W29=0,0,11630*1000*SER_hh_fec_in!W29/SER_hh_num_in!W29)</f>
        <v>12464.055502281153</v>
      </c>
      <c r="X29" s="130">
        <f>IF(SER_hh_fec_in!X29=0,0,11630*1000*SER_hh_fec_in!X29/SER_hh_num_in!X29)</f>
        <v>13539.431899717194</v>
      </c>
      <c r="Y29" s="130">
        <f>IF(SER_hh_fec_in!Y29=0,0,11630*1000*SER_hh_fec_in!Y29/SER_hh_num_in!Y29)</f>
        <v>16039.560765886814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11935.666789943129</v>
      </c>
      <c r="D30" s="132">
        <f>IF(SER_hh_fec_in!D30=0,0,11630*1000*SER_hh_fec_in!D30/SER_hh_num_in!D30)</f>
        <v>16803.128005181683</v>
      </c>
      <c r="E30" s="132">
        <f>IF(SER_hh_fec_in!E30=0,0,11630*1000*SER_hh_fec_in!E30/SER_hh_num_in!E30)</f>
        <v>15784.047304777661</v>
      </c>
      <c r="F30" s="132">
        <f>IF(SER_hh_fec_in!F30=0,0,11630*1000*SER_hh_fec_in!F30/SER_hh_num_in!F30)</f>
        <v>15611.110134832525</v>
      </c>
      <c r="G30" s="132">
        <f>IF(SER_hh_fec_in!G30=0,0,11630*1000*SER_hh_fec_in!G30/SER_hh_num_in!G30)</f>
        <v>19700.279871921728</v>
      </c>
      <c r="H30" s="132">
        <f>IF(SER_hh_fec_in!H30=0,0,11630*1000*SER_hh_fec_in!H30/SER_hh_num_in!H30)</f>
        <v>16562.864362415869</v>
      </c>
      <c r="I30" s="132">
        <f>IF(SER_hh_fec_in!I30=0,0,11630*1000*SER_hh_fec_in!I30/SER_hh_num_in!I30)</f>
        <v>16730.301712102479</v>
      </c>
      <c r="J30" s="132">
        <f>IF(SER_hh_fec_in!J30=0,0,11630*1000*SER_hh_fec_in!J30/SER_hh_num_in!J30)</f>
        <v>19641.725166704957</v>
      </c>
      <c r="K30" s="132">
        <f>IF(SER_hh_fec_in!K30=0,0,11630*1000*SER_hh_fec_in!K30/SER_hh_num_in!K30)</f>
        <v>0</v>
      </c>
      <c r="L30" s="132">
        <f>IF(SER_hh_fec_in!L30=0,0,11630*1000*SER_hh_fec_in!L30/SER_hh_num_in!L30)</f>
        <v>0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12755.412440996004</v>
      </c>
      <c r="O30" s="132">
        <f>IF(SER_hh_fec_in!O30=0,0,11630*1000*SER_hh_fec_in!O30/SER_hh_num_in!O30)</f>
        <v>12777.979905715152</v>
      </c>
      <c r="P30" s="132">
        <f>IF(SER_hh_fec_in!P30=0,0,11630*1000*SER_hh_fec_in!P30/SER_hh_num_in!P30)</f>
        <v>19504.487361062525</v>
      </c>
      <c r="Q30" s="132">
        <f>IF(SER_hh_fec_in!Q30=0,0,11630*1000*SER_hh_fec_in!Q30/SER_hh_num_in!Q30)</f>
        <v>19064.356402988255</v>
      </c>
      <c r="R30" s="132">
        <f>IF(SER_hh_fec_in!R30=0,0,11630*1000*SER_hh_fec_in!R30/SER_hh_num_in!R30)</f>
        <v>16723.097672463657</v>
      </c>
      <c r="S30" s="132">
        <f>IF(SER_hh_fec_in!S30=0,0,11630*1000*SER_hh_fec_in!S30/SER_hh_num_in!S30)</f>
        <v>16009.700506533089</v>
      </c>
      <c r="T30" s="132">
        <f>IF(SER_hh_fec_in!T30=0,0,11630*1000*SER_hh_fec_in!T30/SER_hh_num_in!T30)</f>
        <v>20123.400744459002</v>
      </c>
      <c r="U30" s="132">
        <f>IF(SER_hh_fec_in!U30=0,0,11630*1000*SER_hh_fec_in!U30/SER_hh_num_in!U30)</f>
        <v>19752.839142531251</v>
      </c>
      <c r="V30" s="132">
        <f>IF(SER_hh_fec_in!V30=0,0,11630*1000*SER_hh_fec_in!V30/SER_hh_num_in!V30)</f>
        <v>0</v>
      </c>
      <c r="W30" s="132">
        <f>IF(SER_hh_fec_in!W30=0,0,11630*1000*SER_hh_fec_in!W30/SER_hh_num_in!W30)</f>
        <v>0</v>
      </c>
      <c r="X30" s="132">
        <f>IF(SER_hh_fec_in!X30=0,0,11630*1000*SER_hh_fec_in!X30/SER_hh_num_in!X30)</f>
        <v>18785.526554617438</v>
      </c>
      <c r="Y30" s="132">
        <f>IF(SER_hh_fec_in!Y30=0,0,11630*1000*SER_hh_fec_in!Y30/SER_hh_num_in!Y30)</f>
        <v>17821.969759290499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14885.186858403689</v>
      </c>
      <c r="D31" s="132">
        <f>IF(SER_hh_fec_in!D31=0,0,11630*1000*SER_hh_fec_in!D31/SER_hh_num_in!D31)</f>
        <v>15966.981306904687</v>
      </c>
      <c r="E31" s="132">
        <f>IF(SER_hh_fec_in!E31=0,0,11630*1000*SER_hh_fec_in!E31/SER_hh_num_in!E31)</f>
        <v>15823.38268294254</v>
      </c>
      <c r="F31" s="132">
        <f>IF(SER_hh_fec_in!F31=0,0,11630*1000*SER_hh_fec_in!F31/SER_hh_num_in!F31)</f>
        <v>16755.358853366004</v>
      </c>
      <c r="G31" s="132">
        <f>IF(SER_hh_fec_in!G31=0,0,11630*1000*SER_hh_fec_in!G31/SER_hh_num_in!G31)</f>
        <v>17023.579590208843</v>
      </c>
      <c r="H31" s="132">
        <f>IF(SER_hh_fec_in!H31=0,0,11630*1000*SER_hh_fec_in!H31/SER_hh_num_in!H31)</f>
        <v>17047.458524698341</v>
      </c>
      <c r="I31" s="132">
        <f>IF(SER_hh_fec_in!I31=0,0,11630*1000*SER_hh_fec_in!I31/SER_hh_num_in!I31)</f>
        <v>16864.878670384012</v>
      </c>
      <c r="J31" s="132">
        <f>IF(SER_hh_fec_in!J31=0,0,11630*1000*SER_hh_fec_in!J31/SER_hh_num_in!J31)</f>
        <v>16243.83301080747</v>
      </c>
      <c r="K31" s="132">
        <f>IF(SER_hh_fec_in!K31=0,0,11630*1000*SER_hh_fec_in!K31/SER_hh_num_in!K31)</f>
        <v>16391.959795251827</v>
      </c>
      <c r="L31" s="132">
        <f>IF(SER_hh_fec_in!L31=0,0,11630*1000*SER_hh_fec_in!L31/SER_hh_num_in!L31)</f>
        <v>18228.635421761403</v>
      </c>
      <c r="M31" s="132">
        <f>IF(SER_hh_fec_in!M31=0,0,11630*1000*SER_hh_fec_in!M31/SER_hh_num_in!M31)</f>
        <v>17015.134207421146</v>
      </c>
      <c r="N31" s="132">
        <f>IF(SER_hh_fec_in!N31=0,0,11630*1000*SER_hh_fec_in!N31/SER_hh_num_in!N31)</f>
        <v>15932.294747939111</v>
      </c>
      <c r="O31" s="132">
        <f>IF(SER_hh_fec_in!O31=0,0,11630*1000*SER_hh_fec_in!O31/SER_hh_num_in!O31)</f>
        <v>17617.602222964102</v>
      </c>
      <c r="P31" s="132">
        <f>IF(SER_hh_fec_in!P31=0,0,11630*1000*SER_hh_fec_in!P31/SER_hh_num_in!P31)</f>
        <v>16585.500944148105</v>
      </c>
      <c r="Q31" s="132">
        <f>IF(SER_hh_fec_in!Q31=0,0,11630*1000*SER_hh_fec_in!Q31/SER_hh_num_in!Q31)</f>
        <v>17485.672087960353</v>
      </c>
      <c r="R31" s="132">
        <f>IF(SER_hh_fec_in!R31=0,0,11630*1000*SER_hh_fec_in!R31/SER_hh_num_in!R31)</f>
        <v>17600.969904398509</v>
      </c>
      <c r="S31" s="132">
        <f>IF(SER_hh_fec_in!S31=0,0,11630*1000*SER_hh_fec_in!S31/SER_hh_num_in!S31)</f>
        <v>17391.091482092801</v>
      </c>
      <c r="T31" s="132">
        <f>IF(SER_hh_fec_in!T31=0,0,11630*1000*SER_hh_fec_in!T31/SER_hh_num_in!T31)</f>
        <v>17322.44691104312</v>
      </c>
      <c r="U31" s="132">
        <f>IF(SER_hh_fec_in!U31=0,0,11630*1000*SER_hh_fec_in!U31/SER_hh_num_in!U31)</f>
        <v>17788.629103029354</v>
      </c>
      <c r="V31" s="132">
        <f>IF(SER_hh_fec_in!V31=0,0,11630*1000*SER_hh_fec_in!V31/SER_hh_num_in!V31)</f>
        <v>16857.1340370246</v>
      </c>
      <c r="W31" s="132">
        <f>IF(SER_hh_fec_in!W31=0,0,11630*1000*SER_hh_fec_in!W31/SER_hh_num_in!W31)</f>
        <v>16617.815992219545</v>
      </c>
      <c r="X31" s="132">
        <f>IF(SER_hh_fec_in!X31=0,0,11630*1000*SER_hh_fec_in!X31/SER_hh_num_in!X31)</f>
        <v>16607.773934343732</v>
      </c>
      <c r="Y31" s="132">
        <f>IF(SER_hh_fec_in!Y31=0,0,11630*1000*SER_hh_fec_in!Y31/SER_hh_num_in!Y31)</f>
        <v>17717.254535281398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27469.162088169469</v>
      </c>
      <c r="O32" s="132">
        <f>IF(SER_hh_fec_in!O32=0,0,11630*1000*SER_hh_fec_in!O32/SER_hh_num_in!O32)</f>
        <v>14969.882547958749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16575.886944811209</v>
      </c>
      <c r="X32" s="132">
        <f>IF(SER_hh_fec_in!X32=0,0,11630*1000*SER_hh_fec_in!X32/SER_hh_num_in!X32)</f>
        <v>16756.351367947591</v>
      </c>
      <c r="Y32" s="132">
        <f>IF(SER_hh_fec_in!Y32=0,0,11630*1000*SER_hh_fec_in!Y32/SER_hh_num_in!Y32)</f>
        <v>17402.390826535306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11871.150640839132</v>
      </c>
      <c r="D33" s="68">
        <f>IF(SER_hh_fec_in!D33=0,0,11630*1000*SER_hh_fec_in!D33/SER_hh_num_in!D33)</f>
        <v>12090.7897435833</v>
      </c>
      <c r="E33" s="68">
        <f>IF(SER_hh_fec_in!E33=0,0,11630*1000*SER_hh_fec_in!E33/SER_hh_num_in!E33)</f>
        <v>12893.35965202176</v>
      </c>
      <c r="F33" s="68">
        <f>IF(SER_hh_fec_in!F33=0,0,11630*1000*SER_hh_fec_in!F33/SER_hh_num_in!F33)</f>
        <v>13110.888968209954</v>
      </c>
      <c r="G33" s="68">
        <f>IF(SER_hh_fec_in!G33=0,0,11630*1000*SER_hh_fec_in!G33/SER_hh_num_in!G33)</f>
        <v>11306.231732313981</v>
      </c>
      <c r="H33" s="68">
        <f>IF(SER_hh_fec_in!H33=0,0,11630*1000*SER_hh_fec_in!H33/SER_hh_num_in!H33)</f>
        <v>13065.223690556184</v>
      </c>
      <c r="I33" s="68">
        <f>IF(SER_hh_fec_in!I33=0,0,11630*1000*SER_hh_fec_in!I33/SER_hh_num_in!I33)</f>
        <v>12887.386347557063</v>
      </c>
      <c r="J33" s="68">
        <f>IF(SER_hh_fec_in!J33=0,0,11630*1000*SER_hh_fec_in!J33/SER_hh_num_in!J33)</f>
        <v>12188.167113667148</v>
      </c>
      <c r="K33" s="68">
        <f>IF(SER_hh_fec_in!K33=0,0,11630*1000*SER_hh_fec_in!K33/SER_hh_num_in!K33)</f>
        <v>11630.667013270571</v>
      </c>
      <c r="L33" s="68">
        <f>IF(SER_hh_fec_in!L33=0,0,11630*1000*SER_hh_fec_in!L33/SER_hh_num_in!L33)</f>
        <v>14241.964430212303</v>
      </c>
      <c r="M33" s="68">
        <f>IF(SER_hh_fec_in!M33=0,0,11630*1000*SER_hh_fec_in!M33/SER_hh_num_in!M33)</f>
        <v>13499.93724671058</v>
      </c>
      <c r="N33" s="68">
        <f>IF(SER_hh_fec_in!N33=0,0,11630*1000*SER_hh_fec_in!N33/SER_hh_num_in!N33)</f>
        <v>0</v>
      </c>
      <c r="O33" s="68">
        <f>IF(SER_hh_fec_in!O33=0,0,11630*1000*SER_hh_fec_in!O33/SER_hh_num_in!O33)</f>
        <v>12271.559030749038</v>
      </c>
      <c r="P33" s="68">
        <f>IF(SER_hh_fec_in!P33=0,0,11630*1000*SER_hh_fec_in!P33/SER_hh_num_in!P33)</f>
        <v>12119.452435536437</v>
      </c>
      <c r="Q33" s="68">
        <f>IF(SER_hh_fec_in!Q33=0,0,11630*1000*SER_hh_fec_in!Q33/SER_hh_num_in!Q33)</f>
        <v>11731.874909690374</v>
      </c>
      <c r="R33" s="68">
        <f>IF(SER_hh_fec_in!R33=0,0,11630*1000*SER_hh_fec_in!R33/SER_hh_num_in!R33)</f>
        <v>12832.110673802275</v>
      </c>
      <c r="S33" s="68">
        <f>IF(SER_hh_fec_in!S33=0,0,11630*1000*SER_hh_fec_in!S33/SER_hh_num_in!S33)</f>
        <v>13160.242711708219</v>
      </c>
      <c r="T33" s="68">
        <f>IF(SER_hh_fec_in!T33=0,0,11630*1000*SER_hh_fec_in!T33/SER_hh_num_in!T33)</f>
        <v>11338.742038814775</v>
      </c>
      <c r="U33" s="68">
        <f>IF(SER_hh_fec_in!U33=0,0,11630*1000*SER_hh_fec_in!U33/SER_hh_num_in!U33)</f>
        <v>11042.555781411029</v>
      </c>
      <c r="V33" s="68">
        <f>IF(SER_hh_fec_in!V33=0,0,11630*1000*SER_hh_fec_in!V33/SER_hh_num_in!V33)</f>
        <v>11630.988279241499</v>
      </c>
      <c r="W33" s="68">
        <f>IF(SER_hh_fec_in!W33=0,0,11630*1000*SER_hh_fec_in!W33/SER_hh_num_in!W33)</f>
        <v>11867.08368663245</v>
      </c>
      <c r="X33" s="68">
        <f>IF(SER_hh_fec_in!X33=0,0,11630*1000*SER_hh_fec_in!X33/SER_hh_num_in!X33)</f>
        <v>11638.369319546198</v>
      </c>
      <c r="Y33" s="68">
        <f>IF(SER_hh_fec_in!Y33=0,0,11630*1000*SER_hh_fec_in!Y33/SER_hh_num_in!Y33)</f>
        <v>11797.805474278017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56160.102401245953</v>
      </c>
      <c r="D3" s="125">
        <f>IF(SER_hh_tes_in!D3=0,0,11630*1000*SER_hh_tes_in!D3/SER_hh_num_in!D3)</f>
        <v>54942.064201490168</v>
      </c>
      <c r="E3" s="125">
        <f>IF(SER_hh_tes_in!E3=0,0,11630*1000*SER_hh_tes_in!E3/SER_hh_num_in!E3)</f>
        <v>69612.644379978796</v>
      </c>
      <c r="F3" s="125">
        <f>IF(SER_hh_tes_in!F3=0,0,11630*1000*SER_hh_tes_in!F3/SER_hh_num_in!F3)</f>
        <v>66483.916391339808</v>
      </c>
      <c r="G3" s="125">
        <f>IF(SER_hh_tes_in!G3=0,0,11630*1000*SER_hh_tes_in!G3/SER_hh_num_in!G3)</f>
        <v>75304.731127198669</v>
      </c>
      <c r="H3" s="125">
        <f>IF(SER_hh_tes_in!H3=0,0,11630*1000*SER_hh_tes_in!H3/SER_hh_num_in!H3)</f>
        <v>81555.042582733266</v>
      </c>
      <c r="I3" s="125">
        <f>IF(SER_hh_tes_in!I3=0,0,11630*1000*SER_hh_tes_in!I3/SER_hh_num_in!I3)</f>
        <v>71915.646322870904</v>
      </c>
      <c r="J3" s="125">
        <f>IF(SER_hh_tes_in!J3=0,0,11630*1000*SER_hh_tes_in!J3/SER_hh_num_in!J3)</f>
        <v>72794.156342084229</v>
      </c>
      <c r="K3" s="125">
        <f>IF(SER_hh_tes_in!K3=0,0,11630*1000*SER_hh_tes_in!K3/SER_hh_num_in!K3)</f>
        <v>75181.618923498128</v>
      </c>
      <c r="L3" s="125">
        <f>IF(SER_hh_tes_in!L3=0,0,11630*1000*SER_hh_tes_in!L3/SER_hh_num_in!L3)</f>
        <v>86472.877673400144</v>
      </c>
      <c r="M3" s="125">
        <f>IF(SER_hh_tes_in!M3=0,0,11630*1000*SER_hh_tes_in!M3/SER_hh_num_in!M3)</f>
        <v>76148.778537032413</v>
      </c>
      <c r="N3" s="125">
        <f>IF(SER_hh_tes_in!N3=0,0,11630*1000*SER_hh_tes_in!N3/SER_hh_num_in!N3)</f>
        <v>83238.48254083046</v>
      </c>
      <c r="O3" s="125">
        <f>IF(SER_hh_tes_in!O3=0,0,11630*1000*SER_hh_tes_in!O3/SER_hh_num_in!O3)</f>
        <v>82765.729314924698</v>
      </c>
      <c r="P3" s="125">
        <f>IF(SER_hh_tes_in!P3=0,0,11630*1000*SER_hh_tes_in!P3/SER_hh_num_in!P3)</f>
        <v>83232.536301075481</v>
      </c>
      <c r="Q3" s="125">
        <f>IF(SER_hh_tes_in!Q3=0,0,11630*1000*SER_hh_tes_in!Q3/SER_hh_num_in!Q3)</f>
        <v>84784.790480244483</v>
      </c>
      <c r="R3" s="125">
        <f>IF(SER_hh_tes_in!R3=0,0,11630*1000*SER_hh_tes_in!R3/SER_hh_num_in!R3)</f>
        <v>91279.956497220541</v>
      </c>
      <c r="S3" s="125">
        <f>IF(SER_hh_tes_in!S3=0,0,11630*1000*SER_hh_tes_in!S3/SER_hh_num_in!S3)</f>
        <v>86688.049337884877</v>
      </c>
      <c r="T3" s="125">
        <f>IF(SER_hh_tes_in!T3=0,0,11630*1000*SER_hh_tes_in!T3/SER_hh_num_in!T3)</f>
        <v>87956.528286436427</v>
      </c>
      <c r="U3" s="125">
        <f>IF(SER_hh_tes_in!U3=0,0,11630*1000*SER_hh_tes_in!U3/SER_hh_num_in!U3)</f>
        <v>79650.084026600496</v>
      </c>
      <c r="V3" s="125">
        <f>IF(SER_hh_tes_in!V3=0,0,11630*1000*SER_hh_tes_in!V3/SER_hh_num_in!V3)</f>
        <v>83292.737710294023</v>
      </c>
      <c r="W3" s="125">
        <f>IF(SER_hh_tes_in!W3=0,0,11630*1000*SER_hh_tes_in!W3/SER_hh_num_in!W3)</f>
        <v>71544.928003769994</v>
      </c>
      <c r="X3" s="125">
        <f>IF(SER_hh_tes_in!X3=0,0,11630*1000*SER_hh_tes_in!X3/SER_hh_num_in!X3)</f>
        <v>91784.940391214244</v>
      </c>
      <c r="Y3" s="125">
        <f>IF(SER_hh_tes_in!Y3=0,0,11630*1000*SER_hh_tes_in!Y3/SER_hh_num_in!Y3)</f>
        <v>89147.779686611262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16900.761478718872</v>
      </c>
      <c r="D4" s="130">
        <f>IF(SER_hh_tes_in!D4=0,0,11630*1000*SER_hh_tes_in!D4/SER_hh_num_in!D4)</f>
        <v>17313.839659244317</v>
      </c>
      <c r="E4" s="130">
        <f>IF(SER_hh_tes_in!E4=0,0,11630*1000*SER_hh_tes_in!E4/SER_hh_num_in!E4)</f>
        <v>23654.575956580284</v>
      </c>
      <c r="F4" s="130">
        <f>IF(SER_hh_tes_in!F4=0,0,11630*1000*SER_hh_tes_in!F4/SER_hh_num_in!F4)</f>
        <v>25356.826899934531</v>
      </c>
      <c r="G4" s="130">
        <f>IF(SER_hh_tes_in!G4=0,0,11630*1000*SER_hh_tes_in!G4/SER_hh_num_in!G4)</f>
        <v>30715.444612269017</v>
      </c>
      <c r="H4" s="130">
        <f>IF(SER_hh_tes_in!H4=0,0,11630*1000*SER_hh_tes_in!H4/SER_hh_num_in!H4)</f>
        <v>32303.511767267144</v>
      </c>
      <c r="I4" s="130">
        <f>IF(SER_hh_tes_in!I4=0,0,11630*1000*SER_hh_tes_in!I4/SER_hh_num_in!I4)</f>
        <v>33769.541767138187</v>
      </c>
      <c r="J4" s="130">
        <f>IF(SER_hh_tes_in!J4=0,0,11630*1000*SER_hh_tes_in!J4/SER_hh_num_in!J4)</f>
        <v>35415.96134539818</v>
      </c>
      <c r="K4" s="130">
        <f>IF(SER_hh_tes_in!K4=0,0,11630*1000*SER_hh_tes_in!K4/SER_hh_num_in!K4)</f>
        <v>33979.270022068369</v>
      </c>
      <c r="L4" s="130">
        <f>IF(SER_hh_tes_in!L4=0,0,11630*1000*SER_hh_tes_in!L4/SER_hh_num_in!L4)</f>
        <v>34698.846362793978</v>
      </c>
      <c r="M4" s="130">
        <f>IF(SER_hh_tes_in!M4=0,0,11630*1000*SER_hh_tes_in!M4/SER_hh_num_in!M4)</f>
        <v>36026.157690256652</v>
      </c>
      <c r="N4" s="130">
        <f>IF(SER_hh_tes_in!N4=0,0,11630*1000*SER_hh_tes_in!N4/SER_hh_num_in!N4)</f>
        <v>37431.340884877136</v>
      </c>
      <c r="O4" s="130">
        <f>IF(SER_hh_tes_in!O4=0,0,11630*1000*SER_hh_tes_in!O4/SER_hh_num_in!O4)</f>
        <v>36178.604736306886</v>
      </c>
      <c r="P4" s="130">
        <f>IF(SER_hh_tes_in!P4=0,0,11630*1000*SER_hh_tes_in!P4/SER_hh_num_in!P4)</f>
        <v>44787.23943553181</v>
      </c>
      <c r="Q4" s="130">
        <f>IF(SER_hh_tes_in!Q4=0,0,11630*1000*SER_hh_tes_in!Q4/SER_hh_num_in!Q4)</f>
        <v>43494.770385353928</v>
      </c>
      <c r="R4" s="130">
        <f>IF(SER_hh_tes_in!R4=0,0,11630*1000*SER_hh_tes_in!R4/SER_hh_num_in!R4)</f>
        <v>39551.102262631008</v>
      </c>
      <c r="S4" s="130">
        <f>IF(SER_hh_tes_in!S4=0,0,11630*1000*SER_hh_tes_in!S4/SER_hh_num_in!S4)</f>
        <v>36744.155514524471</v>
      </c>
      <c r="T4" s="130">
        <f>IF(SER_hh_tes_in!T4=0,0,11630*1000*SER_hh_tes_in!T4/SER_hh_num_in!T4)</f>
        <v>42557.435530119714</v>
      </c>
      <c r="U4" s="130">
        <f>IF(SER_hh_tes_in!U4=0,0,11630*1000*SER_hh_tes_in!U4/SER_hh_num_in!U4)</f>
        <v>40605.552912264058</v>
      </c>
      <c r="V4" s="130">
        <f>IF(SER_hh_tes_in!V4=0,0,11630*1000*SER_hh_tes_in!V4/SER_hh_num_in!V4)</f>
        <v>36433.339318640144</v>
      </c>
      <c r="W4" s="130">
        <f>IF(SER_hh_tes_in!W4=0,0,11630*1000*SER_hh_tes_in!W4/SER_hh_num_in!W4)</f>
        <v>35132.416890133725</v>
      </c>
      <c r="X4" s="130">
        <f>IF(SER_hh_tes_in!X4=0,0,11630*1000*SER_hh_tes_in!X4/SER_hh_num_in!X4)</f>
        <v>40753.034641381797</v>
      </c>
      <c r="Y4" s="130">
        <f>IF(SER_hh_tes_in!Y4=0,0,11630*1000*SER_hh_tes_in!Y4/SER_hh_num_in!Y4)</f>
        <v>43377.297588951435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16996.286327282589</v>
      </c>
      <c r="D7" s="132">
        <f>IF(SER_hh_tes_in!D7=0,0,11630*1000*SER_hh_tes_in!D7/SER_hh_num_in!D7)</f>
        <v>18214.854778957997</v>
      </c>
      <c r="E7" s="132">
        <f>IF(SER_hh_tes_in!E7=0,0,11630*1000*SER_hh_tes_in!E7/SER_hh_num_in!E7)</f>
        <v>20320.750662029044</v>
      </c>
      <c r="F7" s="132">
        <f>IF(SER_hh_tes_in!F7=0,0,11630*1000*SER_hh_tes_in!F7/SER_hh_num_in!F7)</f>
        <v>26786.232598378192</v>
      </c>
      <c r="G7" s="132">
        <f>IF(SER_hh_tes_in!G7=0,0,11630*1000*SER_hh_tes_in!G7/SER_hh_num_in!G7)</f>
        <v>32072.679993965357</v>
      </c>
      <c r="H7" s="132">
        <f>IF(SER_hh_tes_in!H7=0,0,11630*1000*SER_hh_tes_in!H7/SER_hh_num_in!H7)</f>
        <v>0</v>
      </c>
      <c r="I7" s="132">
        <f>IF(SER_hh_tes_in!I7=0,0,11630*1000*SER_hh_tes_in!I7/SER_hh_num_in!I7)</f>
        <v>0</v>
      </c>
      <c r="J7" s="132">
        <f>IF(SER_hh_tes_in!J7=0,0,11630*1000*SER_hh_tes_in!J7/SER_hh_num_in!J7)</f>
        <v>0</v>
      </c>
      <c r="K7" s="132">
        <f>IF(SER_hh_tes_in!K7=0,0,11630*1000*SER_hh_tes_in!K7/SER_hh_num_in!K7)</f>
        <v>0</v>
      </c>
      <c r="L7" s="132">
        <f>IF(SER_hh_tes_in!L7=0,0,11630*1000*SER_hh_tes_in!L7/SER_hh_num_in!L7)</f>
        <v>0</v>
      </c>
      <c r="M7" s="132">
        <f>IF(SER_hh_tes_in!M7=0,0,11630*1000*SER_hh_tes_in!M7/SER_hh_num_in!M7)</f>
        <v>0</v>
      </c>
      <c r="N7" s="132">
        <f>IF(SER_hh_tes_in!N7=0,0,11630*1000*SER_hh_tes_in!N7/SER_hh_num_in!N7)</f>
        <v>0</v>
      </c>
      <c r="O7" s="132">
        <f>IF(SER_hh_tes_in!O7=0,0,11630*1000*SER_hh_tes_in!O7/SER_hh_num_in!O7)</f>
        <v>35484.358173651599</v>
      </c>
      <c r="P7" s="132">
        <f>IF(SER_hh_tes_in!P7=0,0,11630*1000*SER_hh_tes_in!P7/SER_hh_num_in!P7)</f>
        <v>0</v>
      </c>
      <c r="Q7" s="132">
        <f>IF(SER_hh_tes_in!Q7=0,0,11630*1000*SER_hh_tes_in!Q7/SER_hh_num_in!Q7)</f>
        <v>0</v>
      </c>
      <c r="R7" s="132">
        <f>IF(SER_hh_tes_in!R7=0,0,11630*1000*SER_hh_tes_in!R7/SER_hh_num_in!R7)</f>
        <v>35061.888513602877</v>
      </c>
      <c r="S7" s="132">
        <f>IF(SER_hh_tes_in!S7=0,0,11630*1000*SER_hh_tes_in!S7/SER_hh_num_in!S7)</f>
        <v>35035.952072743676</v>
      </c>
      <c r="T7" s="132">
        <f>IF(SER_hh_tes_in!T7=0,0,11630*1000*SER_hh_tes_in!T7/SER_hh_num_in!T7)</f>
        <v>38195.455016765685</v>
      </c>
      <c r="U7" s="132">
        <f>IF(SER_hh_tes_in!U7=0,0,11630*1000*SER_hh_tes_in!U7/SER_hh_num_in!U7)</f>
        <v>38598.71005879555</v>
      </c>
      <c r="V7" s="132">
        <f>IF(SER_hh_tes_in!V7=0,0,11630*1000*SER_hh_tes_in!V7/SER_hh_num_in!V7)</f>
        <v>0</v>
      </c>
      <c r="W7" s="132">
        <f>IF(SER_hh_tes_in!W7=0,0,11630*1000*SER_hh_tes_in!W7/SER_hh_num_in!W7)</f>
        <v>0</v>
      </c>
      <c r="X7" s="132">
        <f>IF(SER_hh_tes_in!X7=0,0,11630*1000*SER_hh_tes_in!X7/SER_hh_num_in!X7)</f>
        <v>0</v>
      </c>
      <c r="Y7" s="132">
        <f>IF(SER_hh_tes_in!Y7=0,0,11630*1000*SER_hh_tes_in!Y7/SER_hh_num_in!Y7)</f>
        <v>0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16080.803403866428</v>
      </c>
      <c r="D8" s="132">
        <f>IF(SER_hh_tes_in!D8=0,0,11630*1000*SER_hh_tes_in!D8/SER_hh_num_in!D8)</f>
        <v>19744.595217730188</v>
      </c>
      <c r="E8" s="132">
        <f>IF(SER_hh_tes_in!E8=0,0,11630*1000*SER_hh_tes_in!E8/SER_hh_num_in!E8)</f>
        <v>23463.271439781431</v>
      </c>
      <c r="F8" s="132">
        <f>IF(SER_hh_tes_in!F8=0,0,11630*1000*SER_hh_tes_in!F8/SER_hh_num_in!F8)</f>
        <v>25815.315093729234</v>
      </c>
      <c r="G8" s="132">
        <f>IF(SER_hh_tes_in!G8=0,0,11630*1000*SER_hh_tes_in!G8/SER_hh_num_in!G8)</f>
        <v>27004.157918121531</v>
      </c>
      <c r="H8" s="132">
        <f>IF(SER_hh_tes_in!H8=0,0,11630*1000*SER_hh_tes_in!H8/SER_hh_num_in!H8)</f>
        <v>30749.40545798228</v>
      </c>
      <c r="I8" s="132">
        <f>IF(SER_hh_tes_in!I8=0,0,11630*1000*SER_hh_tes_in!I8/SER_hh_num_in!I8)</f>
        <v>32532.391320123039</v>
      </c>
      <c r="J8" s="132">
        <f>IF(SER_hh_tes_in!J8=0,0,11630*1000*SER_hh_tes_in!J8/SER_hh_num_in!J8)</f>
        <v>34824.265572275799</v>
      </c>
      <c r="K8" s="132">
        <f>IF(SER_hh_tes_in!K8=0,0,11630*1000*SER_hh_tes_in!K8/SER_hh_num_in!K8)</f>
        <v>33151.805404411803</v>
      </c>
      <c r="L8" s="132">
        <f>IF(SER_hh_tes_in!L8=0,0,11630*1000*SER_hh_tes_in!L8/SER_hh_num_in!L8)</f>
        <v>33692.780270949675</v>
      </c>
      <c r="M8" s="132">
        <f>IF(SER_hh_tes_in!M8=0,0,11630*1000*SER_hh_tes_in!M8/SER_hh_num_in!M8)</f>
        <v>35811.854129370862</v>
      </c>
      <c r="N8" s="132">
        <f>IF(SER_hh_tes_in!N8=0,0,11630*1000*SER_hh_tes_in!N8/SER_hh_num_in!N8)</f>
        <v>36224.214314576668</v>
      </c>
      <c r="O8" s="132">
        <f>IF(SER_hh_tes_in!O8=0,0,11630*1000*SER_hh_tes_in!O8/SER_hh_num_in!O8)</f>
        <v>38268.356875934754</v>
      </c>
      <c r="P8" s="132">
        <f>IF(SER_hh_tes_in!P8=0,0,11630*1000*SER_hh_tes_in!P8/SER_hh_num_in!P8)</f>
        <v>41470.459694514408</v>
      </c>
      <c r="Q8" s="132">
        <f>IF(SER_hh_tes_in!Q8=0,0,11630*1000*SER_hh_tes_in!Q8/SER_hh_num_in!Q8)</f>
        <v>42654.984454600861</v>
      </c>
      <c r="R8" s="132">
        <f>IF(SER_hh_tes_in!R8=0,0,11630*1000*SER_hh_tes_in!R8/SER_hh_num_in!R8)</f>
        <v>39975.174727632533</v>
      </c>
      <c r="S8" s="132">
        <f>IF(SER_hh_tes_in!S8=0,0,11630*1000*SER_hh_tes_in!S8/SER_hh_num_in!S8)</f>
        <v>38226.351232738984</v>
      </c>
      <c r="T8" s="132">
        <f>IF(SER_hh_tes_in!T8=0,0,11630*1000*SER_hh_tes_in!T8/SER_hh_num_in!T8)</f>
        <v>37904.35559453968</v>
      </c>
      <c r="U8" s="132">
        <f>IF(SER_hh_tes_in!U8=0,0,11630*1000*SER_hh_tes_in!U8/SER_hh_num_in!U8)</f>
        <v>37749.582132793737</v>
      </c>
      <c r="V8" s="132">
        <f>IF(SER_hh_tes_in!V8=0,0,11630*1000*SER_hh_tes_in!V8/SER_hh_num_in!V8)</f>
        <v>35427.369280981547</v>
      </c>
      <c r="W8" s="132">
        <f>IF(SER_hh_tes_in!W8=0,0,11630*1000*SER_hh_tes_in!W8/SER_hh_num_in!W8)</f>
        <v>36656.790928245719</v>
      </c>
      <c r="X8" s="132">
        <f>IF(SER_hh_tes_in!X8=0,0,11630*1000*SER_hh_tes_in!X8/SER_hh_num_in!X8)</f>
        <v>40000.727323746389</v>
      </c>
      <c r="Y8" s="132">
        <f>IF(SER_hh_tes_in!Y8=0,0,11630*1000*SER_hh_tes_in!Y8/SER_hh_num_in!Y8)</f>
        <v>42247.473582048573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15993.663665588898</v>
      </c>
      <c r="D9" s="132">
        <f>IF(SER_hh_tes_in!D9=0,0,11630*1000*SER_hh_tes_in!D9/SER_hh_num_in!D9)</f>
        <v>20099.590622639287</v>
      </c>
      <c r="E9" s="132">
        <f>IF(SER_hh_tes_in!E9=0,0,11630*1000*SER_hh_tes_in!E9/SER_hh_num_in!E9)</f>
        <v>21624.43565444275</v>
      </c>
      <c r="F9" s="132">
        <f>IF(SER_hh_tes_in!F9=0,0,11630*1000*SER_hh_tes_in!F9/SER_hh_num_in!F9)</f>
        <v>27379.107930887327</v>
      </c>
      <c r="G9" s="132">
        <f>IF(SER_hh_tes_in!G9=0,0,11630*1000*SER_hh_tes_in!G9/SER_hh_num_in!G9)</f>
        <v>0</v>
      </c>
      <c r="H9" s="132">
        <f>IF(SER_hh_tes_in!H9=0,0,11630*1000*SER_hh_tes_in!H9/SER_hh_num_in!H9)</f>
        <v>31614.349278963949</v>
      </c>
      <c r="I9" s="132">
        <f>IF(SER_hh_tes_in!I9=0,0,11630*1000*SER_hh_tes_in!I9/SER_hh_num_in!I9)</f>
        <v>33181.1436063863</v>
      </c>
      <c r="J9" s="132">
        <f>IF(SER_hh_tes_in!J9=0,0,11630*1000*SER_hh_tes_in!J9/SER_hh_num_in!J9)</f>
        <v>33651.559080338113</v>
      </c>
      <c r="K9" s="132">
        <f>IF(SER_hh_tes_in!K9=0,0,11630*1000*SER_hh_tes_in!K9/SER_hh_num_in!K9)</f>
        <v>36387.260765535073</v>
      </c>
      <c r="L9" s="132">
        <f>IF(SER_hh_tes_in!L9=0,0,11630*1000*SER_hh_tes_in!L9/SER_hh_num_in!L9)</f>
        <v>31929.015305074765</v>
      </c>
      <c r="M9" s="132">
        <f>IF(SER_hh_tes_in!M9=0,0,11630*1000*SER_hh_tes_in!M9/SER_hh_num_in!M9)</f>
        <v>35880.722167972264</v>
      </c>
      <c r="N9" s="132">
        <f>IF(SER_hh_tes_in!N9=0,0,11630*1000*SER_hh_tes_in!N9/SER_hh_num_in!N9)</f>
        <v>36812.56897941175</v>
      </c>
      <c r="O9" s="132">
        <f>IF(SER_hh_tes_in!O9=0,0,11630*1000*SER_hh_tes_in!O9/SER_hh_num_in!O9)</f>
        <v>36076.61351525542</v>
      </c>
      <c r="P9" s="132">
        <f>IF(SER_hh_tes_in!P9=0,0,11630*1000*SER_hh_tes_in!P9/SER_hh_num_in!P9)</f>
        <v>0</v>
      </c>
      <c r="Q9" s="132">
        <f>IF(SER_hh_tes_in!Q9=0,0,11630*1000*SER_hh_tes_in!Q9/SER_hh_num_in!Q9)</f>
        <v>39033.070628127411</v>
      </c>
      <c r="R9" s="132">
        <f>IF(SER_hh_tes_in!R9=0,0,11630*1000*SER_hh_tes_in!R9/SER_hh_num_in!R9)</f>
        <v>40324.269910027004</v>
      </c>
      <c r="S9" s="132">
        <f>IF(SER_hh_tes_in!S9=0,0,11630*1000*SER_hh_tes_in!S9/SER_hh_num_in!S9)</f>
        <v>39317.848447880933</v>
      </c>
      <c r="T9" s="132">
        <f>IF(SER_hh_tes_in!T9=0,0,11630*1000*SER_hh_tes_in!T9/SER_hh_num_in!T9)</f>
        <v>41601.904889989848</v>
      </c>
      <c r="U9" s="132">
        <f>IF(SER_hh_tes_in!U9=0,0,11630*1000*SER_hh_tes_in!U9/SER_hh_num_in!U9)</f>
        <v>0</v>
      </c>
      <c r="V9" s="132">
        <f>IF(SER_hh_tes_in!V9=0,0,11630*1000*SER_hh_tes_in!V9/SER_hh_num_in!V9)</f>
        <v>28579.989652993569</v>
      </c>
      <c r="W9" s="132">
        <f>IF(SER_hh_tes_in!W9=0,0,11630*1000*SER_hh_tes_in!W9/SER_hh_num_in!W9)</f>
        <v>39493.084516890493</v>
      </c>
      <c r="X9" s="132">
        <f>IF(SER_hh_tes_in!X9=0,0,11630*1000*SER_hh_tes_in!X9/SER_hh_num_in!X9)</f>
        <v>38642.148557163157</v>
      </c>
      <c r="Y9" s="132">
        <f>IF(SER_hh_tes_in!Y9=0,0,11630*1000*SER_hh_tes_in!Y9/SER_hh_num_in!Y9)</f>
        <v>40999.47977315764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0</v>
      </c>
      <c r="D10" s="132">
        <f>IF(SER_hh_tes_in!D10=0,0,11630*1000*SER_hh_tes_in!D10/SER_hh_num_in!D10)</f>
        <v>0</v>
      </c>
      <c r="E10" s="132">
        <f>IF(SER_hh_tes_in!E10=0,0,11630*1000*SER_hh_tes_in!E10/SER_hh_num_in!E10)</f>
        <v>0</v>
      </c>
      <c r="F10" s="132">
        <f>IF(SER_hh_tes_in!F10=0,0,11630*1000*SER_hh_tes_in!F10/SER_hh_num_in!F10)</f>
        <v>0</v>
      </c>
      <c r="G10" s="132">
        <f>IF(SER_hh_tes_in!G10=0,0,11630*1000*SER_hh_tes_in!G10/SER_hh_num_in!G10)</f>
        <v>0</v>
      </c>
      <c r="H10" s="132">
        <f>IF(SER_hh_tes_in!H10=0,0,11630*1000*SER_hh_tes_in!H10/SER_hh_num_in!H10)</f>
        <v>0</v>
      </c>
      <c r="I10" s="132">
        <f>IF(SER_hh_tes_in!I10=0,0,11630*1000*SER_hh_tes_in!I10/SER_hh_num_in!I10)</f>
        <v>0</v>
      </c>
      <c r="J10" s="132">
        <f>IF(SER_hh_tes_in!J10=0,0,11630*1000*SER_hh_tes_in!J10/SER_hh_num_in!J10)</f>
        <v>0</v>
      </c>
      <c r="K10" s="132">
        <f>IF(SER_hh_tes_in!K10=0,0,11630*1000*SER_hh_tes_in!K10/SER_hh_num_in!K10)</f>
        <v>0</v>
      </c>
      <c r="L10" s="132">
        <f>IF(SER_hh_tes_in!L10=0,0,11630*1000*SER_hh_tes_in!L10/SER_hh_num_in!L10)</f>
        <v>0</v>
      </c>
      <c r="M10" s="132">
        <f>IF(SER_hh_tes_in!M10=0,0,11630*1000*SER_hh_tes_in!M10/SER_hh_num_in!M10)</f>
        <v>51341.324349222865</v>
      </c>
      <c r="N10" s="132">
        <f>IF(SER_hh_tes_in!N10=0,0,11630*1000*SER_hh_tes_in!N10/SER_hh_num_in!N10)</f>
        <v>45179.281175554395</v>
      </c>
      <c r="O10" s="132">
        <f>IF(SER_hh_tes_in!O10=0,0,11630*1000*SER_hh_tes_in!O10/SER_hh_num_in!O10)</f>
        <v>0</v>
      </c>
      <c r="P10" s="132">
        <f>IF(SER_hh_tes_in!P10=0,0,11630*1000*SER_hh_tes_in!P10/SER_hh_num_in!P10)</f>
        <v>0</v>
      </c>
      <c r="Q10" s="132">
        <f>IF(SER_hh_tes_in!Q10=0,0,11630*1000*SER_hh_tes_in!Q10/SER_hh_num_in!Q10)</f>
        <v>0</v>
      </c>
      <c r="R10" s="132">
        <f>IF(SER_hh_tes_in!R10=0,0,11630*1000*SER_hh_tes_in!R10/SER_hh_num_in!R10)</f>
        <v>35785.641204974709</v>
      </c>
      <c r="S10" s="132">
        <f>IF(SER_hh_tes_in!S10=0,0,11630*1000*SER_hh_tes_in!S10/SER_hh_num_in!S10)</f>
        <v>44694.2064990172</v>
      </c>
      <c r="T10" s="132">
        <f>IF(SER_hh_tes_in!T10=0,0,11630*1000*SER_hh_tes_in!T10/SER_hh_num_in!T10)</f>
        <v>0</v>
      </c>
      <c r="U10" s="132">
        <f>IF(SER_hh_tes_in!U10=0,0,11630*1000*SER_hh_tes_in!U10/SER_hh_num_in!U10)</f>
        <v>0</v>
      </c>
      <c r="V10" s="132">
        <f>IF(SER_hh_tes_in!V10=0,0,11630*1000*SER_hh_tes_in!V10/SER_hh_num_in!V10)</f>
        <v>0</v>
      </c>
      <c r="W10" s="132">
        <f>IF(SER_hh_tes_in!W10=0,0,11630*1000*SER_hh_tes_in!W10/SER_hh_num_in!W10)</f>
        <v>32570.705055224844</v>
      </c>
      <c r="X10" s="132">
        <f>IF(SER_hh_tes_in!X10=0,0,11630*1000*SER_hh_tes_in!X10/SER_hh_num_in!X10)</f>
        <v>50047.293052280431</v>
      </c>
      <c r="Y10" s="132">
        <f>IF(SER_hh_tes_in!Y10=0,0,11630*1000*SER_hh_tes_in!Y10/SER_hh_num_in!Y10)</f>
        <v>37274.006646113499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16732.152868235411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33578.283366672789</v>
      </c>
      <c r="K11" s="132">
        <f>IF(SER_hh_tes_in!K11=0,0,11630*1000*SER_hh_tes_in!K11/SER_hh_num_in!K11)</f>
        <v>32496.029968614475</v>
      </c>
      <c r="L11" s="132">
        <f>IF(SER_hh_tes_in!L11=0,0,11630*1000*SER_hh_tes_in!L11/SER_hh_num_in!L11)</f>
        <v>29484.621098948115</v>
      </c>
      <c r="M11" s="132">
        <f>IF(SER_hh_tes_in!M11=0,0,11630*1000*SER_hh_tes_in!M11/SER_hh_num_in!M11)</f>
        <v>40094.451264381983</v>
      </c>
      <c r="N11" s="132">
        <f>IF(SER_hh_tes_in!N11=0,0,11630*1000*SER_hh_tes_in!N11/SER_hh_num_in!N11)</f>
        <v>39891.565822295561</v>
      </c>
      <c r="O11" s="132">
        <f>IF(SER_hh_tes_in!O11=0,0,11630*1000*SER_hh_tes_in!O11/SER_hh_num_in!O11)</f>
        <v>34090.585827617266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43214.789190453332</v>
      </c>
      <c r="R11" s="132">
        <f>IF(SER_hh_tes_in!R11=0,0,11630*1000*SER_hh_tes_in!R11/SER_hh_num_in!R11)</f>
        <v>36550.740678818569</v>
      </c>
      <c r="S11" s="132">
        <f>IF(SER_hh_tes_in!S11=0,0,11630*1000*SER_hh_tes_in!S11/SER_hh_num_in!S11)</f>
        <v>38515.861794538534</v>
      </c>
      <c r="T11" s="132">
        <f>IF(SER_hh_tes_in!T11=0,0,11630*1000*SER_hh_tes_in!T11/SER_hh_num_in!T11)</f>
        <v>41705.457303884257</v>
      </c>
      <c r="U11" s="132">
        <f>IF(SER_hh_tes_in!U11=0,0,11630*1000*SER_hh_tes_in!U11/SER_hh_num_in!U11)</f>
        <v>41217.622997948245</v>
      </c>
      <c r="V11" s="132">
        <f>IF(SER_hh_tes_in!V11=0,0,11630*1000*SER_hh_tes_in!V11/SER_hh_num_in!V11)</f>
        <v>32450.735848626613</v>
      </c>
      <c r="W11" s="132">
        <f>IF(SER_hh_tes_in!W11=0,0,11630*1000*SER_hh_tes_in!W11/SER_hh_num_in!W11)</f>
        <v>32714.240712744024</v>
      </c>
      <c r="X11" s="132">
        <f>IF(SER_hh_tes_in!X11=0,0,11630*1000*SER_hh_tes_in!X11/SER_hh_num_in!X11)</f>
        <v>41357.126053850756</v>
      </c>
      <c r="Y11" s="132">
        <f>IF(SER_hh_tes_in!Y11=0,0,11630*1000*SER_hh_tes_in!Y11/SER_hh_num_in!Y11)</f>
        <v>42100.678576996506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16180.196886692795</v>
      </c>
      <c r="D12" s="132">
        <f>IF(SER_hh_tes_in!D12=0,0,11630*1000*SER_hh_tes_in!D12/SER_hh_num_in!D12)</f>
        <v>21704.008647073268</v>
      </c>
      <c r="E12" s="132">
        <f>IF(SER_hh_tes_in!E12=0,0,11630*1000*SER_hh_tes_in!E12/SER_hh_num_in!E12)</f>
        <v>21741.723131897365</v>
      </c>
      <c r="F12" s="132">
        <f>IF(SER_hh_tes_in!F12=0,0,11630*1000*SER_hh_tes_in!F12/SER_hh_num_in!F12)</f>
        <v>29114.681629472365</v>
      </c>
      <c r="G12" s="132">
        <f>IF(SER_hh_tes_in!G12=0,0,11630*1000*SER_hh_tes_in!G12/SER_hh_num_in!G12)</f>
        <v>0</v>
      </c>
      <c r="H12" s="132">
        <f>IF(SER_hh_tes_in!H12=0,0,11630*1000*SER_hh_tes_in!H12/SER_hh_num_in!H12)</f>
        <v>0</v>
      </c>
      <c r="I12" s="132">
        <f>IF(SER_hh_tes_in!I12=0,0,11630*1000*SER_hh_tes_in!I12/SER_hh_num_in!I12)</f>
        <v>0</v>
      </c>
      <c r="J12" s="132">
        <f>IF(SER_hh_tes_in!J12=0,0,11630*1000*SER_hh_tes_in!J12/SER_hh_num_in!J12)</f>
        <v>31890.931718460528</v>
      </c>
      <c r="K12" s="132">
        <f>IF(SER_hh_tes_in!K12=0,0,11630*1000*SER_hh_tes_in!K12/SER_hh_num_in!K12)</f>
        <v>28444.084044328647</v>
      </c>
      <c r="L12" s="132">
        <f>IF(SER_hh_tes_in!L12=0,0,11630*1000*SER_hh_tes_in!L12/SER_hh_num_in!L12)</f>
        <v>37047.089045991255</v>
      </c>
      <c r="M12" s="132">
        <f>IF(SER_hh_tes_in!M12=0,0,11630*1000*SER_hh_tes_in!M12/SER_hh_num_in!M12)</f>
        <v>31290.460823161029</v>
      </c>
      <c r="N12" s="132">
        <f>IF(SER_hh_tes_in!N12=0,0,11630*1000*SER_hh_tes_in!N12/SER_hh_num_in!N12)</f>
        <v>40056.336965967224</v>
      </c>
      <c r="O12" s="132">
        <f>IF(SER_hh_tes_in!O12=0,0,11630*1000*SER_hh_tes_in!O12/SER_hh_num_in!O12)</f>
        <v>39349.466729926971</v>
      </c>
      <c r="P12" s="132">
        <f>IF(SER_hh_tes_in!P12=0,0,11630*1000*SER_hh_tes_in!P12/SER_hh_num_in!P12)</f>
        <v>0</v>
      </c>
      <c r="Q12" s="132">
        <f>IF(SER_hh_tes_in!Q12=0,0,11630*1000*SER_hh_tes_in!Q12/SER_hh_num_in!Q12)</f>
        <v>39409.757943565535</v>
      </c>
      <c r="R12" s="132">
        <f>IF(SER_hh_tes_in!R12=0,0,11630*1000*SER_hh_tes_in!R12/SER_hh_num_in!R12)</f>
        <v>36952.446958227243</v>
      </c>
      <c r="S12" s="132">
        <f>IF(SER_hh_tes_in!S12=0,0,11630*1000*SER_hh_tes_in!S12/SER_hh_num_in!S12)</f>
        <v>40147.443590230272</v>
      </c>
      <c r="T12" s="132">
        <f>IF(SER_hh_tes_in!T12=0,0,11630*1000*SER_hh_tes_in!T12/SER_hh_num_in!T12)</f>
        <v>39347.543282753089</v>
      </c>
      <c r="U12" s="132">
        <f>IF(SER_hh_tes_in!U12=0,0,11630*1000*SER_hh_tes_in!U12/SER_hh_num_in!U12)</f>
        <v>37977.885426320405</v>
      </c>
      <c r="V12" s="132">
        <f>IF(SER_hh_tes_in!V12=0,0,11630*1000*SER_hh_tes_in!V12/SER_hh_num_in!V12)</f>
        <v>36600.855510609203</v>
      </c>
      <c r="W12" s="132">
        <f>IF(SER_hh_tes_in!W12=0,0,11630*1000*SER_hh_tes_in!W12/SER_hh_num_in!W12)</f>
        <v>0</v>
      </c>
      <c r="X12" s="132">
        <f>IF(SER_hh_tes_in!X12=0,0,11630*1000*SER_hh_tes_in!X12/SER_hh_num_in!X12)</f>
        <v>0</v>
      </c>
      <c r="Y12" s="132">
        <f>IF(SER_hh_tes_in!Y12=0,0,11630*1000*SER_hh_tes_in!Y12/SER_hh_num_in!Y12)</f>
        <v>0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16330.75794372173</v>
      </c>
      <c r="D13" s="132">
        <f>IF(SER_hh_tes_in!D13=0,0,11630*1000*SER_hh_tes_in!D13/SER_hh_num_in!D13)</f>
        <v>14775.344334083438</v>
      </c>
      <c r="E13" s="132">
        <f>IF(SER_hh_tes_in!E13=0,0,11630*1000*SER_hh_tes_in!E13/SER_hh_num_in!E13)</f>
        <v>25196.550523449743</v>
      </c>
      <c r="F13" s="132">
        <f>IF(SER_hh_tes_in!F13=0,0,11630*1000*SER_hh_tes_in!F13/SER_hh_num_in!F13)</f>
        <v>23561.085492100643</v>
      </c>
      <c r="G13" s="132">
        <f>IF(SER_hh_tes_in!G13=0,0,11630*1000*SER_hh_tes_in!G13/SER_hh_num_in!G13)</f>
        <v>29950.049954364877</v>
      </c>
      <c r="H13" s="132">
        <f>IF(SER_hh_tes_in!H13=0,0,11630*1000*SER_hh_tes_in!H13/SER_hh_num_in!H13)</f>
        <v>32441.24815196003</v>
      </c>
      <c r="I13" s="132">
        <f>IF(SER_hh_tes_in!I13=0,0,11630*1000*SER_hh_tes_in!I13/SER_hh_num_in!I13)</f>
        <v>33219.506298565633</v>
      </c>
      <c r="J13" s="132">
        <f>IF(SER_hh_tes_in!J13=0,0,11630*1000*SER_hh_tes_in!J13/SER_hh_num_in!J13)</f>
        <v>35640.731494398256</v>
      </c>
      <c r="K13" s="132">
        <f>IF(SER_hh_tes_in!K13=0,0,11630*1000*SER_hh_tes_in!K13/SER_hh_num_in!K13)</f>
        <v>33553.905860877916</v>
      </c>
      <c r="L13" s="132">
        <f>IF(SER_hh_tes_in!L13=0,0,11630*1000*SER_hh_tes_in!L13/SER_hh_num_in!L13)</f>
        <v>34847.215086994169</v>
      </c>
      <c r="M13" s="132">
        <f>IF(SER_hh_tes_in!M13=0,0,11630*1000*SER_hh_tes_in!M13/SER_hh_num_in!M13)</f>
        <v>34598.57061672752</v>
      </c>
      <c r="N13" s="132">
        <f>IF(SER_hh_tes_in!N13=0,0,11630*1000*SER_hh_tes_in!N13/SER_hh_num_in!N13)</f>
        <v>37089.857261318146</v>
      </c>
      <c r="O13" s="132">
        <f>IF(SER_hh_tes_in!O13=0,0,11630*1000*SER_hh_tes_in!O13/SER_hh_num_in!O13)</f>
        <v>37847.288383082334</v>
      </c>
      <c r="P13" s="132">
        <f>IF(SER_hh_tes_in!P13=0,0,11630*1000*SER_hh_tes_in!P13/SER_hh_num_in!P13)</f>
        <v>42492.569462400519</v>
      </c>
      <c r="Q13" s="132">
        <f>IF(SER_hh_tes_in!Q13=0,0,11630*1000*SER_hh_tes_in!Q13/SER_hh_num_in!Q13)</f>
        <v>41246.078508498584</v>
      </c>
      <c r="R13" s="132">
        <f>IF(SER_hh_tes_in!R13=0,0,11630*1000*SER_hh_tes_in!R13/SER_hh_num_in!R13)</f>
        <v>39331.62941784846</v>
      </c>
      <c r="S13" s="132">
        <f>IF(SER_hh_tes_in!S13=0,0,11630*1000*SER_hh_tes_in!S13/SER_hh_num_in!S13)</f>
        <v>38884.323670306825</v>
      </c>
      <c r="T13" s="132">
        <f>IF(SER_hh_tes_in!T13=0,0,11630*1000*SER_hh_tes_in!T13/SER_hh_num_in!T13)</f>
        <v>38846.592919813083</v>
      </c>
      <c r="U13" s="132">
        <f>IF(SER_hh_tes_in!U13=0,0,11630*1000*SER_hh_tes_in!U13/SER_hh_num_in!U13)</f>
        <v>38334.226149096117</v>
      </c>
      <c r="V13" s="132">
        <f>IF(SER_hh_tes_in!V13=0,0,11630*1000*SER_hh_tes_in!V13/SER_hh_num_in!V13)</f>
        <v>37059.958559324979</v>
      </c>
      <c r="W13" s="132">
        <f>IF(SER_hh_tes_in!W13=0,0,11630*1000*SER_hh_tes_in!W13/SER_hh_num_in!W13)</f>
        <v>36332.348964945864</v>
      </c>
      <c r="X13" s="132">
        <f>IF(SER_hh_tes_in!X13=0,0,11630*1000*SER_hh_tes_in!X13/SER_hh_num_in!X13)</f>
        <v>40704.166665968965</v>
      </c>
      <c r="Y13" s="132">
        <f>IF(SER_hh_tes_in!Y13=0,0,11630*1000*SER_hh_tes_in!Y13/SER_hh_num_in!Y13)</f>
        <v>41834.876336900132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16675.850266608501</v>
      </c>
      <c r="D14" s="65">
        <f>IF(SER_hh_tes_in!D14=0,0,11630*1000*SER_hh_tes_in!D14/SER_hh_num_in!D14)</f>
        <v>18466.022909685667</v>
      </c>
      <c r="E14" s="65">
        <f>IF(SER_hh_tes_in!E14=0,0,11630*1000*SER_hh_tes_in!E14/SER_hh_num_in!E14)</f>
        <v>20300.267124426355</v>
      </c>
      <c r="F14" s="65">
        <f>IF(SER_hh_tes_in!F14=0,0,11630*1000*SER_hh_tes_in!F14/SER_hh_num_in!F14)</f>
        <v>26644.436154350686</v>
      </c>
      <c r="G14" s="65">
        <f>IF(SER_hh_tes_in!G14=0,0,11630*1000*SER_hh_tes_in!G14/SER_hh_num_in!G14)</f>
        <v>31978.381527222184</v>
      </c>
      <c r="H14" s="65">
        <f>IF(SER_hh_tes_in!H14=0,0,11630*1000*SER_hh_tes_in!H14/SER_hh_num_in!H14)</f>
        <v>31820.689900969144</v>
      </c>
      <c r="I14" s="65">
        <f>IF(SER_hh_tes_in!I14=0,0,11630*1000*SER_hh_tes_in!I14/SER_hh_num_in!I14)</f>
        <v>36621.784040088605</v>
      </c>
      <c r="J14" s="65">
        <f>IF(SER_hh_tes_in!J14=0,0,11630*1000*SER_hh_tes_in!J14/SER_hh_num_in!J14)</f>
        <v>0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14686.694858896029</v>
      </c>
      <c r="P14" s="65">
        <f>IF(SER_hh_tes_in!P14=0,0,11630*1000*SER_hh_tes_in!P14/SER_hh_num_in!P14)</f>
        <v>50883.201652367949</v>
      </c>
      <c r="Q14" s="65">
        <f>IF(SER_hh_tes_in!Q14=0,0,11630*1000*SER_hh_tes_in!Q14/SER_hh_num_in!Q14)</f>
        <v>58501.328680472143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26228.201767068254</v>
      </c>
      <c r="T14" s="65">
        <f>IF(SER_hh_tes_in!T14=0,0,11630*1000*SER_hh_tes_in!T14/SER_hh_num_in!T14)</f>
        <v>49964.97242981843</v>
      </c>
      <c r="U14" s="65">
        <f>IF(SER_hh_tes_in!U14=0,0,11630*1000*SER_hh_tes_in!U14/SER_hh_num_in!U14)</f>
        <v>53029.364312511956</v>
      </c>
      <c r="V14" s="65">
        <f>IF(SER_hh_tes_in!V14=0,0,11630*1000*SER_hh_tes_in!V14/SER_hh_num_in!V14)</f>
        <v>28831.999939210771</v>
      </c>
      <c r="W14" s="65">
        <f>IF(SER_hh_tes_in!W14=0,0,11630*1000*SER_hh_tes_in!W14/SER_hh_num_in!W14)</f>
        <v>29755.695250652847</v>
      </c>
      <c r="X14" s="65">
        <f>IF(SER_hh_tes_in!X14=0,0,11630*1000*SER_hh_tes_in!X14/SER_hh_num_in!X14)</f>
        <v>41110.188723939864</v>
      </c>
      <c r="Y14" s="65">
        <f>IF(SER_hh_tes_in!Y14=0,0,11630*1000*SER_hh_tes_in!Y14/SER_hh_num_in!Y14)</f>
        <v>46550.337167717866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312.90442354305071</v>
      </c>
      <c r="D15" s="134">
        <f>IF(SER_hh_tes_in!D15=0,0,11630*1000*SER_hh_tes_in!D15/SER_hh_num_in!D15)</f>
        <v>338.82686399429485</v>
      </c>
      <c r="E15" s="134">
        <f>IF(SER_hh_tes_in!E15=0,0,11630*1000*SER_hh_tes_in!E15/SER_hh_num_in!E15)</f>
        <v>370.35759638670453</v>
      </c>
      <c r="F15" s="134">
        <f>IF(SER_hh_tes_in!F15=0,0,11630*1000*SER_hh_tes_in!F15/SER_hh_num_in!F15)</f>
        <v>491.21834642561839</v>
      </c>
      <c r="G15" s="134">
        <f>IF(SER_hh_tes_in!G15=0,0,11630*1000*SER_hh_tes_in!G15/SER_hh_num_in!G15)</f>
        <v>580.03643183817996</v>
      </c>
      <c r="H15" s="134">
        <f>IF(SER_hh_tes_in!H15=0,0,11630*1000*SER_hh_tes_in!H15/SER_hh_num_in!H15)</f>
        <v>552.80852875515029</v>
      </c>
      <c r="I15" s="134">
        <f>IF(SER_hh_tes_in!I15=0,0,11630*1000*SER_hh_tes_in!I15/SER_hh_num_in!I15)</f>
        <v>572.36708452095081</v>
      </c>
      <c r="J15" s="134">
        <f>IF(SER_hh_tes_in!J15=0,0,11630*1000*SER_hh_tes_in!J15/SER_hh_num_in!J15)</f>
        <v>541.24547352868876</v>
      </c>
      <c r="K15" s="134">
        <f>IF(SER_hh_tes_in!K15=0,0,11630*1000*SER_hh_tes_in!K15/SER_hh_num_in!K15)</f>
        <v>550.17821491118582</v>
      </c>
      <c r="L15" s="134">
        <f>IF(SER_hh_tes_in!L15=0,0,11630*1000*SER_hh_tes_in!L15/SER_hh_num_in!L15)</f>
        <v>410.42423889621506</v>
      </c>
      <c r="M15" s="134">
        <f>IF(SER_hh_tes_in!M15=0,0,11630*1000*SER_hh_tes_in!M15/SER_hh_num_in!M15)</f>
        <v>450.60300833151081</v>
      </c>
      <c r="N15" s="134">
        <f>IF(SER_hh_tes_in!N15=0,0,11630*1000*SER_hh_tes_in!N15/SER_hh_num_in!N15)</f>
        <v>370.8553424361798</v>
      </c>
      <c r="O15" s="134">
        <f>IF(SER_hh_tes_in!O15=0,0,11630*1000*SER_hh_tes_in!O15/SER_hh_num_in!O15)</f>
        <v>525.64637943299931</v>
      </c>
      <c r="P15" s="134">
        <f>IF(SER_hh_tes_in!P15=0,0,11630*1000*SER_hh_tes_in!P15/SER_hh_num_in!P15)</f>
        <v>170.10223615919281</v>
      </c>
      <c r="Q15" s="134">
        <f>IF(SER_hh_tes_in!Q15=0,0,11630*1000*SER_hh_tes_in!Q15/SER_hh_num_in!Q15)</f>
        <v>623.56421271868555</v>
      </c>
      <c r="R15" s="134">
        <f>IF(SER_hh_tes_in!R15=0,0,11630*1000*SER_hh_tes_in!R15/SER_hh_num_in!R15)</f>
        <v>604.26909072677961</v>
      </c>
      <c r="S15" s="134">
        <f>IF(SER_hh_tes_in!S15=0,0,11630*1000*SER_hh_tes_in!S15/SER_hh_num_in!S15)</f>
        <v>560.32024854997996</v>
      </c>
      <c r="T15" s="134">
        <f>IF(SER_hh_tes_in!T15=0,0,11630*1000*SER_hh_tes_in!T15/SER_hh_num_in!T15)</f>
        <v>575.34041504877246</v>
      </c>
      <c r="U15" s="134">
        <f>IF(SER_hh_tes_in!U15=0,0,11630*1000*SER_hh_tes_in!U15/SER_hh_num_in!U15)</f>
        <v>570.55699958941875</v>
      </c>
      <c r="V15" s="134">
        <f>IF(SER_hh_tes_in!V15=0,0,11630*1000*SER_hh_tes_in!V15/SER_hh_num_in!V15)</f>
        <v>400.4071554352571</v>
      </c>
      <c r="W15" s="134">
        <f>IF(SER_hh_tes_in!W15=0,0,11630*1000*SER_hh_tes_in!W15/SER_hh_num_in!W15)</f>
        <v>552.80596025340878</v>
      </c>
      <c r="X15" s="134">
        <f>IF(SER_hh_tes_in!X15=0,0,11630*1000*SER_hh_tes_in!X15/SER_hh_num_in!X15)</f>
        <v>566.75494585676984</v>
      </c>
      <c r="Y15" s="134">
        <f>IF(SER_hh_tes_in!Y15=0,0,11630*1000*SER_hh_tes_in!Y15/SER_hh_num_in!Y15)</f>
        <v>566.37844890440124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22903.633194231184</v>
      </c>
      <c r="D16" s="130">
        <f>IF(SER_hh_tes_in!D16=0,0,11630*1000*SER_hh_tes_in!D16/SER_hh_num_in!D16)</f>
        <v>20404.281240200449</v>
      </c>
      <c r="E16" s="130">
        <f>IF(SER_hh_tes_in!E16=0,0,11630*1000*SER_hh_tes_in!E16/SER_hh_num_in!E16)</f>
        <v>28882.298810474906</v>
      </c>
      <c r="F16" s="130">
        <f>IF(SER_hh_tes_in!F16=0,0,11630*1000*SER_hh_tes_in!F16/SER_hh_num_in!F16)</f>
        <v>23971.364419243222</v>
      </c>
      <c r="G16" s="130">
        <f>IF(SER_hh_tes_in!G16=0,0,11630*1000*SER_hh_tes_in!G16/SER_hh_num_in!G16)</f>
        <v>26312.556384826348</v>
      </c>
      <c r="H16" s="130">
        <f>IF(SER_hh_tes_in!H16=0,0,11630*1000*SER_hh_tes_in!H16/SER_hh_num_in!H16)</f>
        <v>31686.512692091659</v>
      </c>
      <c r="I16" s="130">
        <f>IF(SER_hh_tes_in!I16=0,0,11630*1000*SER_hh_tes_in!I16/SER_hh_num_in!I16)</f>
        <v>20495.464761187894</v>
      </c>
      <c r="J16" s="130">
        <f>IF(SER_hh_tes_in!J16=0,0,11630*1000*SER_hh_tes_in!J16/SER_hh_num_in!J16)</f>
        <v>19860.830973820386</v>
      </c>
      <c r="K16" s="130">
        <f>IF(SER_hh_tes_in!K16=0,0,11630*1000*SER_hh_tes_in!K16/SER_hh_num_in!K16)</f>
        <v>24031.574320960892</v>
      </c>
      <c r="L16" s="130">
        <f>IF(SER_hh_tes_in!L16=0,0,11630*1000*SER_hh_tes_in!L16/SER_hh_num_in!L16)</f>
        <v>32758.612980902406</v>
      </c>
      <c r="M16" s="130">
        <f>IF(SER_hh_tes_in!M16=0,0,11630*1000*SER_hh_tes_in!M16/SER_hh_num_in!M16)</f>
        <v>21369.532883302931</v>
      </c>
      <c r="N16" s="130">
        <f>IF(SER_hh_tes_in!N16=0,0,11630*1000*SER_hh_tes_in!N16/SER_hh_num_in!N16)</f>
        <v>22259.631646194644</v>
      </c>
      <c r="O16" s="130">
        <f>IF(SER_hh_tes_in!O16=0,0,11630*1000*SER_hh_tes_in!O16/SER_hh_num_in!O16)</f>
        <v>28568.112748985055</v>
      </c>
      <c r="P16" s="130">
        <f>IF(SER_hh_tes_in!P16=0,0,11630*1000*SER_hh_tes_in!P16/SER_hh_num_in!P16)</f>
        <v>19048.322459856576</v>
      </c>
      <c r="Q16" s="130">
        <f>IF(SER_hh_tes_in!Q16=0,0,11630*1000*SER_hh_tes_in!Q16/SER_hh_num_in!Q16)</f>
        <v>22128.827951185387</v>
      </c>
      <c r="R16" s="130">
        <f>IF(SER_hh_tes_in!R16=0,0,11630*1000*SER_hh_tes_in!R16/SER_hh_num_in!R16)</f>
        <v>32752.897162838988</v>
      </c>
      <c r="S16" s="130">
        <f>IF(SER_hh_tes_in!S16=0,0,11630*1000*SER_hh_tes_in!S16/SER_hh_num_in!S16)</f>
        <v>30774.604714293171</v>
      </c>
      <c r="T16" s="130">
        <f>IF(SER_hh_tes_in!T16=0,0,11630*1000*SER_hh_tes_in!T16/SER_hh_num_in!T16)</f>
        <v>26042.338753672524</v>
      </c>
      <c r="U16" s="130">
        <f>IF(SER_hh_tes_in!U16=0,0,11630*1000*SER_hh_tes_in!U16/SER_hh_num_in!U16)</f>
        <v>20190.760286284461</v>
      </c>
      <c r="V16" s="130">
        <f>IF(SER_hh_tes_in!V16=0,0,11630*1000*SER_hh_tes_in!V16/SER_hh_num_in!V16)</f>
        <v>28489.089840684162</v>
      </c>
      <c r="W16" s="130">
        <f>IF(SER_hh_tes_in!W16=0,0,11630*1000*SER_hh_tes_in!W16/SER_hh_num_in!W16)</f>
        <v>17231.999533556016</v>
      </c>
      <c r="X16" s="130">
        <f>IF(SER_hh_tes_in!X16=0,0,11630*1000*SER_hh_tes_in!X16/SER_hh_num_in!X16)</f>
        <v>31845.184648906514</v>
      </c>
      <c r="Y16" s="130">
        <f>IF(SER_hh_tes_in!Y16=0,0,11630*1000*SER_hh_tes_in!Y16/SER_hh_num_in!Y16)</f>
        <v>26204.519003500965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22902.749203951586</v>
      </c>
      <c r="D17" s="132">
        <f>IF(SER_hh_tes_in!D17=0,0,11630*1000*SER_hh_tes_in!D17/SER_hh_num_in!D17)</f>
        <v>20396.758727807388</v>
      </c>
      <c r="E17" s="132">
        <f>IF(SER_hh_tes_in!E17=0,0,11630*1000*SER_hh_tes_in!E17/SER_hh_num_in!E17)</f>
        <v>28863.268961159603</v>
      </c>
      <c r="F17" s="132">
        <f>IF(SER_hh_tes_in!F17=0,0,11630*1000*SER_hh_tes_in!F17/SER_hh_num_in!F17)</f>
        <v>24005.244093028668</v>
      </c>
      <c r="G17" s="132">
        <f>IF(SER_hh_tes_in!G17=0,0,11630*1000*SER_hh_tes_in!G17/SER_hh_num_in!G17)</f>
        <v>26353.588639693735</v>
      </c>
      <c r="H17" s="132">
        <f>IF(SER_hh_tes_in!H17=0,0,11630*1000*SER_hh_tes_in!H17/SER_hh_num_in!H17)</f>
        <v>31746.391087941283</v>
      </c>
      <c r="I17" s="132">
        <f>IF(SER_hh_tes_in!I17=0,0,11630*1000*SER_hh_tes_in!I17/SER_hh_num_in!I17)</f>
        <v>20547.830409217106</v>
      </c>
      <c r="J17" s="132">
        <f>IF(SER_hh_tes_in!J17=0,0,11630*1000*SER_hh_tes_in!J17/SER_hh_num_in!J17)</f>
        <v>19896.457423472377</v>
      </c>
      <c r="K17" s="132">
        <f>IF(SER_hh_tes_in!K17=0,0,11630*1000*SER_hh_tes_in!K17/SER_hh_num_in!K17)</f>
        <v>24072.82191358459</v>
      </c>
      <c r="L17" s="132">
        <f>IF(SER_hh_tes_in!L17=0,0,11630*1000*SER_hh_tes_in!L17/SER_hh_num_in!L17)</f>
        <v>32798.530187185243</v>
      </c>
      <c r="M17" s="132">
        <f>IF(SER_hh_tes_in!M17=0,0,11630*1000*SER_hh_tes_in!M17/SER_hh_num_in!M17)</f>
        <v>21388.048099074167</v>
      </c>
      <c r="N17" s="132">
        <f>IF(SER_hh_tes_in!N17=0,0,11630*1000*SER_hh_tes_in!N17/SER_hh_num_in!N17)</f>
        <v>22267.850622045818</v>
      </c>
      <c r="O17" s="132">
        <f>IF(SER_hh_tes_in!O17=0,0,11630*1000*SER_hh_tes_in!O17/SER_hh_num_in!O17)</f>
        <v>28600.666849948888</v>
      </c>
      <c r="P17" s="132">
        <f>IF(SER_hh_tes_in!P17=0,0,11630*1000*SER_hh_tes_in!P17/SER_hh_num_in!P17)</f>
        <v>19088.116428674741</v>
      </c>
      <c r="Q17" s="132">
        <f>IF(SER_hh_tes_in!Q17=0,0,11630*1000*SER_hh_tes_in!Q17/SER_hh_num_in!Q17)</f>
        <v>22196.772803687832</v>
      </c>
      <c r="R17" s="132">
        <f>IF(SER_hh_tes_in!R17=0,0,11630*1000*SER_hh_tes_in!R17/SER_hh_num_in!R17)</f>
        <v>32881.266273481604</v>
      </c>
      <c r="S17" s="132">
        <f>IF(SER_hh_tes_in!S17=0,0,11630*1000*SER_hh_tes_in!S17/SER_hh_num_in!S17)</f>
        <v>30891.640214339299</v>
      </c>
      <c r="T17" s="132">
        <f>IF(SER_hh_tes_in!T17=0,0,11630*1000*SER_hh_tes_in!T17/SER_hh_num_in!T17)</f>
        <v>25908.361496830501</v>
      </c>
      <c r="U17" s="132">
        <f>IF(SER_hh_tes_in!U17=0,0,11630*1000*SER_hh_tes_in!U17/SER_hh_num_in!U17)</f>
        <v>20269.349246126887</v>
      </c>
      <c r="V17" s="132">
        <f>IF(SER_hh_tes_in!V17=0,0,11630*1000*SER_hh_tes_in!V17/SER_hh_num_in!V17)</f>
        <v>27460.059658338134</v>
      </c>
      <c r="W17" s="132">
        <f>IF(SER_hh_tes_in!W17=0,0,11630*1000*SER_hh_tes_in!W17/SER_hh_num_in!W17)</f>
        <v>17450.270960062739</v>
      </c>
      <c r="X17" s="132">
        <f>IF(SER_hh_tes_in!X17=0,0,11630*1000*SER_hh_tes_in!X17/SER_hh_num_in!X17)</f>
        <v>32174.099769446544</v>
      </c>
      <c r="Y17" s="132">
        <f>IF(SER_hh_tes_in!Y17=0,0,11630*1000*SER_hh_tes_in!Y17/SER_hh_num_in!Y17)</f>
        <v>26423.341213755841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22903.635089968229</v>
      </c>
      <c r="D18" s="132">
        <f>IF(SER_hh_tes_in!D18=0,0,11630*1000*SER_hh_tes_in!D18/SER_hh_num_in!D18)</f>
        <v>20404.28913338788</v>
      </c>
      <c r="E18" s="132">
        <f>IF(SER_hh_tes_in!E18=0,0,11630*1000*SER_hh_tes_in!E18/SER_hh_num_in!E18)</f>
        <v>28882.318669071828</v>
      </c>
      <c r="F18" s="132">
        <f>IF(SER_hh_tes_in!F18=0,0,11630*1000*SER_hh_tes_in!F18/SER_hh_num_in!F18)</f>
        <v>23971.200813361578</v>
      </c>
      <c r="G18" s="132">
        <f>IF(SER_hh_tes_in!G18=0,0,11630*1000*SER_hh_tes_in!G18/SER_hh_num_in!G18)</f>
        <v>26312.455063953988</v>
      </c>
      <c r="H18" s="132">
        <f>IF(SER_hh_tes_in!H18=0,0,11630*1000*SER_hh_tes_in!H18/SER_hh_num_in!H18)</f>
        <v>31686.342013700738</v>
      </c>
      <c r="I18" s="132">
        <f>IF(SER_hh_tes_in!I18=0,0,11630*1000*SER_hh_tes_in!I18/SER_hh_num_in!I18)</f>
        <v>20495.177630032653</v>
      </c>
      <c r="J18" s="132">
        <f>IF(SER_hh_tes_in!J18=0,0,11630*1000*SER_hh_tes_in!J18/SER_hh_num_in!J18)</f>
        <v>19860.657680656637</v>
      </c>
      <c r="K18" s="132">
        <f>IF(SER_hh_tes_in!K18=0,0,11630*1000*SER_hh_tes_in!K18/SER_hh_num_in!K18)</f>
        <v>24031.19574562462</v>
      </c>
      <c r="L18" s="132">
        <f>IF(SER_hh_tes_in!L18=0,0,11630*1000*SER_hh_tes_in!L18/SER_hh_num_in!L18)</f>
        <v>32758.467042319033</v>
      </c>
      <c r="M18" s="132">
        <f>IF(SER_hh_tes_in!M18=0,0,11630*1000*SER_hh_tes_in!M18/SER_hh_num_in!M18)</f>
        <v>21369.392892495984</v>
      </c>
      <c r="N18" s="132">
        <f>IF(SER_hh_tes_in!N18=0,0,11630*1000*SER_hh_tes_in!N18/SER_hh_num_in!N18)</f>
        <v>22259.588008806488</v>
      </c>
      <c r="O18" s="132">
        <f>IF(SER_hh_tes_in!O18=0,0,11630*1000*SER_hh_tes_in!O18/SER_hh_num_in!O18)</f>
        <v>28567.803595425346</v>
      </c>
      <c r="P18" s="132">
        <f>IF(SER_hh_tes_in!P18=0,0,11630*1000*SER_hh_tes_in!P18/SER_hh_num_in!P18)</f>
        <v>19047.93285038869</v>
      </c>
      <c r="Q18" s="132">
        <f>IF(SER_hh_tes_in!Q18=0,0,11630*1000*SER_hh_tes_in!Q18/SER_hh_num_in!Q18)</f>
        <v>22127.953207275968</v>
      </c>
      <c r="R18" s="132">
        <f>IF(SER_hh_tes_in!R18=0,0,11630*1000*SER_hh_tes_in!R18/SER_hh_num_in!R18)</f>
        <v>32750.750081289676</v>
      </c>
      <c r="S18" s="132">
        <f>IF(SER_hh_tes_in!S18=0,0,11630*1000*SER_hh_tes_in!S18/SER_hh_num_in!S18)</f>
        <v>30772.962593454122</v>
      </c>
      <c r="T18" s="132">
        <f>IF(SER_hh_tes_in!T18=0,0,11630*1000*SER_hh_tes_in!T18/SER_hh_num_in!T18)</f>
        <v>26044.440083261688</v>
      </c>
      <c r="U18" s="132">
        <f>IF(SER_hh_tes_in!U18=0,0,11630*1000*SER_hh_tes_in!U18/SER_hh_num_in!U18)</f>
        <v>20189.231757223308</v>
      </c>
      <c r="V18" s="132">
        <f>IF(SER_hh_tes_in!V18=0,0,11630*1000*SER_hh_tes_in!V18/SER_hh_num_in!V18)</f>
        <v>28501.783585093188</v>
      </c>
      <c r="W18" s="132">
        <f>IF(SER_hh_tes_in!W18=0,0,11630*1000*SER_hh_tes_in!W18/SER_hh_num_in!W18)</f>
        <v>17229.657526117735</v>
      </c>
      <c r="X18" s="132">
        <f>IF(SER_hh_tes_in!X18=0,0,11630*1000*SER_hh_tes_in!X18/SER_hh_num_in!X18)</f>
        <v>31840.510417316007</v>
      </c>
      <c r="Y18" s="132">
        <f>IF(SER_hh_tes_in!Y18=0,0,11630*1000*SER_hh_tes_in!Y18/SER_hh_num_in!Y18)</f>
        <v>26201.122092818161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8401.3380375634642</v>
      </c>
      <c r="D19" s="130">
        <f>IF(SER_hh_tes_in!D19=0,0,11630*1000*SER_hh_tes_in!D19/SER_hh_num_in!D19)</f>
        <v>8652.2170375323003</v>
      </c>
      <c r="E19" s="130">
        <f>IF(SER_hh_tes_in!E19=0,0,11630*1000*SER_hh_tes_in!E19/SER_hh_num_in!E19)</f>
        <v>8547.8920465274805</v>
      </c>
      <c r="F19" s="130">
        <f>IF(SER_hh_tes_in!F19=0,0,11630*1000*SER_hh_tes_in!F19/SER_hh_num_in!F19)</f>
        <v>8629.798575397368</v>
      </c>
      <c r="G19" s="130">
        <f>IF(SER_hh_tes_in!G19=0,0,11630*1000*SER_hh_tes_in!G19/SER_hh_num_in!G19)</f>
        <v>8689.9637001881601</v>
      </c>
      <c r="H19" s="130">
        <f>IF(SER_hh_tes_in!H19=0,0,11630*1000*SER_hh_tes_in!H19/SER_hh_num_in!H19)</f>
        <v>8563.6909245493353</v>
      </c>
      <c r="I19" s="130">
        <f>IF(SER_hh_tes_in!I19=0,0,11630*1000*SER_hh_tes_in!I19/SER_hh_num_in!I19)</f>
        <v>8683.3020241775102</v>
      </c>
      <c r="J19" s="130">
        <f>IF(SER_hh_tes_in!J19=0,0,11630*1000*SER_hh_tes_in!J19/SER_hh_num_in!J19)</f>
        <v>8745.2762930186545</v>
      </c>
      <c r="K19" s="130">
        <f>IF(SER_hh_tes_in!K19=0,0,11630*1000*SER_hh_tes_in!K19/SER_hh_num_in!K19)</f>
        <v>8868.3976453316936</v>
      </c>
      <c r="L19" s="130">
        <f>IF(SER_hh_tes_in!L19=0,0,11630*1000*SER_hh_tes_in!L19/SER_hh_num_in!L19)</f>
        <v>8959.0872061228893</v>
      </c>
      <c r="M19" s="130">
        <f>IF(SER_hh_tes_in!M19=0,0,11630*1000*SER_hh_tes_in!M19/SER_hh_num_in!M19)</f>
        <v>9265.5814141686496</v>
      </c>
      <c r="N19" s="130">
        <f>IF(SER_hh_tes_in!N19=0,0,11630*1000*SER_hh_tes_in!N19/SER_hh_num_in!N19)</f>
        <v>9361.698029726098</v>
      </c>
      <c r="O19" s="130">
        <f>IF(SER_hh_tes_in!O19=0,0,11630*1000*SER_hh_tes_in!O19/SER_hh_num_in!O19)</f>
        <v>9602.67221832217</v>
      </c>
      <c r="P19" s="130">
        <f>IF(SER_hh_tes_in!P19=0,0,11630*1000*SER_hh_tes_in!P19/SER_hh_num_in!P19)</f>
        <v>9555.9084874810997</v>
      </c>
      <c r="Q19" s="130">
        <f>IF(SER_hh_tes_in!Q19=0,0,11630*1000*SER_hh_tes_in!Q19/SER_hh_num_in!Q19)</f>
        <v>9560.4186008354955</v>
      </c>
      <c r="R19" s="130">
        <f>IF(SER_hh_tes_in!R19=0,0,11630*1000*SER_hh_tes_in!R19/SER_hh_num_in!R19)</f>
        <v>9555.2116610123176</v>
      </c>
      <c r="S19" s="130">
        <f>IF(SER_hh_tes_in!S19=0,0,11630*1000*SER_hh_tes_in!S19/SER_hh_num_in!S19)</f>
        <v>9525.6284681511643</v>
      </c>
      <c r="T19" s="130">
        <f>IF(SER_hh_tes_in!T19=0,0,11630*1000*SER_hh_tes_in!T19/SER_hh_num_in!T19)</f>
        <v>9619.0866234355526</v>
      </c>
      <c r="U19" s="130">
        <f>IF(SER_hh_tes_in!U19=0,0,11630*1000*SER_hh_tes_in!U19/SER_hh_num_in!U19)</f>
        <v>9595.119854049959</v>
      </c>
      <c r="V19" s="130">
        <f>IF(SER_hh_tes_in!V19=0,0,11630*1000*SER_hh_tes_in!V19/SER_hh_num_in!V19)</f>
        <v>8696.4125268618864</v>
      </c>
      <c r="W19" s="130">
        <f>IF(SER_hh_tes_in!W19=0,0,11630*1000*SER_hh_tes_in!W19/SER_hh_num_in!W19)</f>
        <v>9216.5372040178863</v>
      </c>
      <c r="X19" s="130">
        <f>IF(SER_hh_tes_in!X19=0,0,11630*1000*SER_hh_tes_in!X19/SER_hh_num_in!X19)</f>
        <v>9203.8854837566814</v>
      </c>
      <c r="Y19" s="130">
        <f>IF(SER_hh_tes_in!Y19=0,0,11630*1000*SER_hh_tes_in!Y19/SER_hh_num_in!Y19)</f>
        <v>9374.7791169782795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8325.0151359217343</v>
      </c>
      <c r="D21" s="132">
        <f>IF(SER_hh_tes_in!D21=0,0,11630*1000*SER_hh_tes_in!D21/SER_hh_num_in!D21)</f>
        <v>8403.73053641351</v>
      </c>
      <c r="E21" s="132">
        <f>IF(SER_hh_tes_in!E21=0,0,11630*1000*SER_hh_tes_in!E21/SER_hh_num_in!E21)</f>
        <v>8450.836210628313</v>
      </c>
      <c r="F21" s="132">
        <f>IF(SER_hh_tes_in!F21=0,0,11630*1000*SER_hh_tes_in!F21/SER_hh_num_in!F21)</f>
        <v>8467.7431888422743</v>
      </c>
      <c r="G21" s="132">
        <f>IF(SER_hh_tes_in!G21=0,0,11630*1000*SER_hh_tes_in!G21/SER_hh_num_in!G21)</f>
        <v>7911.8416163205802</v>
      </c>
      <c r="H21" s="132">
        <f>IF(SER_hh_tes_in!H21=0,0,11630*1000*SER_hh_tes_in!H21/SER_hh_num_in!H21)</f>
        <v>8177.2418472872823</v>
      </c>
      <c r="I21" s="132">
        <f>IF(SER_hh_tes_in!I21=0,0,11630*1000*SER_hh_tes_in!I21/SER_hh_num_in!I21)</f>
        <v>8114.0850900909272</v>
      </c>
      <c r="J21" s="132">
        <f>IF(SER_hh_tes_in!J21=0,0,11630*1000*SER_hh_tes_in!J21/SER_hh_num_in!J21)</f>
        <v>6621.7900197075023</v>
      </c>
      <c r="K21" s="132">
        <f>IF(SER_hh_tes_in!K21=0,0,11630*1000*SER_hh_tes_in!K21/SER_hh_num_in!K21)</f>
        <v>7943.9584630902837</v>
      </c>
      <c r="L21" s="132">
        <f>IF(SER_hh_tes_in!L21=0,0,11630*1000*SER_hh_tes_in!L21/SER_hh_num_in!L21)</f>
        <v>6847.4192797810483</v>
      </c>
      <c r="M21" s="132">
        <f>IF(SER_hh_tes_in!M21=0,0,11630*1000*SER_hh_tes_in!M21/SER_hh_num_in!M21)</f>
        <v>8136.1968674405925</v>
      </c>
      <c r="N21" s="132">
        <f>IF(SER_hh_tes_in!N21=0,0,11630*1000*SER_hh_tes_in!N21/SER_hh_num_in!N21)</f>
        <v>8265.8792698505622</v>
      </c>
      <c r="O21" s="132">
        <f>IF(SER_hh_tes_in!O21=0,0,11630*1000*SER_hh_tes_in!O21/SER_hh_num_in!O21)</f>
        <v>8886.8133600530673</v>
      </c>
      <c r="P21" s="132">
        <f>IF(SER_hh_tes_in!P21=0,0,11630*1000*SER_hh_tes_in!P21/SER_hh_num_in!P21)</f>
        <v>8635.2191547043094</v>
      </c>
      <c r="Q21" s="132">
        <f>IF(SER_hh_tes_in!Q21=0,0,11630*1000*SER_hh_tes_in!Q21/SER_hh_num_in!Q21)</f>
        <v>8924.3321049702554</v>
      </c>
      <c r="R21" s="132">
        <f>IF(SER_hh_tes_in!R21=0,0,11630*1000*SER_hh_tes_in!R21/SER_hh_num_in!R21)</f>
        <v>8795.272574140321</v>
      </c>
      <c r="S21" s="132">
        <f>IF(SER_hh_tes_in!S21=0,0,11630*1000*SER_hh_tes_in!S21/SER_hh_num_in!S21)</f>
        <v>8697.776400349765</v>
      </c>
      <c r="T21" s="132">
        <f>IF(SER_hh_tes_in!T21=0,0,11630*1000*SER_hh_tes_in!T21/SER_hh_num_in!T21)</f>
        <v>8760.904785236713</v>
      </c>
      <c r="U21" s="132">
        <f>IF(SER_hh_tes_in!U21=0,0,11630*1000*SER_hh_tes_in!U21/SER_hh_num_in!U21)</f>
        <v>8425.5771214457163</v>
      </c>
      <c r="V21" s="132">
        <f>IF(SER_hh_tes_in!V21=0,0,11630*1000*SER_hh_tes_in!V21/SER_hh_num_in!V21)</f>
        <v>6383.2185209944701</v>
      </c>
      <c r="W21" s="132">
        <f>IF(SER_hh_tes_in!W21=0,0,11630*1000*SER_hh_tes_in!W21/SER_hh_num_in!W21)</f>
        <v>8319.5717536176599</v>
      </c>
      <c r="X21" s="132">
        <f>IF(SER_hh_tes_in!X21=0,0,11630*1000*SER_hh_tes_in!X21/SER_hh_num_in!X21)</f>
        <v>6977.8125304674177</v>
      </c>
      <c r="Y21" s="132">
        <f>IF(SER_hh_tes_in!Y21=0,0,11630*1000*SER_hh_tes_in!Y21/SER_hh_num_in!Y21)</f>
        <v>8800.9427783539868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8444.3036179530736</v>
      </c>
      <c r="D22" s="132">
        <f>IF(SER_hh_tes_in!D22=0,0,11630*1000*SER_hh_tes_in!D22/SER_hh_num_in!D22)</f>
        <v>8417.7664926647903</v>
      </c>
      <c r="E22" s="132">
        <f>IF(SER_hh_tes_in!E22=0,0,11630*1000*SER_hh_tes_in!E22/SER_hh_num_in!E22)</f>
        <v>8508.336429883464</v>
      </c>
      <c r="F22" s="132">
        <f>IF(SER_hh_tes_in!F22=0,0,11630*1000*SER_hh_tes_in!F22/SER_hh_num_in!F22)</f>
        <v>8523.5116956367892</v>
      </c>
      <c r="G22" s="132">
        <f>IF(SER_hh_tes_in!G22=0,0,11630*1000*SER_hh_tes_in!G22/SER_hh_num_in!G22)</f>
        <v>7935.4271013664174</v>
      </c>
      <c r="H22" s="132">
        <f>IF(SER_hh_tes_in!H22=0,0,11630*1000*SER_hh_tes_in!H22/SER_hh_num_in!H22)</f>
        <v>8197.7543901779063</v>
      </c>
      <c r="I22" s="132">
        <f>IF(SER_hh_tes_in!I22=0,0,11630*1000*SER_hh_tes_in!I22/SER_hh_num_in!I22)</f>
        <v>8102.5356253285709</v>
      </c>
      <c r="J22" s="132">
        <f>IF(SER_hh_tes_in!J22=0,0,11630*1000*SER_hh_tes_in!J22/SER_hh_num_in!J22)</f>
        <v>6415.612329544585</v>
      </c>
      <c r="K22" s="132">
        <f>IF(SER_hh_tes_in!K22=0,0,11630*1000*SER_hh_tes_in!K22/SER_hh_num_in!K22)</f>
        <v>7699.1602336096512</v>
      </c>
      <c r="L22" s="132">
        <f>IF(SER_hh_tes_in!L22=0,0,11630*1000*SER_hh_tes_in!L22/SER_hh_num_in!L22)</f>
        <v>6844.4416435959447</v>
      </c>
      <c r="M22" s="132">
        <f>IF(SER_hh_tes_in!M22=0,0,11630*1000*SER_hh_tes_in!M22/SER_hh_num_in!M22)</f>
        <v>8177.699046823891</v>
      </c>
      <c r="N22" s="132">
        <f>IF(SER_hh_tes_in!N22=0,0,11630*1000*SER_hh_tes_in!N22/SER_hh_num_in!N22)</f>
        <v>8304.1654467858898</v>
      </c>
      <c r="O22" s="132">
        <f>IF(SER_hh_tes_in!O22=0,0,11630*1000*SER_hh_tes_in!O22/SER_hh_num_in!O22)</f>
        <v>9086.3451858269891</v>
      </c>
      <c r="P22" s="132">
        <f>IF(SER_hh_tes_in!P22=0,0,11630*1000*SER_hh_tes_in!P22/SER_hh_num_in!P22)</f>
        <v>8763.1537209456092</v>
      </c>
      <c r="Q22" s="132">
        <f>IF(SER_hh_tes_in!Q22=0,0,11630*1000*SER_hh_tes_in!Q22/SER_hh_num_in!Q22)</f>
        <v>8980.1079490039974</v>
      </c>
      <c r="R22" s="132">
        <f>IF(SER_hh_tes_in!R22=0,0,11630*1000*SER_hh_tes_in!R22/SER_hh_num_in!R22)</f>
        <v>8700.4837551220426</v>
      </c>
      <c r="S22" s="132">
        <f>IF(SER_hh_tes_in!S22=0,0,11630*1000*SER_hh_tes_in!S22/SER_hh_num_in!S22)</f>
        <v>8729.4712670863246</v>
      </c>
      <c r="T22" s="132">
        <f>IF(SER_hh_tes_in!T22=0,0,11630*1000*SER_hh_tes_in!T22/SER_hh_num_in!T22)</f>
        <v>8899.749490345177</v>
      </c>
      <c r="U22" s="132">
        <f>IF(SER_hh_tes_in!U22=0,0,11630*1000*SER_hh_tes_in!U22/SER_hh_num_in!U22)</f>
        <v>8372.0720244868171</v>
      </c>
      <c r="V22" s="132">
        <f>IF(SER_hh_tes_in!V22=0,0,11630*1000*SER_hh_tes_in!V22/SER_hh_num_in!V22)</f>
        <v>6106.048992286188</v>
      </c>
      <c r="W22" s="132">
        <f>IF(SER_hh_tes_in!W22=0,0,11630*1000*SER_hh_tes_in!W22/SER_hh_num_in!W22)</f>
        <v>8760.8672226815634</v>
      </c>
      <c r="X22" s="132">
        <f>IF(SER_hh_tes_in!X22=0,0,11630*1000*SER_hh_tes_in!X22/SER_hh_num_in!X22)</f>
        <v>7036.2816575602665</v>
      </c>
      <c r="Y22" s="132">
        <f>IF(SER_hh_tes_in!Y22=0,0,11630*1000*SER_hh_tes_in!Y22/SER_hh_num_in!Y22)</f>
        <v>9015.7145859626817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8265.8721880604207</v>
      </c>
      <c r="D23" s="132">
        <f>IF(SER_hh_tes_in!D23=0,0,11630*1000*SER_hh_tes_in!D23/SER_hh_num_in!D23)</f>
        <v>8340.1505680490736</v>
      </c>
      <c r="E23" s="132">
        <f>IF(SER_hh_tes_in!E23=0,0,11630*1000*SER_hh_tes_in!E23/SER_hh_num_in!E23)</f>
        <v>8188.1560493050383</v>
      </c>
      <c r="F23" s="132">
        <f>IF(SER_hh_tes_in!F23=0,0,11630*1000*SER_hh_tes_in!F23/SER_hh_num_in!F23)</f>
        <v>8183.9595699415777</v>
      </c>
      <c r="G23" s="132">
        <f>IF(SER_hh_tes_in!G23=0,0,11630*1000*SER_hh_tes_in!G23/SER_hh_num_in!G23)</f>
        <v>7963.0255313398739</v>
      </c>
      <c r="H23" s="132">
        <f>IF(SER_hh_tes_in!H23=0,0,11630*1000*SER_hh_tes_in!H23/SER_hh_num_in!H23)</f>
        <v>8142.3187099682227</v>
      </c>
      <c r="I23" s="132">
        <f>IF(SER_hh_tes_in!I23=0,0,11630*1000*SER_hh_tes_in!I23/SER_hh_num_in!I23)</f>
        <v>8226.4137604450498</v>
      </c>
      <c r="J23" s="132">
        <f>IF(SER_hh_tes_in!J23=0,0,11630*1000*SER_hh_tes_in!J23/SER_hh_num_in!J23)</f>
        <v>6962.4359878521964</v>
      </c>
      <c r="K23" s="132">
        <f>IF(SER_hh_tes_in!K23=0,0,11630*1000*SER_hh_tes_in!K23/SER_hh_num_in!K23)</f>
        <v>7834.2429009240632</v>
      </c>
      <c r="L23" s="132">
        <f>IF(SER_hh_tes_in!L23=0,0,11630*1000*SER_hh_tes_in!L23/SER_hh_num_in!L23)</f>
        <v>7084.5260028868997</v>
      </c>
      <c r="M23" s="132">
        <f>IF(SER_hh_tes_in!M23=0,0,11630*1000*SER_hh_tes_in!M23/SER_hh_num_in!M23)</f>
        <v>8271.7297018506742</v>
      </c>
      <c r="N23" s="132">
        <f>IF(SER_hh_tes_in!N23=0,0,11630*1000*SER_hh_tes_in!N23/SER_hh_num_in!N23)</f>
        <v>8401.6141816732925</v>
      </c>
      <c r="O23" s="132">
        <f>IF(SER_hh_tes_in!O23=0,0,11630*1000*SER_hh_tes_in!O23/SER_hh_num_in!O23)</f>
        <v>9051.8608992822319</v>
      </c>
      <c r="P23" s="132">
        <f>IF(SER_hh_tes_in!P23=0,0,11630*1000*SER_hh_tes_in!P23/SER_hh_num_in!P23)</f>
        <v>8614.8161655625208</v>
      </c>
      <c r="Q23" s="132">
        <f>IF(SER_hh_tes_in!Q23=0,0,11630*1000*SER_hh_tes_in!Q23/SER_hh_num_in!Q23)</f>
        <v>8775.6519969499259</v>
      </c>
      <c r="R23" s="132">
        <f>IF(SER_hh_tes_in!R23=0,0,11630*1000*SER_hh_tes_in!R23/SER_hh_num_in!R23)</f>
        <v>8789.7032476841487</v>
      </c>
      <c r="S23" s="132">
        <f>IF(SER_hh_tes_in!S23=0,0,11630*1000*SER_hh_tes_in!S23/SER_hh_num_in!S23)</f>
        <v>8853.0036555046972</v>
      </c>
      <c r="T23" s="132">
        <f>IF(SER_hh_tes_in!T23=0,0,11630*1000*SER_hh_tes_in!T23/SER_hh_num_in!T23)</f>
        <v>9064.0963413321188</v>
      </c>
      <c r="U23" s="132">
        <f>IF(SER_hh_tes_in!U23=0,0,11630*1000*SER_hh_tes_in!U23/SER_hh_num_in!U23)</f>
        <v>8722.1593852337337</v>
      </c>
      <c r="V23" s="132">
        <f>IF(SER_hh_tes_in!V23=0,0,11630*1000*SER_hh_tes_in!V23/SER_hh_num_in!V23)</f>
        <v>5662.7883947123219</v>
      </c>
      <c r="W23" s="132">
        <f>IF(SER_hh_tes_in!W23=0,0,11630*1000*SER_hh_tes_in!W23/SER_hh_num_in!W23)</f>
        <v>8612.1091112980412</v>
      </c>
      <c r="X23" s="132">
        <f>IF(SER_hh_tes_in!X23=0,0,11630*1000*SER_hh_tes_in!X23/SER_hh_num_in!X23)</f>
        <v>6760.3977721547708</v>
      </c>
      <c r="Y23" s="132">
        <f>IF(SER_hh_tes_in!Y23=0,0,11630*1000*SER_hh_tes_in!Y23/SER_hh_num_in!Y23)</f>
        <v>9088.2405480140878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8323.6101037449498</v>
      </c>
      <c r="D25" s="132">
        <f>IF(SER_hh_tes_in!D25=0,0,11630*1000*SER_hh_tes_in!D25/SER_hh_num_in!D25)</f>
        <v>8660.8595408088313</v>
      </c>
      <c r="E25" s="132">
        <f>IF(SER_hh_tes_in!E25=0,0,11630*1000*SER_hh_tes_in!E25/SER_hh_num_in!E25)</f>
        <v>8795.7972142008675</v>
      </c>
      <c r="F25" s="132">
        <f>IF(SER_hh_tes_in!F25=0,0,11630*1000*SER_hh_tes_in!F25/SER_hh_num_in!F25)</f>
        <v>9011.6853757666777</v>
      </c>
      <c r="G25" s="132">
        <f>IF(SER_hh_tes_in!G25=0,0,11630*1000*SER_hh_tes_in!G25/SER_hh_num_in!G25)</f>
        <v>0</v>
      </c>
      <c r="H25" s="132">
        <f>IF(SER_hh_tes_in!H25=0,0,11630*1000*SER_hh_tes_in!H25/SER_hh_num_in!H25)</f>
        <v>0</v>
      </c>
      <c r="I25" s="132">
        <f>IF(SER_hh_tes_in!I25=0,0,11630*1000*SER_hh_tes_in!I25/SER_hh_num_in!I25)</f>
        <v>1828.9011876212469</v>
      </c>
      <c r="J25" s="132">
        <f>IF(SER_hh_tes_in!J25=0,0,11630*1000*SER_hh_tes_in!J25/SER_hh_num_in!J25)</f>
        <v>0</v>
      </c>
      <c r="K25" s="132">
        <f>IF(SER_hh_tes_in!K25=0,0,11630*1000*SER_hh_tes_in!K25/SER_hh_num_in!K25)</f>
        <v>0</v>
      </c>
      <c r="L25" s="132">
        <f>IF(SER_hh_tes_in!L25=0,0,11630*1000*SER_hh_tes_in!L25/SER_hh_num_in!L25)</f>
        <v>1801.3554551813652</v>
      </c>
      <c r="M25" s="132">
        <f>IF(SER_hh_tes_in!M25=0,0,11630*1000*SER_hh_tes_in!M25/SER_hh_num_in!M25)</f>
        <v>7014.8196212836938</v>
      </c>
      <c r="N25" s="132">
        <f>IF(SER_hh_tes_in!N25=0,0,11630*1000*SER_hh_tes_in!N25/SER_hh_num_in!N25)</f>
        <v>8318.3282442028503</v>
      </c>
      <c r="O25" s="132">
        <f>IF(SER_hh_tes_in!O25=0,0,11630*1000*SER_hh_tes_in!O25/SER_hh_num_in!O25)</f>
        <v>9590.2643505499982</v>
      </c>
      <c r="P25" s="132">
        <f>IF(SER_hh_tes_in!P25=0,0,11630*1000*SER_hh_tes_in!P25/SER_hh_num_in!P25)</f>
        <v>8856.3634641253193</v>
      </c>
      <c r="Q25" s="132">
        <f>IF(SER_hh_tes_in!Q25=0,0,11630*1000*SER_hh_tes_in!Q25/SER_hh_num_in!Q25)</f>
        <v>9271.6015868682771</v>
      </c>
      <c r="R25" s="132">
        <f>IF(SER_hh_tes_in!R25=0,0,11630*1000*SER_hh_tes_in!R25/SER_hh_num_in!R25)</f>
        <v>8723.3487905028178</v>
      </c>
      <c r="S25" s="132">
        <f>IF(SER_hh_tes_in!S25=0,0,11630*1000*SER_hh_tes_in!S25/SER_hh_num_in!S25)</f>
        <v>9251.2756528310056</v>
      </c>
      <c r="T25" s="132">
        <f>IF(SER_hh_tes_in!T25=0,0,11630*1000*SER_hh_tes_in!T25/SER_hh_num_in!T25)</f>
        <v>0</v>
      </c>
      <c r="U25" s="132">
        <f>IF(SER_hh_tes_in!U25=0,0,11630*1000*SER_hh_tes_in!U25/SER_hh_num_in!U25)</f>
        <v>0</v>
      </c>
      <c r="V25" s="132">
        <f>IF(SER_hh_tes_in!V25=0,0,11630*1000*SER_hh_tes_in!V25/SER_hh_num_in!V25)</f>
        <v>0</v>
      </c>
      <c r="W25" s="132">
        <f>IF(SER_hh_tes_in!W25=0,0,11630*1000*SER_hh_tes_in!W25/SER_hh_num_in!W25)</f>
        <v>0</v>
      </c>
      <c r="X25" s="132">
        <f>IF(SER_hh_tes_in!X25=0,0,11630*1000*SER_hh_tes_in!X25/SER_hh_num_in!X25)</f>
        <v>0</v>
      </c>
      <c r="Y25" s="132">
        <f>IF(SER_hh_tes_in!Y25=0,0,11630*1000*SER_hh_tes_in!Y25/SER_hh_num_in!Y25)</f>
        <v>0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6521.199598035284</v>
      </c>
      <c r="D26" s="65">
        <f>IF(SER_hh_tes_in!D26=0,0,11630*1000*SER_hh_tes_in!D26/SER_hh_num_in!D26)</f>
        <v>5542.0614933862189</v>
      </c>
      <c r="E26" s="65">
        <f>IF(SER_hh_tes_in!E26=0,0,11630*1000*SER_hh_tes_in!E26/SER_hh_num_in!E26)</f>
        <v>6083.404357226208</v>
      </c>
      <c r="F26" s="65">
        <f>IF(SER_hh_tes_in!F26=0,0,11630*1000*SER_hh_tes_in!F26/SER_hh_num_in!F26)</f>
        <v>5602.069552363906</v>
      </c>
      <c r="G26" s="65">
        <f>IF(SER_hh_tes_in!G26=0,0,11630*1000*SER_hh_tes_in!G26/SER_hh_num_in!G26)</f>
        <v>2800.5388736350278</v>
      </c>
      <c r="H26" s="65">
        <f>IF(SER_hh_tes_in!H26=0,0,11630*1000*SER_hh_tes_in!H26/SER_hh_num_in!H26)</f>
        <v>5910.8952042315586</v>
      </c>
      <c r="I26" s="65">
        <f>IF(SER_hh_tes_in!I26=0,0,11630*1000*SER_hh_tes_in!I26/SER_hh_num_in!I26)</f>
        <v>3802.8364685060815</v>
      </c>
      <c r="J26" s="65">
        <f>IF(SER_hh_tes_in!J26=0,0,11630*1000*SER_hh_tes_in!J26/SER_hh_num_in!J26)</f>
        <v>1462.9508112299291</v>
      </c>
      <c r="K26" s="65">
        <f>IF(SER_hh_tes_in!K26=0,0,11630*1000*SER_hh_tes_in!K26/SER_hh_num_in!K26)</f>
        <v>1551.172672987592</v>
      </c>
      <c r="L26" s="65">
        <f>IF(SER_hh_tes_in!L26=0,0,11630*1000*SER_hh_tes_in!L26/SER_hh_num_in!L26)</f>
        <v>801.41867212222996</v>
      </c>
      <c r="M26" s="65">
        <f>IF(SER_hh_tes_in!M26=0,0,11630*1000*SER_hh_tes_in!M26/SER_hh_num_in!M26)</f>
        <v>165.73720953828047</v>
      </c>
      <c r="N26" s="65">
        <f>IF(SER_hh_tes_in!N26=0,0,11630*1000*SER_hh_tes_in!N26/SER_hh_num_in!N26)</f>
        <v>87.848913105790231</v>
      </c>
      <c r="O26" s="65">
        <f>IF(SER_hh_tes_in!O26=0,0,11630*1000*SER_hh_tes_in!O26/SER_hh_num_in!O26)</f>
        <v>87.306594760031146</v>
      </c>
      <c r="P26" s="65">
        <f>IF(SER_hh_tes_in!P26=0,0,11630*1000*SER_hh_tes_in!P26/SER_hh_num_in!P26)</f>
        <v>88.903877242326985</v>
      </c>
      <c r="Q26" s="65">
        <f>IF(SER_hh_tes_in!Q26=0,0,11630*1000*SER_hh_tes_in!Q26/SER_hh_num_in!Q26)</f>
        <v>89.580074022081874</v>
      </c>
      <c r="R26" s="65">
        <f>IF(SER_hh_tes_in!R26=0,0,11630*1000*SER_hh_tes_in!R26/SER_hh_num_in!R26)</f>
        <v>90.307724409967889</v>
      </c>
      <c r="S26" s="65">
        <f>IF(SER_hh_tes_in!S26=0,0,11630*1000*SER_hh_tes_in!S26/SER_hh_num_in!S26)</f>
        <v>86.888703819724583</v>
      </c>
      <c r="T26" s="65">
        <f>IF(SER_hh_tes_in!T26=0,0,11630*1000*SER_hh_tes_in!T26/SER_hh_num_in!T26)</f>
        <v>84.813729711545577</v>
      </c>
      <c r="U26" s="65">
        <f>IF(SER_hh_tes_in!U26=0,0,11630*1000*SER_hh_tes_in!U26/SER_hh_num_in!U26)</f>
        <v>85.119558955254277</v>
      </c>
      <c r="V26" s="65">
        <f>IF(SER_hh_tes_in!V26=0,0,11630*1000*SER_hh_tes_in!V26/SER_hh_num_in!V26)</f>
        <v>67.019320569961607</v>
      </c>
      <c r="W26" s="65">
        <f>IF(SER_hh_tes_in!W26=0,0,11630*1000*SER_hh_tes_in!W26/SER_hh_num_in!W26)</f>
        <v>76.872025807864176</v>
      </c>
      <c r="X26" s="65">
        <f>IF(SER_hh_tes_in!X26=0,0,11630*1000*SER_hh_tes_in!X26/SER_hh_num_in!X26)</f>
        <v>83.831462095900761</v>
      </c>
      <c r="Y26" s="65">
        <f>IF(SER_hh_tes_in!Y26=0,0,11630*1000*SER_hh_tes_in!Y26/SER_hh_num_in!Y26)</f>
        <v>85.107044274265974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1545.7268362560403</v>
      </c>
      <c r="D27" s="145">
        <f>IF(SER_hh_tes_in!D27=0,0,11630*1000*SER_hh_tes_in!D27/SER_hh_num_in!D19)</f>
        <v>2579.6959362631678</v>
      </c>
      <c r="E27" s="145">
        <f>IF(SER_hh_tes_in!E27=0,0,11630*1000*SER_hh_tes_in!E27/SER_hh_num_in!E19)</f>
        <v>1898.218428677741</v>
      </c>
      <c r="F27" s="145">
        <f>IF(SER_hh_tes_in!F27=0,0,11630*1000*SER_hh_tes_in!F27/SER_hh_num_in!F19)</f>
        <v>2305.1530187230501</v>
      </c>
      <c r="G27" s="145">
        <f>IF(SER_hh_tes_in!G27=0,0,11630*1000*SER_hh_tes_in!G27/SER_hh_num_in!G19)</f>
        <v>4289.4684978268815</v>
      </c>
      <c r="H27" s="145">
        <f>IF(SER_hh_tes_in!H27=0,0,11630*1000*SER_hh_tes_in!H27/SER_hh_num_in!H19)</f>
        <v>1890.7746845963024</v>
      </c>
      <c r="I27" s="145">
        <f>IF(SER_hh_tes_in!I27=0,0,11630*1000*SER_hh_tes_in!I27/SER_hh_num_in!I19)</f>
        <v>3365.5801405660668</v>
      </c>
      <c r="J27" s="145">
        <f>IF(SER_hh_tes_in!J27=0,0,11630*1000*SER_hh_tes_in!J27/SER_hh_num_in!J19)</f>
        <v>5391.620802965057</v>
      </c>
      <c r="K27" s="145">
        <f>IF(SER_hh_tes_in!K27=0,0,11630*1000*SER_hh_tes_in!K27/SER_hh_num_in!K19)</f>
        <v>4979.7375320394412</v>
      </c>
      <c r="L27" s="145">
        <f>IF(SER_hh_tes_in!L27=0,0,11630*1000*SER_hh_tes_in!L27/SER_hh_num_in!L19)</f>
        <v>5627.6130796812922</v>
      </c>
      <c r="M27" s="145">
        <f>IF(SER_hh_tes_in!M27=0,0,11630*1000*SER_hh_tes_in!M27/SER_hh_num_in!M19)</f>
        <v>5565.5518801793469</v>
      </c>
      <c r="N27" s="145">
        <f>IF(SER_hh_tes_in!N27=0,0,11630*1000*SER_hh_tes_in!N27/SER_hh_num_in!N19)</f>
        <v>5275.5664160131191</v>
      </c>
      <c r="O27" s="145">
        <f>IF(SER_hh_tes_in!O27=0,0,11630*1000*SER_hh_tes_in!O27/SER_hh_num_in!O19)</f>
        <v>5491.2686788516075</v>
      </c>
      <c r="P27" s="145">
        <f>IF(SER_hh_tes_in!P27=0,0,11630*1000*SER_hh_tes_in!P27/SER_hh_num_in!P19)</f>
        <v>6312.1630309281099</v>
      </c>
      <c r="Q27" s="145">
        <f>IF(SER_hh_tes_in!Q27=0,0,11630*1000*SER_hh_tes_in!Q27/SER_hh_num_in!Q19)</f>
        <v>6027.218010015873</v>
      </c>
      <c r="R27" s="145">
        <f>IF(SER_hh_tes_in!R27=0,0,11630*1000*SER_hh_tes_in!R27/SER_hh_num_in!R19)</f>
        <v>5763.0235018893336</v>
      </c>
      <c r="S27" s="145">
        <f>IF(SER_hh_tes_in!S27=0,0,11630*1000*SER_hh_tes_in!S27/SER_hh_num_in!S19)</f>
        <v>5537.2370453925487</v>
      </c>
      <c r="T27" s="145">
        <f>IF(SER_hh_tes_in!T27=0,0,11630*1000*SER_hh_tes_in!T27/SER_hh_num_in!T19)</f>
        <v>5243.6084051450134</v>
      </c>
      <c r="U27" s="145">
        <f>IF(SER_hh_tes_in!U27=0,0,11630*1000*SER_hh_tes_in!U27/SER_hh_num_in!U19)</f>
        <v>5408.1420021714302</v>
      </c>
      <c r="V27" s="145">
        <f>IF(SER_hh_tes_in!V27=0,0,11630*1000*SER_hh_tes_in!V27/SER_hh_num_in!V19)</f>
        <v>5861.2625353522371</v>
      </c>
      <c r="W27" s="145">
        <f>IF(SER_hh_tes_in!W27=0,0,11630*1000*SER_hh_tes_in!W27/SER_hh_num_in!W19)</f>
        <v>5515.3895793135498</v>
      </c>
      <c r="X27" s="145">
        <f>IF(SER_hh_tes_in!X27=0,0,11630*1000*SER_hh_tes_in!X27/SER_hh_num_in!X19)</f>
        <v>6570.0508732964245</v>
      </c>
      <c r="Y27" s="145">
        <f>IF(SER_hh_tes_in!Y27=0,0,11630*1000*SER_hh_tes_in!Y27/SER_hh_num_in!Y19)</f>
        <v>6056.447830581109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6816.1034061874252</v>
      </c>
      <c r="D28" s="146">
        <f>IF(SER_hh_tes_in!D27=0,0,11630*1000*SER_hh_tes_in!D27/SER_hh_num_in!D27)</f>
        <v>6865.7722062247967</v>
      </c>
      <c r="E28" s="146">
        <f>IF(SER_hh_tes_in!E27=0,0,11630*1000*SER_hh_tes_in!E27/SER_hh_num_in!E27)</f>
        <v>7238.4258276938908</v>
      </c>
      <c r="F28" s="146">
        <f>IF(SER_hh_tes_in!F27=0,0,11630*1000*SER_hh_tes_in!F27/SER_hh_num_in!F27)</f>
        <v>7301.2929241107195</v>
      </c>
      <c r="G28" s="146">
        <f>IF(SER_hh_tes_in!G27=0,0,11630*1000*SER_hh_tes_in!G27/SER_hh_num_in!G27)</f>
        <v>6927.904744511221</v>
      </c>
      <c r="H28" s="146">
        <f>IF(SER_hh_tes_in!H27=0,0,11630*1000*SER_hh_tes_in!H27/SER_hh_num_in!H27)</f>
        <v>7085.6984242924964</v>
      </c>
      <c r="I28" s="146">
        <f>IF(SER_hh_tes_in!I27=0,0,11630*1000*SER_hh_tes_in!I27/SER_hh_num_in!I27)</f>
        <v>7139.6665884284403</v>
      </c>
      <c r="J28" s="146">
        <f>IF(SER_hh_tes_in!J27=0,0,11630*1000*SER_hh_tes_in!J27/SER_hh_num_in!J27)</f>
        <v>7181.4301969485668</v>
      </c>
      <c r="K28" s="146">
        <f>IF(SER_hh_tes_in!K27=0,0,11630*1000*SER_hh_tes_in!K27/SER_hh_num_in!K27)</f>
        <v>7230.5040488700233</v>
      </c>
      <c r="L28" s="146">
        <f>IF(SER_hh_tes_in!L27=0,0,11630*1000*SER_hh_tes_in!L27/SER_hh_num_in!L27)</f>
        <v>7657.22410045986</v>
      </c>
      <c r="M28" s="146">
        <f>IF(SER_hh_tes_in!M27=0,0,11630*1000*SER_hh_tes_in!M27/SER_hh_num_in!M27)</f>
        <v>8495.5782029065304</v>
      </c>
      <c r="N28" s="146">
        <f>IF(SER_hh_tes_in!N27=0,0,11630*1000*SER_hh_tes_in!N27/SER_hh_num_in!N27)</f>
        <v>8443.3080978746821</v>
      </c>
      <c r="O28" s="146">
        <f>IF(SER_hh_tes_in!O27=0,0,11630*1000*SER_hh_tes_in!O27/SER_hh_num_in!O27)</f>
        <v>9097.5193097291758</v>
      </c>
      <c r="P28" s="146">
        <f>IF(SER_hh_tes_in!P27=0,0,11630*1000*SER_hh_tes_in!P27/SER_hh_num_in!P27)</f>
        <v>9083.471985103195</v>
      </c>
      <c r="Q28" s="146">
        <f>IF(SER_hh_tes_in!Q27=0,0,11630*1000*SER_hh_tes_in!Q27/SER_hh_num_in!Q27)</f>
        <v>9137.4675509513672</v>
      </c>
      <c r="R28" s="146">
        <f>IF(SER_hh_tes_in!R27=0,0,11630*1000*SER_hh_tes_in!R27/SER_hh_num_in!R27)</f>
        <v>8985.0757934276517</v>
      </c>
      <c r="S28" s="146">
        <f>IF(SER_hh_tes_in!S27=0,0,11630*1000*SER_hh_tes_in!S27/SER_hh_num_in!S27)</f>
        <v>8889.2843568968747</v>
      </c>
      <c r="T28" s="146">
        <f>IF(SER_hh_tes_in!T27=0,0,11630*1000*SER_hh_tes_in!T27/SER_hh_num_in!T27)</f>
        <v>9239.6836812791862</v>
      </c>
      <c r="U28" s="146">
        <f>IF(SER_hh_tes_in!U27=0,0,11630*1000*SER_hh_tes_in!U27/SER_hh_num_in!U27)</f>
        <v>9056.7084204045659</v>
      </c>
      <c r="V28" s="146">
        <f>IF(SER_hh_tes_in!V27=0,0,11630*1000*SER_hh_tes_in!V27/SER_hh_num_in!V27)</f>
        <v>7547.5082186030722</v>
      </c>
      <c r="W28" s="146">
        <f>IF(SER_hh_tes_in!W27=0,0,11630*1000*SER_hh_tes_in!W27/SER_hh_num_in!W27)</f>
        <v>8994.392411748011</v>
      </c>
      <c r="X28" s="146">
        <f>IF(SER_hh_tes_in!X27=0,0,11630*1000*SER_hh_tes_in!X27/SER_hh_num_in!X27)</f>
        <v>8039.6592238814364</v>
      </c>
      <c r="Y28" s="146">
        <f>IF(SER_hh_tes_in!Y27=0,0,11630*1000*SER_hh_tes_in!Y27/SER_hh_num_in!Y27)</f>
        <v>8899.4207405720863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7954.3696907324156</v>
      </c>
      <c r="D29" s="130">
        <f>IF(SER_hh_tes_in!D29=0,0,11630*1000*SER_hh_tes_in!D29/SER_hh_num_in!D29)</f>
        <v>8571.7262645130959</v>
      </c>
      <c r="E29" s="130">
        <f>IF(SER_hh_tes_in!E29=0,0,11630*1000*SER_hh_tes_in!E29/SER_hh_num_in!E29)</f>
        <v>8527.8775663961151</v>
      </c>
      <c r="F29" s="130">
        <f>IF(SER_hh_tes_in!F29=0,0,11630*1000*SER_hh_tes_in!F29/SER_hh_num_in!F29)</f>
        <v>8525.926496764685</v>
      </c>
      <c r="G29" s="130">
        <f>IF(SER_hh_tes_in!G29=0,0,11630*1000*SER_hh_tes_in!G29/SER_hh_num_in!G29)</f>
        <v>9586.7664299151384</v>
      </c>
      <c r="H29" s="130">
        <f>IF(SER_hh_tes_in!H29=0,0,11630*1000*SER_hh_tes_in!H29/SER_hh_num_in!H29)</f>
        <v>9001.3271988251145</v>
      </c>
      <c r="I29" s="130">
        <f>IF(SER_hh_tes_in!I29=0,0,11630*1000*SER_hh_tes_in!I29/SER_hh_num_in!I29)</f>
        <v>8967.337770367305</v>
      </c>
      <c r="J29" s="130">
        <f>IF(SER_hh_tes_in!J29=0,0,11630*1000*SER_hh_tes_in!J29/SER_hh_num_in!J29)</f>
        <v>8772.0877298470004</v>
      </c>
      <c r="K29" s="130">
        <f>IF(SER_hh_tes_in!K29=0,0,11630*1000*SER_hh_tes_in!K29/SER_hh_num_in!K29)</f>
        <v>8302.3769351371611</v>
      </c>
      <c r="L29" s="130">
        <f>IF(SER_hh_tes_in!L29=0,0,11630*1000*SER_hh_tes_in!L29/SER_hh_num_in!L29)</f>
        <v>10056.331123580851</v>
      </c>
      <c r="M29" s="130">
        <f>IF(SER_hh_tes_in!M29=0,0,11630*1000*SER_hh_tes_in!M29/SER_hh_num_in!M29)</f>
        <v>9487.5065493041839</v>
      </c>
      <c r="N29" s="130">
        <f>IF(SER_hh_tes_in!N29=0,0,11630*1000*SER_hh_tes_in!N29/SER_hh_num_in!N29)</f>
        <v>14185.811980032584</v>
      </c>
      <c r="O29" s="130">
        <f>IF(SER_hh_tes_in!O29=0,0,11630*1000*SER_hh_tes_in!O29/SER_hh_num_in!O29)</f>
        <v>8416.3396113105719</v>
      </c>
      <c r="P29" s="130">
        <f>IF(SER_hh_tes_in!P29=0,0,11630*1000*SER_hh_tes_in!P29/SER_hh_num_in!P29)</f>
        <v>9841.0659182060081</v>
      </c>
      <c r="Q29" s="130">
        <f>IF(SER_hh_tes_in!Q29=0,0,11630*1000*SER_hh_tes_in!Q29/SER_hh_num_in!Q29)</f>
        <v>9600.773542869676</v>
      </c>
      <c r="R29" s="130">
        <f>IF(SER_hh_tes_in!R29=0,0,11630*1000*SER_hh_tes_in!R29/SER_hh_num_in!R29)</f>
        <v>9420.7454107382182</v>
      </c>
      <c r="S29" s="130">
        <f>IF(SER_hh_tes_in!S29=0,0,11630*1000*SER_hh_tes_in!S29/SER_hh_num_in!S29)</f>
        <v>9643.6606409160831</v>
      </c>
      <c r="T29" s="130">
        <f>IF(SER_hh_tes_in!T29=0,0,11630*1000*SER_hh_tes_in!T29/SER_hh_num_in!T29)</f>
        <v>9737.6673792086422</v>
      </c>
      <c r="U29" s="130">
        <f>IF(SER_hh_tes_in!U29=0,0,11630*1000*SER_hh_tes_in!U29/SER_hh_num_in!U29)</f>
        <v>9258.6509740020174</v>
      </c>
      <c r="V29" s="130">
        <f>IF(SER_hh_tes_in!V29=0,0,11630*1000*SER_hh_tes_in!V29/SER_hh_num_in!V29)</f>
        <v>9673.8960241078403</v>
      </c>
      <c r="W29" s="130">
        <f>IF(SER_hh_tes_in!W29=0,0,11630*1000*SER_hh_tes_in!W29/SER_hh_num_in!W29)</f>
        <v>9963.974376062366</v>
      </c>
      <c r="X29" s="130">
        <f>IF(SER_hh_tes_in!X29=0,0,11630*1000*SER_hh_tes_in!X29/SER_hh_num_in!X29)</f>
        <v>9982.8356171692685</v>
      </c>
      <c r="Y29" s="130">
        <f>IF(SER_hh_tes_in!Y29=0,0,11630*1000*SER_hh_tes_in!Y29/SER_hh_num_in!Y29)</f>
        <v>10191.18397718059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6214.9555583986185</v>
      </c>
      <c r="D30" s="132">
        <f>IF(SER_hh_tes_in!D30=0,0,11630*1000*SER_hh_tes_in!D30/SER_hh_num_in!D30)</f>
        <v>8762.3319612477462</v>
      </c>
      <c r="E30" s="132">
        <f>IF(SER_hh_tes_in!E30=0,0,11630*1000*SER_hh_tes_in!E30/SER_hh_num_in!E30)</f>
        <v>8242.9997446557318</v>
      </c>
      <c r="F30" s="132">
        <f>IF(SER_hh_tes_in!F30=0,0,11630*1000*SER_hh_tes_in!F30/SER_hh_num_in!F30)</f>
        <v>8164.6414983463874</v>
      </c>
      <c r="G30" s="132">
        <f>IF(SER_hh_tes_in!G30=0,0,11630*1000*SER_hh_tes_in!G30/SER_hh_num_in!G30)</f>
        <v>10318.374104025206</v>
      </c>
      <c r="H30" s="132">
        <f>IF(SER_hh_tes_in!H30=0,0,11630*1000*SER_hh_tes_in!H30/SER_hh_num_in!H30)</f>
        <v>8687.7832780157187</v>
      </c>
      <c r="I30" s="132">
        <f>IF(SER_hh_tes_in!I30=0,0,11630*1000*SER_hh_tes_in!I30/SER_hh_num_in!I30)</f>
        <v>8788.4259544771357</v>
      </c>
      <c r="J30" s="132">
        <f>IF(SER_hh_tes_in!J30=0,0,11630*1000*SER_hh_tes_in!J30/SER_hh_num_in!J30)</f>
        <v>10332.845269832898</v>
      </c>
      <c r="K30" s="132">
        <f>IF(SER_hh_tes_in!K30=0,0,11630*1000*SER_hh_tes_in!K30/SER_hh_num_in!K30)</f>
        <v>0</v>
      </c>
      <c r="L30" s="132">
        <f>IF(SER_hh_tes_in!L30=0,0,11630*1000*SER_hh_tes_in!L30/SER_hh_num_in!L30)</f>
        <v>0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6741.3177291863094</v>
      </c>
      <c r="O30" s="132">
        <f>IF(SER_hh_tes_in!O30=0,0,11630*1000*SER_hh_tes_in!O30/SER_hh_num_in!O30)</f>
        <v>6755.7297514408219</v>
      </c>
      <c r="P30" s="132">
        <f>IF(SER_hh_tes_in!P30=0,0,11630*1000*SER_hh_tes_in!P30/SER_hh_num_in!P30)</f>
        <v>10322.624447604052</v>
      </c>
      <c r="Q30" s="132">
        <f>IF(SER_hh_tes_in!Q30=0,0,11630*1000*SER_hh_tes_in!Q30/SER_hh_num_in!Q30)</f>
        <v>10131.795232947432</v>
      </c>
      <c r="R30" s="132">
        <f>IF(SER_hh_tes_in!R30=0,0,11630*1000*SER_hh_tes_in!R30/SER_hh_num_in!R30)</f>
        <v>8984.5500584831007</v>
      </c>
      <c r="S30" s="132">
        <f>IF(SER_hh_tes_in!S30=0,0,11630*1000*SER_hh_tes_in!S30/SER_hh_num_in!S30)</f>
        <v>8732.2969325891954</v>
      </c>
      <c r="T30" s="132">
        <f>IF(SER_hh_tes_in!T30=0,0,11630*1000*SER_hh_tes_in!T30/SER_hh_num_in!T30)</f>
        <v>11156.76046141744</v>
      </c>
      <c r="U30" s="132">
        <f>IF(SER_hh_tes_in!U30=0,0,11630*1000*SER_hh_tes_in!U30/SER_hh_num_in!U30)</f>
        <v>11113.051326327886</v>
      </c>
      <c r="V30" s="132">
        <f>IF(SER_hh_tes_in!V30=0,0,11630*1000*SER_hh_tes_in!V30/SER_hh_num_in!V30)</f>
        <v>0</v>
      </c>
      <c r="W30" s="132">
        <f>IF(SER_hh_tes_in!W30=0,0,11630*1000*SER_hh_tes_in!W30/SER_hh_num_in!W30)</f>
        <v>0</v>
      </c>
      <c r="X30" s="132">
        <f>IF(SER_hh_tes_in!X30=0,0,11630*1000*SER_hh_tes_in!X30/SER_hh_num_in!X30)</f>
        <v>10737.525911430177</v>
      </c>
      <c r="Y30" s="132">
        <f>IF(SER_hh_tes_in!Y30=0,0,11630*1000*SER_hh_tes_in!Y30/SER_hh_num_in!Y30)</f>
        <v>10187.444331354525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7846.3187718248773</v>
      </c>
      <c r="D31" s="132">
        <f>IF(SER_hh_tes_in!D31=0,0,11630*1000*SER_hh_tes_in!D31/SER_hh_num_in!D31)</f>
        <v>8428.5932764984991</v>
      </c>
      <c r="E31" s="132">
        <f>IF(SER_hh_tes_in!E31=0,0,11630*1000*SER_hh_tes_in!E31/SER_hh_num_in!E31)</f>
        <v>8364.7199484478624</v>
      </c>
      <c r="F31" s="132">
        <f>IF(SER_hh_tes_in!F31=0,0,11630*1000*SER_hh_tes_in!F31/SER_hh_num_in!F31)</f>
        <v>8870.0225754906078</v>
      </c>
      <c r="G31" s="132">
        <f>IF(SER_hh_tes_in!G31=0,0,11630*1000*SER_hh_tes_in!G31/SER_hh_num_in!G31)</f>
        <v>9024.8494356245847</v>
      </c>
      <c r="H31" s="132">
        <f>IF(SER_hh_tes_in!H31=0,0,11630*1000*SER_hh_tes_in!H31/SER_hh_num_in!H31)</f>
        <v>9050.3625635798544</v>
      </c>
      <c r="I31" s="132">
        <f>IF(SER_hh_tes_in!I31=0,0,11630*1000*SER_hh_tes_in!I31/SER_hh_num_in!I31)</f>
        <v>8966.1498369383226</v>
      </c>
      <c r="J31" s="132">
        <f>IF(SER_hh_tes_in!J31=0,0,11630*1000*SER_hh_tes_in!J31/SER_hh_num_in!J31)</f>
        <v>8648.224398043114</v>
      </c>
      <c r="K31" s="132">
        <f>IF(SER_hh_tes_in!K31=0,0,11630*1000*SER_hh_tes_in!K31/SER_hh_num_in!K31)</f>
        <v>8739.4528199988836</v>
      </c>
      <c r="L31" s="132">
        <f>IF(SER_hh_tes_in!L31=0,0,11630*1000*SER_hh_tes_in!L31/SER_hh_num_in!L31)</f>
        <v>9732.4398202681004</v>
      </c>
      <c r="M31" s="132">
        <f>IF(SER_hh_tes_in!M31=0,0,11630*1000*SER_hh_tes_in!M31/SER_hh_num_in!M31)</f>
        <v>9094.2904763228617</v>
      </c>
      <c r="N31" s="132">
        <f>IF(SER_hh_tes_in!N31=0,0,11630*1000*SER_hh_tes_in!N31/SER_hh_num_in!N31)</f>
        <v>8520.6349557024987</v>
      </c>
      <c r="O31" s="132">
        <f>IF(SER_hh_tes_in!O31=0,0,11630*1000*SER_hh_tes_in!O31/SER_hh_num_in!O31)</f>
        <v>9425.3146711609279</v>
      </c>
      <c r="P31" s="132">
        <f>IF(SER_hh_tes_in!P31=0,0,11630*1000*SER_hh_tes_in!P31/SER_hh_num_in!P31)</f>
        <v>8882.0060029927372</v>
      </c>
      <c r="Q31" s="132">
        <f>IF(SER_hh_tes_in!Q31=0,0,11630*1000*SER_hh_tes_in!Q31/SER_hh_num_in!Q31)</f>
        <v>9402.0906052412574</v>
      </c>
      <c r="R31" s="132">
        <f>IF(SER_hh_tes_in!R31=0,0,11630*1000*SER_hh_tes_in!R31/SER_hh_num_in!R31)</f>
        <v>9564.6073406923988</v>
      </c>
      <c r="S31" s="132">
        <f>IF(SER_hh_tes_in!S31=0,0,11630*1000*SER_hh_tes_in!S31/SER_hh_num_in!S31)</f>
        <v>9590.6618097193314</v>
      </c>
      <c r="T31" s="132">
        <f>IF(SER_hh_tes_in!T31=0,0,11630*1000*SER_hh_tes_in!T31/SER_hh_num_in!T31)</f>
        <v>9705.9225908210046</v>
      </c>
      <c r="U31" s="132">
        <f>IF(SER_hh_tes_in!U31=0,0,11630*1000*SER_hh_tes_in!U31/SER_hh_num_in!U31)</f>
        <v>10110.508096764539</v>
      </c>
      <c r="V31" s="132">
        <f>IF(SER_hh_tes_in!V31=0,0,11630*1000*SER_hh_tes_in!V31/SER_hh_num_in!V31)</f>
        <v>9677.483316308264</v>
      </c>
      <c r="W31" s="132">
        <f>IF(SER_hh_tes_in!W31=0,0,11630*1000*SER_hh_tes_in!W31/SER_hh_num_in!W31)</f>
        <v>9585.7703769983073</v>
      </c>
      <c r="X31" s="132">
        <f>IF(SER_hh_tes_in!X31=0,0,11630*1000*SER_hh_tes_in!X31/SER_hh_num_in!X31)</f>
        <v>9586.3116819645111</v>
      </c>
      <c r="Y31" s="132">
        <f>IF(SER_hh_tes_in!Y31=0,0,11630*1000*SER_hh_tes_in!Y31/SER_hh_num_in!Y31)</f>
        <v>10227.399938688706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15758.429097596148</v>
      </c>
      <c r="O32" s="132">
        <f>IF(SER_hh_tes_in!O32=0,0,11630*1000*SER_hh_tes_in!O32/SER_hh_num_in!O32)</f>
        <v>8588.9627241746712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9772.7577541602168</v>
      </c>
      <c r="X32" s="132">
        <f>IF(SER_hh_tes_in!X32=0,0,11630*1000*SER_hh_tes_in!X32/SER_hh_num_in!X32)</f>
        <v>9885.6346535384746</v>
      </c>
      <c r="Y32" s="132">
        <f>IF(SER_hh_tes_in!Y32=0,0,11630*1000*SER_hh_tes_in!Y32/SER_hh_num_in!Y32)</f>
        <v>10267.447220976912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8228.8350916564596</v>
      </c>
      <c r="D33" s="68">
        <f>IF(SER_hh_tes_in!D33=0,0,11630*1000*SER_hh_tes_in!D33/SER_hh_num_in!D33)</f>
        <v>8399.8016601489071</v>
      </c>
      <c r="E33" s="68">
        <f>IF(SER_hh_tes_in!E33=0,0,11630*1000*SER_hh_tes_in!E33/SER_hh_num_in!E33)</f>
        <v>8978.2697207171259</v>
      </c>
      <c r="F33" s="68">
        <f>IF(SER_hh_tes_in!F33=0,0,11630*1000*SER_hh_tes_in!F33/SER_hh_num_in!F33)</f>
        <v>9151.1298643597329</v>
      </c>
      <c r="G33" s="68">
        <f>IF(SER_hh_tes_in!G33=0,0,11630*1000*SER_hh_tes_in!G33/SER_hh_num_in!G33)</f>
        <v>7910.716933658623</v>
      </c>
      <c r="H33" s="68">
        <f>IF(SER_hh_tes_in!H33=0,0,11630*1000*SER_hh_tes_in!H33/SER_hh_num_in!H33)</f>
        <v>9164.4186054369347</v>
      </c>
      <c r="I33" s="68">
        <f>IF(SER_hh_tes_in!I33=0,0,11630*1000*SER_hh_tes_in!I33/SER_hh_num_in!I33)</f>
        <v>9063.2966195842673</v>
      </c>
      <c r="J33" s="68">
        <f>IF(SER_hh_tes_in!J33=0,0,11630*1000*SER_hh_tes_in!J33/SER_hh_num_in!J33)</f>
        <v>8595.5059996781965</v>
      </c>
      <c r="K33" s="68">
        <f>IF(SER_hh_tes_in!K33=0,0,11630*1000*SER_hh_tes_in!K33/SER_hh_num_in!K33)</f>
        <v>8227.2995777202414</v>
      </c>
      <c r="L33" s="68">
        <f>IF(SER_hh_tes_in!L33=0,0,11630*1000*SER_hh_tes_in!L33/SER_hh_num_in!L33)</f>
        <v>10107.813565066263</v>
      </c>
      <c r="M33" s="68">
        <f>IF(SER_hh_tes_in!M33=0,0,11630*1000*SER_hh_tes_in!M33/SER_hh_num_in!M33)</f>
        <v>9626.3598483675796</v>
      </c>
      <c r="N33" s="68">
        <f>IF(SER_hh_tes_in!N33=0,0,11630*1000*SER_hh_tes_in!N33/SER_hh_num_in!N33)</f>
        <v>0</v>
      </c>
      <c r="O33" s="68">
        <f>IF(SER_hh_tes_in!O33=0,0,11630*1000*SER_hh_tes_in!O33/SER_hh_num_in!O33)</f>
        <v>8884.840233535695</v>
      </c>
      <c r="P33" s="68">
        <f>IF(SER_hh_tes_in!P33=0,0,11630*1000*SER_hh_tes_in!P33/SER_hh_num_in!P33)</f>
        <v>8876.7805720934539</v>
      </c>
      <c r="Q33" s="68">
        <f>IF(SER_hh_tes_in!Q33=0,0,11630*1000*SER_hh_tes_in!Q33/SER_hh_num_in!Q33)</f>
        <v>8720.756679697346</v>
      </c>
      <c r="R33" s="68">
        <f>IF(SER_hh_tes_in!R33=0,0,11630*1000*SER_hh_tes_in!R33/SER_hh_num_in!R33)</f>
        <v>9728.8987746393541</v>
      </c>
      <c r="S33" s="68">
        <f>IF(SER_hh_tes_in!S33=0,0,11630*1000*SER_hh_tes_in!S33/SER_hh_num_in!S33)</f>
        <v>10221.887327397071</v>
      </c>
      <c r="T33" s="68">
        <f>IF(SER_hh_tes_in!T33=0,0,11630*1000*SER_hh_tes_in!T33/SER_hh_num_in!T33)</f>
        <v>9033.5987359208939</v>
      </c>
      <c r="U33" s="68">
        <f>IF(SER_hh_tes_in!U33=0,0,11630*1000*SER_hh_tes_in!U33/SER_hh_num_in!U33)</f>
        <v>9008.4436520096606</v>
      </c>
      <c r="V33" s="68">
        <f>IF(SER_hh_tes_in!V33=0,0,11630*1000*SER_hh_tes_in!V33/SER_hh_num_in!V33)</f>
        <v>9673.4042665123397</v>
      </c>
      <c r="W33" s="68">
        <f>IF(SER_hh_tes_in!W33=0,0,11630*1000*SER_hh_tes_in!W33/SER_hh_num_in!W33)</f>
        <v>10011.04462233194</v>
      </c>
      <c r="X33" s="68">
        <f>IF(SER_hh_tes_in!X33=0,0,11630*1000*SER_hh_tes_in!X33/SER_hh_num_in!X33)</f>
        <v>9904.2440844121993</v>
      </c>
      <c r="Y33" s="68">
        <f>IF(SER_hh_tes_in!Y33=0,0,11630*1000*SER_hh_tes_in!Y33/SER_hh_num_in!Y33)</f>
        <v>10117.361331358301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7451.0614209897894</v>
      </c>
      <c r="D3" s="125">
        <f>IF(SER_hh_emi_in!D3=0,0,1000000*SER_hh_emi_in!D3/SER_hh_num_in!D3)</f>
        <v>5788.7705279309712</v>
      </c>
      <c r="E3" s="125">
        <f>IF(SER_hh_emi_in!E3=0,0,1000000*SER_hh_emi_in!E3/SER_hh_num_in!E3)</f>
        <v>5085.5833807947783</v>
      </c>
      <c r="F3" s="125">
        <f>IF(SER_hh_emi_in!F3=0,0,1000000*SER_hh_emi_in!F3/SER_hh_num_in!F3)</f>
        <v>7231.9974702035242</v>
      </c>
      <c r="G3" s="125">
        <f>IF(SER_hh_emi_in!G3=0,0,1000000*SER_hh_emi_in!G3/SER_hh_num_in!G3)</f>
        <v>6116.8889532425846</v>
      </c>
      <c r="H3" s="125">
        <f>IF(SER_hh_emi_in!H3=0,0,1000000*SER_hh_emi_in!H3/SER_hh_num_in!H3)</f>
        <v>3606.6941553262923</v>
      </c>
      <c r="I3" s="125">
        <f>IF(SER_hh_emi_in!I3=0,0,1000000*SER_hh_emi_in!I3/SER_hh_num_in!I3)</f>
        <v>3968.4216708420849</v>
      </c>
      <c r="J3" s="125">
        <f>IF(SER_hh_emi_in!J3=0,0,1000000*SER_hh_emi_in!J3/SER_hh_num_in!J3)</f>
        <v>3503.287329841733</v>
      </c>
      <c r="K3" s="125">
        <f>IF(SER_hh_emi_in!K3=0,0,1000000*SER_hh_emi_in!K3/SER_hh_num_in!K3)</f>
        <v>3718.6787867091439</v>
      </c>
      <c r="L3" s="125">
        <f>IF(SER_hh_emi_in!L3=0,0,1000000*SER_hh_emi_in!L3/SER_hh_num_in!L3)</f>
        <v>2751.0492708850234</v>
      </c>
      <c r="M3" s="125">
        <f>IF(SER_hh_emi_in!M3=0,0,1000000*SER_hh_emi_in!M3/SER_hh_num_in!M3)</f>
        <v>3729.5256230814693</v>
      </c>
      <c r="N3" s="125">
        <f>IF(SER_hh_emi_in!N3=0,0,1000000*SER_hh_emi_in!N3/SER_hh_num_in!N3)</f>
        <v>2884.5175396947175</v>
      </c>
      <c r="O3" s="125">
        <f>IF(SER_hh_emi_in!O3=0,0,1000000*SER_hh_emi_in!O3/SER_hh_num_in!O3)</f>
        <v>6989.732136228632</v>
      </c>
      <c r="P3" s="125">
        <f>IF(SER_hh_emi_in!P3=0,0,1000000*SER_hh_emi_in!P3/SER_hh_num_in!P3)</f>
        <v>4803.365967731922</v>
      </c>
      <c r="Q3" s="125">
        <f>IF(SER_hh_emi_in!Q3=0,0,1000000*SER_hh_emi_in!Q3/SER_hh_num_in!Q3)</f>
        <v>6058.118036607355</v>
      </c>
      <c r="R3" s="125">
        <f>IF(SER_hh_emi_in!R3=0,0,1000000*SER_hh_emi_in!R3/SER_hh_num_in!R3)</f>
        <v>6422.2073773901511</v>
      </c>
      <c r="S3" s="125">
        <f>IF(SER_hh_emi_in!S3=0,0,1000000*SER_hh_emi_in!S3/SER_hh_num_in!S3)</f>
        <v>6122.6992683890803</v>
      </c>
      <c r="T3" s="125">
        <f>IF(SER_hh_emi_in!T3=0,0,1000000*SER_hh_emi_in!T3/SER_hh_num_in!T3)</f>
        <v>4309.852385010483</v>
      </c>
      <c r="U3" s="125">
        <f>IF(SER_hh_emi_in!U3=0,0,1000000*SER_hh_emi_in!U3/SER_hh_num_in!U3)</f>
        <v>3698.1678558916201</v>
      </c>
      <c r="V3" s="125">
        <f>IF(SER_hh_emi_in!V3=0,0,1000000*SER_hh_emi_in!V3/SER_hh_num_in!V3)</f>
        <v>1754.3568140592504</v>
      </c>
      <c r="W3" s="125">
        <f>IF(SER_hh_emi_in!W3=0,0,1000000*SER_hh_emi_in!W3/SER_hh_num_in!W3)</f>
        <v>1861.4707253064357</v>
      </c>
      <c r="X3" s="125">
        <f>IF(SER_hh_emi_in!X3=0,0,1000000*SER_hh_emi_in!X3/SER_hh_num_in!X3)</f>
        <v>2297.54773335243</v>
      </c>
      <c r="Y3" s="125">
        <f>IF(SER_hh_emi_in!Y3=0,0,1000000*SER_hh_emi_in!Y3/SER_hh_num_in!Y3)</f>
        <v>3530.2150455037458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6349.1205887560645</v>
      </c>
      <c r="D4" s="130">
        <f>IF(SER_hh_emi_in!D4=0,0,1000000*SER_hh_emi_in!D4/SER_hh_num_in!D4)</f>
        <v>3211.2615535651062</v>
      </c>
      <c r="E4" s="130">
        <f>IF(SER_hh_emi_in!E4=0,0,1000000*SER_hh_emi_in!E4/SER_hh_num_in!E4)</f>
        <v>2071.8262121614703</v>
      </c>
      <c r="F4" s="130">
        <f>IF(SER_hh_emi_in!F4=0,0,1000000*SER_hh_emi_in!F4/SER_hh_num_in!F4)</f>
        <v>3757.5636284475381</v>
      </c>
      <c r="G4" s="130">
        <f>IF(SER_hh_emi_in!G4=0,0,1000000*SER_hh_emi_in!G4/SER_hh_num_in!G4)</f>
        <v>1750.8737981316774</v>
      </c>
      <c r="H4" s="130">
        <f>IF(SER_hh_emi_in!H4=0,0,1000000*SER_hh_emi_in!H4/SER_hh_num_in!H4)</f>
        <v>860.74197733710821</v>
      </c>
      <c r="I4" s="130">
        <f>IF(SER_hh_emi_in!I4=0,0,1000000*SER_hh_emi_in!I4/SER_hh_num_in!I4)</f>
        <v>1228.6410815983324</v>
      </c>
      <c r="J4" s="130">
        <f>IF(SER_hh_emi_in!J4=0,0,1000000*SER_hh_emi_in!J4/SER_hh_num_in!J4)</f>
        <v>1659.6032519132818</v>
      </c>
      <c r="K4" s="130">
        <f>IF(SER_hh_emi_in!K4=0,0,1000000*SER_hh_emi_in!K4/SER_hh_num_in!K4)</f>
        <v>2001.8517221632728</v>
      </c>
      <c r="L4" s="130">
        <f>IF(SER_hh_emi_in!L4=0,0,1000000*SER_hh_emi_in!L4/SER_hh_num_in!L4)</f>
        <v>1050.8905369003337</v>
      </c>
      <c r="M4" s="130">
        <f>IF(SER_hh_emi_in!M4=0,0,1000000*SER_hh_emi_in!M4/SER_hh_num_in!M4)</f>
        <v>1401.2242942246824</v>
      </c>
      <c r="N4" s="130">
        <f>IF(SER_hh_emi_in!N4=0,0,1000000*SER_hh_emi_in!N4/SER_hh_num_in!N4)</f>
        <v>679.54514589564019</v>
      </c>
      <c r="O4" s="130">
        <f>IF(SER_hh_emi_in!O4=0,0,1000000*SER_hh_emi_in!O4/SER_hh_num_in!O4)</f>
        <v>2845.3885151217623</v>
      </c>
      <c r="P4" s="130">
        <f>IF(SER_hh_emi_in!P4=0,0,1000000*SER_hh_emi_in!P4/SER_hh_num_in!P4)</f>
        <v>13.450983311585755</v>
      </c>
      <c r="Q4" s="130">
        <f>IF(SER_hh_emi_in!Q4=0,0,1000000*SER_hh_emi_in!Q4/SER_hh_num_in!Q4)</f>
        <v>1965.9110151202412</v>
      </c>
      <c r="R4" s="130">
        <f>IF(SER_hh_emi_in!R4=0,0,1000000*SER_hh_emi_in!R4/SER_hh_num_in!R4)</f>
        <v>3197.6799995084762</v>
      </c>
      <c r="S4" s="130">
        <f>IF(SER_hh_emi_in!S4=0,0,1000000*SER_hh_emi_in!S4/SER_hh_num_in!S4)</f>
        <v>3141.1330309942055</v>
      </c>
      <c r="T4" s="130">
        <f>IF(SER_hh_emi_in!T4=0,0,1000000*SER_hh_emi_in!T4/SER_hh_num_in!T4)</f>
        <v>1053.457859365305</v>
      </c>
      <c r="U4" s="130">
        <f>IF(SER_hh_emi_in!U4=0,0,1000000*SER_hh_emi_in!U4/SER_hh_num_in!U4)</f>
        <v>1617.113038433783</v>
      </c>
      <c r="V4" s="130">
        <f>IF(SER_hh_emi_in!V4=0,0,1000000*SER_hh_emi_in!V4/SER_hh_num_in!V4)</f>
        <v>433.44273165103283</v>
      </c>
      <c r="W4" s="130">
        <f>IF(SER_hh_emi_in!W4=0,0,1000000*SER_hh_emi_in!W4/SER_hh_num_in!W4)</f>
        <v>441.38853374990936</v>
      </c>
      <c r="X4" s="130">
        <f>IF(SER_hh_emi_in!X4=0,0,1000000*SER_hh_emi_in!X4/SER_hh_num_in!X4)</f>
        <v>764.42065662062487</v>
      </c>
      <c r="Y4" s="130">
        <f>IF(SER_hh_emi_in!Y4=0,0,1000000*SER_hh_emi_in!Y4/SER_hh_num_in!Y4)</f>
        <v>482.43628670074747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9354.7373619383688</v>
      </c>
      <c r="D7" s="132">
        <f>IF(SER_hh_emi_in!D7=0,0,1000000*SER_hh_emi_in!D7/SER_hh_num_in!D7)</f>
        <v>9935.2892810748963</v>
      </c>
      <c r="E7" s="132">
        <f>IF(SER_hh_emi_in!E7=0,0,1000000*SER_hh_emi_in!E7/SER_hh_num_in!E7)</f>
        <v>10969.851978545983</v>
      </c>
      <c r="F7" s="132">
        <f>IF(SER_hh_emi_in!F7=0,0,1000000*SER_hh_emi_in!F7/SER_hh_num_in!F7)</f>
        <v>14468.441694298135</v>
      </c>
      <c r="G7" s="132">
        <f>IF(SER_hh_emi_in!G7=0,0,1000000*SER_hh_emi_in!G7/SER_hh_num_in!G7)</f>
        <v>17221.767797254048</v>
      </c>
      <c r="H7" s="132">
        <f>IF(SER_hh_emi_in!H7=0,0,1000000*SER_hh_emi_in!H7/SER_hh_num_in!H7)</f>
        <v>0</v>
      </c>
      <c r="I7" s="132">
        <f>IF(SER_hh_emi_in!I7=0,0,1000000*SER_hh_emi_in!I7/SER_hh_num_in!I7)</f>
        <v>0</v>
      </c>
      <c r="J7" s="132">
        <f>IF(SER_hh_emi_in!J7=0,0,1000000*SER_hh_emi_in!J7/SER_hh_num_in!J7)</f>
        <v>0</v>
      </c>
      <c r="K7" s="132">
        <f>IF(SER_hh_emi_in!K7=0,0,1000000*SER_hh_emi_in!K7/SER_hh_num_in!K7)</f>
        <v>0</v>
      </c>
      <c r="L7" s="132">
        <f>IF(SER_hh_emi_in!L7=0,0,1000000*SER_hh_emi_in!L7/SER_hh_num_in!L7)</f>
        <v>0</v>
      </c>
      <c r="M7" s="132">
        <f>IF(SER_hh_emi_in!M7=0,0,1000000*SER_hh_emi_in!M7/SER_hh_num_in!M7)</f>
        <v>0</v>
      </c>
      <c r="N7" s="132">
        <f>IF(SER_hh_emi_in!N7=0,0,1000000*SER_hh_emi_in!N7/SER_hh_num_in!N7)</f>
        <v>0</v>
      </c>
      <c r="O7" s="132">
        <f>IF(SER_hh_emi_in!O7=0,0,1000000*SER_hh_emi_in!O7/SER_hh_num_in!O7)</f>
        <v>15434.601072527506</v>
      </c>
      <c r="P7" s="132">
        <f>IF(SER_hh_emi_in!P7=0,0,1000000*SER_hh_emi_in!P7/SER_hh_num_in!P7)</f>
        <v>0</v>
      </c>
      <c r="Q7" s="132">
        <f>IF(SER_hh_emi_in!Q7=0,0,1000000*SER_hh_emi_in!Q7/SER_hh_num_in!Q7)</f>
        <v>0</v>
      </c>
      <c r="R7" s="132">
        <f>IF(SER_hh_emi_in!R7=0,0,1000000*SER_hh_emi_in!R7/SER_hh_num_in!R7)</f>
        <v>13692.379114407115</v>
      </c>
      <c r="S7" s="132">
        <f>IF(SER_hh_emi_in!S7=0,0,1000000*SER_hh_emi_in!S7/SER_hh_num_in!S7)</f>
        <v>13606.60808258868</v>
      </c>
      <c r="T7" s="132">
        <f>IF(SER_hh_emi_in!T7=0,0,1000000*SER_hh_emi_in!T7/SER_hh_num_in!T7)</f>
        <v>14744.430803487667</v>
      </c>
      <c r="U7" s="132">
        <f>IF(SER_hh_emi_in!U7=0,0,1000000*SER_hh_emi_in!U7/SER_hh_num_in!U7)</f>
        <v>14922.951956511273</v>
      </c>
      <c r="V7" s="132">
        <f>IF(SER_hh_emi_in!V7=0,0,1000000*SER_hh_emi_in!V7/SER_hh_num_in!V7)</f>
        <v>0</v>
      </c>
      <c r="W7" s="132">
        <f>IF(SER_hh_emi_in!W7=0,0,1000000*SER_hh_emi_in!W7/SER_hh_num_in!W7)</f>
        <v>0</v>
      </c>
      <c r="X7" s="132">
        <f>IF(SER_hh_emi_in!X7=0,0,1000000*SER_hh_emi_in!X7/SER_hh_num_in!X7)</f>
        <v>0</v>
      </c>
      <c r="Y7" s="132">
        <f>IF(SER_hh_emi_in!Y7=0,0,1000000*SER_hh_emi_in!Y7/SER_hh_num_in!Y7)</f>
        <v>0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2620.2500640108592</v>
      </c>
      <c r="D8" s="132">
        <f>IF(SER_hh_emi_in!D8=0,0,1000000*SER_hh_emi_in!D8/SER_hh_num_in!D8)</f>
        <v>3063.0753304817804</v>
      </c>
      <c r="E8" s="132">
        <f>IF(SER_hh_emi_in!E8=0,0,1000000*SER_hh_emi_in!E8/SER_hh_num_in!E8)</f>
        <v>3461.9694700165446</v>
      </c>
      <c r="F8" s="132">
        <f>IF(SER_hh_emi_in!F8=0,0,1000000*SER_hh_emi_in!F8/SER_hh_num_in!F8)</f>
        <v>3630.9183514244069</v>
      </c>
      <c r="G8" s="132">
        <f>IF(SER_hh_emi_in!G8=0,0,1000000*SER_hh_emi_in!G8/SER_hh_num_in!G8)</f>
        <v>3626.4171547661485</v>
      </c>
      <c r="H8" s="132">
        <f>IF(SER_hh_emi_in!H8=0,0,1000000*SER_hh_emi_in!H8/SER_hh_num_in!H8)</f>
        <v>3948.7802579977065</v>
      </c>
      <c r="I8" s="132">
        <f>IF(SER_hh_emi_in!I8=0,0,1000000*SER_hh_emi_in!I8/SER_hh_num_in!I8)</f>
        <v>4000.3652130756132</v>
      </c>
      <c r="J8" s="132">
        <f>IF(SER_hh_emi_in!J8=0,0,1000000*SER_hh_emi_in!J8/SER_hh_num_in!J8)</f>
        <v>4103.8969087965925</v>
      </c>
      <c r="K8" s="132">
        <f>IF(SER_hh_emi_in!K8=0,0,1000000*SER_hh_emi_in!K8/SER_hh_num_in!K8)</f>
        <v>3746.0617959613228</v>
      </c>
      <c r="L8" s="132">
        <f>IF(SER_hh_emi_in!L8=0,0,1000000*SER_hh_emi_in!L8/SER_hh_num_in!L8)</f>
        <v>3652.1303697204758</v>
      </c>
      <c r="M8" s="132">
        <f>IF(SER_hh_emi_in!M8=0,0,1000000*SER_hh_emi_in!M8/SER_hh_num_in!M8)</f>
        <v>3695.2117651425601</v>
      </c>
      <c r="N8" s="132">
        <f>IF(SER_hh_emi_in!N8=0,0,1000000*SER_hh_emi_in!N8/SER_hh_num_in!N8)</f>
        <v>3525.6670636152126</v>
      </c>
      <c r="O8" s="132">
        <f>IF(SER_hh_emi_in!O8=0,0,1000000*SER_hh_emi_in!O8/SER_hh_num_in!O8)</f>
        <v>3483.7419362776473</v>
      </c>
      <c r="P8" s="132">
        <f>IF(SER_hh_emi_in!P8=0,0,1000000*SER_hh_emi_in!P8/SER_hh_num_in!P8)</f>
        <v>3529.292084918417</v>
      </c>
      <c r="Q8" s="132">
        <f>IF(SER_hh_emi_in!Q8=0,0,1000000*SER_hh_emi_in!Q8/SER_hh_num_in!Q8)</f>
        <v>3453.9461754273411</v>
      </c>
      <c r="R8" s="132">
        <f>IF(SER_hh_emi_in!R8=0,0,1000000*SER_hh_emi_in!R8/SER_hh_num_in!R8)</f>
        <v>3098.852232467591</v>
      </c>
      <c r="S8" s="132">
        <f>IF(SER_hh_emi_in!S8=0,0,1000000*SER_hh_emi_in!S8/SER_hh_num_in!S8)</f>
        <v>2883.0034890023949</v>
      </c>
      <c r="T8" s="132">
        <f>IF(SER_hh_emi_in!T8=0,0,1000000*SER_hh_emi_in!T8/SER_hh_num_in!T8)</f>
        <v>2810.4307731030581</v>
      </c>
      <c r="U8" s="132">
        <f>IF(SER_hh_emi_in!U8=0,0,1000000*SER_hh_emi_in!U8/SER_hh_num_in!U8)</f>
        <v>2766.820063232245</v>
      </c>
      <c r="V8" s="132">
        <f>IF(SER_hh_emi_in!V8=0,0,1000000*SER_hh_emi_in!V8/SER_hh_num_in!V8)</f>
        <v>2569.5147933726898</v>
      </c>
      <c r="W8" s="132">
        <f>IF(SER_hh_emi_in!W8=0,0,1000000*SER_hh_emi_in!W8/SER_hh_num_in!W8)</f>
        <v>2631.8704981278429</v>
      </c>
      <c r="X8" s="132">
        <f>IF(SER_hh_emi_in!X8=0,0,1000000*SER_hh_emi_in!X8/SER_hh_num_in!X8)</f>
        <v>2848.3058441986695</v>
      </c>
      <c r="Y8" s="132">
        <f>IF(SER_hh_emi_in!Y8=0,0,1000000*SER_hh_emi_in!Y8/SER_hh_num_in!Y8)</f>
        <v>2983.5196239335128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6235.6095179050963</v>
      </c>
      <c r="D9" s="132">
        <f>IF(SER_hh_emi_in!D9=0,0,1000000*SER_hh_emi_in!D9/SER_hh_num_in!D9)</f>
        <v>7795.6432140236357</v>
      </c>
      <c r="E9" s="132">
        <f>IF(SER_hh_emi_in!E9=0,0,1000000*SER_hh_emi_in!E9/SER_hh_num_in!E9)</f>
        <v>8315.0828502642307</v>
      </c>
      <c r="F9" s="132">
        <f>IF(SER_hh_emi_in!F9=0,0,1000000*SER_hh_emi_in!F9/SER_hh_num_in!F9)</f>
        <v>10438.634342211089</v>
      </c>
      <c r="G9" s="132">
        <f>IF(SER_hh_emi_in!G9=0,0,1000000*SER_hh_emi_in!G9/SER_hh_num_in!G9)</f>
        <v>0</v>
      </c>
      <c r="H9" s="132">
        <f>IF(SER_hh_emi_in!H9=0,0,1000000*SER_hh_emi_in!H9/SER_hh_num_in!H9)</f>
        <v>11837.385638053463</v>
      </c>
      <c r="I9" s="132">
        <f>IF(SER_hh_emi_in!I9=0,0,1000000*SER_hh_emi_in!I9/SER_hh_num_in!I9)</f>
        <v>12305.32886539496</v>
      </c>
      <c r="J9" s="132">
        <f>IF(SER_hh_emi_in!J9=0,0,1000000*SER_hh_emi_in!J9/SER_hh_num_in!J9)</f>
        <v>12349.922307605415</v>
      </c>
      <c r="K9" s="132">
        <f>IF(SER_hh_emi_in!K9=0,0,1000000*SER_hh_emi_in!K9/SER_hh_num_in!K9)</f>
        <v>13198.872312451713</v>
      </c>
      <c r="L9" s="132">
        <f>IF(SER_hh_emi_in!L9=0,0,1000000*SER_hh_emi_in!L9/SER_hh_num_in!L9)</f>
        <v>11432.738308679571</v>
      </c>
      <c r="M9" s="132">
        <f>IF(SER_hh_emi_in!M9=0,0,1000000*SER_hh_emi_in!M9/SER_hh_num_in!M9)</f>
        <v>12549.132966183763</v>
      </c>
      <c r="N9" s="132">
        <f>IF(SER_hh_emi_in!N9=0,0,1000000*SER_hh_emi_in!N9/SER_hh_num_in!N9)</f>
        <v>12417.942122218672</v>
      </c>
      <c r="O9" s="132">
        <f>IF(SER_hh_emi_in!O9=0,0,1000000*SER_hh_emi_in!O9/SER_hh_num_in!O9)</f>
        <v>11585.242698879369</v>
      </c>
      <c r="P9" s="132">
        <f>IF(SER_hh_emi_in!P9=0,0,1000000*SER_hh_emi_in!P9/SER_hh_num_in!P9)</f>
        <v>0</v>
      </c>
      <c r="Q9" s="132">
        <f>IF(SER_hh_emi_in!Q9=0,0,1000000*SER_hh_emi_in!Q9/SER_hh_num_in!Q9)</f>
        <v>11351.56408414947</v>
      </c>
      <c r="R9" s="132">
        <f>IF(SER_hh_emi_in!R9=0,0,1000000*SER_hh_emi_in!R9/SER_hh_num_in!R9)</f>
        <v>11475.938908634387</v>
      </c>
      <c r="S9" s="132">
        <f>IF(SER_hh_emi_in!S9=0,0,1000000*SER_hh_emi_in!S9/SER_hh_num_in!S9)</f>
        <v>11009.399587822418</v>
      </c>
      <c r="T9" s="132">
        <f>IF(SER_hh_emi_in!T9=0,0,1000000*SER_hh_emi_in!T9/SER_hh_num_in!T9)</f>
        <v>11498.874351037082</v>
      </c>
      <c r="U9" s="132">
        <f>IF(SER_hh_emi_in!U9=0,0,1000000*SER_hh_emi_in!U9/SER_hh_num_in!U9)</f>
        <v>0</v>
      </c>
      <c r="V9" s="132">
        <f>IF(SER_hh_emi_in!V9=0,0,1000000*SER_hh_emi_in!V9/SER_hh_num_in!V9)</f>
        <v>7734.5291294603385</v>
      </c>
      <c r="W9" s="132">
        <f>IF(SER_hh_emi_in!W9=0,0,1000000*SER_hh_emi_in!W9/SER_hh_num_in!W9)</f>
        <v>10609.503433478221</v>
      </c>
      <c r="X9" s="132">
        <f>IF(SER_hh_emi_in!X9=0,0,1000000*SER_hh_emi_in!X9/SER_hh_num_in!X9)</f>
        <v>10332.610890540838</v>
      </c>
      <c r="Y9" s="132">
        <f>IF(SER_hh_emi_in!Y9=0,0,1000000*SER_hh_emi_in!Y9/SER_hh_num_in!Y9)</f>
        <v>10913.919482933266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8.4644415444825896</v>
      </c>
      <c r="D16" s="130">
        <f>IF(SER_hh_emi_in!D16=0,0,1000000*SER_hh_emi_in!D16/SER_hh_num_in!D16)</f>
        <v>3.645596710844937</v>
      </c>
      <c r="E16" s="130">
        <f>IF(SER_hh_emi_in!E16=0,0,1000000*SER_hh_emi_in!E16/SER_hh_num_in!E16)</f>
        <v>5.053198905241711</v>
      </c>
      <c r="F16" s="130">
        <f>IF(SER_hh_emi_in!F16=0,0,1000000*SER_hh_emi_in!F16/SER_hh_num_in!F16)</f>
        <v>19.092783607232541</v>
      </c>
      <c r="G16" s="130">
        <f>IF(SER_hh_emi_in!G16=0,0,1000000*SER_hh_emi_in!G16/SER_hh_num_in!G16)</f>
        <v>10.591426720560444</v>
      </c>
      <c r="H16" s="130">
        <f>IF(SER_hh_emi_in!H16=0,0,1000000*SER_hh_emi_in!H16/SER_hh_num_in!H16)</f>
        <v>14.520095984948309</v>
      </c>
      <c r="I16" s="130">
        <f>IF(SER_hh_emi_in!I16=0,0,1000000*SER_hh_emi_in!I16/SER_hh_num_in!I16)</f>
        <v>17.789766209673271</v>
      </c>
      <c r="J16" s="130">
        <f>IF(SER_hh_emi_in!J16=0,0,1000000*SER_hh_emi_in!J16/SER_hh_num_in!J16)</f>
        <v>15.089189625729091</v>
      </c>
      <c r="K16" s="130">
        <f>IF(SER_hh_emi_in!K16=0,0,1000000*SER_hh_emi_in!K16/SER_hh_num_in!K16)</f>
        <v>33.853765572013096</v>
      </c>
      <c r="L16" s="130">
        <f>IF(SER_hh_emi_in!L16=0,0,1000000*SER_hh_emi_in!L16/SER_hh_num_in!L16)</f>
        <v>18.236045462425977</v>
      </c>
      <c r="M16" s="130">
        <f>IF(SER_hh_emi_in!M16=0,0,1000000*SER_hh_emi_in!M16/SER_hh_num_in!M16)</f>
        <v>24.134861874918652</v>
      </c>
      <c r="N16" s="130">
        <f>IF(SER_hh_emi_in!N16=0,0,1000000*SER_hh_emi_in!N16/SER_hh_num_in!N16)</f>
        <v>17.390854787055829</v>
      </c>
      <c r="O16" s="130">
        <f>IF(SER_hh_emi_in!O16=0,0,1000000*SER_hh_emi_in!O16/SER_hh_num_in!O16)</f>
        <v>39.071344729735479</v>
      </c>
      <c r="P16" s="130">
        <f>IF(SER_hh_emi_in!P16=0,0,1000000*SER_hh_emi_in!P16/SER_hh_num_in!P16)</f>
        <v>26.405585440974644</v>
      </c>
      <c r="Q16" s="130">
        <f>IF(SER_hh_emi_in!Q16=0,0,1000000*SER_hh_emi_in!Q16/SER_hh_num_in!Q16)</f>
        <v>39.72921524014918</v>
      </c>
      <c r="R16" s="130">
        <f>IF(SER_hh_emi_in!R16=0,0,1000000*SER_hh_emi_in!R16/SER_hh_num_in!R16)</f>
        <v>74.946889014308866</v>
      </c>
      <c r="S16" s="130">
        <f>IF(SER_hh_emi_in!S16=0,0,1000000*SER_hh_emi_in!S16/SER_hh_num_in!S16)</f>
        <v>58.062269219044502</v>
      </c>
      <c r="T16" s="130">
        <f>IF(SER_hh_emi_in!T16=0,0,1000000*SER_hh_emi_in!T16/SER_hh_num_in!T16)</f>
        <v>53.232085068740169</v>
      </c>
      <c r="U16" s="130">
        <f>IF(SER_hh_emi_in!U16=0,0,1000000*SER_hh_emi_in!U16/SER_hh_num_in!U16)</f>
        <v>50.507451275901069</v>
      </c>
      <c r="V16" s="130">
        <f>IF(SER_hh_emi_in!V16=0,0,1000000*SER_hh_emi_in!V16/SER_hh_num_in!V16)</f>
        <v>42.987357031105354</v>
      </c>
      <c r="W16" s="130">
        <f>IF(SER_hh_emi_in!W16=0,0,1000000*SER_hh_emi_in!W16/SER_hh_num_in!W16)</f>
        <v>23.503531593249509</v>
      </c>
      <c r="X16" s="130">
        <f>IF(SER_hh_emi_in!X16=0,0,1000000*SER_hh_emi_in!X16/SER_hh_num_in!X16)</f>
        <v>56.924663227071214</v>
      </c>
      <c r="Y16" s="130">
        <f>IF(SER_hh_emi_in!Y16=0,0,1000000*SER_hh_emi_in!Y16/SER_hh_num_in!Y16)</f>
        <v>50.895582106112407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3955.4696764690516</v>
      </c>
      <c r="D17" s="132">
        <f>IF(SER_hh_emi_in!D17=0,0,1000000*SER_hh_emi_in!D17/SER_hh_num_in!D17)</f>
        <v>3478.0400241003176</v>
      </c>
      <c r="E17" s="132">
        <f>IF(SER_hh_emi_in!E17=0,0,1000000*SER_hh_emi_in!E17/SER_hh_num_in!E17)</f>
        <v>4847.3698076631617</v>
      </c>
      <c r="F17" s="132">
        <f>IF(SER_hh_emi_in!F17=0,0,1000000*SER_hh_emi_in!F17/SER_hh_num_in!F17)</f>
        <v>3972.8459969841047</v>
      </c>
      <c r="G17" s="132">
        <f>IF(SER_hh_emi_in!G17=0,0,1000000*SER_hh_emi_in!G17/SER_hh_num_in!G17)</f>
        <v>4299.8371712962289</v>
      </c>
      <c r="H17" s="132">
        <f>IF(SER_hh_emi_in!H17=0,0,1000000*SER_hh_emi_in!H17/SER_hh_num_in!H17)</f>
        <v>5108.5454760809325</v>
      </c>
      <c r="I17" s="132">
        <f>IF(SER_hh_emi_in!I17=0,0,1000000*SER_hh_emi_in!I17/SER_hh_num_in!I17)</f>
        <v>3262.2047970060521</v>
      </c>
      <c r="J17" s="132">
        <f>IF(SER_hh_emi_in!J17=0,0,1000000*SER_hh_emi_in!J17/SER_hh_num_in!J17)</f>
        <v>3117.1980256922861</v>
      </c>
      <c r="K17" s="132">
        <f>IF(SER_hh_emi_in!K17=0,0,1000000*SER_hh_emi_in!K17/SER_hh_num_in!K17)</f>
        <v>3722.3833587769982</v>
      </c>
      <c r="L17" s="132">
        <f>IF(SER_hh_emi_in!L17=0,0,1000000*SER_hh_emi_in!L17/SER_hh_num_in!L17)</f>
        <v>5006.1698165573807</v>
      </c>
      <c r="M17" s="132">
        <f>IF(SER_hh_emi_in!M17=0,0,1000000*SER_hh_emi_in!M17/SER_hh_num_in!M17)</f>
        <v>3216.2171490338906</v>
      </c>
      <c r="N17" s="132">
        <f>IF(SER_hh_emi_in!N17=0,0,1000000*SER_hh_emi_in!N17/SER_hh_num_in!N17)</f>
        <v>3292.9080560279822</v>
      </c>
      <c r="O17" s="132">
        <f>IF(SER_hh_emi_in!O17=0,0,1000000*SER_hh_emi_in!O17/SER_hh_num_in!O17)</f>
        <v>4153.3131549631526</v>
      </c>
      <c r="P17" s="132">
        <f>IF(SER_hh_emi_in!P17=0,0,1000000*SER_hh_emi_in!P17/SER_hh_num_in!P17)</f>
        <v>2723.4217779817745</v>
      </c>
      <c r="Q17" s="132">
        <f>IF(SER_hh_emi_in!Q17=0,0,1000000*SER_hh_emi_in!Q17/SER_hh_num_in!Q17)</f>
        <v>3125.6560110190744</v>
      </c>
      <c r="R17" s="132">
        <f>IF(SER_hh_emi_in!R17=0,0,1000000*SER_hh_emi_in!R17/SER_hh_num_in!R17)</f>
        <v>4555.8505096944828</v>
      </c>
      <c r="S17" s="132">
        <f>IF(SER_hh_emi_in!S17=0,0,1000000*SER_hh_emi_in!S17/SER_hh_num_in!S17)</f>
        <v>4196.2149253815696</v>
      </c>
      <c r="T17" s="132">
        <f>IF(SER_hh_emi_in!T17=0,0,1000000*SER_hh_emi_in!T17/SER_hh_num_in!T17)</f>
        <v>3447.2207150566833</v>
      </c>
      <c r="U17" s="132">
        <f>IF(SER_hh_emi_in!U17=0,0,1000000*SER_hh_emi_in!U17/SER_hh_num_in!U17)</f>
        <v>2647.3361023913963</v>
      </c>
      <c r="V17" s="132">
        <f>IF(SER_hh_emi_in!V17=0,0,1000000*SER_hh_emi_in!V17/SER_hh_num_in!V17)</f>
        <v>3527.7973877759932</v>
      </c>
      <c r="W17" s="132">
        <f>IF(SER_hh_emi_in!W17=0,0,1000000*SER_hh_emi_in!W17/SER_hh_num_in!W17)</f>
        <v>2213.9958780135239</v>
      </c>
      <c r="X17" s="132">
        <f>IF(SER_hh_emi_in!X17=0,0,1000000*SER_hh_emi_in!X17/SER_hh_num_in!X17)</f>
        <v>4062.5846534281904</v>
      </c>
      <c r="Y17" s="132">
        <f>IF(SER_hh_emi_in!Y17=0,0,1000000*SER_hh_emi_in!Y17/SER_hh_num_in!Y17)</f>
        <v>3329.4874582636703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561.27218904130416</v>
      </c>
      <c r="D19" s="130">
        <f>IF(SER_hh_emi_in!D19=0,0,1000000*SER_hh_emi_in!D19/SER_hh_num_in!D19)</f>
        <v>510.77212032224446</v>
      </c>
      <c r="E19" s="130">
        <f>IF(SER_hh_emi_in!E19=0,0,1000000*SER_hh_emi_in!E19/SER_hh_num_in!E19)</f>
        <v>791.55196418634421</v>
      </c>
      <c r="F19" s="130">
        <f>IF(SER_hh_emi_in!F19=0,0,1000000*SER_hh_emi_in!F19/SER_hh_num_in!F19)</f>
        <v>927.92006291903806</v>
      </c>
      <c r="G19" s="130">
        <f>IF(SER_hh_emi_in!G19=0,0,1000000*SER_hh_emi_in!G19/SER_hh_num_in!G19)</f>
        <v>1082.175318884282</v>
      </c>
      <c r="H19" s="130">
        <f>IF(SER_hh_emi_in!H19=0,0,1000000*SER_hh_emi_in!H19/SER_hh_num_in!H19)</f>
        <v>1194.171914401297</v>
      </c>
      <c r="I19" s="130">
        <f>IF(SER_hh_emi_in!I19=0,0,1000000*SER_hh_emi_in!I19/SER_hh_num_in!I19)</f>
        <v>1193.5642196021583</v>
      </c>
      <c r="J19" s="130">
        <f>IF(SER_hh_emi_in!J19=0,0,1000000*SER_hh_emi_in!J19/SER_hh_num_in!J19)</f>
        <v>995.81645019871326</v>
      </c>
      <c r="K19" s="130">
        <f>IF(SER_hh_emi_in!K19=0,0,1000000*SER_hh_emi_in!K19/SER_hh_num_in!K19)</f>
        <v>1197.6788835675991</v>
      </c>
      <c r="L19" s="130">
        <f>IF(SER_hh_emi_in!L19=0,0,1000000*SER_hh_emi_in!L19/SER_hh_num_in!L19)</f>
        <v>1177.0117696179268</v>
      </c>
      <c r="M19" s="130">
        <f>IF(SER_hh_emi_in!M19=0,0,1000000*SER_hh_emi_in!M19/SER_hh_num_in!M19)</f>
        <v>1407.3807477731816</v>
      </c>
      <c r="N19" s="130">
        <f>IF(SER_hh_emi_in!N19=0,0,1000000*SER_hh_emi_in!N19/SER_hh_num_in!N19)</f>
        <v>1489.3039859184196</v>
      </c>
      <c r="O19" s="130">
        <f>IF(SER_hh_emi_in!O19=0,0,1000000*SER_hh_emi_in!O19/SER_hh_num_in!O19)</f>
        <v>1391.1629590552864</v>
      </c>
      <c r="P19" s="130">
        <f>IF(SER_hh_emi_in!P19=0,0,1000000*SER_hh_emi_in!P19/SER_hh_num_in!P19)</f>
        <v>928.81753170623904</v>
      </c>
      <c r="Q19" s="130">
        <f>IF(SER_hh_emi_in!Q19=0,0,1000000*SER_hh_emi_in!Q19/SER_hh_num_in!Q19)</f>
        <v>1014.8152483654627</v>
      </c>
      <c r="R19" s="130">
        <f>IF(SER_hh_emi_in!R19=0,0,1000000*SER_hh_emi_in!R19/SER_hh_num_in!R19)</f>
        <v>1105.8296838597751</v>
      </c>
      <c r="S19" s="130">
        <f>IF(SER_hh_emi_in!S19=0,0,1000000*SER_hh_emi_in!S19/SER_hh_num_in!S19)</f>
        <v>1168.6781818860093</v>
      </c>
      <c r="T19" s="130">
        <f>IF(SER_hh_emi_in!T19=0,0,1000000*SER_hh_emi_in!T19/SER_hh_num_in!T19)</f>
        <v>1322.4035688538597</v>
      </c>
      <c r="U19" s="130">
        <f>IF(SER_hh_emi_in!U19=0,0,1000000*SER_hh_emi_in!U19/SER_hh_num_in!U19)</f>
        <v>1265.3092328453731</v>
      </c>
      <c r="V19" s="130">
        <f>IF(SER_hh_emi_in!V19=0,0,1000000*SER_hh_emi_in!V19/SER_hh_num_in!V19)</f>
        <v>867.49476537915757</v>
      </c>
      <c r="W19" s="130">
        <f>IF(SER_hh_emi_in!W19=0,0,1000000*SER_hh_emi_in!W19/SER_hh_num_in!W19)</f>
        <v>1090.4807869166095</v>
      </c>
      <c r="X19" s="130">
        <f>IF(SER_hh_emi_in!X19=0,0,1000000*SER_hh_emi_in!X19/SER_hh_num_in!X19)</f>
        <v>768.68104605986025</v>
      </c>
      <c r="Y19" s="130">
        <f>IF(SER_hh_emi_in!Y19=0,0,1000000*SER_hh_emi_in!Y19/SER_hh_num_in!Y19)</f>
        <v>946.67482175697444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3501.6380812196899</v>
      </c>
      <c r="D21" s="132">
        <f>IF(SER_hh_emi_in!D21=0,0,1000000*SER_hh_emi_in!D21/SER_hh_num_in!D21)</f>
        <v>3519.4691043367666</v>
      </c>
      <c r="E21" s="132">
        <f>IF(SER_hh_emi_in!E21=0,0,1000000*SER_hh_emi_in!E21/SER_hh_num_in!E21)</f>
        <v>3521.8586644501415</v>
      </c>
      <c r="F21" s="132">
        <f>IF(SER_hh_emi_in!F21=0,0,1000000*SER_hh_emi_in!F21/SER_hh_num_in!F21)</f>
        <v>3511.4161908499864</v>
      </c>
      <c r="G21" s="132">
        <f>IF(SER_hh_emi_in!G21=0,0,1000000*SER_hh_emi_in!G21/SER_hh_num_in!G21)</f>
        <v>3262.9361193339419</v>
      </c>
      <c r="H21" s="132">
        <f>IF(SER_hh_emi_in!H21=0,0,1000000*SER_hh_emi_in!H21/SER_hh_num_in!H21)</f>
        <v>3352.4047040683977</v>
      </c>
      <c r="I21" s="132">
        <f>IF(SER_hh_emi_in!I21=0,0,1000000*SER_hh_emi_in!I21/SER_hh_num_in!I21)</f>
        <v>3304.9473583237682</v>
      </c>
      <c r="J21" s="132">
        <f>IF(SER_hh_emi_in!J21=0,0,1000000*SER_hh_emi_in!J21/SER_hh_num_in!J21)</f>
        <v>2676.9352056427824</v>
      </c>
      <c r="K21" s="132">
        <f>IF(SER_hh_emi_in!K21=0,0,1000000*SER_hh_emi_in!K21/SER_hh_num_in!K21)</f>
        <v>3183.0302110477755</v>
      </c>
      <c r="L21" s="132">
        <f>IF(SER_hh_emi_in!L21=0,0,1000000*SER_hh_emi_in!L21/SER_hh_num_in!L21)</f>
        <v>2715.4848797158056</v>
      </c>
      <c r="M21" s="132">
        <f>IF(SER_hh_emi_in!M21=0,0,1000000*SER_hh_emi_in!M21/SER_hh_num_in!M21)</f>
        <v>3160.4087393748105</v>
      </c>
      <c r="N21" s="132">
        <f>IF(SER_hh_emi_in!N21=0,0,1000000*SER_hh_emi_in!N21/SER_hh_num_in!N21)</f>
        <v>3105.7956209542967</v>
      </c>
      <c r="O21" s="132">
        <f>IF(SER_hh_emi_in!O21=0,0,1000000*SER_hh_emi_in!O21/SER_hh_num_in!O21)</f>
        <v>3186.7670884489171</v>
      </c>
      <c r="P21" s="132">
        <f>IF(SER_hh_emi_in!P21=0,0,1000000*SER_hh_emi_in!P21/SER_hh_num_in!P21)</f>
        <v>2934.2210883755088</v>
      </c>
      <c r="Q21" s="132">
        <f>IF(SER_hh_emi_in!Q21=0,0,1000000*SER_hh_emi_in!Q21/SER_hh_num_in!Q21)</f>
        <v>2895.7847006926308</v>
      </c>
      <c r="R21" s="132">
        <f>IF(SER_hh_emi_in!R21=0,0,1000000*SER_hh_emi_in!R21/SER_hh_num_in!R21)</f>
        <v>2772.8267634906397</v>
      </c>
      <c r="S21" s="132">
        <f>IF(SER_hh_emi_in!S21=0,0,1000000*SER_hh_emi_in!S21/SER_hh_num_in!S21)</f>
        <v>2671.4233668076808</v>
      </c>
      <c r="T21" s="132">
        <f>IF(SER_hh_emi_in!T21=0,0,1000000*SER_hh_emi_in!T21/SER_hh_num_in!T21)</f>
        <v>2630.0479627051645</v>
      </c>
      <c r="U21" s="132">
        <f>IF(SER_hh_emi_in!U21=0,0,1000000*SER_hh_emi_in!U21/SER_hh_num_in!U21)</f>
        <v>2481.6527481014709</v>
      </c>
      <c r="V21" s="132">
        <f>IF(SER_hh_emi_in!V21=0,0,1000000*SER_hh_emi_in!V21/SER_hh_num_in!V21)</f>
        <v>1852.5808343474932</v>
      </c>
      <c r="W21" s="132">
        <f>IF(SER_hh_emi_in!W21=0,0,1000000*SER_hh_emi_in!W21/SER_hh_num_in!W21)</f>
        <v>2393.0325237327111</v>
      </c>
      <c r="X21" s="132">
        <f>IF(SER_hh_emi_in!X21=0,0,1000000*SER_hh_emi_in!X21/SER_hh_num_in!X21)</f>
        <v>1998.3969347053198</v>
      </c>
      <c r="Y21" s="132">
        <f>IF(SER_hh_emi_in!Y21=0,0,1000000*SER_hh_emi_in!Y21/SER_hh_num_in!Y21)</f>
        <v>2515.0125814677544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4413.0740620338729</v>
      </c>
      <c r="D22" s="132">
        <f>IF(SER_hh_emi_in!D22=0,0,1000000*SER_hh_emi_in!D22/SER_hh_num_in!D22)</f>
        <v>4381.4670917718158</v>
      </c>
      <c r="E22" s="132">
        <f>IF(SER_hh_emi_in!E22=0,0,1000000*SER_hh_emi_in!E22/SER_hh_num_in!E22)</f>
        <v>4403.9718050564406</v>
      </c>
      <c r="F22" s="132">
        <f>IF(SER_hh_emi_in!F22=0,0,1000000*SER_hh_emi_in!F22/SER_hh_num_in!F22)</f>
        <v>4434.4850150728862</v>
      </c>
      <c r="G22" s="132">
        <f>IF(SER_hh_emi_in!G22=0,0,1000000*SER_hh_emi_in!G22/SER_hh_num_in!G22)</f>
        <v>4121.942319989822</v>
      </c>
      <c r="H22" s="132">
        <f>IF(SER_hh_emi_in!H22=0,0,1000000*SER_hh_emi_in!H22/SER_hh_num_in!H22)</f>
        <v>4232.1641790121539</v>
      </c>
      <c r="I22" s="132">
        <f>IF(SER_hh_emi_in!I22=0,0,1000000*SER_hh_emi_in!I22/SER_hh_num_in!I22)</f>
        <v>4082.0490650895595</v>
      </c>
      <c r="J22" s="132">
        <f>IF(SER_hh_emi_in!J22=0,0,1000000*SER_hh_emi_in!J22/SER_hh_num_in!J22)</f>
        <v>3184.1453102981154</v>
      </c>
      <c r="K22" s="132">
        <f>IF(SER_hh_emi_in!K22=0,0,1000000*SER_hh_emi_in!K22/SER_hh_num_in!K22)</f>
        <v>3783.3035855774342</v>
      </c>
      <c r="L22" s="132">
        <f>IF(SER_hh_emi_in!L22=0,0,1000000*SER_hh_emi_in!L22/SER_hh_num_in!L22)</f>
        <v>3369.5392567686804</v>
      </c>
      <c r="M22" s="132">
        <f>IF(SER_hh_emi_in!M22=0,0,1000000*SER_hh_emi_in!M22/SER_hh_num_in!M22)</f>
        <v>3912.5840857868357</v>
      </c>
      <c r="N22" s="132">
        <f>IF(SER_hh_emi_in!N22=0,0,1000000*SER_hh_emi_in!N22/SER_hh_num_in!N22)</f>
        <v>3831.3069713074201</v>
      </c>
      <c r="O22" s="132">
        <f>IF(SER_hh_emi_in!O22=0,0,1000000*SER_hh_emi_in!O22/SER_hh_num_in!O22)</f>
        <v>3907.8251764397901</v>
      </c>
      <c r="P22" s="132">
        <f>IF(SER_hh_emi_in!P22=0,0,1000000*SER_hh_emi_in!P22/SER_hh_num_in!P22)</f>
        <v>3571.9816585798171</v>
      </c>
      <c r="Q22" s="132">
        <f>IF(SER_hh_emi_in!Q22=0,0,1000000*SER_hh_emi_in!Q22/SER_hh_num_in!Q22)</f>
        <v>3473.9834230767096</v>
      </c>
      <c r="R22" s="132">
        <f>IF(SER_hh_emi_in!R22=0,0,1000000*SER_hh_emi_in!R22/SER_hh_num_in!R22)</f>
        <v>3274.224851038799</v>
      </c>
      <c r="S22" s="132">
        <f>IF(SER_hh_emi_in!S22=0,0,1000000*SER_hh_emi_in!S22/SER_hh_num_in!S22)</f>
        <v>3199.3329956395855</v>
      </c>
      <c r="T22" s="132">
        <f>IF(SER_hh_emi_in!T22=0,0,1000000*SER_hh_emi_in!T22/SER_hh_num_in!T22)</f>
        <v>3170.7626258316764</v>
      </c>
      <c r="U22" s="132">
        <f>IF(SER_hh_emi_in!U22=0,0,1000000*SER_hh_emi_in!U22/SER_hh_num_in!U22)</f>
        <v>2928.6453460971238</v>
      </c>
      <c r="V22" s="132">
        <f>IF(SER_hh_emi_in!V22=0,0,1000000*SER_hh_emi_in!V22/SER_hh_num_in!V22)</f>
        <v>2095.9070938331201</v>
      </c>
      <c r="W22" s="132">
        <f>IF(SER_hh_emi_in!W22=0,0,1000000*SER_hh_emi_in!W22/SER_hh_num_in!W22)</f>
        <v>2952.2896227196147</v>
      </c>
      <c r="X22" s="132">
        <f>IF(SER_hh_emi_in!X22=0,0,1000000*SER_hh_emi_in!X22/SER_hh_num_in!X22)</f>
        <v>2394.9205300622693</v>
      </c>
      <c r="Y22" s="132">
        <f>IF(SER_hh_emi_in!Y22=0,0,1000000*SER_hh_emi_in!Y22/SER_hh_num_in!Y22)</f>
        <v>3064.3637129551162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3015.0355149330344</v>
      </c>
      <c r="D23" s="132">
        <f>IF(SER_hh_emi_in!D23=0,0,1000000*SER_hh_emi_in!D23/SER_hh_num_in!D23)</f>
        <v>3019.1451981163132</v>
      </c>
      <c r="E23" s="132">
        <f>IF(SER_hh_emi_in!E23=0,0,1000000*SER_hh_emi_in!E23/SER_hh_num_in!E23)</f>
        <v>2931.9823632212197</v>
      </c>
      <c r="F23" s="132">
        <f>IF(SER_hh_emi_in!F23=0,0,1000000*SER_hh_emi_in!F23/SER_hh_num_in!F23)</f>
        <v>2898.8051743423748</v>
      </c>
      <c r="G23" s="132">
        <f>IF(SER_hh_emi_in!G23=0,0,1000000*SER_hh_emi_in!G23/SER_hh_num_in!G23)</f>
        <v>2789.216809714896</v>
      </c>
      <c r="H23" s="132">
        <f>IF(SER_hh_emi_in!H23=0,0,1000000*SER_hh_emi_in!H23/SER_hh_num_in!H23)</f>
        <v>2819.6382740559648</v>
      </c>
      <c r="I23" s="132">
        <f>IF(SER_hh_emi_in!I23=0,0,1000000*SER_hh_emi_in!I23/SER_hh_num_in!I23)</f>
        <v>2815.5283914921256</v>
      </c>
      <c r="J23" s="132">
        <f>IF(SER_hh_emi_in!J23=0,0,1000000*SER_hh_emi_in!J23/SER_hh_num_in!J23)</f>
        <v>2353.6539981358451</v>
      </c>
      <c r="K23" s="132">
        <f>IF(SER_hh_emi_in!K23=0,0,1000000*SER_hh_emi_in!K23/SER_hh_num_in!K23)</f>
        <v>2613.5651188124666</v>
      </c>
      <c r="L23" s="132">
        <f>IF(SER_hh_emi_in!L23=0,0,1000000*SER_hh_emi_in!L23/SER_hh_num_in!L23)</f>
        <v>2330.3081081124683</v>
      </c>
      <c r="M23" s="132">
        <f>IF(SER_hh_emi_in!M23=0,0,1000000*SER_hh_emi_in!M23/SER_hh_num_in!M23)</f>
        <v>2663.1910886128758</v>
      </c>
      <c r="N23" s="132">
        <f>IF(SER_hh_emi_in!N23=0,0,1000000*SER_hh_emi_in!N23/SER_hh_num_in!N23)</f>
        <v>2624.6722938100083</v>
      </c>
      <c r="O23" s="132">
        <f>IF(SER_hh_emi_in!O23=0,0,1000000*SER_hh_emi_in!O23/SER_hh_num_in!O23)</f>
        <v>2718.4757775527455</v>
      </c>
      <c r="P23" s="132">
        <f>IF(SER_hh_emi_in!P23=0,0,1000000*SER_hh_emi_in!P23/SER_hh_num_in!P23)</f>
        <v>2475.9146153955116</v>
      </c>
      <c r="Q23" s="132">
        <f>IF(SER_hh_emi_in!Q23=0,0,1000000*SER_hh_emi_in!Q23/SER_hh_num_in!Q23)</f>
        <v>2430.5871192700361</v>
      </c>
      <c r="R23" s="132">
        <f>IF(SER_hh_emi_in!R23=0,0,1000000*SER_hh_emi_in!R23/SER_hh_num_in!R23)</f>
        <v>2381.6332500301996</v>
      </c>
      <c r="S23" s="132">
        <f>IF(SER_hh_emi_in!S23=0,0,1000000*SER_hh_emi_in!S23/SER_hh_num_in!S23)</f>
        <v>2355.2456312436084</v>
      </c>
      <c r="T23" s="132">
        <f>IF(SER_hh_emi_in!T23=0,0,1000000*SER_hh_emi_in!T23/SER_hh_num_in!T23)</f>
        <v>2375.1294981440601</v>
      </c>
      <c r="U23" s="132">
        <f>IF(SER_hh_emi_in!U23=0,0,1000000*SER_hh_emi_in!U23/SER_hh_num_in!U23)</f>
        <v>2257.3665764570769</v>
      </c>
      <c r="V23" s="132">
        <f>IF(SER_hh_emi_in!V23=0,0,1000000*SER_hh_emi_in!V23/SER_hh_num_in!V23)</f>
        <v>1451.0395065732789</v>
      </c>
      <c r="W23" s="132">
        <f>IF(SER_hh_emi_in!W23=0,0,1000000*SER_hh_emi_in!W23/SER_hh_num_in!W23)</f>
        <v>2192.3854285877765</v>
      </c>
      <c r="X23" s="132">
        <f>IF(SER_hh_emi_in!X23=0,0,1000000*SER_hh_emi_in!X23/SER_hh_num_in!X23)</f>
        <v>1715.4117091050448</v>
      </c>
      <c r="Y23" s="132">
        <f>IF(SER_hh_emi_in!Y23=0,0,1000000*SER_hh_emi_in!Y23/SER_hh_num_in!Y23)</f>
        <v>2298.6942353882614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532.20420164793939</v>
      </c>
      <c r="D29" s="130">
        <f>IF(SER_hh_emi_in!D29=0,0,1000000*SER_hh_emi_in!D29/SER_hh_num_in!D29)</f>
        <v>2063.0912573327755</v>
      </c>
      <c r="E29" s="130">
        <f>IF(SER_hh_emi_in!E29=0,0,1000000*SER_hh_emi_in!E29/SER_hh_num_in!E29)</f>
        <v>2217.15200554172</v>
      </c>
      <c r="F29" s="130">
        <f>IF(SER_hh_emi_in!F29=0,0,1000000*SER_hh_emi_in!F29/SER_hh_num_in!F29)</f>
        <v>2527.4209952297156</v>
      </c>
      <c r="G29" s="130">
        <f>IF(SER_hh_emi_in!G29=0,0,1000000*SER_hh_emi_in!G29/SER_hh_num_in!G29)</f>
        <v>3273.2484095060631</v>
      </c>
      <c r="H29" s="130">
        <f>IF(SER_hh_emi_in!H29=0,0,1000000*SER_hh_emi_in!H29/SER_hh_num_in!H29)</f>
        <v>1537.2601676029396</v>
      </c>
      <c r="I29" s="130">
        <f>IF(SER_hh_emi_in!I29=0,0,1000000*SER_hh_emi_in!I29/SER_hh_num_in!I29)</f>
        <v>1528.4266034319207</v>
      </c>
      <c r="J29" s="130">
        <f>IF(SER_hh_emi_in!J29=0,0,1000000*SER_hh_emi_in!J29/SER_hh_num_in!J29)</f>
        <v>832.77843810400839</v>
      </c>
      <c r="K29" s="130">
        <f>IF(SER_hh_emi_in!K29=0,0,1000000*SER_hh_emi_in!K29/SER_hh_num_in!K29)</f>
        <v>485.29441540625896</v>
      </c>
      <c r="L29" s="130">
        <f>IF(SER_hh_emi_in!L29=0,0,1000000*SER_hh_emi_in!L29/SER_hh_num_in!L29)</f>
        <v>504.91091890433705</v>
      </c>
      <c r="M29" s="130">
        <f>IF(SER_hh_emi_in!M29=0,0,1000000*SER_hh_emi_in!M29/SER_hh_num_in!M29)</f>
        <v>896.78571920868717</v>
      </c>
      <c r="N29" s="130">
        <f>IF(SER_hh_emi_in!N29=0,0,1000000*SER_hh_emi_in!N29/SER_hh_num_in!N29)</f>
        <v>698.27755309360259</v>
      </c>
      <c r="O29" s="130">
        <f>IF(SER_hh_emi_in!O29=0,0,1000000*SER_hh_emi_in!O29/SER_hh_num_in!O29)</f>
        <v>2714.1093173218478</v>
      </c>
      <c r="P29" s="130">
        <f>IF(SER_hh_emi_in!P29=0,0,1000000*SER_hh_emi_in!P29/SER_hh_num_in!P29)</f>
        <v>3834.6918672731231</v>
      </c>
      <c r="Q29" s="130">
        <f>IF(SER_hh_emi_in!Q29=0,0,1000000*SER_hh_emi_in!Q29/SER_hh_num_in!Q29)</f>
        <v>3037.6625578815019</v>
      </c>
      <c r="R29" s="130">
        <f>IF(SER_hh_emi_in!R29=0,0,1000000*SER_hh_emi_in!R29/SER_hh_num_in!R29)</f>
        <v>2043.750805007591</v>
      </c>
      <c r="S29" s="130">
        <f>IF(SER_hh_emi_in!S29=0,0,1000000*SER_hh_emi_in!S29/SER_hh_num_in!S29)</f>
        <v>1754.8257862898217</v>
      </c>
      <c r="T29" s="130">
        <f>IF(SER_hh_emi_in!T29=0,0,1000000*SER_hh_emi_in!T29/SER_hh_num_in!T29)</f>
        <v>1880.7588717225788</v>
      </c>
      <c r="U29" s="130">
        <f>IF(SER_hh_emi_in!U29=0,0,1000000*SER_hh_emi_in!U29/SER_hh_num_in!U29)</f>
        <v>765.2381333365629</v>
      </c>
      <c r="V29" s="130">
        <f>IF(SER_hh_emi_in!V29=0,0,1000000*SER_hh_emi_in!V29/SER_hh_num_in!V29)</f>
        <v>410.43195999795444</v>
      </c>
      <c r="W29" s="130">
        <f>IF(SER_hh_emi_in!W29=0,0,1000000*SER_hh_emi_in!W29/SER_hh_num_in!W29)</f>
        <v>306.09787304666764</v>
      </c>
      <c r="X29" s="130">
        <f>IF(SER_hh_emi_in!X29=0,0,1000000*SER_hh_emi_in!X29/SER_hh_num_in!X29)</f>
        <v>707.52136744487427</v>
      </c>
      <c r="Y29" s="130">
        <f>IF(SER_hh_emi_in!Y29=0,0,1000000*SER_hh_emi_in!Y29/SER_hh_num_in!Y29)</f>
        <v>2050.2083549399122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2711.3060680034814</v>
      </c>
      <c r="D30" s="132">
        <f>IF(SER_hh_emi_in!D30=0,0,1000000*SER_hh_emi_in!D30/SER_hh_num_in!D30)</f>
        <v>3816.9985576570725</v>
      </c>
      <c r="E30" s="132">
        <f>IF(SER_hh_emi_in!E30=0,0,1000000*SER_hh_emi_in!E30/SER_hh_num_in!E30)</f>
        <v>3585.5041857532951</v>
      </c>
      <c r="F30" s="132">
        <f>IF(SER_hh_emi_in!F30=0,0,1000000*SER_hh_emi_in!F30/SER_hh_num_in!F30)</f>
        <v>3546.2197782285571</v>
      </c>
      <c r="G30" s="132">
        <f>IF(SER_hh_emi_in!G30=0,0,1000000*SER_hh_emi_in!G30/SER_hh_num_in!G30)</f>
        <v>4475.1155757057404</v>
      </c>
      <c r="H30" s="132">
        <f>IF(SER_hh_emi_in!H30=0,0,1000000*SER_hh_emi_in!H30/SER_hh_num_in!H30)</f>
        <v>3762.42026856639</v>
      </c>
      <c r="I30" s="132">
        <f>IF(SER_hh_emi_in!I30=0,0,1000000*SER_hh_emi_in!I30/SER_hh_num_in!I30)</f>
        <v>3800.455336921199</v>
      </c>
      <c r="J30" s="132">
        <f>IF(SER_hh_emi_in!J30=0,0,1000000*SER_hh_emi_in!J30/SER_hh_num_in!J30)</f>
        <v>4461.8142888686998</v>
      </c>
      <c r="K30" s="132">
        <f>IF(SER_hh_emi_in!K30=0,0,1000000*SER_hh_emi_in!K30/SER_hh_num_in!K30)</f>
        <v>0</v>
      </c>
      <c r="L30" s="132">
        <f>IF(SER_hh_emi_in!L30=0,0,1000000*SER_hh_emi_in!L30/SER_hh_num_in!L30)</f>
        <v>0</v>
      </c>
      <c r="M30" s="132">
        <f>IF(SER_hh_emi_in!M30=0,0,1000000*SER_hh_emi_in!M30/SER_hh_num_in!M30)</f>
        <v>0</v>
      </c>
      <c r="N30" s="132">
        <f>IF(SER_hh_emi_in!N30=0,0,1000000*SER_hh_emi_in!N30/SER_hh_num_in!N30)</f>
        <v>2897.5194900966526</v>
      </c>
      <c r="O30" s="132">
        <f>IF(SER_hh_emi_in!O30=0,0,1000000*SER_hh_emi_in!O30/SER_hh_num_in!O30)</f>
        <v>2902.6459153822548</v>
      </c>
      <c r="P30" s="132">
        <f>IF(SER_hh_emi_in!P30=0,0,1000000*SER_hh_emi_in!P30/SER_hh_num_in!P30)</f>
        <v>4430.6393489389638</v>
      </c>
      <c r="Q30" s="132">
        <f>IF(SER_hh_emi_in!Q30=0,0,1000000*SER_hh_emi_in!Q30/SER_hh_num_in!Q30)</f>
        <v>4330.6592005028124</v>
      </c>
      <c r="R30" s="132">
        <f>IF(SER_hh_emi_in!R30=0,0,1000000*SER_hh_emi_in!R30/SER_hh_num_in!R30)</f>
        <v>3798.8188672768456</v>
      </c>
      <c r="S30" s="132">
        <f>IF(SER_hh_emi_in!S30=0,0,1000000*SER_hh_emi_in!S30/SER_hh_num_in!S30)</f>
        <v>3636.763567064057</v>
      </c>
      <c r="T30" s="132">
        <f>IF(SER_hh_emi_in!T30=0,0,1000000*SER_hh_emi_in!T30/SER_hh_num_in!T30)</f>
        <v>4571.2317131113086</v>
      </c>
      <c r="U30" s="132">
        <f>IF(SER_hh_emi_in!U30=0,0,1000000*SER_hh_emi_in!U30/SER_hh_num_in!U30)</f>
        <v>4487.0549396174001</v>
      </c>
      <c r="V30" s="132">
        <f>IF(SER_hh_emi_in!V30=0,0,1000000*SER_hh_emi_in!V30/SER_hh_num_in!V30)</f>
        <v>0</v>
      </c>
      <c r="W30" s="132">
        <f>IF(SER_hh_emi_in!W30=0,0,1000000*SER_hh_emi_in!W30/SER_hh_num_in!W30)</f>
        <v>0</v>
      </c>
      <c r="X30" s="132">
        <f>IF(SER_hh_emi_in!X30=0,0,1000000*SER_hh_emi_in!X30/SER_hh_num_in!X30)</f>
        <v>4267.3202121468976</v>
      </c>
      <c r="Y30" s="132">
        <f>IF(SER_hh_emi_in!Y30=0,0,1000000*SER_hh_emi_in!Y30/SER_hh_num_in!Y30)</f>
        <v>4048.4386505204302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2997.3313856326699</v>
      </c>
      <c r="D31" s="132">
        <f>IF(SER_hh_emi_in!D31=0,0,1000000*SER_hh_emi_in!D31/SER_hh_num_in!D31)</f>
        <v>3224.6915447424708</v>
      </c>
      <c r="E31" s="132">
        <f>IF(SER_hh_emi_in!E31=0,0,1000000*SER_hh_emi_in!E31/SER_hh_num_in!E31)</f>
        <v>3195.6903666470757</v>
      </c>
      <c r="F31" s="132">
        <f>IF(SER_hh_emi_in!F31=0,0,1000000*SER_hh_emi_in!F31/SER_hh_num_in!F31)</f>
        <v>3383.9122740257985</v>
      </c>
      <c r="G31" s="132">
        <f>IF(SER_hh_emi_in!G31=0,0,1000000*SER_hh_emi_in!G31/SER_hh_num_in!G31)</f>
        <v>3438.0821340385787</v>
      </c>
      <c r="H31" s="132">
        <f>IF(SER_hh_emi_in!H31=0,0,1000000*SER_hh_emi_in!H31/SER_hh_num_in!H31)</f>
        <v>3442.9047236480778</v>
      </c>
      <c r="I31" s="132">
        <f>IF(SER_hh_emi_in!I31=0,0,1000000*SER_hh_emi_in!I31/SER_hh_num_in!I31)</f>
        <v>3406.0308962707554</v>
      </c>
      <c r="J31" s="132">
        <f>IF(SER_hh_emi_in!J31=0,0,1000000*SER_hh_emi_in!J31/SER_hh_num_in!J31)</f>
        <v>3280.6045148626768</v>
      </c>
      <c r="K31" s="132">
        <f>IF(SER_hh_emi_in!K31=0,0,1000000*SER_hh_emi_in!K31/SER_hh_num_in!K31)</f>
        <v>3310.5202002490591</v>
      </c>
      <c r="L31" s="132">
        <f>IF(SER_hh_emi_in!L31=0,0,1000000*SER_hh_emi_in!L31/SER_hh_num_in!L31)</f>
        <v>3681.4552097789333</v>
      </c>
      <c r="M31" s="132">
        <f>IF(SER_hh_emi_in!M31=0,0,1000000*SER_hh_emi_in!M31/SER_hh_num_in!M31)</f>
        <v>3436.3765045307755</v>
      </c>
      <c r="N31" s="132">
        <f>IF(SER_hh_emi_in!N31=0,0,1000000*SER_hh_emi_in!N31/SER_hh_num_in!N31)</f>
        <v>3217.6862472937833</v>
      </c>
      <c r="O31" s="132">
        <f>IF(SER_hh_emi_in!O31=0,0,1000000*SER_hh_emi_in!O31/SER_hh_num_in!O31)</f>
        <v>3558.0509449498304</v>
      </c>
      <c r="P31" s="132">
        <f>IF(SER_hh_emi_in!P31=0,0,1000000*SER_hh_emi_in!P31/SER_hh_num_in!P31)</f>
        <v>3349.607770680152</v>
      </c>
      <c r="Q31" s="132">
        <f>IF(SER_hh_emi_in!Q31=0,0,1000000*SER_hh_emi_in!Q31/SER_hh_num_in!Q31)</f>
        <v>3531.4063348844734</v>
      </c>
      <c r="R31" s="132">
        <f>IF(SER_hh_emi_in!R31=0,0,1000000*SER_hh_emi_in!R31/SER_hh_num_in!R31)</f>
        <v>3554.6918818923232</v>
      </c>
      <c r="S31" s="132">
        <f>IF(SER_hh_emi_in!S31=0,0,1000000*SER_hh_emi_in!S31/SER_hh_num_in!S31)</f>
        <v>3512.3048357234629</v>
      </c>
      <c r="T31" s="132">
        <f>IF(SER_hh_emi_in!T31=0,0,1000000*SER_hh_emi_in!T31/SER_hh_num_in!T31)</f>
        <v>3498.4413781542694</v>
      </c>
      <c r="U31" s="132">
        <f>IF(SER_hh_emi_in!U31=0,0,1000000*SER_hh_emi_in!U31/SER_hh_num_in!U31)</f>
        <v>3592.5915336478088</v>
      </c>
      <c r="V31" s="132">
        <f>IF(SER_hh_emi_in!V31=0,0,1000000*SER_hh_emi_in!V31/SER_hh_num_in!V31)</f>
        <v>3404.4667901174889</v>
      </c>
      <c r="W31" s="132">
        <f>IF(SER_hh_emi_in!W31=0,0,1000000*SER_hh_emi_in!W31/SER_hh_num_in!W31)</f>
        <v>3356.1341177886598</v>
      </c>
      <c r="X31" s="132">
        <f>IF(SER_hh_emi_in!X31=0,0,1000000*SER_hh_emi_in!X31/SER_hh_num_in!X31)</f>
        <v>3354.1060237800607</v>
      </c>
      <c r="Y31" s="132">
        <f>IF(SER_hh_emi_in!Y31=0,0,1000000*SER_hh_emi_in!Y31/SER_hh_num_in!Y31)</f>
        <v>3573.4885527711854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71.596298076235072</v>
      </c>
      <c r="D3" s="125">
        <f>IF(SER_hh_fech_in!D3=0,0,SER_hh_fech_in!D3/SER_summary!D$27)</f>
        <v>64.037928972082042</v>
      </c>
      <c r="E3" s="125">
        <f>IF(SER_hh_fech_in!E3=0,0,SER_hh_fech_in!E3/SER_summary!E$27)</f>
        <v>67.479819662678835</v>
      </c>
      <c r="F3" s="125">
        <f>IF(SER_hh_fech_in!F3=0,0,SER_hh_fech_in!F3/SER_summary!F$27)</f>
        <v>73.996088103751262</v>
      </c>
      <c r="G3" s="125">
        <f>IF(SER_hh_fech_in!G3=0,0,SER_hh_fech_in!G3/SER_summary!G$27)</f>
        <v>73.120429612667181</v>
      </c>
      <c r="H3" s="125">
        <f>IF(SER_hh_fech_in!H3=0,0,SER_hh_fech_in!H3/SER_summary!H$27)</f>
        <v>69.298256040551962</v>
      </c>
      <c r="I3" s="125">
        <f>IF(SER_hh_fech_in!I3=0,0,SER_hh_fech_in!I3/SER_summary!I$27)</f>
        <v>64.726566383554527</v>
      </c>
      <c r="J3" s="125">
        <f>IF(SER_hh_fech_in!J3=0,0,SER_hh_fech_in!J3/SER_summary!J$27)</f>
        <v>58.209666201476765</v>
      </c>
      <c r="K3" s="125">
        <f>IF(SER_hh_fech_in!K3=0,0,SER_hh_fech_in!K3/SER_summary!K$27)</f>
        <v>59.341012738437207</v>
      </c>
      <c r="L3" s="125">
        <f>IF(SER_hh_fech_in!L3=0,0,SER_hh_fech_in!L3/SER_summary!L$27)</f>
        <v>60.949685137510862</v>
      </c>
      <c r="M3" s="125">
        <f>IF(SER_hh_fech_in!M3=0,0,SER_hh_fech_in!M3/SER_summary!M$27)</f>
        <v>64.792933118093913</v>
      </c>
      <c r="N3" s="125">
        <f>IF(SER_hh_fech_in!N3=0,0,SER_hh_fech_in!N3/SER_summary!N$27)</f>
        <v>68.776753357501988</v>
      </c>
      <c r="O3" s="125">
        <f>IF(SER_hh_fech_in!O3=0,0,SER_hh_fech_in!O3/SER_summary!O$27)</f>
        <v>64.049058934251605</v>
      </c>
      <c r="P3" s="125">
        <f>IF(SER_hh_fech_in!P3=0,0,SER_hh_fech_in!P3/SER_summary!P$27)</f>
        <v>69.2886335202749</v>
      </c>
      <c r="Q3" s="125">
        <f>IF(SER_hh_fech_in!Q3=0,0,SER_hh_fech_in!Q3/SER_summary!Q$27)</f>
        <v>69.712084958798215</v>
      </c>
      <c r="R3" s="125">
        <f>IF(SER_hh_fech_in!R3=0,0,SER_hh_fech_in!R3/SER_summary!R$27)</f>
        <v>64.85739348566922</v>
      </c>
      <c r="S3" s="125">
        <f>IF(SER_hh_fech_in!S3=0,0,SER_hh_fech_in!S3/SER_summary!S$27)</f>
        <v>66.657790346030822</v>
      </c>
      <c r="T3" s="125">
        <f>IF(SER_hh_fech_in!T3=0,0,SER_hh_fech_in!T3/SER_summary!T$27)</f>
        <v>70.56869486460225</v>
      </c>
      <c r="U3" s="125">
        <f>IF(SER_hh_fech_in!U3=0,0,SER_hh_fech_in!U3/SER_summary!U$27)</f>
        <v>57.470190217776043</v>
      </c>
      <c r="V3" s="125">
        <f>IF(SER_hh_fech_in!V3=0,0,SER_hh_fech_in!V3/SER_summary!V$27)</f>
        <v>44.829452751721661</v>
      </c>
      <c r="W3" s="125">
        <f>IF(SER_hh_fech_in!W3=0,0,SER_hh_fech_in!W3/SER_summary!W$27)</f>
        <v>47.871905874959388</v>
      </c>
      <c r="X3" s="125">
        <f>IF(SER_hh_fech_in!X3=0,0,SER_hh_fech_in!X3/SER_summary!X$27)</f>
        <v>61.460507730013063</v>
      </c>
      <c r="Y3" s="125">
        <f>IF(SER_hh_fech_in!Y3=0,0,SER_hh_fech_in!Y3/SER_summary!Y$27)</f>
        <v>65.877508289480176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32.971801131714066</v>
      </c>
      <c r="D4" s="130">
        <f>IF(SER_hh_fech_in!D4=0,0,SER_hh_fech_in!D4/SER_summary!D$27)</f>
        <v>24.535752031801422</v>
      </c>
      <c r="E4" s="130">
        <f>IF(SER_hh_fech_in!E4=0,0,SER_hh_fech_in!E4/SER_summary!E$27)</f>
        <v>23.983211354354864</v>
      </c>
      <c r="F4" s="130">
        <f>IF(SER_hh_fech_in!F4=0,0,SER_hh_fech_in!F4/SER_summary!F$27)</f>
        <v>32.731105652822102</v>
      </c>
      <c r="G4" s="130">
        <f>IF(SER_hh_fech_in!G4=0,0,SER_hh_fech_in!G4/SER_summary!G$27)</f>
        <v>29.712592720463341</v>
      </c>
      <c r="H4" s="130">
        <f>IF(SER_hh_fech_in!H4=0,0,SER_hh_fech_in!H4/SER_summary!H$27)</f>
        <v>25.987106279377819</v>
      </c>
      <c r="I4" s="130">
        <f>IF(SER_hh_fech_in!I4=0,0,SER_hh_fech_in!I4/SER_summary!I$27)</f>
        <v>27.028452802888879</v>
      </c>
      <c r="J4" s="130">
        <f>IF(SER_hh_fech_in!J4=0,0,SER_hh_fech_in!J4/SER_summary!J$27)</f>
        <v>23.493453669518807</v>
      </c>
      <c r="K4" s="130">
        <f>IF(SER_hh_fech_in!K4=0,0,SER_hh_fech_in!K4/SER_summary!K$27)</f>
        <v>23.983446973782787</v>
      </c>
      <c r="L4" s="130">
        <f>IF(SER_hh_fech_in!L4=0,0,SER_hh_fech_in!L4/SER_summary!L$27)</f>
        <v>20.440089731742059</v>
      </c>
      <c r="M4" s="130">
        <f>IF(SER_hh_fech_in!M4=0,0,SER_hh_fech_in!M4/SER_summary!M$27)</f>
        <v>28.392308550458935</v>
      </c>
      <c r="N4" s="130">
        <f>IF(SER_hh_fech_in!N4=0,0,SER_hh_fech_in!N4/SER_summary!N$27)</f>
        <v>20.56304991945024</v>
      </c>
      <c r="O4" s="130">
        <f>IF(SER_hh_fech_in!O4=0,0,SER_hh_fech_in!O4/SER_summary!O$27)</f>
        <v>24.908701902092854</v>
      </c>
      <c r="P4" s="130">
        <f>IF(SER_hh_fech_in!P4=0,0,SER_hh_fech_in!P4/SER_summary!P$27)</f>
        <v>31.144804437480083</v>
      </c>
      <c r="Q4" s="130">
        <f>IF(SER_hh_fech_in!Q4=0,0,SER_hh_fech_in!Q4/SER_summary!Q$27)</f>
        <v>32.412021710047384</v>
      </c>
      <c r="R4" s="130">
        <f>IF(SER_hh_fech_in!R4=0,0,SER_hh_fech_in!R4/SER_summary!R$27)</f>
        <v>26.579618626381226</v>
      </c>
      <c r="S4" s="130">
        <f>IF(SER_hh_fech_in!S4=0,0,SER_hh_fech_in!S4/SER_summary!S$27)</f>
        <v>29.540351221163498</v>
      </c>
      <c r="T4" s="130">
        <f>IF(SER_hh_fech_in!T4=0,0,SER_hh_fech_in!T4/SER_summary!T$27)</f>
        <v>34.628325554633115</v>
      </c>
      <c r="U4" s="130">
        <f>IF(SER_hh_fech_in!U4=0,0,SER_hh_fech_in!U4/SER_summary!U$27)</f>
        <v>25.935595138607653</v>
      </c>
      <c r="V4" s="130">
        <f>IF(SER_hh_fech_in!V4=0,0,SER_hh_fech_in!V4/SER_summary!V$27)</f>
        <v>12.89489419738217</v>
      </c>
      <c r="W4" s="130">
        <f>IF(SER_hh_fech_in!W4=0,0,SER_hh_fech_in!W4/SER_summary!W$27)</f>
        <v>18.006358229637357</v>
      </c>
      <c r="X4" s="130">
        <f>IF(SER_hh_fech_in!X4=0,0,SER_hh_fech_in!X4/SER_summary!X$27)</f>
        <v>26.823665428586811</v>
      </c>
      <c r="Y4" s="130">
        <f>IF(SER_hh_fech_in!Y4=0,0,SER_hh_fech_in!Y4/SER_summary!Y$27)</f>
        <v>29.620460080119631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39.058660245647147</v>
      </c>
      <c r="D7" s="132">
        <f>IF(SER_hh_fech_in!D7=0,0,SER_hh_fech_in!D7/SER_summary!D$27)</f>
        <v>41.449867921699578</v>
      </c>
      <c r="E7" s="132">
        <f>IF(SER_hh_fech_in!E7=0,0,SER_hh_fech_in!E7/SER_summary!E$27)</f>
        <v>45.770860303852878</v>
      </c>
      <c r="F7" s="132">
        <f>IF(SER_hh_fech_in!F7=0,0,SER_hh_fech_in!F7/SER_summary!F$27)</f>
        <v>59.728538261583004</v>
      </c>
      <c r="G7" s="132">
        <f>IF(SER_hh_fech_in!G7=0,0,SER_hh_fech_in!G7/SER_summary!G$27)</f>
        <v>70.774571693005711</v>
      </c>
      <c r="H7" s="132">
        <f>IF(SER_hh_fech_in!H7=0,0,SER_hh_fech_in!H7/SER_summary!H$27)</f>
        <v>0</v>
      </c>
      <c r="I7" s="132">
        <f>IF(SER_hh_fech_in!I7=0,0,SER_hh_fech_in!I7/SER_summary!I$27)</f>
        <v>0</v>
      </c>
      <c r="J7" s="132">
        <f>IF(SER_hh_fech_in!J7=0,0,SER_hh_fech_in!J7/SER_summary!J$27)</f>
        <v>0</v>
      </c>
      <c r="K7" s="132">
        <f>IF(SER_hh_fech_in!K7=0,0,SER_hh_fech_in!K7/SER_summary!K$27)</f>
        <v>0</v>
      </c>
      <c r="L7" s="132">
        <f>IF(SER_hh_fech_in!L7=0,0,SER_hh_fech_in!L7/SER_summary!L$27)</f>
        <v>0</v>
      </c>
      <c r="M7" s="132">
        <f>IF(SER_hh_fech_in!M7=0,0,SER_hh_fech_in!M7/SER_summary!M$27)</f>
        <v>0</v>
      </c>
      <c r="N7" s="132">
        <f>IF(SER_hh_fech_in!N7=0,0,SER_hh_fech_in!N7/SER_summary!N$27)</f>
        <v>0</v>
      </c>
      <c r="O7" s="132">
        <f>IF(SER_hh_fech_in!O7=0,0,SER_hh_fech_in!O7/SER_summary!O$27)</f>
        <v>65.644905382028909</v>
      </c>
      <c r="P7" s="132">
        <f>IF(SER_hh_fech_in!P7=0,0,SER_hh_fech_in!P7/SER_summary!P$27)</f>
        <v>0</v>
      </c>
      <c r="Q7" s="132">
        <f>IF(SER_hh_fech_in!Q7=0,0,SER_hh_fech_in!Q7/SER_summary!Q$27)</f>
        <v>0</v>
      </c>
      <c r="R7" s="132">
        <f>IF(SER_hh_fech_in!R7=0,0,SER_hh_fech_in!R7/SER_summary!R$27)</f>
        <v>57.834370654340553</v>
      </c>
      <c r="S7" s="132">
        <f>IF(SER_hh_fech_in!S7=0,0,SER_hh_fech_in!S7/SER_summary!S$27)</f>
        <v>57.368240441502763</v>
      </c>
      <c r="T7" s="132">
        <f>IF(SER_hh_fech_in!T7=0,0,SER_hh_fech_in!T7/SER_summary!T$27)</f>
        <v>62.389933086379081</v>
      </c>
      <c r="U7" s="132">
        <f>IF(SER_hh_fech_in!U7=0,0,SER_hh_fech_in!U7/SER_summary!U$27)</f>
        <v>63.003831879100836</v>
      </c>
      <c r="V7" s="132">
        <f>IF(SER_hh_fech_in!V7=0,0,SER_hh_fech_in!V7/SER_summary!V$27)</f>
        <v>0</v>
      </c>
      <c r="W7" s="132">
        <f>IF(SER_hh_fech_in!W7=0,0,SER_hh_fech_in!W7/SER_summary!W$27)</f>
        <v>0</v>
      </c>
      <c r="X7" s="132">
        <f>IF(SER_hh_fech_in!X7=0,0,SER_hh_fech_in!X7/SER_summary!X$27)</f>
        <v>0</v>
      </c>
      <c r="Y7" s="132">
        <f>IF(SER_hh_fech_in!Y7=0,0,SER_hh_fech_in!Y7/SER_summary!Y$27)</f>
        <v>0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14.458384179674486</v>
      </c>
      <c r="D8" s="132">
        <f>IF(SER_hh_fech_in!D8=0,0,SER_hh_fech_in!D8/SER_summary!D$27)</f>
        <v>16.851936194635794</v>
      </c>
      <c r="E8" s="132">
        <f>IF(SER_hh_fech_in!E8=0,0,SER_hh_fech_in!E8/SER_summary!E$27)</f>
        <v>19.046507944458455</v>
      </c>
      <c r="F8" s="132">
        <f>IF(SER_hh_fech_in!F8=0,0,SER_hh_fech_in!F8/SER_summary!F$27)</f>
        <v>19.976003781961261</v>
      </c>
      <c r="G8" s="132">
        <f>IF(SER_hh_fech_in!G8=0,0,SER_hh_fech_in!G8/SER_summary!G$27)</f>
        <v>19.951239820680378</v>
      </c>
      <c r="H8" s="132">
        <f>IF(SER_hh_fech_in!H8=0,0,SER_hh_fech_in!H8/SER_summary!H$27)</f>
        <v>21.724765399076311</v>
      </c>
      <c r="I8" s="132">
        <f>IF(SER_hh_fech_in!I8=0,0,SER_hh_fech_in!I8/SER_summary!I$27)</f>
        <v>22.008567224948905</v>
      </c>
      <c r="J8" s="132">
        <f>IF(SER_hh_fech_in!J8=0,0,SER_hh_fech_in!J8/SER_summary!J$27)</f>
        <v>22.578161290445813</v>
      </c>
      <c r="K8" s="132">
        <f>IF(SER_hh_fech_in!K8=0,0,SER_hh_fech_in!K8/SER_summary!K$27)</f>
        <v>20.609481503275251</v>
      </c>
      <c r="L8" s="132">
        <f>IF(SER_hh_fech_in!L8=0,0,SER_hh_fech_in!L8/SER_summary!L$27)</f>
        <v>20.092704659451126</v>
      </c>
      <c r="M8" s="132">
        <f>IF(SER_hh_fech_in!M8=0,0,SER_hh_fech_in!M8/SER_summary!M$27)</f>
        <v>20.329722965727864</v>
      </c>
      <c r="N8" s="132">
        <f>IF(SER_hh_fech_in!N8=0,0,SER_hh_fech_in!N8/SER_summary!N$27)</f>
        <v>19.3969491407276</v>
      </c>
      <c r="O8" s="132">
        <f>IF(SER_hh_fech_in!O8=0,0,SER_hh_fech_in!O8/SER_summary!O$27)</f>
        <v>19.16629220460403</v>
      </c>
      <c r="P8" s="132">
        <f>IF(SER_hh_fech_in!P8=0,0,SER_hh_fech_in!P8/SER_summary!P$27)</f>
        <v>19.416892701076208</v>
      </c>
      <c r="Q8" s="132">
        <f>IF(SER_hh_fech_in!Q8=0,0,SER_hh_fech_in!Q8/SER_summary!Q$27)</f>
        <v>19.002366670118068</v>
      </c>
      <c r="R8" s="132">
        <f>IF(SER_hh_fech_in!R8=0,0,SER_hh_fech_in!R8/SER_summary!R$27)</f>
        <v>17.048767811379541</v>
      </c>
      <c r="S8" s="132">
        <f>IF(SER_hh_fech_in!S8=0,0,SER_hh_fech_in!S8/SER_summary!S$27)</f>
        <v>15.861245840773723</v>
      </c>
      <c r="T8" s="132">
        <f>IF(SER_hh_fech_in!T8=0,0,SER_hh_fech_in!T8/SER_summary!T$27)</f>
        <v>15.461976921189335</v>
      </c>
      <c r="U8" s="132">
        <f>IF(SER_hh_fech_in!U8=0,0,SER_hh_fech_in!U8/SER_summary!U$27)</f>
        <v>15.222046517639603</v>
      </c>
      <c r="V8" s="132">
        <f>IF(SER_hh_fech_in!V8=0,0,SER_hh_fech_in!V8/SER_summary!V$27)</f>
        <v>14.136544053677788</v>
      </c>
      <c r="W8" s="132">
        <f>IF(SER_hh_fech_in!W8=0,0,SER_hh_fech_in!W8/SER_summary!W$27)</f>
        <v>14.479602661296198</v>
      </c>
      <c r="X8" s="132">
        <f>IF(SER_hh_fech_in!X8=0,0,SER_hh_fech_in!X8/SER_summary!X$27)</f>
        <v>15.670351907961255</v>
      </c>
      <c r="Y8" s="132">
        <f>IF(SER_hh_fech_in!Y8=0,0,SER_hh_fech_in!Y8/SER_summary!Y$27)</f>
        <v>16.435783753244316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34.407722851574768</v>
      </c>
      <c r="D9" s="132">
        <f>IF(SER_hh_fech_in!D9=0,0,SER_hh_fech_in!D9/SER_summary!D$27)</f>
        <v>42.888818545056409</v>
      </c>
      <c r="E9" s="132">
        <f>IF(SER_hh_fech_in!E9=0,0,SER_hh_fech_in!E9/SER_summary!E$27)</f>
        <v>45.74658815972488</v>
      </c>
      <c r="F9" s="132">
        <f>IF(SER_hh_fech_in!F9=0,0,SER_hh_fech_in!F9/SER_summary!F$27)</f>
        <v>57.429602903826314</v>
      </c>
      <c r="G9" s="132">
        <f>IF(SER_hh_fech_in!G9=0,0,SER_hh_fech_in!G9/SER_summary!G$27)</f>
        <v>0</v>
      </c>
      <c r="H9" s="132">
        <f>IF(SER_hh_fech_in!H9=0,0,SER_hh_fech_in!H9/SER_summary!H$27)</f>
        <v>65.125028267717823</v>
      </c>
      <c r="I9" s="132">
        <f>IF(SER_hh_fech_in!I9=0,0,SER_hh_fech_in!I9/SER_summary!I$27)</f>
        <v>67.699483205667562</v>
      </c>
      <c r="J9" s="132">
        <f>IF(SER_hh_fech_in!J9=0,0,SER_hh_fech_in!J9/SER_summary!J$27)</f>
        <v>67.944820248263767</v>
      </c>
      <c r="K9" s="132">
        <f>IF(SER_hh_fech_in!K9=0,0,SER_hh_fech_in!K9/SER_summary!K$27)</f>
        <v>72.615437118745803</v>
      </c>
      <c r="L9" s="132">
        <f>IF(SER_hh_fech_in!L9=0,0,SER_hh_fech_in!L9/SER_summary!L$27)</f>
        <v>62.898804541490996</v>
      </c>
      <c r="M9" s="132">
        <f>IF(SER_hh_fech_in!M9=0,0,SER_hh_fech_in!M9/SER_summary!M$27)</f>
        <v>69.04080547404196</v>
      </c>
      <c r="N9" s="132">
        <f>IF(SER_hh_fech_in!N9=0,0,SER_hh_fech_in!N9/SER_summary!N$27)</f>
        <v>68.319040746345095</v>
      </c>
      <c r="O9" s="132">
        <f>IF(SER_hh_fech_in!O9=0,0,SER_hh_fech_in!O9/SER_summary!O$27)</f>
        <v>63.737828716794141</v>
      </c>
      <c r="P9" s="132">
        <f>IF(SER_hh_fech_in!P9=0,0,SER_hh_fech_in!P9/SER_summary!P$27)</f>
        <v>0</v>
      </c>
      <c r="Q9" s="132">
        <f>IF(SER_hh_fech_in!Q9=0,0,SER_hh_fech_in!Q9/SER_summary!Q$27)</f>
        <v>62.452213222362332</v>
      </c>
      <c r="R9" s="132">
        <f>IF(SER_hh_fech_in!R9=0,0,SER_hh_fech_in!R9/SER_summary!R$27)</f>
        <v>63.136478668132227</v>
      </c>
      <c r="S9" s="132">
        <f>IF(SER_hh_fech_in!S9=0,0,SER_hh_fech_in!S9/SER_summary!S$27)</f>
        <v>60.569747517783611</v>
      </c>
      <c r="T9" s="132">
        <f>IF(SER_hh_fech_in!T9=0,0,SER_hh_fech_in!T9/SER_summary!T$27)</f>
        <v>63.262661203742667</v>
      </c>
      <c r="U9" s="132">
        <f>IF(SER_hh_fech_in!U9=0,0,SER_hh_fech_in!U9/SER_summary!U$27)</f>
        <v>0</v>
      </c>
      <c r="V9" s="132">
        <f>IF(SER_hh_fech_in!V9=0,0,SER_hh_fech_in!V9/SER_summary!V$27)</f>
        <v>42.552590884115318</v>
      </c>
      <c r="W9" s="132">
        <f>IF(SER_hh_fech_in!W9=0,0,SER_hh_fech_in!W9/SER_summary!W$27)</f>
        <v>58.36966304371721</v>
      </c>
      <c r="X9" s="132">
        <f>IF(SER_hh_fech_in!X9=0,0,SER_hh_fech_in!X9/SER_summary!X$27)</f>
        <v>56.846300095403038</v>
      </c>
      <c r="Y9" s="132">
        <f>IF(SER_hh_fech_in!Y9=0,0,SER_hh_fech_in!Y9/SER_summary!Y$27)</f>
        <v>60.123224624651776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0</v>
      </c>
      <c r="D10" s="132">
        <f>IF(SER_hh_fech_in!D10=0,0,SER_hh_fech_in!D10/SER_summary!D$27)</f>
        <v>0</v>
      </c>
      <c r="E10" s="132">
        <f>IF(SER_hh_fech_in!E10=0,0,SER_hh_fech_in!E10/SER_summary!E$27)</f>
        <v>0</v>
      </c>
      <c r="F10" s="132">
        <f>IF(SER_hh_fech_in!F10=0,0,SER_hh_fech_in!F10/SER_summary!F$27)</f>
        <v>0</v>
      </c>
      <c r="G10" s="132">
        <f>IF(SER_hh_fech_in!G10=0,0,SER_hh_fech_in!G10/SER_summary!G$27)</f>
        <v>0</v>
      </c>
      <c r="H10" s="132">
        <f>IF(SER_hh_fech_in!H10=0,0,SER_hh_fech_in!H10/SER_summary!H$27)</f>
        <v>0</v>
      </c>
      <c r="I10" s="132">
        <f>IF(SER_hh_fech_in!I10=0,0,SER_hh_fech_in!I10/SER_summary!I$27)</f>
        <v>0</v>
      </c>
      <c r="J10" s="132">
        <f>IF(SER_hh_fech_in!J10=0,0,SER_hh_fech_in!J10/SER_summary!J$27)</f>
        <v>0</v>
      </c>
      <c r="K10" s="132">
        <f>IF(SER_hh_fech_in!K10=0,0,SER_hh_fech_in!K10/SER_summary!K$27)</f>
        <v>0</v>
      </c>
      <c r="L10" s="132">
        <f>IF(SER_hh_fech_in!L10=0,0,SER_hh_fech_in!L10/SER_summary!L$27)</f>
        <v>0</v>
      </c>
      <c r="M10" s="132">
        <f>IF(SER_hh_fech_in!M10=0,0,SER_hh_fech_in!M10/SER_summary!M$27)</f>
        <v>108.13543523799676</v>
      </c>
      <c r="N10" s="132">
        <f>IF(SER_hh_fech_in!N10=0,0,SER_hh_fech_in!N10/SER_summary!N$27)</f>
        <v>93.856034671274102</v>
      </c>
      <c r="O10" s="132">
        <f>IF(SER_hh_fech_in!O10=0,0,SER_hh_fech_in!O10/SER_summary!O$27)</f>
        <v>0</v>
      </c>
      <c r="P10" s="132">
        <f>IF(SER_hh_fech_in!P10=0,0,SER_hh_fech_in!P10/SER_summary!P$27)</f>
        <v>0</v>
      </c>
      <c r="Q10" s="132">
        <f>IF(SER_hh_fech_in!Q10=0,0,SER_hh_fech_in!Q10/SER_summary!Q$27)</f>
        <v>0</v>
      </c>
      <c r="R10" s="132">
        <f>IF(SER_hh_fech_in!R10=0,0,SER_hh_fech_in!R10/SER_summary!R$27)</f>
        <v>70.834882250483773</v>
      </c>
      <c r="S10" s="132">
        <f>IF(SER_hh_fech_in!S10=0,0,SER_hh_fech_in!S10/SER_summary!S$27)</f>
        <v>86.865151160840639</v>
      </c>
      <c r="T10" s="132">
        <f>IF(SER_hh_fech_in!T10=0,0,SER_hh_fech_in!T10/SER_summary!T$27)</f>
        <v>0</v>
      </c>
      <c r="U10" s="132">
        <f>IF(SER_hh_fech_in!U10=0,0,SER_hh_fech_in!U10/SER_summary!U$27)</f>
        <v>0</v>
      </c>
      <c r="V10" s="132">
        <f>IF(SER_hh_fech_in!V10=0,0,SER_hh_fech_in!V10/SER_summary!V$27)</f>
        <v>0</v>
      </c>
      <c r="W10" s="132">
        <f>IF(SER_hh_fech_in!W10=0,0,SER_hh_fech_in!W10/SER_summary!W$27)</f>
        <v>59.678962383263716</v>
      </c>
      <c r="X10" s="132">
        <f>IF(SER_hh_fech_in!X10=0,0,SER_hh_fech_in!X10/SER_summary!X$27)</f>
        <v>90.827696703394068</v>
      </c>
      <c r="Y10" s="132">
        <f>IF(SER_hh_fech_in!Y10=0,0,SER_hh_fech_in!Y10/SER_summary!Y$27)</f>
        <v>67.044454534057309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24.331587915712309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46.950055553203825</v>
      </c>
      <c r="K11" s="132">
        <f>IF(SER_hh_fech_in!K11=0,0,SER_hh_fech_in!K11/SER_summary!K$27)</f>
        <v>45.188203749732303</v>
      </c>
      <c r="L11" s="132">
        <f>IF(SER_hh_fech_in!L11=0,0,SER_hh_fech_in!L11/SER_summary!L$27)</f>
        <v>40.777398862657272</v>
      </c>
      <c r="M11" s="132">
        <f>IF(SER_hh_fech_in!M11=0,0,SER_hh_fech_in!M11/SER_summary!M$27)</f>
        <v>55.147417821782646</v>
      </c>
      <c r="N11" s="132">
        <f>IF(SER_hh_fech_in!N11=0,0,SER_hh_fech_in!N11/SER_summary!N$27)</f>
        <v>54.565476850900147</v>
      </c>
      <c r="O11" s="132">
        <f>IF(SER_hh_fech_in!O11=0,0,SER_hh_fech_in!O11/SER_summary!O$27)</f>
        <v>46.372188896566819</v>
      </c>
      <c r="P11" s="132">
        <f>IF(SER_hh_fech_in!P11=0,0,SER_hh_fech_in!P11/SER_summary!P$27)</f>
        <v>0</v>
      </c>
      <c r="Q11" s="132">
        <f>IF(SER_hh_fech_in!Q11=0,0,SER_hh_fech_in!Q11/SER_summary!Q$27)</f>
        <v>58.168471338281968</v>
      </c>
      <c r="R11" s="132">
        <f>IF(SER_hh_fech_in!R11=0,0,SER_hh_fech_in!R11/SER_summary!R$27)</f>
        <v>48.983037142851884</v>
      </c>
      <c r="S11" s="132">
        <f>IF(SER_hh_fech_in!S11=0,0,SER_hh_fech_in!S11/SER_summary!S$27)</f>
        <v>51.409286197117716</v>
      </c>
      <c r="T11" s="132">
        <f>IF(SER_hh_fech_in!T11=0,0,SER_hh_fech_in!T11/SER_summary!T$27)</f>
        <v>55.459133223221684</v>
      </c>
      <c r="U11" s="132">
        <f>IF(SER_hh_fech_in!U11=0,0,SER_hh_fech_in!U11/SER_summary!U$27)</f>
        <v>54.617954748029106</v>
      </c>
      <c r="V11" s="132">
        <f>IF(SER_hh_fech_in!V11=0,0,SER_hh_fech_in!V11/SER_summary!V$27)</f>
        <v>42.856053339318677</v>
      </c>
      <c r="W11" s="132">
        <f>IF(SER_hh_fech_in!W11=0,0,SER_hh_fech_in!W11/SER_summary!W$27)</f>
        <v>43.068456778556609</v>
      </c>
      <c r="X11" s="132">
        <f>IF(SER_hh_fech_in!X11=0,0,SER_hh_fech_in!X11/SER_summary!X$27)</f>
        <v>54.284009915668129</v>
      </c>
      <c r="Y11" s="132">
        <f>IF(SER_hh_fech_in!Y11=0,0,SER_hh_fech_in!Y11/SER_summary!Y$27)</f>
        <v>55.101971280841774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23.431192756178714</v>
      </c>
      <c r="D12" s="132">
        <f>IF(SER_hh_fech_in!D12=0,0,SER_hh_fech_in!D12/SER_summary!D$27)</f>
        <v>31.357471986889752</v>
      </c>
      <c r="E12" s="132">
        <f>IF(SER_hh_fech_in!E12=0,0,SER_hh_fech_in!E12/SER_summary!E$27)</f>
        <v>31.33723880889514</v>
      </c>
      <c r="F12" s="132">
        <f>IF(SER_hh_fech_in!F12=0,0,SER_hh_fech_in!F12/SER_summary!F$27)</f>
        <v>41.86424388269598</v>
      </c>
      <c r="G12" s="132">
        <f>IF(SER_hh_fech_in!G12=0,0,SER_hh_fech_in!G12/SER_summary!G$27)</f>
        <v>0</v>
      </c>
      <c r="H12" s="132">
        <f>IF(SER_hh_fech_in!H12=0,0,SER_hh_fech_in!H12/SER_summary!H$27)</f>
        <v>0</v>
      </c>
      <c r="I12" s="132">
        <f>IF(SER_hh_fech_in!I12=0,0,SER_hh_fech_in!I12/SER_summary!I$27)</f>
        <v>0</v>
      </c>
      <c r="J12" s="132">
        <f>IF(SER_hh_fech_in!J12=0,0,SER_hh_fech_in!J12/SER_summary!J$27)</f>
        <v>45.395443386544024</v>
      </c>
      <c r="K12" s="132">
        <f>IF(SER_hh_fech_in!K12=0,0,SER_hh_fech_in!K12/SER_summary!K$27)</f>
        <v>40.376202456119394</v>
      </c>
      <c r="L12" s="132">
        <f>IF(SER_hh_fech_in!L12=0,0,SER_hh_fech_in!L12/SER_summary!L$27)</f>
        <v>52.433445497272736</v>
      </c>
      <c r="M12" s="132">
        <f>IF(SER_hh_fech_in!M12=0,0,SER_hh_fech_in!M12/SER_summary!M$27)</f>
        <v>44.106362300837638</v>
      </c>
      <c r="N12" s="132">
        <f>IF(SER_hh_fech_in!N12=0,0,SER_hh_fech_in!N12/SER_summary!N$27)</f>
        <v>56.154420337276953</v>
      </c>
      <c r="O12" s="132">
        <f>IF(SER_hh_fech_in!O12=0,0,SER_hh_fech_in!O12/SER_summary!O$27)</f>
        <v>54.772039691157644</v>
      </c>
      <c r="P12" s="132">
        <f>IF(SER_hh_fech_in!P12=0,0,SER_hh_fech_in!P12/SER_summary!P$27)</f>
        <v>0</v>
      </c>
      <c r="Q12" s="132">
        <f>IF(SER_hh_fech_in!Q12=0,0,SER_hh_fech_in!Q12/SER_summary!Q$27)</f>
        <v>53.988110694709178</v>
      </c>
      <c r="R12" s="132">
        <f>IF(SER_hh_fech_in!R12=0,0,SER_hh_fech_in!R12/SER_summary!R$27)</f>
        <v>50.325626998923234</v>
      </c>
      <c r="S12" s="132">
        <f>IF(SER_hh_fech_in!S12=0,0,SER_hh_fech_in!S12/SER_summary!S$27)</f>
        <v>54.367456789253126</v>
      </c>
      <c r="T12" s="132">
        <f>IF(SER_hh_fech_in!T12=0,0,SER_hh_fech_in!T12/SER_summary!T$27)</f>
        <v>52.994692171066617</v>
      </c>
      <c r="U12" s="132">
        <f>IF(SER_hh_fech_in!U12=0,0,SER_hh_fech_in!U12/SER_summary!U$27)</f>
        <v>50.885305352050757</v>
      </c>
      <c r="V12" s="132">
        <f>IF(SER_hh_fech_in!V12=0,0,SER_hh_fech_in!V12/SER_summary!V$27)</f>
        <v>48.800851250399035</v>
      </c>
      <c r="W12" s="132">
        <f>IF(SER_hh_fech_in!W12=0,0,SER_hh_fech_in!W12/SER_summary!W$27)</f>
        <v>0</v>
      </c>
      <c r="X12" s="132">
        <f>IF(SER_hh_fech_in!X12=0,0,SER_hh_fech_in!X12/SER_summary!X$27)</f>
        <v>0</v>
      </c>
      <c r="Y12" s="132">
        <f>IF(SER_hh_fech_in!Y12=0,0,SER_hh_fech_in!Y12/SER_summary!Y$27)</f>
        <v>0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10.587195043160314</v>
      </c>
      <c r="D13" s="132">
        <f>IF(SER_hh_fech_in!D13=0,0,SER_hh_fech_in!D13/SER_summary!D$27)</f>
        <v>9.0497119161139636</v>
      </c>
      <c r="E13" s="132">
        <f>IF(SER_hh_fech_in!E13=0,0,SER_hh_fech_in!E13/SER_summary!E$27)</f>
        <v>14.61185540591751</v>
      </c>
      <c r="F13" s="132">
        <f>IF(SER_hh_fech_in!F13=0,0,SER_hh_fech_in!F13/SER_summary!F$27)</f>
        <v>12.968957020574663</v>
      </c>
      <c r="G13" s="132">
        <f>IF(SER_hh_fech_in!G13=0,0,SER_hh_fech_in!G13/SER_summary!G$27)</f>
        <v>15.67648726205215</v>
      </c>
      <c r="H13" s="132">
        <f>IF(SER_hh_fech_in!H13=0,0,SER_hh_fech_in!H13/SER_summary!H$27)</f>
        <v>16.175099539660792</v>
      </c>
      <c r="I13" s="132">
        <f>IF(SER_hh_fech_in!I13=0,0,SER_hh_fech_in!I13/SER_summary!I$27)</f>
        <v>15.801555912268292</v>
      </c>
      <c r="J13" s="132">
        <f>IF(SER_hh_fech_in!J13=0,0,SER_hh_fech_in!J13/SER_summary!J$27)</f>
        <v>16.190637472493908</v>
      </c>
      <c r="K13" s="132">
        <f>IF(SER_hh_fech_in!K13=0,0,SER_hh_fech_in!K13/SER_summary!K$27)</f>
        <v>14.567135587143435</v>
      </c>
      <c r="L13" s="132">
        <f>IF(SER_hh_fech_in!L13=0,0,SER_hh_fech_in!L13/SER_summary!L$27)</f>
        <v>14.467077870487991</v>
      </c>
      <c r="M13" s="132">
        <f>IF(SER_hh_fech_in!M13=0,0,SER_hh_fech_in!M13/SER_summary!M$27)</f>
        <v>13.634802568718902</v>
      </c>
      <c r="N13" s="132">
        <f>IF(SER_hh_fech_in!N13=0,0,SER_hh_fech_in!N13/SER_summary!N$27)</f>
        <v>13.753532512829066</v>
      </c>
      <c r="O13" s="132">
        <f>IF(SER_hh_fech_in!O13=0,0,SER_hh_fech_in!O13/SER_summary!O$27)</f>
        <v>13.101307831772292</v>
      </c>
      <c r="P13" s="132">
        <f>IF(SER_hh_fech_in!P13=0,0,SER_hh_fech_in!P13/SER_summary!P$27)</f>
        <v>13.732302591106636</v>
      </c>
      <c r="Q13" s="132">
        <f>IF(SER_hh_fech_in!Q13=0,0,SER_hh_fech_in!Q13/SER_summary!Q$27)</f>
        <v>12.674766454006521</v>
      </c>
      <c r="R13" s="132">
        <f>IF(SER_hh_fech_in!R13=0,0,SER_hh_fech_in!R13/SER_summary!R$27)</f>
        <v>11.542966375795263</v>
      </c>
      <c r="S13" s="132">
        <f>IF(SER_hh_fech_in!S13=0,0,SER_hh_fech_in!S13/SER_summary!S$27)</f>
        <v>11.088759783133252</v>
      </c>
      <c r="T13" s="132">
        <f>IF(SER_hh_fech_in!T13=0,0,SER_hh_fech_in!T13/SER_summary!T$27)</f>
        <v>10.88596536355281</v>
      </c>
      <c r="U13" s="132">
        <f>IF(SER_hh_fech_in!U13=0,0,SER_hh_fech_in!U13/SER_summary!U$27)</f>
        <v>10.618558005791385</v>
      </c>
      <c r="V13" s="132">
        <f>IF(SER_hh_fech_in!V13=0,0,SER_hh_fech_in!V13/SER_summary!V$27)</f>
        <v>10.157873825871828</v>
      </c>
      <c r="W13" s="132">
        <f>IF(SER_hh_fech_in!W13=0,0,SER_hh_fech_in!W13/SER_summary!W$27)</f>
        <v>9.85497683146607</v>
      </c>
      <c r="X13" s="132">
        <f>IF(SER_hh_fech_in!X13=0,0,SER_hh_fech_in!X13/SER_summary!X$27)</f>
        <v>10.945509695871948</v>
      </c>
      <c r="Y13" s="132">
        <f>IF(SER_hh_fech_in!Y13=0,0,SER_hh_fech_in!Y13/SER_summary!Y$27)</f>
        <v>11.166887069912626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26.640751843276401</v>
      </c>
      <c r="D14" s="65">
        <f>IF(SER_hh_fech_in!D14=0,0,SER_hh_fech_in!D14/SER_summary!D$27)</f>
        <v>29.362523328379655</v>
      </c>
      <c r="E14" s="65">
        <f>IF(SER_hh_fech_in!E14=0,0,SER_hh_fech_in!E14/SER_summary!E$27)</f>
        <v>32.129090642341019</v>
      </c>
      <c r="F14" s="65">
        <f>IF(SER_hh_fech_in!F14=0,0,SER_hh_fech_in!F14/SER_summary!F$27)</f>
        <v>41.974954613858735</v>
      </c>
      <c r="G14" s="65">
        <f>IF(SER_hh_fech_in!G14=0,0,SER_hh_fech_in!G14/SER_summary!G$27)</f>
        <v>50.146615729260134</v>
      </c>
      <c r="H14" s="65">
        <f>IF(SER_hh_fech_in!H14=0,0,SER_hh_fech_in!H14/SER_summary!H$27)</f>
        <v>49.671804276095202</v>
      </c>
      <c r="I14" s="65">
        <f>IF(SER_hh_fech_in!I14=0,0,SER_hh_fech_in!I14/SER_summary!I$27)</f>
        <v>56.907517704374307</v>
      </c>
      <c r="J14" s="65">
        <f>IF(SER_hh_fech_in!J14=0,0,SER_hh_fech_in!J14/SER_summary!J$27)</f>
        <v>0</v>
      </c>
      <c r="K14" s="65">
        <f>IF(SER_hh_fech_in!K14=0,0,SER_hh_fech_in!K14/SER_summary!K$27)</f>
        <v>0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22.349372493663768</v>
      </c>
      <c r="P14" s="65">
        <f>IF(SER_hh_fech_in!P14=0,0,SER_hh_fech_in!P14/SER_summary!P$27)</f>
        <v>77.230704458434928</v>
      </c>
      <c r="Q14" s="65">
        <f>IF(SER_hh_fech_in!Q14=0,0,SER_hh_fech_in!Q14/SER_summary!Q$27)</f>
        <v>88.082915608059494</v>
      </c>
      <c r="R14" s="65">
        <f>IF(SER_hh_fech_in!R14=0,0,SER_hh_fech_in!R14/SER_summary!R$27)</f>
        <v>0</v>
      </c>
      <c r="S14" s="65">
        <f>IF(SER_hh_fech_in!S14=0,0,SER_hh_fech_in!S14/SER_summary!S$27)</f>
        <v>37.826482046579869</v>
      </c>
      <c r="T14" s="65">
        <f>IF(SER_hh_fech_in!T14=0,0,SER_hh_fech_in!T14/SER_summary!T$27)</f>
        <v>70.1587029978853</v>
      </c>
      <c r="U14" s="65">
        <f>IF(SER_hh_fech_in!U14=0,0,SER_hh_fech_in!U14/SER_summary!U$27)</f>
        <v>72.574005852697326</v>
      </c>
      <c r="V14" s="65">
        <f>IF(SER_hh_fech_in!V14=0,0,SER_hh_fech_in!V14/SER_summary!V$27)</f>
        <v>38.6143623904685</v>
      </c>
      <c r="W14" s="65">
        <f>IF(SER_hh_fech_in!W14=0,0,SER_hh_fech_in!W14/SER_summary!W$27)</f>
        <v>39.171132091940066</v>
      </c>
      <c r="X14" s="65">
        <f>IF(SER_hh_fech_in!X14=0,0,SER_hh_fech_in!X14/SER_summary!X$27)</f>
        <v>53.236345697200605</v>
      </c>
      <c r="Y14" s="65">
        <f>IF(SER_hh_fech_in!Y14=0,0,SER_hh_fech_in!Y14/SER_summary!Y$27)</f>
        <v>59.368402597196713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0.34767158171450085</v>
      </c>
      <c r="D15" s="134">
        <f>IF(SER_hh_fech_in!D15=0,0,SER_hh_fech_in!D15/SER_summary!D$27)</f>
        <v>0.37647429332699428</v>
      </c>
      <c r="E15" s="134">
        <f>IF(SER_hh_fech_in!E15=0,0,SER_hh_fech_in!E15/SER_summary!E$27)</f>
        <v>0.41150844042967177</v>
      </c>
      <c r="F15" s="134">
        <f>IF(SER_hh_fech_in!F15=0,0,SER_hh_fech_in!F15/SER_summary!F$27)</f>
        <v>0.54579816269513148</v>
      </c>
      <c r="G15" s="134">
        <f>IF(SER_hh_fech_in!G15=0,0,SER_hh_fech_in!G15/SER_summary!G$27)</f>
        <v>0.64448492426464432</v>
      </c>
      <c r="H15" s="134">
        <f>IF(SER_hh_fech_in!H15=0,0,SER_hh_fech_in!H15/SER_summary!H$27)</f>
        <v>0.61423169861683369</v>
      </c>
      <c r="I15" s="134">
        <f>IF(SER_hh_fech_in!I15=0,0,SER_hh_fech_in!I15/SER_summary!I$27)</f>
        <v>0.63596342724550103</v>
      </c>
      <c r="J15" s="134">
        <f>IF(SER_hh_fech_in!J15=0,0,SER_hh_fech_in!J15/SER_summary!J$27)</f>
        <v>0.60138385947632089</v>
      </c>
      <c r="K15" s="134">
        <f>IF(SER_hh_fech_in!K15=0,0,SER_hh_fech_in!K15/SER_summary!K$27)</f>
        <v>0.6113091276790954</v>
      </c>
      <c r="L15" s="134">
        <f>IF(SER_hh_fech_in!L15=0,0,SER_hh_fech_in!L15/SER_summary!L$27)</f>
        <v>0.45602693210690565</v>
      </c>
      <c r="M15" s="134">
        <f>IF(SER_hh_fech_in!M15=0,0,SER_hh_fech_in!M15/SER_summary!M$27)</f>
        <v>0.50067000925723426</v>
      </c>
      <c r="N15" s="134">
        <f>IF(SER_hh_fech_in!N15=0,0,SER_hh_fech_in!N15/SER_summary!N$27)</f>
        <v>0.41206149159575528</v>
      </c>
      <c r="O15" s="134">
        <f>IF(SER_hh_fech_in!O15=0,0,SER_hh_fech_in!O15/SER_summary!O$27)</f>
        <v>0.58405153270333265</v>
      </c>
      <c r="P15" s="134">
        <f>IF(SER_hh_fech_in!P15=0,0,SER_hh_fech_in!P15/SER_summary!P$27)</f>
        <v>0.18900248462132532</v>
      </c>
      <c r="Q15" s="134">
        <f>IF(SER_hh_fech_in!Q15=0,0,SER_hh_fech_in!Q15/SER_summary!Q$27)</f>
        <v>0.69284912524298392</v>
      </c>
      <c r="R15" s="134">
        <f>IF(SER_hh_fech_in!R15=0,0,SER_hh_fech_in!R15/SER_summary!R$27)</f>
        <v>0.67141010080753294</v>
      </c>
      <c r="S15" s="134">
        <f>IF(SER_hh_fech_in!S15=0,0,SER_hh_fech_in!S15/SER_summary!S$27)</f>
        <v>0.62257805394442223</v>
      </c>
      <c r="T15" s="134">
        <f>IF(SER_hh_fech_in!T15=0,0,SER_hh_fech_in!T15/SER_summary!T$27)</f>
        <v>0.63926712783196959</v>
      </c>
      <c r="U15" s="134">
        <f>IF(SER_hh_fech_in!U15=0,0,SER_hh_fech_in!U15/SER_summary!U$27)</f>
        <v>0.63395222176602073</v>
      </c>
      <c r="V15" s="134">
        <f>IF(SER_hh_fech_in!V15=0,0,SER_hh_fech_in!V15/SER_summary!V$27)</f>
        <v>0.4448968393725079</v>
      </c>
      <c r="W15" s="134">
        <f>IF(SER_hh_fech_in!W15=0,0,SER_hh_fech_in!W15/SER_summary!W$27)</f>
        <v>0.61422884472600969</v>
      </c>
      <c r="X15" s="134">
        <f>IF(SER_hh_fech_in!X15=0,0,SER_hh_fech_in!X15/SER_summary!X$27)</f>
        <v>0.62972771761863322</v>
      </c>
      <c r="Y15" s="134">
        <f>IF(SER_hh_fech_in!Y15=0,0,SER_hh_fech_in!Y15/SER_summary!Y$27)</f>
        <v>0.62930938767155686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11.227631421843274</v>
      </c>
      <c r="D16" s="130">
        <f>IF(SER_hh_fech_in!D16=0,0,SER_hh_fech_in!D16/SER_summary!D$27)</f>
        <v>9.5912406452519807</v>
      </c>
      <c r="E16" s="130">
        <f>IF(SER_hh_fech_in!E16=0,0,SER_hh_fech_in!E16/SER_summary!E$27)</f>
        <v>13.045210689914537</v>
      </c>
      <c r="F16" s="130">
        <f>IF(SER_hh_fech_in!F16=0,0,SER_hh_fech_in!F16/SER_summary!F$27)</f>
        <v>10.459428632420185</v>
      </c>
      <c r="G16" s="130">
        <f>IF(SER_hh_fech_in!G16=0,0,SER_hh_fech_in!G16/SER_summary!G$27)</f>
        <v>11.028274966761931</v>
      </c>
      <c r="H16" s="130">
        <f>IF(SER_hh_fech_in!H16=0,0,SER_hh_fech_in!H16/SER_summary!H$27)</f>
        <v>12.807381098108463</v>
      </c>
      <c r="I16" s="130">
        <f>IF(SER_hh_fech_in!I16=0,0,SER_hh_fech_in!I16/SER_summary!I$27)</f>
        <v>8.0180685734482857</v>
      </c>
      <c r="J16" s="130">
        <f>IF(SER_hh_fech_in!J16=0,0,SER_hh_fech_in!J16/SER_summary!J$27)</f>
        <v>7.495492863555933</v>
      </c>
      <c r="K16" s="130">
        <f>IF(SER_hh_fech_in!K16=0,0,SER_hh_fech_in!K16/SER_summary!K$27)</f>
        <v>8.810097253025118</v>
      </c>
      <c r="L16" s="130">
        <f>IF(SER_hh_fech_in!L16=0,0,SER_hh_fech_in!L16/SER_summary!L$27)</f>
        <v>11.519560855054912</v>
      </c>
      <c r="M16" s="130">
        <f>IF(SER_hh_fech_in!M16=0,0,SER_hh_fech_in!M16/SER_summary!M$27)</f>
        <v>7.2752640447570336</v>
      </c>
      <c r="N16" s="130">
        <f>IF(SER_hh_fech_in!N16=0,0,SER_hh_fech_in!N16/SER_summary!N$27)</f>
        <v>7.2421758081245047</v>
      </c>
      <c r="O16" s="130">
        <f>IF(SER_hh_fech_in!O16=0,0,SER_hh_fech_in!O16/SER_summary!O$27)</f>
        <v>8.9366267474119727</v>
      </c>
      <c r="P16" s="130">
        <f>IF(SER_hh_fech_in!P16=0,0,SER_hh_fech_in!P16/SER_summary!P$27)</f>
        <v>5.7025881176571964</v>
      </c>
      <c r="Q16" s="130">
        <f>IF(SER_hh_fech_in!Q16=0,0,SER_hh_fech_in!Q16/SER_summary!Q$27)</f>
        <v>6.4442177608315481</v>
      </c>
      <c r="R16" s="130">
        <f>IF(SER_hh_fech_in!R16=0,0,SER_hh_fech_in!R16/SER_summary!R$27)</f>
        <v>9.3209020533758853</v>
      </c>
      <c r="S16" s="130">
        <f>IF(SER_hh_fech_in!S16=0,0,SER_hh_fech_in!S16/SER_summary!S$27)</f>
        <v>8.5863123796685379</v>
      </c>
      <c r="T16" s="130">
        <f>IF(SER_hh_fech_in!T16=0,0,SER_hh_fech_in!T16/SER_summary!T$27)</f>
        <v>7.211360040470935</v>
      </c>
      <c r="U16" s="130">
        <f>IF(SER_hh_fech_in!U16=0,0,SER_hh_fech_in!U16/SER_summary!U$27)</f>
        <v>5.5852558608787666</v>
      </c>
      <c r="V16" s="130">
        <f>IF(SER_hh_fech_in!V16=0,0,SER_hh_fech_in!V16/SER_summary!V$27)</f>
        <v>7.7324596747499834</v>
      </c>
      <c r="W16" s="130">
        <f>IF(SER_hh_fech_in!W16=0,0,SER_hh_fech_in!W16/SER_summary!W$27)</f>
        <v>4.6387520021191753</v>
      </c>
      <c r="X16" s="130">
        <f>IF(SER_hh_fech_in!X16=0,0,SER_hh_fech_in!X16/SER_summary!X$27)</f>
        <v>8.5770332288436144</v>
      </c>
      <c r="Y16" s="130">
        <f>IF(SER_hh_fech_in!Y16=0,0,SER_hh_fech_in!Y16/SER_summary!Y$27)</f>
        <v>7.0427411201359824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21.826046673538126</v>
      </c>
      <c r="D17" s="132">
        <f>IF(SER_hh_fech_in!D17=0,0,SER_hh_fech_in!D17/SER_summary!D$27)</f>
        <v>19.134922339408888</v>
      </c>
      <c r="E17" s="132">
        <f>IF(SER_hh_fech_in!E17=0,0,SER_hh_fech_in!E17/SER_summary!E$27)</f>
        <v>26.668481149529956</v>
      </c>
      <c r="F17" s="132">
        <f>IF(SER_hh_fech_in!F17=0,0,SER_hh_fech_in!F17/SER_summary!F$27)</f>
        <v>21.857166419005427</v>
      </c>
      <c r="G17" s="132">
        <f>IF(SER_hh_fech_in!G17=0,0,SER_hh_fech_in!G17/SER_summary!G$27)</f>
        <v>23.656153976014103</v>
      </c>
      <c r="H17" s="132">
        <f>IF(SER_hh_fech_in!H17=0,0,SER_hh_fech_in!H17/SER_summary!H$27)</f>
        <v>28.10537552035019</v>
      </c>
      <c r="I17" s="132">
        <f>IF(SER_hh_fech_in!I17=0,0,SER_hh_fech_in!I17/SER_summary!I$27)</f>
        <v>17.947474731003126</v>
      </c>
      <c r="J17" s="132">
        <f>IF(SER_hh_fech_in!J17=0,0,SER_hh_fech_in!J17/SER_summary!J$27)</f>
        <v>17.149699751833619</v>
      </c>
      <c r="K17" s="132">
        <f>IF(SER_hh_fech_in!K17=0,0,SER_hh_fech_in!K17/SER_summary!K$27)</f>
        <v>20.479211278234406</v>
      </c>
      <c r="L17" s="132">
        <f>IF(SER_hh_fech_in!L17=0,0,SER_hh_fech_in!L17/SER_summary!L$27)</f>
        <v>27.542141549247265</v>
      </c>
      <c r="M17" s="132">
        <f>IF(SER_hh_fech_in!M17=0,0,SER_hh_fech_in!M17/SER_summary!M$27)</f>
        <v>17.694467270933135</v>
      </c>
      <c r="N17" s="132">
        <f>IF(SER_hh_fech_in!N17=0,0,SER_hh_fech_in!N17/SER_summary!N$27)</f>
        <v>18.116392993265887</v>
      </c>
      <c r="O17" s="132">
        <f>IF(SER_hh_fech_in!O17=0,0,SER_hh_fech_in!O17/SER_summary!O$27)</f>
        <v>22.850031661732537</v>
      </c>
      <c r="P17" s="132">
        <f>IF(SER_hh_fech_in!P17=0,0,SER_hh_fech_in!P17/SER_summary!P$27)</f>
        <v>14.983284797769491</v>
      </c>
      <c r="Q17" s="132">
        <f>IF(SER_hh_fech_in!Q17=0,0,SER_hh_fech_in!Q17/SER_summary!Q$27)</f>
        <v>17.196232537901199</v>
      </c>
      <c r="R17" s="132">
        <f>IF(SER_hh_fech_in!R17=0,0,SER_hh_fech_in!R17/SER_summary!R$27)</f>
        <v>25.064647068145959</v>
      </c>
      <c r="S17" s="132">
        <f>IF(SER_hh_fech_in!S17=0,0,SER_hh_fech_in!S17/SER_summary!S$27)</f>
        <v>23.086061735995958</v>
      </c>
      <c r="T17" s="132">
        <f>IF(SER_hh_fech_in!T17=0,0,SER_hh_fech_in!T17/SER_summary!T$27)</f>
        <v>18.965365611764064</v>
      </c>
      <c r="U17" s="132">
        <f>IF(SER_hh_fech_in!U17=0,0,SER_hh_fech_in!U17/SER_summary!U$27)</f>
        <v>14.564688840427122</v>
      </c>
      <c r="V17" s="132">
        <f>IF(SER_hh_fech_in!V17=0,0,SER_hh_fech_in!V17/SER_summary!V$27)</f>
        <v>19.408669416254003</v>
      </c>
      <c r="W17" s="132">
        <f>IF(SER_hh_fech_in!W17=0,0,SER_hh_fech_in!W17/SER_summary!W$27)</f>
        <v>12.180607150005081</v>
      </c>
      <c r="X17" s="132">
        <f>IF(SER_hh_fech_in!X17=0,0,SER_hh_fech_in!X17/SER_summary!X$27)</f>
        <v>22.350876154949223</v>
      </c>
      <c r="Y17" s="132">
        <f>IF(SER_hh_fech_in!Y17=0,0,SER_hh_fech_in!Y17/SER_summary!Y$27)</f>
        <v>18.341671170579918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11.204902881843291</v>
      </c>
      <c r="D18" s="132">
        <f>IF(SER_hh_fech_in!D18=0,0,SER_hh_fech_in!D18/SER_summary!D$27)</f>
        <v>9.5812266945274178</v>
      </c>
      <c r="E18" s="132">
        <f>IF(SER_hh_fech_in!E18=0,0,SER_hh_fech_in!E18/SER_summary!E$27)</f>
        <v>13.030994127691441</v>
      </c>
      <c r="F18" s="132">
        <f>IF(SER_hh_fech_in!F18=0,0,SER_hh_fech_in!F18/SER_summary!F$27)</f>
        <v>10.404388641447813</v>
      </c>
      <c r="G18" s="132">
        <f>IF(SER_hh_fech_in!G18=0,0,SER_hh_fech_in!G18/SER_summary!G$27)</f>
        <v>10.997092968077958</v>
      </c>
      <c r="H18" s="132">
        <f>IF(SER_hh_fech_in!H18=0,0,SER_hh_fech_in!H18/SER_summary!H$27)</f>
        <v>12.763775436413868</v>
      </c>
      <c r="I18" s="132">
        <f>IF(SER_hh_fech_in!I18=0,0,SER_hh_fech_in!I18/SER_summary!I$27)</f>
        <v>7.9636236850887254</v>
      </c>
      <c r="J18" s="132">
        <f>IF(SER_hh_fech_in!J18=0,0,SER_hh_fech_in!J18/SER_summary!J$27)</f>
        <v>7.4485331448221608</v>
      </c>
      <c r="K18" s="132">
        <f>IF(SER_hh_fech_in!K18=0,0,SER_hh_fech_in!K18/SER_summary!K$27)</f>
        <v>8.7029967294532664</v>
      </c>
      <c r="L18" s="132">
        <f>IF(SER_hh_fech_in!L18=0,0,SER_hh_fech_in!L18/SER_summary!L$27)</f>
        <v>11.460981787374042</v>
      </c>
      <c r="M18" s="132">
        <f>IF(SER_hh_fech_in!M18=0,0,SER_hh_fech_in!M18/SER_summary!M$27)</f>
        <v>7.1964859907820298</v>
      </c>
      <c r="N18" s="132">
        <f>IF(SER_hh_fech_in!N18=0,0,SER_hh_fech_in!N18/SER_summary!N$27)</f>
        <v>7.1844408244956437</v>
      </c>
      <c r="O18" s="132">
        <f>IF(SER_hh_fech_in!O18=0,0,SER_hh_fech_in!O18/SER_summary!O$27)</f>
        <v>8.8044965847123304</v>
      </c>
      <c r="P18" s="132">
        <f>IF(SER_hh_fech_in!P18=0,0,SER_hh_fech_in!P18/SER_summary!P$27)</f>
        <v>5.6117239137950738</v>
      </c>
      <c r="Q18" s="132">
        <f>IF(SER_hh_fech_in!Q18=0,0,SER_hh_fech_in!Q18/SER_summary!Q$27)</f>
        <v>6.3057928604328186</v>
      </c>
      <c r="R18" s="132">
        <f>IF(SER_hh_fech_in!R18=0,0,SER_hh_fech_in!R18/SER_summary!R$27)</f>
        <v>9.0575746510979407</v>
      </c>
      <c r="S18" s="132">
        <f>IF(SER_hh_fech_in!S18=0,0,SER_hh_fech_in!S18/SER_summary!S$27)</f>
        <v>8.3828669244889138</v>
      </c>
      <c r="T18" s="132">
        <f>IF(SER_hh_fech_in!T18=0,0,SER_hh_fech_in!T18/SER_summary!T$27)</f>
        <v>7.0270075594575427</v>
      </c>
      <c r="U18" s="132">
        <f>IF(SER_hh_fech_in!U18=0,0,SER_hh_fech_in!U18/SER_summary!U$27)</f>
        <v>5.4106088838805189</v>
      </c>
      <c r="V18" s="132">
        <f>IF(SER_hh_fech_in!V18=0,0,SER_hh_fech_in!V18/SER_summary!V$27)</f>
        <v>7.5884261714887398</v>
      </c>
      <c r="W18" s="132">
        <f>IF(SER_hh_fech_in!W18=0,0,SER_hh_fech_in!W18/SER_summary!W$27)</f>
        <v>4.5578294501505594</v>
      </c>
      <c r="X18" s="132">
        <f>IF(SER_hh_fech_in!X18=0,0,SER_hh_fech_in!X18/SER_summary!X$27)</f>
        <v>8.3812923592168413</v>
      </c>
      <c r="Y18" s="132">
        <f>IF(SER_hh_fech_in!Y18=0,0,SER_hh_fech_in!Y18/SER_summary!Y$27)</f>
        <v>6.8673409349907821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13.978337740835743</v>
      </c>
      <c r="D19" s="130">
        <f>IF(SER_hh_fech_in!D19=0,0,SER_hh_fech_in!D19/SER_summary!D$27)</f>
        <v>13.656791035719289</v>
      </c>
      <c r="E19" s="130">
        <f>IF(SER_hh_fech_in!E19=0,0,SER_hh_fech_in!E19/SER_summary!E$27)</f>
        <v>14.099144560092942</v>
      </c>
      <c r="F19" s="130">
        <f>IF(SER_hh_fech_in!F19=0,0,SER_hh_fech_in!F19/SER_summary!F$27)</f>
        <v>14.093018829117437</v>
      </c>
      <c r="G19" s="130">
        <f>IF(SER_hh_fech_in!G19=0,0,SER_hh_fech_in!G19/SER_summary!G$27)</f>
        <v>13.089120733280886</v>
      </c>
      <c r="H19" s="130">
        <f>IF(SER_hh_fech_in!H19=0,0,SER_hh_fech_in!H19/SER_summary!H$27)</f>
        <v>14.313645166965006</v>
      </c>
      <c r="I19" s="130">
        <f>IF(SER_hh_fech_in!I19=0,0,SER_hh_fech_in!I19/SER_summary!I$27)</f>
        <v>13.585560753135415</v>
      </c>
      <c r="J19" s="130">
        <f>IF(SER_hh_fech_in!J19=0,0,SER_hh_fech_in!J19/SER_summary!J$27)</f>
        <v>12.32345128237788</v>
      </c>
      <c r="K19" s="130">
        <f>IF(SER_hh_fech_in!K19=0,0,SER_hh_fech_in!K19/SER_summary!K$27)</f>
        <v>12.84898797140697</v>
      </c>
      <c r="L19" s="130">
        <f>IF(SER_hh_fech_in!L19=0,0,SER_hh_fech_in!L19/SER_summary!L$27)</f>
        <v>12.558106063369607</v>
      </c>
      <c r="M19" s="130">
        <f>IF(SER_hh_fech_in!M19=0,0,SER_hh_fech_in!M19/SER_summary!M$27)</f>
        <v>13.106146505992665</v>
      </c>
      <c r="N19" s="130">
        <f>IF(SER_hh_fech_in!N19=0,0,SER_hh_fech_in!N19/SER_summary!N$27)</f>
        <v>13.235765243758747</v>
      </c>
      <c r="O19" s="130">
        <f>IF(SER_hh_fech_in!O19=0,0,SER_hh_fech_in!O19/SER_summary!O$27)</f>
        <v>13.17772768022596</v>
      </c>
      <c r="P19" s="130">
        <f>IF(SER_hh_fech_in!P19=0,0,SER_hh_fech_in!P19/SER_summary!P$27)</f>
        <v>12.200853086677251</v>
      </c>
      <c r="Q19" s="130">
        <f>IF(SER_hh_fech_in!Q19=0,0,SER_hh_fech_in!Q19/SER_summary!Q$27)</f>
        <v>12.164287919474802</v>
      </c>
      <c r="R19" s="130">
        <f>IF(SER_hh_fech_in!R19=0,0,SER_hh_fech_in!R19/SER_summary!R$27)</f>
        <v>12.155691038456716</v>
      </c>
      <c r="S19" s="130">
        <f>IF(SER_hh_fech_in!S19=0,0,SER_hh_fech_in!S19/SER_summary!S$27)</f>
        <v>12.094907069659401</v>
      </c>
      <c r="T19" s="130">
        <f>IF(SER_hh_fech_in!T19=0,0,SER_hh_fech_in!T19/SER_summary!T$27)</f>
        <v>12.260664893350301</v>
      </c>
      <c r="U19" s="130">
        <f>IF(SER_hh_fech_in!U19=0,0,SER_hh_fech_in!U19/SER_summary!U$27)</f>
        <v>12.076513121099502</v>
      </c>
      <c r="V19" s="130">
        <f>IF(SER_hh_fech_in!V19=0,0,SER_hh_fech_in!V19/SER_summary!V$27)</f>
        <v>10.578725316136802</v>
      </c>
      <c r="W19" s="130">
        <f>IF(SER_hh_fech_in!W19=0,0,SER_hh_fech_in!W19/SER_summary!W$27)</f>
        <v>11.377845085112693</v>
      </c>
      <c r="X19" s="130">
        <f>IF(SER_hh_fech_in!X19=0,0,SER_hh_fech_in!X19/SER_summary!X$27)</f>
        <v>11.015995850674644</v>
      </c>
      <c r="Y19" s="130">
        <f>IF(SER_hh_fech_in!Y19=0,0,SER_hh_fech_in!Y19/SER_summary!Y$27)</f>
        <v>11.392572904905892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17.127614805128495</v>
      </c>
      <c r="D21" s="132">
        <f>IF(SER_hh_fech_in!D21=0,0,SER_hh_fech_in!D21/SER_summary!D$27)</f>
        <v>17.214831955629737</v>
      </c>
      <c r="E21" s="132">
        <f>IF(SER_hh_fech_in!E21=0,0,SER_hh_fech_in!E21/SER_summary!E$27)</f>
        <v>17.226520046810577</v>
      </c>
      <c r="F21" s="132">
        <f>IF(SER_hh_fech_in!F21=0,0,SER_hh_fech_in!F21/SER_summary!F$27)</f>
        <v>17.175442619250191</v>
      </c>
      <c r="G21" s="132">
        <f>IF(SER_hh_fech_in!G21=0,0,SER_hh_fech_in!G21/SER_summary!G$27)</f>
        <v>15.960048322934107</v>
      </c>
      <c r="H21" s="132">
        <f>IF(SER_hh_fech_in!H21=0,0,SER_hh_fech_in!H21/SER_summary!H$27)</f>
        <v>16.397667351785319</v>
      </c>
      <c r="I21" s="132">
        <f>IF(SER_hh_fech_in!I21=0,0,SER_hh_fech_in!I21/SER_summary!I$27)</f>
        <v>16.165538525580441</v>
      </c>
      <c r="J21" s="132">
        <f>IF(SER_hh_fech_in!J21=0,0,SER_hh_fech_in!J21/SER_summary!J$27)</f>
        <v>13.093733274846814</v>
      </c>
      <c r="K21" s="132">
        <f>IF(SER_hh_fech_in!K21=0,0,SER_hh_fech_in!K21/SER_summary!K$27)</f>
        <v>15.569203356654025</v>
      </c>
      <c r="L21" s="132">
        <f>IF(SER_hh_fech_in!L21=0,0,SER_hh_fech_in!L21/SER_summary!L$27)</f>
        <v>13.282291873157465</v>
      </c>
      <c r="M21" s="132">
        <f>IF(SER_hh_fech_in!M21=0,0,SER_hh_fech_in!M21/SER_summary!M$27)</f>
        <v>15.458554613365077</v>
      </c>
      <c r="N21" s="132">
        <f>IF(SER_hh_fech_in!N21=0,0,SER_hh_fech_in!N21/SER_summary!N$27)</f>
        <v>15.191424649069161</v>
      </c>
      <c r="O21" s="132">
        <f>IF(SER_hh_fech_in!O21=0,0,SER_hh_fech_in!O21/SER_summary!O$27)</f>
        <v>15.587481601068838</v>
      </c>
      <c r="P21" s="132">
        <f>IF(SER_hh_fech_in!P21=0,0,SER_hh_fech_in!P21/SER_summary!P$27)</f>
        <v>14.352199567487958</v>
      </c>
      <c r="Q21" s="132">
        <f>IF(SER_hh_fech_in!Q21=0,0,SER_hh_fech_in!Q21/SER_summary!Q$27)</f>
        <v>14.164195088594582</v>
      </c>
      <c r="R21" s="132">
        <f>IF(SER_hh_fech_in!R21=0,0,SER_hh_fech_in!R21/SER_summary!R$27)</f>
        <v>13.562769088310928</v>
      </c>
      <c r="S21" s="132">
        <f>IF(SER_hh_fech_in!S21=0,0,SER_hh_fech_in!S21/SER_summary!S$27)</f>
        <v>13.066773134979167</v>
      </c>
      <c r="T21" s="132">
        <f>IF(SER_hh_fech_in!T21=0,0,SER_hh_fech_in!T21/SER_summary!T$27)</f>
        <v>12.864393001042655</v>
      </c>
      <c r="U21" s="132">
        <f>IF(SER_hh_fech_in!U21=0,0,SER_hh_fech_in!U21/SER_summary!U$27)</f>
        <v>12.138545264725161</v>
      </c>
      <c r="V21" s="132">
        <f>IF(SER_hh_fech_in!V21=0,0,SER_hh_fech_in!V21/SER_summary!V$27)</f>
        <v>9.0615563887788007</v>
      </c>
      <c r="W21" s="132">
        <f>IF(SER_hh_fech_in!W21=0,0,SER_hh_fech_in!W21/SER_summary!W$27)</f>
        <v>11.70507583364007</v>
      </c>
      <c r="X21" s="132">
        <f>IF(SER_hh_fech_in!X21=0,0,SER_hh_fech_in!X21/SER_summary!X$27)</f>
        <v>9.7747888649474657</v>
      </c>
      <c r="Y21" s="132">
        <f>IF(SER_hh_fech_in!Y21=0,0,SER_hh_fech_in!Y21/SER_summary!Y$27)</f>
        <v>12.301718717437312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18.425825735009511</v>
      </c>
      <c r="D22" s="132">
        <f>IF(SER_hh_fech_in!D22=0,0,SER_hh_fech_in!D22/SER_summary!D$27)</f>
        <v>18.279410605905017</v>
      </c>
      <c r="E22" s="132">
        <f>IF(SER_hh_fech_in!E22=0,0,SER_hh_fech_in!E22/SER_summary!E$27)</f>
        <v>18.375232288053446</v>
      </c>
      <c r="F22" s="132">
        <f>IF(SER_hh_fech_in!F22=0,0,SER_hh_fech_in!F22/SER_summary!F$27)</f>
        <v>18.306415679691206</v>
      </c>
      <c r="G22" s="132">
        <f>IF(SER_hh_fech_in!G22=0,0,SER_hh_fech_in!G22/SER_summary!G$27)</f>
        <v>16.93953290248572</v>
      </c>
      <c r="H22" s="132">
        <f>IF(SER_hh_fech_in!H22=0,0,SER_hh_fech_in!H22/SER_summary!H$27)</f>
        <v>17.384175732145021</v>
      </c>
      <c r="I22" s="132">
        <f>IF(SER_hh_fech_in!I22=0,0,SER_hh_fech_in!I22/SER_summary!I$27)</f>
        <v>17.058460045587086</v>
      </c>
      <c r="J22" s="132">
        <f>IF(SER_hh_fech_in!J22=0,0,SER_hh_fech_in!J22/SER_summary!J$27)</f>
        <v>13.394688411929224</v>
      </c>
      <c r="K22" s="132">
        <f>IF(SER_hh_fech_in!K22=0,0,SER_hh_fech_in!K22/SER_summary!K$27)</f>
        <v>15.916776879000745</v>
      </c>
      <c r="L22" s="132">
        <f>IF(SER_hh_fech_in!L22=0,0,SER_hh_fech_in!L22/SER_summary!L$27)</f>
        <v>13.988751711103614</v>
      </c>
      <c r="M22" s="132">
        <f>IF(SER_hh_fech_in!M22=0,0,SER_hh_fech_in!M22/SER_summary!M$27)</f>
        <v>16.33471541521299</v>
      </c>
      <c r="N22" s="132">
        <f>IF(SER_hh_fech_in!N22=0,0,SER_hh_fech_in!N22/SER_summary!N$27)</f>
        <v>15.989707886256843</v>
      </c>
      <c r="O22" s="132">
        <f>IF(SER_hh_fech_in!O22=0,0,SER_hh_fech_in!O22/SER_summary!O$27)</f>
        <v>16.620372159375304</v>
      </c>
      <c r="P22" s="132">
        <f>IF(SER_hh_fech_in!P22=0,0,SER_hh_fech_in!P22/SER_summary!P$27)</f>
        <v>15.112273818121389</v>
      </c>
      <c r="Q22" s="132">
        <f>IF(SER_hh_fech_in!Q22=0,0,SER_hh_fech_in!Q22/SER_summary!Q$27)</f>
        <v>14.727872226768445</v>
      </c>
      <c r="R22" s="132">
        <f>IF(SER_hh_fech_in!R22=0,0,SER_hh_fech_in!R22/SER_summary!R$27)</f>
        <v>13.829790430019829</v>
      </c>
      <c r="S22" s="132">
        <f>IF(SER_hh_fech_in!S22=0,0,SER_hh_fech_in!S22/SER_summary!S$27)</f>
        <v>13.4890417532601</v>
      </c>
      <c r="T22" s="132">
        <f>IF(SER_hh_fech_in!T22=0,0,SER_hh_fech_in!T22/SER_summary!T$27)</f>
        <v>13.416839937397679</v>
      </c>
      <c r="U22" s="132">
        <f>IF(SER_hh_fech_in!U22=0,0,SER_hh_fech_in!U22/SER_summary!U$27)</f>
        <v>12.364569661333341</v>
      </c>
      <c r="V22" s="132">
        <f>IF(SER_hh_fech_in!V22=0,0,SER_hh_fech_in!V22/SER_summary!V$27)</f>
        <v>8.8757707846956144</v>
      </c>
      <c r="W22" s="132">
        <f>IF(SER_hh_fech_in!W22=0,0,SER_hh_fech_in!W22/SER_summary!W$27)</f>
        <v>12.612622505751929</v>
      </c>
      <c r="X22" s="132">
        <f>IF(SER_hh_fech_in!X22=0,0,SER_hh_fech_in!X22/SER_summary!X$27)</f>
        <v>10.085939135297615</v>
      </c>
      <c r="Y22" s="132">
        <f>IF(SER_hh_fech_in!Y22=0,0,SER_hh_fech_in!Y22/SER_summary!Y$27)</f>
        <v>12.895013141724792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16.63678684298425</v>
      </c>
      <c r="D23" s="132">
        <f>IF(SER_hh_fech_in!D23=0,0,SER_hh_fech_in!D23/SER_summary!D$27)</f>
        <v>16.610248443675935</v>
      </c>
      <c r="E23" s="132">
        <f>IF(SER_hh_fech_in!E23=0,0,SER_hh_fech_in!E23/SER_summary!E$27)</f>
        <v>16.130709949281595</v>
      </c>
      <c r="F23" s="132">
        <f>IF(SER_hh_fech_in!F23=0,0,SER_hh_fech_in!F23/SER_summary!F$27)</f>
        <v>15.948181016826071</v>
      </c>
      <c r="G23" s="132">
        <f>IF(SER_hh_fech_in!G23=0,0,SER_hh_fech_in!G23/SER_summary!G$27)</f>
        <v>15.345265342503989</v>
      </c>
      <c r="H23" s="132">
        <f>IF(SER_hh_fech_in!H23=0,0,SER_hh_fech_in!H23/SER_summary!H$27)</f>
        <v>15.512633272022869</v>
      </c>
      <c r="I23" s="132">
        <f>IF(SER_hh_fech_in!I23=0,0,SER_hh_fech_in!I23/SER_summary!I$27)</f>
        <v>15.490022179816274</v>
      </c>
      <c r="J23" s="132">
        <f>IF(SER_hh_fech_in!J23=0,0,SER_hh_fech_in!J23/SER_summary!J$27)</f>
        <v>12.948955778569159</v>
      </c>
      <c r="K23" s="132">
        <f>IF(SER_hh_fech_in!K23=0,0,SER_hh_fech_in!K23/SER_summary!K$27)</f>
        <v>14.378893063601522</v>
      </c>
      <c r="L23" s="132">
        <f>IF(SER_hh_fech_in!L23=0,0,SER_hh_fech_in!L23/SER_summary!L$27)</f>
        <v>12.820515108120794</v>
      </c>
      <c r="M23" s="132">
        <f>IF(SER_hh_fech_in!M23=0,0,SER_hh_fech_in!M23/SER_summary!M$27)</f>
        <v>14.651917258713913</v>
      </c>
      <c r="N23" s="132">
        <f>IF(SER_hh_fech_in!N23=0,0,SER_hh_fech_in!N23/SER_summary!N$27)</f>
        <v>14.440000736174422</v>
      </c>
      <c r="O23" s="132">
        <f>IF(SER_hh_fech_in!O23=0,0,SER_hh_fech_in!O23/SER_summary!O$27)</f>
        <v>14.956073686498678</v>
      </c>
      <c r="P23" s="132">
        <f>IF(SER_hh_fech_in!P23=0,0,SER_hh_fech_in!P23/SER_summary!P$27)</f>
        <v>13.621589618381588</v>
      </c>
      <c r="Q23" s="132">
        <f>IF(SER_hh_fech_in!Q23=0,0,SER_hh_fech_in!Q23/SER_summary!Q$27)</f>
        <v>13.372214075779782</v>
      </c>
      <c r="R23" s="132">
        <f>IF(SER_hh_fech_in!R23=0,0,SER_hh_fech_in!R23/SER_summary!R$27)</f>
        <v>13.102887535651723</v>
      </c>
      <c r="S23" s="132">
        <f>IF(SER_hh_fech_in!S23=0,0,SER_hh_fech_in!S23/SER_summary!S$27)</f>
        <v>12.957712370126146</v>
      </c>
      <c r="T23" s="132">
        <f>IF(SER_hh_fech_in!T23=0,0,SER_hh_fech_in!T23/SER_summary!T$27)</f>
        <v>13.067106237451092</v>
      </c>
      <c r="U23" s="132">
        <f>IF(SER_hh_fech_in!U23=0,0,SER_hh_fech_in!U23/SER_summary!U$27)</f>
        <v>12.41921709720889</v>
      </c>
      <c r="V23" s="132">
        <f>IF(SER_hh_fech_in!V23=0,0,SER_hh_fech_in!V23/SER_summary!V$27)</f>
        <v>7.9830962488351869</v>
      </c>
      <c r="W23" s="132">
        <f>IF(SER_hh_fech_in!W23=0,0,SER_hh_fech_in!W23/SER_summary!W$27)</f>
        <v>12.061714248078696</v>
      </c>
      <c r="X23" s="132">
        <f>IF(SER_hh_fech_in!X23=0,0,SER_hh_fech_in!X23/SER_summary!X$27)</f>
        <v>9.437576797963537</v>
      </c>
      <c r="Y23" s="132">
        <f>IF(SER_hh_fech_in!Y23=0,0,SER_hh_fech_in!Y23/SER_summary!Y$27)</f>
        <v>12.663178436835612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11.983963030023878</v>
      </c>
      <c r="D25" s="132">
        <f>IF(SER_hh_fech_in!D25=0,0,SER_hh_fech_in!D25/SER_summary!D$27)</f>
        <v>12.437060932978808</v>
      </c>
      <c r="E25" s="132">
        <f>IF(SER_hh_fech_in!E25=0,0,SER_hh_fech_in!E25/SER_summary!E$27)</f>
        <v>12.59715614004735</v>
      </c>
      <c r="F25" s="132">
        <f>IF(SER_hh_fech_in!F25=0,0,SER_hh_fech_in!F25/SER_summary!F$27)</f>
        <v>12.871904533816556</v>
      </c>
      <c r="G25" s="132">
        <f>IF(SER_hh_fech_in!G25=0,0,SER_hh_fech_in!G25/SER_summary!G$27)</f>
        <v>0</v>
      </c>
      <c r="H25" s="132">
        <f>IF(SER_hh_fech_in!H25=0,0,SER_hh_fech_in!H25/SER_summary!H$27)</f>
        <v>0</v>
      </c>
      <c r="I25" s="132">
        <f>IF(SER_hh_fech_in!I25=0,0,SER_hh_fech_in!I25/SER_summary!I$27)</f>
        <v>2.5906005201095468</v>
      </c>
      <c r="J25" s="132">
        <f>IF(SER_hh_fech_in!J25=0,0,SER_hh_fech_in!J25/SER_summary!J$27)</f>
        <v>0</v>
      </c>
      <c r="K25" s="132">
        <f>IF(SER_hh_fech_in!K25=0,0,SER_hh_fech_in!K25/SER_summary!K$27)</f>
        <v>0</v>
      </c>
      <c r="L25" s="132">
        <f>IF(SER_hh_fech_in!L25=0,0,SER_hh_fech_in!L25/SER_summary!L$27)</f>
        <v>2.5277721594459526</v>
      </c>
      <c r="M25" s="132">
        <f>IF(SER_hh_fech_in!M25=0,0,SER_hh_fech_in!M25/SER_summary!M$27)</f>
        <v>9.7989943869927476</v>
      </c>
      <c r="N25" s="132">
        <f>IF(SER_hh_fech_in!N25=0,0,SER_hh_fech_in!N25/SER_summary!N$27)</f>
        <v>11.549023595512359</v>
      </c>
      <c r="O25" s="132">
        <f>IF(SER_hh_fech_in!O25=0,0,SER_hh_fech_in!O25/SER_summary!O$27)</f>
        <v>13.209498560729454</v>
      </c>
      <c r="P25" s="132">
        <f>IF(SER_hh_fech_in!P25=0,0,SER_hh_fech_in!P25/SER_summary!P$27)</f>
        <v>12.08704217010065</v>
      </c>
      <c r="Q25" s="132">
        <f>IF(SER_hh_fech_in!Q25=0,0,SER_hh_fech_in!Q25/SER_summary!Q$27)</f>
        <v>12.545475978038709</v>
      </c>
      <c r="R25" s="132">
        <f>IF(SER_hh_fech_in!R25=0,0,SER_hh_fech_in!R25/SER_summary!R$27)</f>
        <v>11.726739823069659</v>
      </c>
      <c r="S25" s="132">
        <f>IF(SER_hh_fech_in!S25=0,0,SER_hh_fech_in!S25/SER_summary!S$27)</f>
        <v>12.358112394298916</v>
      </c>
      <c r="T25" s="132">
        <f>IF(SER_hh_fech_in!T25=0,0,SER_hh_fech_in!T25/SER_summary!T$27)</f>
        <v>0</v>
      </c>
      <c r="U25" s="132">
        <f>IF(SER_hh_fech_in!U25=0,0,SER_hh_fech_in!U25/SER_summary!U$27)</f>
        <v>0</v>
      </c>
      <c r="V25" s="132">
        <f>IF(SER_hh_fech_in!V25=0,0,SER_hh_fech_in!V25/SER_summary!V$27)</f>
        <v>0</v>
      </c>
      <c r="W25" s="132">
        <f>IF(SER_hh_fech_in!W25=0,0,SER_hh_fech_in!W25/SER_summary!W$27)</f>
        <v>0</v>
      </c>
      <c r="X25" s="132">
        <f>IF(SER_hh_fech_in!X25=0,0,SER_hh_fech_in!X25/SER_summary!X$27)</f>
        <v>0</v>
      </c>
      <c r="Y25" s="132">
        <f>IF(SER_hh_fech_in!Y25=0,0,SER_hh_fech_in!Y25/SER_summary!Y$27)</f>
        <v>0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11.29670028842521</v>
      </c>
      <c r="D26" s="65">
        <f>IF(SER_hh_fech_in!D26=0,0,SER_hh_fech_in!D26/SER_summary!D$27)</f>
        <v>9.5664862236073116</v>
      </c>
      <c r="E26" s="65">
        <f>IF(SER_hh_fech_in!E26=0,0,SER_hh_fech_in!E26/SER_summary!E$27)</f>
        <v>10.460317102066172</v>
      </c>
      <c r="F26" s="65">
        <f>IF(SER_hh_fech_in!F26=0,0,SER_hh_fech_in!F26/SER_summary!F$27)</f>
        <v>9.5951115185315921</v>
      </c>
      <c r="G26" s="65">
        <f>IF(SER_hh_fech_in!G26=0,0,SER_hh_fech_in!G26/SER_summary!G$27)</f>
        <v>4.7766030499581849</v>
      </c>
      <c r="H26" s="65">
        <f>IF(SER_hh_fech_in!H26=0,0,SER_hh_fech_in!H26/SER_summary!H$27)</f>
        <v>10.036768129575581</v>
      </c>
      <c r="I26" s="65">
        <f>IF(SER_hh_fech_in!I26=0,0,SER_hh_fech_in!I26/SER_summary!I$27)</f>
        <v>6.4264439583731958</v>
      </c>
      <c r="J26" s="65">
        <f>IF(SER_hh_fech_in!J26=0,0,SER_hh_fech_in!J26/SER_summary!J$27)</f>
        <v>2.4590082306903795</v>
      </c>
      <c r="K26" s="65">
        <f>IF(SER_hh_fech_in!K26=0,0,SER_hh_fech_in!K26/SER_summary!K$27)</f>
        <v>2.5912185536314731</v>
      </c>
      <c r="L26" s="65">
        <f>IF(SER_hh_fech_in!L26=0,0,SER_hh_fech_in!L26/SER_summary!L$27)</f>
        <v>1.3293369845447789</v>
      </c>
      <c r="M26" s="65">
        <f>IF(SER_hh_fech_in!M26=0,0,SER_hh_fech_in!M26/SER_summary!M$27)</f>
        <v>0.27128239865159115</v>
      </c>
      <c r="N26" s="65">
        <f>IF(SER_hh_fech_in!N26=0,0,SER_hh_fech_in!N26/SER_summary!N$27)</f>
        <v>0.14072836594272334</v>
      </c>
      <c r="O26" s="65">
        <f>IF(SER_hh_fech_in!O26=0,0,SER_hh_fech_in!O26/SER_summary!O$27)</f>
        <v>0.13545723159007375</v>
      </c>
      <c r="P26" s="65">
        <f>IF(SER_hh_fech_in!P26=0,0,SER_hh_fech_in!P26/SER_summary!P$27)</f>
        <v>0.13252581285572784</v>
      </c>
      <c r="Q26" s="65">
        <f>IF(SER_hh_fech_in!Q26=0,0,SER_hh_fech_in!Q26/SER_summary!Q$27)</f>
        <v>0.12866541555427888</v>
      </c>
      <c r="R26" s="65">
        <f>IF(SER_hh_fech_in!R26=0,0,SER_hh_fech_in!R26/SER_summary!R$27)</f>
        <v>0.12658731602040826</v>
      </c>
      <c r="S26" s="65">
        <f>IF(SER_hh_fech_in!S26=0,0,SER_hh_fech_in!S26/SER_summary!S$27)</f>
        <v>0.1190183121001377</v>
      </c>
      <c r="T26" s="65">
        <f>IF(SER_hh_fech_in!T26=0,0,SER_hh_fech_in!T26/SER_summary!T$27)</f>
        <v>0.1136063682554064</v>
      </c>
      <c r="U26" s="65">
        <f>IF(SER_hh_fech_in!U26=0,0,SER_hh_fech_in!U26/SER_summary!U$27)</f>
        <v>0.11154329855325321</v>
      </c>
      <c r="V26" s="65">
        <f>IF(SER_hh_fech_in!V26=0,0,SER_hh_fech_in!V26/SER_summary!V$27)</f>
        <v>8.5992086962781128E-2</v>
      </c>
      <c r="W26" s="65">
        <f>IF(SER_hh_fech_in!W26=0,0,SER_hh_fech_in!W26/SER_summary!W$27)</f>
        <v>9.6789894685418196E-2</v>
      </c>
      <c r="X26" s="65">
        <f>IF(SER_hh_fech_in!X26=0,0,SER_hh_fech_in!X26/SER_summary!X$27)</f>
        <v>0.10396707042577236</v>
      </c>
      <c r="Y26" s="65">
        <f>IF(SER_hh_fech_in!Y26=0,0,SER_hh_fech_in!Y26/SER_summary!Y$27)</f>
        <v>0.10409037030151433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1.7174742625067116</v>
      </c>
      <c r="D27" s="145">
        <f>IF(SER_hh_fech_in!D27=0,0,SER_hh_fech_in!D27/SER_summary!D$27)</f>
        <v>2.8663288180701865</v>
      </c>
      <c r="E27" s="145">
        <f>IF(SER_hh_fech_in!E27=0,0,SER_hh_fech_in!E27/SER_summary!E$27)</f>
        <v>2.1091315874197125</v>
      </c>
      <c r="F27" s="145">
        <f>IF(SER_hh_fech_in!F27=0,0,SER_hh_fech_in!F27/SER_summary!F$27)</f>
        <v>2.5612811319144999</v>
      </c>
      <c r="G27" s="145">
        <f>IF(SER_hh_fech_in!G27=0,0,SER_hh_fech_in!G27/SER_summary!G$27)</f>
        <v>4.7660761086965344</v>
      </c>
      <c r="H27" s="145">
        <f>IF(SER_hh_fech_in!H27=0,0,SER_hh_fech_in!H27/SER_summary!H$27)</f>
        <v>2.1008607606625582</v>
      </c>
      <c r="I27" s="145">
        <f>IF(SER_hh_fech_in!I27=0,0,SER_hh_fech_in!I27/SER_summary!I$27)</f>
        <v>3.7395334895178527</v>
      </c>
      <c r="J27" s="145">
        <f>IF(SER_hh_fech_in!J27=0,0,SER_hh_fech_in!J27/SER_summary!J$27)</f>
        <v>5.9906897810722857</v>
      </c>
      <c r="K27" s="145">
        <f>IF(SER_hh_fech_in!K27=0,0,SER_hh_fech_in!K27/SER_summary!K$27)</f>
        <v>5.533041702266047</v>
      </c>
      <c r="L27" s="145">
        <f>IF(SER_hh_fech_in!L27=0,0,SER_hh_fech_in!L27/SER_summary!L$27)</f>
        <v>6.2529034218681021</v>
      </c>
      <c r="M27" s="145">
        <f>IF(SER_hh_fech_in!M27=0,0,SER_hh_fech_in!M27/SER_summary!M$27)</f>
        <v>6.183946533532608</v>
      </c>
      <c r="N27" s="145">
        <f>IF(SER_hh_fech_in!N27=0,0,SER_hh_fech_in!N27/SER_summary!N$27)</f>
        <v>5.8617404622367983</v>
      </c>
      <c r="O27" s="145">
        <f>IF(SER_hh_fech_in!O27=0,0,SER_hh_fech_in!O27/SER_summary!O$27)</f>
        <v>6.1014096431684539</v>
      </c>
      <c r="P27" s="145">
        <f>IF(SER_hh_fech_in!P27=0,0,SER_hh_fech_in!P27/SER_summary!P$27)</f>
        <v>7.01351447880901</v>
      </c>
      <c r="Q27" s="145">
        <f>IF(SER_hh_fech_in!Q27=0,0,SER_hh_fech_in!Q27/SER_summary!Q$27)</f>
        <v>6.6969089000176369</v>
      </c>
      <c r="R27" s="145">
        <f>IF(SER_hh_fech_in!R27=0,0,SER_hh_fech_in!R27/SER_summary!R$27)</f>
        <v>6.4033594465437043</v>
      </c>
      <c r="S27" s="145">
        <f>IF(SER_hh_fech_in!S27=0,0,SER_hh_fech_in!S27/SER_summary!S$27)</f>
        <v>6.1524856059917212</v>
      </c>
      <c r="T27" s="145">
        <f>IF(SER_hh_fech_in!T27=0,0,SER_hh_fech_in!T27/SER_summary!T$27)</f>
        <v>5.8262315612722384</v>
      </c>
      <c r="U27" s="145">
        <f>IF(SER_hh_fech_in!U27=0,0,SER_hh_fech_in!U27/SER_summary!U$27)</f>
        <v>6.0090466690793658</v>
      </c>
      <c r="V27" s="145">
        <f>IF(SER_hh_fech_in!V27=0,0,SER_hh_fech_in!V27/SER_summary!V$27)</f>
        <v>6.5125139281691524</v>
      </c>
      <c r="W27" s="145">
        <f>IF(SER_hh_fech_in!W27=0,0,SER_hh_fech_in!W27/SER_summary!W$27)</f>
        <v>6.1282106436817214</v>
      </c>
      <c r="X27" s="145">
        <f>IF(SER_hh_fech_in!X27=0,0,SER_hh_fech_in!X27/SER_summary!X$27)</f>
        <v>7.3000565258849166</v>
      </c>
      <c r="Y27" s="145">
        <f>IF(SER_hh_fech_in!Y27=0,0,SER_hh_fech_in!Y27/SER_summary!Y$27)</f>
        <v>6.7293864784234536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7.5734482290971403</v>
      </c>
      <c r="D28" s="146">
        <f>IF(SER_hh_fech_in!D28=0,0,SER_hh_fech_in!D28/SER_summary!D$27)</f>
        <v>7.628635784694219</v>
      </c>
      <c r="E28" s="146">
        <f>IF(SER_hh_fech_in!E28=0,0,SER_hh_fech_in!E28/SER_summary!E$27)</f>
        <v>8.0426953641043237</v>
      </c>
      <c r="F28" s="146">
        <f>IF(SER_hh_fech_in!F28=0,0,SER_hh_fech_in!F28/SER_summary!F$27)</f>
        <v>8.1125476934563547</v>
      </c>
      <c r="G28" s="146">
        <f>IF(SER_hh_fech_in!G28=0,0,SER_hh_fech_in!G28/SER_summary!G$27)</f>
        <v>7.6976719383457999</v>
      </c>
      <c r="H28" s="146">
        <f>IF(SER_hh_fech_in!H28=0,0,SER_hh_fech_in!H28/SER_summary!H$27)</f>
        <v>7.872998249213885</v>
      </c>
      <c r="I28" s="146">
        <f>IF(SER_hh_fech_in!I28=0,0,SER_hh_fech_in!I28/SER_summary!I$27)</f>
        <v>7.9329628760316009</v>
      </c>
      <c r="J28" s="146">
        <f>IF(SER_hh_fech_in!J28=0,0,SER_hh_fech_in!J28/SER_summary!J$27)</f>
        <v>7.9793668854984077</v>
      </c>
      <c r="K28" s="146">
        <f>IF(SER_hh_fech_in!K28=0,0,SER_hh_fech_in!K28/SER_summary!K$27)</f>
        <v>8.0338933876333609</v>
      </c>
      <c r="L28" s="146">
        <f>IF(SER_hh_fech_in!L28=0,0,SER_hh_fech_in!L28/SER_summary!L$27)</f>
        <v>8.508026778288734</v>
      </c>
      <c r="M28" s="146">
        <f>IF(SER_hh_fech_in!M28=0,0,SER_hh_fech_in!M28/SER_summary!M$27)</f>
        <v>9.439531336562812</v>
      </c>
      <c r="N28" s="146">
        <f>IF(SER_hh_fech_in!N28=0,0,SER_hh_fech_in!N28/SER_summary!N$27)</f>
        <v>9.3814534420829787</v>
      </c>
      <c r="O28" s="146">
        <f>IF(SER_hh_fech_in!O28=0,0,SER_hh_fech_in!O28/SER_summary!O$27)</f>
        <v>10.108354788587974</v>
      </c>
      <c r="P28" s="146">
        <f>IF(SER_hh_fech_in!P28=0,0,SER_hh_fech_in!P28/SER_summary!P$27)</f>
        <v>10.092746650114661</v>
      </c>
      <c r="Q28" s="146">
        <f>IF(SER_hh_fech_in!Q28=0,0,SER_hh_fech_in!Q28/SER_summary!Q$27)</f>
        <v>10.152741723279297</v>
      </c>
      <c r="R28" s="146">
        <f>IF(SER_hh_fech_in!R28=0,0,SER_hh_fech_in!R28/SER_summary!R$27)</f>
        <v>9.9834175482529464</v>
      </c>
      <c r="S28" s="146">
        <f>IF(SER_hh_fech_in!S28=0,0,SER_hh_fech_in!S28/SER_summary!S$27)</f>
        <v>9.8769826187743064</v>
      </c>
      <c r="T28" s="146">
        <f>IF(SER_hh_fech_in!T28=0,0,SER_hh_fech_in!T28/SER_summary!T$27)</f>
        <v>10.266315201421321</v>
      </c>
      <c r="U28" s="146">
        <f>IF(SER_hh_fech_in!U28=0,0,SER_hh_fech_in!U28/SER_summary!U$27)</f>
        <v>10.063009356005072</v>
      </c>
      <c r="V28" s="146">
        <f>IF(SER_hh_fech_in!V28=0,0,SER_hh_fech_in!V28/SER_summary!V$27)</f>
        <v>8.3861202428923018</v>
      </c>
      <c r="W28" s="146">
        <f>IF(SER_hh_fech_in!W28=0,0,SER_hh_fech_in!W28/SER_summary!W$27)</f>
        <v>9.9937693463866779</v>
      </c>
      <c r="X28" s="146">
        <f>IF(SER_hh_fech_in!X28=0,0,SER_hh_fech_in!X28/SER_summary!X$27)</f>
        <v>8.932954693201598</v>
      </c>
      <c r="Y28" s="146">
        <f>IF(SER_hh_fech_in!Y28=0,0,SER_hh_fech_in!Y28/SER_summary!Y$27)</f>
        <v>9.8882452673023167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13.418527781841988</v>
      </c>
      <c r="D29" s="130">
        <f>IF(SER_hh_fech_in!D29=0,0,SER_hh_fech_in!D29/SER_summary!D$27)</f>
        <v>16.25414525930935</v>
      </c>
      <c r="E29" s="130">
        <f>IF(SER_hh_fech_in!E29=0,0,SER_hh_fech_in!E29/SER_summary!E$27)</f>
        <v>16.352253058316471</v>
      </c>
      <c r="F29" s="130">
        <f>IF(SER_hh_fech_in!F29=0,0,SER_hh_fech_in!F29/SER_summary!F$27)</f>
        <v>16.712534989391553</v>
      </c>
      <c r="G29" s="130">
        <f>IF(SER_hh_fech_in!G29=0,0,SER_hh_fech_in!G29/SER_summary!G$27)</f>
        <v>19.290441192161026</v>
      </c>
      <c r="H29" s="130">
        <f>IF(SER_hh_fech_in!H29=0,0,SER_hh_fech_in!H29/SER_summary!H$27)</f>
        <v>16.190123496100679</v>
      </c>
      <c r="I29" s="130">
        <f>IF(SER_hh_fech_in!I29=0,0,SER_hh_fech_in!I29/SER_summary!I$27)</f>
        <v>16.09448425408193</v>
      </c>
      <c r="J29" s="130">
        <f>IF(SER_hh_fech_in!J29=0,0,SER_hh_fech_in!J29/SER_summary!J$27)</f>
        <v>14.897268386024145</v>
      </c>
      <c r="K29" s="130">
        <f>IF(SER_hh_fech_in!K29=0,0,SER_hh_fech_in!K29/SER_summary!K$27)</f>
        <v>13.698480540222349</v>
      </c>
      <c r="L29" s="130">
        <f>IF(SER_hh_fech_in!L29=0,0,SER_hh_fech_in!L29/SER_summary!L$27)</f>
        <v>16.431928487344294</v>
      </c>
      <c r="M29" s="130">
        <f>IF(SER_hh_fech_in!M29=0,0,SER_hh_fech_in!M29/SER_summary!M$27)</f>
        <v>16.019214016885268</v>
      </c>
      <c r="N29" s="130">
        <f>IF(SER_hh_fech_in!N29=0,0,SER_hh_fech_in!N29/SER_summary!N$27)</f>
        <v>27.735762386168496</v>
      </c>
      <c r="O29" s="130">
        <f>IF(SER_hh_fech_in!O29=0,0,SER_hh_fech_in!O29/SER_summary!O$27)</f>
        <v>17.026002604520823</v>
      </c>
      <c r="P29" s="130">
        <f>IF(SER_hh_fech_in!P29=0,0,SER_hh_fech_in!P29/SER_summary!P$27)</f>
        <v>20.240387878460371</v>
      </c>
      <c r="Q29" s="130">
        <f>IF(SER_hh_fech_in!Q29=0,0,SER_hh_fech_in!Q29/SER_summary!Q$27)</f>
        <v>18.691557568444473</v>
      </c>
      <c r="R29" s="130">
        <f>IF(SER_hh_fech_in!R29=0,0,SER_hh_fech_in!R29/SER_summary!R$27)</f>
        <v>16.801181767455404</v>
      </c>
      <c r="S29" s="130">
        <f>IF(SER_hh_fech_in!S29=0,0,SER_hh_fech_in!S29/SER_summary!S$27)</f>
        <v>16.43621967553938</v>
      </c>
      <c r="T29" s="130">
        <f>IF(SER_hh_fech_in!T29=0,0,SER_hh_fech_in!T29/SER_summary!T$27)</f>
        <v>16.468344376147897</v>
      </c>
      <c r="U29" s="130">
        <f>IF(SER_hh_fech_in!U29=0,0,SER_hh_fech_in!U29/SER_summary!U$27)</f>
        <v>13.872826097190128</v>
      </c>
      <c r="V29" s="130">
        <f>IF(SER_hh_fech_in!V29=0,0,SER_hh_fech_in!V29/SER_summary!V$27)</f>
        <v>13.623373563452704</v>
      </c>
      <c r="W29" s="130">
        <f>IF(SER_hh_fech_in!W29=0,0,SER_hh_fech_in!W29/SER_summary!W$27)</f>
        <v>13.848950558090168</v>
      </c>
      <c r="X29" s="130">
        <f>IF(SER_hh_fech_in!X29=0,0,SER_hh_fech_in!X29/SER_summary!X$27)</f>
        <v>15.043813221907996</v>
      </c>
      <c r="Y29" s="130">
        <f>IF(SER_hh_fech_in!Y29=0,0,SER_hh_fech_in!Y29/SER_summary!Y$27)</f>
        <v>17.821734184318679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13.2618519888257</v>
      </c>
      <c r="D30" s="132">
        <f>IF(SER_hh_fech_in!D30=0,0,SER_hh_fech_in!D30/SER_summary!D$27)</f>
        <v>18.670142227979646</v>
      </c>
      <c r="E30" s="132">
        <f>IF(SER_hh_fech_in!E30=0,0,SER_hh_fech_in!E30/SER_summary!E$27)</f>
        <v>17.537830338641847</v>
      </c>
      <c r="F30" s="132">
        <f>IF(SER_hh_fech_in!F30=0,0,SER_hh_fech_in!F30/SER_summary!F$27)</f>
        <v>17.345677927591691</v>
      </c>
      <c r="G30" s="132">
        <f>IF(SER_hh_fech_in!G30=0,0,SER_hh_fech_in!G30/SER_summary!G$27)</f>
        <v>21.889199857690805</v>
      </c>
      <c r="H30" s="132">
        <f>IF(SER_hh_fech_in!H30=0,0,SER_hh_fech_in!H30/SER_summary!H$27)</f>
        <v>18.40318262490652</v>
      </c>
      <c r="I30" s="132">
        <f>IF(SER_hh_fech_in!I30=0,0,SER_hh_fech_in!I30/SER_summary!I$27)</f>
        <v>18.589224124558314</v>
      </c>
      <c r="J30" s="132">
        <f>IF(SER_hh_fech_in!J30=0,0,SER_hh_fech_in!J30/SER_summary!J$27)</f>
        <v>21.824139074116619</v>
      </c>
      <c r="K30" s="132">
        <f>IF(SER_hh_fech_in!K30=0,0,SER_hh_fech_in!K30/SER_summary!K$27)</f>
        <v>0</v>
      </c>
      <c r="L30" s="132">
        <f>IF(SER_hh_fech_in!L30=0,0,SER_hh_fech_in!L30/SER_summary!L$27)</f>
        <v>0</v>
      </c>
      <c r="M30" s="132">
        <f>IF(SER_hh_fech_in!M30=0,0,SER_hh_fech_in!M30/SER_summary!M$27)</f>
        <v>0</v>
      </c>
      <c r="N30" s="132">
        <f>IF(SER_hh_fech_in!N30=0,0,SER_hh_fech_in!N30/SER_summary!N$27)</f>
        <v>14.172680489995559</v>
      </c>
      <c r="O30" s="132">
        <f>IF(SER_hh_fech_in!O30=0,0,SER_hh_fech_in!O30/SER_summary!O$27)</f>
        <v>14.197755450794615</v>
      </c>
      <c r="P30" s="132">
        <f>IF(SER_hh_fech_in!P30=0,0,SER_hh_fech_in!P30/SER_summary!P$27)</f>
        <v>21.671652623402803</v>
      </c>
      <c r="Q30" s="132">
        <f>IF(SER_hh_fech_in!Q30=0,0,SER_hh_fech_in!Q30/SER_summary!Q$27)</f>
        <v>21.182618225542505</v>
      </c>
      <c r="R30" s="132">
        <f>IF(SER_hh_fech_in!R30=0,0,SER_hh_fech_in!R30/SER_summary!R$27)</f>
        <v>18.581219636070731</v>
      </c>
      <c r="S30" s="132">
        <f>IF(SER_hh_fech_in!S30=0,0,SER_hh_fech_in!S30/SER_summary!S$27)</f>
        <v>17.788556118370099</v>
      </c>
      <c r="T30" s="132">
        <f>IF(SER_hh_fech_in!T30=0,0,SER_hh_fech_in!T30/SER_summary!T$27)</f>
        <v>22.359334160510009</v>
      </c>
      <c r="U30" s="132">
        <f>IF(SER_hh_fech_in!U30=0,0,SER_hh_fech_in!U30/SER_summary!U$27)</f>
        <v>21.947599047256944</v>
      </c>
      <c r="V30" s="132">
        <f>IF(SER_hh_fech_in!V30=0,0,SER_hh_fech_in!V30/SER_summary!V$27)</f>
        <v>0</v>
      </c>
      <c r="W30" s="132">
        <f>IF(SER_hh_fech_in!W30=0,0,SER_hh_fech_in!W30/SER_summary!W$27)</f>
        <v>0</v>
      </c>
      <c r="X30" s="132">
        <f>IF(SER_hh_fech_in!X30=0,0,SER_hh_fech_in!X30/SER_summary!X$27)</f>
        <v>20.872807282908266</v>
      </c>
      <c r="Y30" s="132">
        <f>IF(SER_hh_fech_in!Y30=0,0,SER_hh_fech_in!Y30/SER_summary!Y$27)</f>
        <v>19.802188621433885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16.539096509337433</v>
      </c>
      <c r="D31" s="132">
        <f>IF(SER_hh_fech_in!D31=0,0,SER_hh_fech_in!D31/SER_summary!D$27)</f>
        <v>17.741090341005208</v>
      </c>
      <c r="E31" s="132">
        <f>IF(SER_hh_fech_in!E31=0,0,SER_hh_fech_in!E31/SER_summary!E$27)</f>
        <v>17.581536314380603</v>
      </c>
      <c r="F31" s="132">
        <f>IF(SER_hh_fech_in!F31=0,0,SER_hh_fech_in!F31/SER_summary!F$27)</f>
        <v>18.617065392628891</v>
      </c>
      <c r="G31" s="132">
        <f>IF(SER_hh_fech_in!G31=0,0,SER_hh_fech_in!G31/SER_summary!G$27)</f>
        <v>18.91508843356538</v>
      </c>
      <c r="H31" s="132">
        <f>IF(SER_hh_fech_in!H31=0,0,SER_hh_fech_in!H31/SER_summary!H$27)</f>
        <v>18.941620582998155</v>
      </c>
      <c r="I31" s="132">
        <f>IF(SER_hh_fech_in!I31=0,0,SER_hh_fech_in!I31/SER_summary!I$27)</f>
        <v>18.738754078204462</v>
      </c>
      <c r="J31" s="132">
        <f>IF(SER_hh_fech_in!J31=0,0,SER_hh_fech_in!J31/SER_summary!J$27)</f>
        <v>18.048703345341632</v>
      </c>
      <c r="K31" s="132">
        <f>IF(SER_hh_fech_in!K31=0,0,SER_hh_fech_in!K31/SER_summary!K$27)</f>
        <v>18.213288661390923</v>
      </c>
      <c r="L31" s="132">
        <f>IF(SER_hh_fech_in!L31=0,0,SER_hh_fech_in!L31/SER_summary!L$27)</f>
        <v>20.254039357512671</v>
      </c>
      <c r="M31" s="132">
        <f>IF(SER_hh_fech_in!M31=0,0,SER_hh_fech_in!M31/SER_summary!M$27)</f>
        <v>18.905704674912386</v>
      </c>
      <c r="N31" s="132">
        <f>IF(SER_hh_fech_in!N31=0,0,SER_hh_fech_in!N31/SER_summary!N$27)</f>
        <v>17.702549719932342</v>
      </c>
      <c r="O31" s="132">
        <f>IF(SER_hh_fech_in!O31=0,0,SER_hh_fech_in!O31/SER_summary!O$27)</f>
        <v>19.575113581071228</v>
      </c>
      <c r="P31" s="132">
        <f>IF(SER_hh_fech_in!P31=0,0,SER_hh_fech_in!P31/SER_summary!P$27)</f>
        <v>18.42833438238678</v>
      </c>
      <c r="Q31" s="132">
        <f>IF(SER_hh_fech_in!Q31=0,0,SER_hh_fech_in!Q31/SER_summary!Q$27)</f>
        <v>19.42852454217817</v>
      </c>
      <c r="R31" s="132">
        <f>IF(SER_hh_fech_in!R31=0,0,SER_hh_fech_in!R31/SER_summary!R$27)</f>
        <v>19.556633227109455</v>
      </c>
      <c r="S31" s="132">
        <f>IF(SER_hh_fech_in!S31=0,0,SER_hh_fech_in!S31/SER_summary!S$27)</f>
        <v>19.323434980103116</v>
      </c>
      <c r="T31" s="132">
        <f>IF(SER_hh_fech_in!T31=0,0,SER_hh_fech_in!T31/SER_summary!T$27)</f>
        <v>19.247163234492362</v>
      </c>
      <c r="U31" s="132">
        <f>IF(SER_hh_fech_in!U31=0,0,SER_hh_fech_in!U31/SER_summary!U$27)</f>
        <v>19.765143447810392</v>
      </c>
      <c r="V31" s="132">
        <f>IF(SER_hh_fech_in!V31=0,0,SER_hh_fech_in!V31/SER_summary!V$27)</f>
        <v>18.730148930027333</v>
      </c>
      <c r="W31" s="132">
        <f>IF(SER_hh_fech_in!W31=0,0,SER_hh_fech_in!W31/SER_summary!W$27)</f>
        <v>18.464239991355047</v>
      </c>
      <c r="X31" s="132">
        <f>IF(SER_hh_fech_in!X31=0,0,SER_hh_fech_in!X31/SER_summary!X$27)</f>
        <v>18.453082149270816</v>
      </c>
      <c r="Y31" s="132">
        <f>IF(SER_hh_fech_in!Y31=0,0,SER_hh_fech_in!Y31/SER_summary!Y$27)</f>
        <v>19.685838372534885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30.521291209077184</v>
      </c>
      <c r="O32" s="132">
        <f>IF(SER_hh_fech_in!O32=0,0,SER_hh_fech_in!O32/SER_summary!O$27)</f>
        <v>16.63320283106528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18.417652160901341</v>
      </c>
      <c r="X32" s="132">
        <f>IF(SER_hh_fech_in!X32=0,0,SER_hh_fech_in!X32/SER_summary!X$27)</f>
        <v>18.618168186608436</v>
      </c>
      <c r="Y32" s="132">
        <f>IF(SER_hh_fech_in!Y32=0,0,SER_hh_fech_in!Y32/SER_summary!Y$27)</f>
        <v>19.335989807261448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13.190167378710148</v>
      </c>
      <c r="D33" s="68">
        <f>IF(SER_hh_fech_in!D33=0,0,SER_hh_fech_in!D33/SER_summary!D$27)</f>
        <v>13.434210826203667</v>
      </c>
      <c r="E33" s="68">
        <f>IF(SER_hh_fech_in!E33=0,0,SER_hh_fech_in!E33/SER_summary!E$27)</f>
        <v>14.325955168913069</v>
      </c>
      <c r="F33" s="68">
        <f>IF(SER_hh_fech_in!F33=0,0,SER_hh_fech_in!F33/SER_summary!F$27)</f>
        <v>14.56765440912217</v>
      </c>
      <c r="G33" s="68">
        <f>IF(SER_hh_fech_in!G33=0,0,SER_hh_fech_in!G33/SER_summary!G$27)</f>
        <v>12.562479702571089</v>
      </c>
      <c r="H33" s="68">
        <f>IF(SER_hh_fech_in!H33=0,0,SER_hh_fech_in!H33/SER_summary!H$27)</f>
        <v>14.516915211729094</v>
      </c>
      <c r="I33" s="68">
        <f>IF(SER_hh_fech_in!I33=0,0,SER_hh_fech_in!I33/SER_summary!I$27)</f>
        <v>14.319318163952294</v>
      </c>
      <c r="J33" s="68">
        <f>IF(SER_hh_fech_in!J33=0,0,SER_hh_fech_in!J33/SER_summary!J$27)</f>
        <v>13.54240790407461</v>
      </c>
      <c r="K33" s="68">
        <f>IF(SER_hh_fech_in!K33=0,0,SER_hh_fech_in!K33/SER_summary!K$27)</f>
        <v>12.922963348078413</v>
      </c>
      <c r="L33" s="68">
        <f>IF(SER_hh_fech_in!L33=0,0,SER_hh_fech_in!L33/SER_summary!L$27)</f>
        <v>15.824404922458115</v>
      </c>
      <c r="M33" s="68">
        <f>IF(SER_hh_fech_in!M33=0,0,SER_hh_fech_in!M33/SER_summary!M$27)</f>
        <v>14.999930274122869</v>
      </c>
      <c r="N33" s="68">
        <f>IF(SER_hh_fech_in!N33=0,0,SER_hh_fech_in!N33/SER_summary!N$27)</f>
        <v>0</v>
      </c>
      <c r="O33" s="68">
        <f>IF(SER_hh_fech_in!O33=0,0,SER_hh_fech_in!O33/SER_summary!O$27)</f>
        <v>13.635065589721155</v>
      </c>
      <c r="P33" s="68">
        <f>IF(SER_hh_fech_in!P33=0,0,SER_hh_fech_in!P33/SER_summary!P$27)</f>
        <v>13.46605826170715</v>
      </c>
      <c r="Q33" s="68">
        <f>IF(SER_hh_fech_in!Q33=0,0,SER_hh_fech_in!Q33/SER_summary!Q$27)</f>
        <v>13.035416566322638</v>
      </c>
      <c r="R33" s="68">
        <f>IF(SER_hh_fech_in!R33=0,0,SER_hh_fech_in!R33/SER_summary!R$27)</f>
        <v>14.257900748669195</v>
      </c>
      <c r="S33" s="68">
        <f>IF(SER_hh_fech_in!S33=0,0,SER_hh_fech_in!S33/SER_summary!S$27)</f>
        <v>14.622491901898023</v>
      </c>
      <c r="T33" s="68">
        <f>IF(SER_hh_fech_in!T33=0,0,SER_hh_fech_in!T33/SER_summary!T$27)</f>
        <v>12.598602265349752</v>
      </c>
      <c r="U33" s="68">
        <f>IF(SER_hh_fech_in!U33=0,0,SER_hh_fech_in!U33/SER_summary!U$27)</f>
        <v>12.26950642379003</v>
      </c>
      <c r="V33" s="68">
        <f>IF(SER_hh_fech_in!V33=0,0,SER_hh_fech_in!V33/SER_summary!V$27)</f>
        <v>12.923320310268332</v>
      </c>
      <c r="W33" s="68">
        <f>IF(SER_hh_fech_in!W33=0,0,SER_hh_fech_in!W33/SER_summary!W$27)</f>
        <v>13.18564854070272</v>
      </c>
      <c r="X33" s="68">
        <f>IF(SER_hh_fech_in!X33=0,0,SER_hh_fech_in!X33/SER_summary!X$27)</f>
        <v>12.931521466162444</v>
      </c>
      <c r="Y33" s="68">
        <f>IF(SER_hh_fech_in!Y33=0,0,SER_hh_fech_in!Y33/SER_summary!Y$27)</f>
        <v>13.108672749197796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62.400113779162176</v>
      </c>
      <c r="D3" s="125">
        <f>IF(SER_hh_tesh_in!D3=0,0,SER_hh_tesh_in!D3/SER_summary!D$27)</f>
        <v>61.04673800165574</v>
      </c>
      <c r="E3" s="125">
        <f>IF(SER_hh_tesh_in!E3=0,0,SER_hh_tesh_in!E3/SER_summary!E$27)</f>
        <v>77.34738264442089</v>
      </c>
      <c r="F3" s="125">
        <f>IF(SER_hh_tesh_in!F3=0,0,SER_hh_tesh_in!F3/SER_summary!F$27)</f>
        <v>73.871018212599779</v>
      </c>
      <c r="G3" s="125">
        <f>IF(SER_hh_tesh_in!G3=0,0,SER_hh_tesh_in!G3/SER_summary!G$27)</f>
        <v>83.671923474665178</v>
      </c>
      <c r="H3" s="125">
        <f>IF(SER_hh_tesh_in!H3=0,0,SER_hh_tesh_in!H3/SER_summary!H$27)</f>
        <v>90.616713980814737</v>
      </c>
      <c r="I3" s="125">
        <f>IF(SER_hh_tesh_in!I3=0,0,SER_hh_tesh_in!I3/SER_summary!I$27)</f>
        <v>79.906273692078798</v>
      </c>
      <c r="J3" s="125">
        <f>IF(SER_hh_tesh_in!J3=0,0,SER_hh_tesh_in!J3/SER_summary!J$27)</f>
        <v>80.882395935649143</v>
      </c>
      <c r="K3" s="125">
        <f>IF(SER_hh_tesh_in!K3=0,0,SER_hh_tesh_in!K3/SER_summary!K$27)</f>
        <v>83.53513213722016</v>
      </c>
      <c r="L3" s="125">
        <f>IF(SER_hh_tesh_in!L3=0,0,SER_hh_tesh_in!L3/SER_summary!L$27)</f>
        <v>96.080975192666827</v>
      </c>
      <c r="M3" s="125">
        <f>IF(SER_hh_tesh_in!M3=0,0,SER_hh_tesh_in!M3/SER_summary!M$27)</f>
        <v>84.609753930036021</v>
      </c>
      <c r="N3" s="125">
        <f>IF(SER_hh_tesh_in!N3=0,0,SER_hh_tesh_in!N3/SER_summary!N$27)</f>
        <v>92.487202823144941</v>
      </c>
      <c r="O3" s="125">
        <f>IF(SER_hh_tesh_in!O3=0,0,SER_hh_tesh_in!O3/SER_summary!O$27)</f>
        <v>91.961921461027458</v>
      </c>
      <c r="P3" s="125">
        <f>IF(SER_hh_tesh_in!P3=0,0,SER_hh_tesh_in!P3/SER_summary!P$27)</f>
        <v>92.480595890083862</v>
      </c>
      <c r="Q3" s="125">
        <f>IF(SER_hh_tesh_in!Q3=0,0,SER_hh_tesh_in!Q3/SER_summary!Q$27)</f>
        <v>94.205322755827197</v>
      </c>
      <c r="R3" s="125">
        <f>IF(SER_hh_tesh_in!R3=0,0,SER_hh_tesh_in!R3/SER_summary!R$27)</f>
        <v>101.4221738858006</v>
      </c>
      <c r="S3" s="125">
        <f>IF(SER_hh_tesh_in!S3=0,0,SER_hh_tesh_in!S3/SER_summary!S$27)</f>
        <v>96.320054819872098</v>
      </c>
      <c r="T3" s="125">
        <f>IF(SER_hh_tesh_in!T3=0,0,SER_hh_tesh_in!T3/SER_summary!T$27)</f>
        <v>97.729475873818274</v>
      </c>
      <c r="U3" s="125">
        <f>IF(SER_hh_tesh_in!U3=0,0,SER_hh_tesh_in!U3/SER_summary!U$27)</f>
        <v>88.50009336288943</v>
      </c>
      <c r="V3" s="125">
        <f>IF(SER_hh_tesh_in!V3=0,0,SER_hh_tesh_in!V3/SER_summary!V$27)</f>
        <v>92.54748634477113</v>
      </c>
      <c r="W3" s="125">
        <f>IF(SER_hh_tesh_in!W3=0,0,SER_hh_tesh_in!W3/SER_summary!W$27)</f>
        <v>79.49436444863332</v>
      </c>
      <c r="X3" s="125">
        <f>IF(SER_hh_tesh_in!X3=0,0,SER_hh_tesh_in!X3/SER_summary!X$27)</f>
        <v>101.98326710134917</v>
      </c>
      <c r="Y3" s="125">
        <f>IF(SER_hh_tesh_in!Y3=0,0,SER_hh_tesh_in!Y3/SER_summary!Y$27)</f>
        <v>99.05308854067917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18.778623865243194</v>
      </c>
      <c r="D4" s="130">
        <f>IF(SER_hh_tesh_in!D4=0,0,SER_hh_tesh_in!D4/SER_summary!D$27)</f>
        <v>19.237599621382575</v>
      </c>
      <c r="E4" s="130">
        <f>IF(SER_hh_tesh_in!E4=0,0,SER_hh_tesh_in!E4/SER_summary!E$27)</f>
        <v>26.282862173978096</v>
      </c>
      <c r="F4" s="130">
        <f>IF(SER_hh_tesh_in!F4=0,0,SER_hh_tesh_in!F4/SER_summary!F$27)</f>
        <v>28.174252111038363</v>
      </c>
      <c r="G4" s="130">
        <f>IF(SER_hh_tesh_in!G4=0,0,SER_hh_tesh_in!G4/SER_summary!G$27)</f>
        <v>34.128271791410015</v>
      </c>
      <c r="H4" s="130">
        <f>IF(SER_hh_tesh_in!H4=0,0,SER_hh_tesh_in!H4/SER_summary!H$27)</f>
        <v>35.892790852519049</v>
      </c>
      <c r="I4" s="130">
        <f>IF(SER_hh_tesh_in!I4=0,0,SER_hh_tesh_in!I4/SER_summary!I$27)</f>
        <v>37.52171307459799</v>
      </c>
      <c r="J4" s="130">
        <f>IF(SER_hh_tesh_in!J4=0,0,SER_hh_tesh_in!J4/SER_summary!J$27)</f>
        <v>39.351068161553535</v>
      </c>
      <c r="K4" s="130">
        <f>IF(SER_hh_tesh_in!K4=0,0,SER_hh_tesh_in!K4/SER_summary!K$27)</f>
        <v>37.754744468964859</v>
      </c>
      <c r="L4" s="130">
        <f>IF(SER_hh_tesh_in!L4=0,0,SER_hh_tesh_in!L4/SER_summary!L$27)</f>
        <v>38.55427373643775</v>
      </c>
      <c r="M4" s="130">
        <f>IF(SER_hh_tesh_in!M4=0,0,SER_hh_tesh_in!M4/SER_summary!M$27)</f>
        <v>40.029064100285176</v>
      </c>
      <c r="N4" s="130">
        <f>IF(SER_hh_tesh_in!N4=0,0,SER_hh_tesh_in!N4/SER_summary!N$27)</f>
        <v>41.590378760974588</v>
      </c>
      <c r="O4" s="130">
        <f>IF(SER_hh_tesh_in!O4=0,0,SER_hh_tesh_in!O4/SER_summary!O$27)</f>
        <v>40.198449707007654</v>
      </c>
      <c r="P4" s="130">
        <f>IF(SER_hh_tesh_in!P4=0,0,SER_hh_tesh_in!P4/SER_summary!P$27)</f>
        <v>49.763599372813118</v>
      </c>
      <c r="Q4" s="130">
        <f>IF(SER_hh_tesh_in!Q4=0,0,SER_hh_tesh_in!Q4/SER_summary!Q$27)</f>
        <v>48.327522650393256</v>
      </c>
      <c r="R4" s="130">
        <f>IF(SER_hh_tesh_in!R4=0,0,SER_hh_tesh_in!R4/SER_summary!R$27)</f>
        <v>43.945669180701117</v>
      </c>
      <c r="S4" s="130">
        <f>IF(SER_hh_tesh_in!S4=0,0,SER_hh_tesh_in!S4/SER_summary!S$27)</f>
        <v>40.826839460582754</v>
      </c>
      <c r="T4" s="130">
        <f>IF(SER_hh_tesh_in!T4=0,0,SER_hh_tesh_in!T4/SER_summary!T$27)</f>
        <v>47.286039477910805</v>
      </c>
      <c r="U4" s="130">
        <f>IF(SER_hh_tesh_in!U4=0,0,SER_hh_tesh_in!U4/SER_summary!U$27)</f>
        <v>45.117281013626723</v>
      </c>
      <c r="V4" s="130">
        <f>IF(SER_hh_tesh_in!V4=0,0,SER_hh_tesh_in!V4/SER_summary!V$27)</f>
        <v>40.481488131822381</v>
      </c>
      <c r="W4" s="130">
        <f>IF(SER_hh_tesh_in!W4=0,0,SER_hh_tesh_in!W4/SER_summary!W$27)</f>
        <v>39.036018766815246</v>
      </c>
      <c r="X4" s="130">
        <f>IF(SER_hh_tesh_in!X4=0,0,SER_hh_tesh_in!X4/SER_summary!X$27)</f>
        <v>45.281149601535333</v>
      </c>
      <c r="Y4" s="130">
        <f>IF(SER_hh_tesh_in!Y4=0,0,SER_hh_tesh_in!Y4/SER_summary!Y$27)</f>
        <v>48.196997321057147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18.884762585869545</v>
      </c>
      <c r="D7" s="132">
        <f>IF(SER_hh_tesh_in!D7=0,0,SER_hh_tesh_in!D7/SER_summary!D$27)</f>
        <v>20.238727532175552</v>
      </c>
      <c r="E7" s="132">
        <f>IF(SER_hh_tesh_in!E7=0,0,SER_hh_tesh_in!E7/SER_summary!E$27)</f>
        <v>22.578611846698941</v>
      </c>
      <c r="F7" s="132">
        <f>IF(SER_hh_tesh_in!F7=0,0,SER_hh_tesh_in!F7/SER_summary!F$27)</f>
        <v>29.762480664864654</v>
      </c>
      <c r="G7" s="132">
        <f>IF(SER_hh_tesh_in!G7=0,0,SER_hh_tesh_in!G7/SER_summary!G$27)</f>
        <v>35.636311104405948</v>
      </c>
      <c r="H7" s="132">
        <f>IF(SER_hh_tesh_in!H7=0,0,SER_hh_tesh_in!H7/SER_summary!H$27)</f>
        <v>0</v>
      </c>
      <c r="I7" s="132">
        <f>IF(SER_hh_tesh_in!I7=0,0,SER_hh_tesh_in!I7/SER_summary!I$27)</f>
        <v>0</v>
      </c>
      <c r="J7" s="132">
        <f>IF(SER_hh_tesh_in!J7=0,0,SER_hh_tesh_in!J7/SER_summary!J$27)</f>
        <v>0</v>
      </c>
      <c r="K7" s="132">
        <f>IF(SER_hh_tesh_in!K7=0,0,SER_hh_tesh_in!K7/SER_summary!K$27)</f>
        <v>0</v>
      </c>
      <c r="L7" s="132">
        <f>IF(SER_hh_tesh_in!L7=0,0,SER_hh_tesh_in!L7/SER_summary!L$27)</f>
        <v>0</v>
      </c>
      <c r="M7" s="132">
        <f>IF(SER_hh_tesh_in!M7=0,0,SER_hh_tesh_in!M7/SER_summary!M$27)</f>
        <v>0</v>
      </c>
      <c r="N7" s="132">
        <f>IF(SER_hh_tesh_in!N7=0,0,SER_hh_tesh_in!N7/SER_summary!N$27)</f>
        <v>0</v>
      </c>
      <c r="O7" s="132">
        <f>IF(SER_hh_tesh_in!O7=0,0,SER_hh_tesh_in!O7/SER_summary!O$27)</f>
        <v>39.427064637390671</v>
      </c>
      <c r="P7" s="132">
        <f>IF(SER_hh_tesh_in!P7=0,0,SER_hh_tesh_in!P7/SER_summary!P$27)</f>
        <v>0</v>
      </c>
      <c r="Q7" s="132">
        <f>IF(SER_hh_tesh_in!Q7=0,0,SER_hh_tesh_in!Q7/SER_summary!Q$27)</f>
        <v>0</v>
      </c>
      <c r="R7" s="132">
        <f>IF(SER_hh_tesh_in!R7=0,0,SER_hh_tesh_in!R7/SER_summary!R$27)</f>
        <v>38.957653904003195</v>
      </c>
      <c r="S7" s="132">
        <f>IF(SER_hh_tesh_in!S7=0,0,SER_hh_tesh_in!S7/SER_summary!S$27)</f>
        <v>38.928835636381869</v>
      </c>
      <c r="T7" s="132">
        <f>IF(SER_hh_tesh_in!T7=0,0,SER_hh_tesh_in!T7/SER_summary!T$27)</f>
        <v>42.439394463072993</v>
      </c>
      <c r="U7" s="132">
        <f>IF(SER_hh_tesh_in!U7=0,0,SER_hh_tesh_in!U7/SER_summary!U$27)</f>
        <v>42.887455620883941</v>
      </c>
      <c r="V7" s="132">
        <f>IF(SER_hh_tesh_in!V7=0,0,SER_hh_tesh_in!V7/SER_summary!V$27)</f>
        <v>0</v>
      </c>
      <c r="W7" s="132">
        <f>IF(SER_hh_tesh_in!W7=0,0,SER_hh_tesh_in!W7/SER_summary!W$27)</f>
        <v>0</v>
      </c>
      <c r="X7" s="132">
        <f>IF(SER_hh_tesh_in!X7=0,0,SER_hh_tesh_in!X7/SER_summary!X$27)</f>
        <v>0</v>
      </c>
      <c r="Y7" s="132">
        <f>IF(SER_hh_tesh_in!Y7=0,0,SER_hh_tesh_in!Y7/SER_summary!Y$27)</f>
        <v>0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17.867559337629366</v>
      </c>
      <c r="D8" s="132">
        <f>IF(SER_hh_tesh_in!D8=0,0,SER_hh_tesh_in!D8/SER_summary!D$27)</f>
        <v>21.938439130811322</v>
      </c>
      <c r="E8" s="132">
        <f>IF(SER_hh_tesh_in!E8=0,0,SER_hh_tesh_in!E8/SER_summary!E$27)</f>
        <v>26.070301599757148</v>
      </c>
      <c r="F8" s="132">
        <f>IF(SER_hh_tesh_in!F8=0,0,SER_hh_tesh_in!F8/SER_summary!F$27)</f>
        <v>28.683683437476923</v>
      </c>
      <c r="G8" s="132">
        <f>IF(SER_hh_tesh_in!G8=0,0,SER_hh_tesh_in!G8/SER_summary!G$27)</f>
        <v>30.004619909023919</v>
      </c>
      <c r="H8" s="132">
        <f>IF(SER_hh_tesh_in!H8=0,0,SER_hh_tesh_in!H8/SER_summary!H$27)</f>
        <v>34.166006064424757</v>
      </c>
      <c r="I8" s="132">
        <f>IF(SER_hh_tesh_in!I8=0,0,SER_hh_tesh_in!I8/SER_summary!I$27)</f>
        <v>36.147101466803385</v>
      </c>
      <c r="J8" s="132">
        <f>IF(SER_hh_tesh_in!J8=0,0,SER_hh_tesh_in!J8/SER_summary!J$27)</f>
        <v>38.693628413639779</v>
      </c>
      <c r="K8" s="132">
        <f>IF(SER_hh_tesh_in!K8=0,0,SER_hh_tesh_in!K8/SER_summary!K$27)</f>
        <v>36.835339338235343</v>
      </c>
      <c r="L8" s="132">
        <f>IF(SER_hh_tesh_in!L8=0,0,SER_hh_tesh_in!L8/SER_summary!L$27)</f>
        <v>37.436422523277415</v>
      </c>
      <c r="M8" s="132">
        <f>IF(SER_hh_tesh_in!M8=0,0,SER_hh_tesh_in!M8/SER_summary!M$27)</f>
        <v>39.790949032634295</v>
      </c>
      <c r="N8" s="132">
        <f>IF(SER_hh_tesh_in!N8=0,0,SER_hh_tesh_in!N8/SER_summary!N$27)</f>
        <v>40.24912701619629</v>
      </c>
      <c r="O8" s="132">
        <f>IF(SER_hh_tesh_in!O8=0,0,SER_hh_tesh_in!O8/SER_summary!O$27)</f>
        <v>42.520396528816399</v>
      </c>
      <c r="P8" s="132">
        <f>IF(SER_hh_tesh_in!P8=0,0,SER_hh_tesh_in!P8/SER_summary!P$27)</f>
        <v>46.078288549460446</v>
      </c>
      <c r="Q8" s="132">
        <f>IF(SER_hh_tesh_in!Q8=0,0,SER_hh_tesh_in!Q8/SER_summary!Q$27)</f>
        <v>47.394427171778737</v>
      </c>
      <c r="R8" s="132">
        <f>IF(SER_hh_tesh_in!R8=0,0,SER_hh_tesh_in!R8/SER_summary!R$27)</f>
        <v>44.416860808480592</v>
      </c>
      <c r="S8" s="132">
        <f>IF(SER_hh_tesh_in!S8=0,0,SER_hh_tesh_in!S8/SER_summary!S$27)</f>
        <v>42.473723591932206</v>
      </c>
      <c r="T8" s="132">
        <f>IF(SER_hh_tesh_in!T8=0,0,SER_hh_tesh_in!T8/SER_summary!T$27)</f>
        <v>42.115950660599658</v>
      </c>
      <c r="U8" s="132">
        <f>IF(SER_hh_tesh_in!U8=0,0,SER_hh_tesh_in!U8/SER_summary!U$27)</f>
        <v>41.943980147548594</v>
      </c>
      <c r="V8" s="132">
        <f>IF(SER_hh_tesh_in!V8=0,0,SER_hh_tesh_in!V8/SER_summary!V$27)</f>
        <v>39.363743645535052</v>
      </c>
      <c r="W8" s="132">
        <f>IF(SER_hh_tesh_in!W8=0,0,SER_hh_tesh_in!W8/SER_summary!W$27)</f>
        <v>40.729767698050793</v>
      </c>
      <c r="X8" s="132">
        <f>IF(SER_hh_tesh_in!X8=0,0,SER_hh_tesh_in!X8/SER_summary!X$27)</f>
        <v>44.445252581940437</v>
      </c>
      <c r="Y8" s="132">
        <f>IF(SER_hh_tesh_in!Y8=0,0,SER_hh_tesh_in!Y8/SER_summary!Y$27)</f>
        <v>46.941637313387297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17.770737406209889</v>
      </c>
      <c r="D9" s="132">
        <f>IF(SER_hh_tesh_in!D9=0,0,SER_hh_tesh_in!D9/SER_summary!D$27)</f>
        <v>22.332878469599208</v>
      </c>
      <c r="E9" s="132">
        <f>IF(SER_hh_tesh_in!E9=0,0,SER_hh_tesh_in!E9/SER_summary!E$27)</f>
        <v>24.027150727158613</v>
      </c>
      <c r="F9" s="132">
        <f>IF(SER_hh_tesh_in!F9=0,0,SER_hh_tesh_in!F9/SER_summary!F$27)</f>
        <v>30.421231034319248</v>
      </c>
      <c r="G9" s="132">
        <f>IF(SER_hh_tesh_in!G9=0,0,SER_hh_tesh_in!G9/SER_summary!G$27)</f>
        <v>0</v>
      </c>
      <c r="H9" s="132">
        <f>IF(SER_hh_tesh_in!H9=0,0,SER_hh_tesh_in!H9/SER_summary!H$27)</f>
        <v>35.127054754404391</v>
      </c>
      <c r="I9" s="132">
        <f>IF(SER_hh_tesh_in!I9=0,0,SER_hh_tesh_in!I9/SER_summary!I$27)</f>
        <v>36.867937340429229</v>
      </c>
      <c r="J9" s="132">
        <f>IF(SER_hh_tesh_in!J9=0,0,SER_hh_tesh_in!J9/SER_summary!J$27)</f>
        <v>37.390621200375683</v>
      </c>
      <c r="K9" s="132">
        <f>IF(SER_hh_tesh_in!K9=0,0,SER_hh_tesh_in!K9/SER_summary!K$27)</f>
        <v>40.43028973948342</v>
      </c>
      <c r="L9" s="132">
        <f>IF(SER_hh_tesh_in!L9=0,0,SER_hh_tesh_in!L9/SER_summary!L$27)</f>
        <v>35.476683672305292</v>
      </c>
      <c r="M9" s="132">
        <f>IF(SER_hh_tesh_in!M9=0,0,SER_hh_tesh_in!M9/SER_summary!M$27)</f>
        <v>39.867469075524745</v>
      </c>
      <c r="N9" s="132">
        <f>IF(SER_hh_tesh_in!N9=0,0,SER_hh_tesh_in!N9/SER_summary!N$27)</f>
        <v>40.902854421568605</v>
      </c>
      <c r="O9" s="132">
        <f>IF(SER_hh_tesh_in!O9=0,0,SER_hh_tesh_in!O9/SER_summary!O$27)</f>
        <v>40.085126128061582</v>
      </c>
      <c r="P9" s="132">
        <f>IF(SER_hh_tesh_in!P9=0,0,SER_hh_tesh_in!P9/SER_summary!P$27)</f>
        <v>0</v>
      </c>
      <c r="Q9" s="132">
        <f>IF(SER_hh_tesh_in!Q9=0,0,SER_hh_tesh_in!Q9/SER_summary!Q$27)</f>
        <v>43.37007847569712</v>
      </c>
      <c r="R9" s="132">
        <f>IF(SER_hh_tesh_in!R9=0,0,SER_hh_tesh_in!R9/SER_summary!R$27)</f>
        <v>44.80474434447445</v>
      </c>
      <c r="S9" s="132">
        <f>IF(SER_hh_tesh_in!S9=0,0,SER_hh_tesh_in!S9/SER_summary!S$27)</f>
        <v>43.686498275423261</v>
      </c>
      <c r="T9" s="132">
        <f>IF(SER_hh_tesh_in!T9=0,0,SER_hh_tesh_in!T9/SER_summary!T$27)</f>
        <v>46.2243387666554</v>
      </c>
      <c r="U9" s="132">
        <f>IF(SER_hh_tesh_in!U9=0,0,SER_hh_tesh_in!U9/SER_summary!U$27)</f>
        <v>0</v>
      </c>
      <c r="V9" s="132">
        <f>IF(SER_hh_tesh_in!V9=0,0,SER_hh_tesh_in!V9/SER_summary!V$27)</f>
        <v>31.755544058881743</v>
      </c>
      <c r="W9" s="132">
        <f>IF(SER_hh_tesh_in!W9=0,0,SER_hh_tesh_in!W9/SER_summary!W$27)</f>
        <v>43.881205018767211</v>
      </c>
      <c r="X9" s="132">
        <f>IF(SER_hh_tesh_in!X9=0,0,SER_hh_tesh_in!X9/SER_summary!X$27)</f>
        <v>42.935720619070182</v>
      </c>
      <c r="Y9" s="132">
        <f>IF(SER_hh_tesh_in!Y9=0,0,SER_hh_tesh_in!Y9/SER_summary!Y$27)</f>
        <v>45.554977525730706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0</v>
      </c>
      <c r="D10" s="132">
        <f>IF(SER_hh_tesh_in!D10=0,0,SER_hh_tesh_in!D10/SER_summary!D$27)</f>
        <v>0</v>
      </c>
      <c r="E10" s="132">
        <f>IF(SER_hh_tesh_in!E10=0,0,SER_hh_tesh_in!E10/SER_summary!E$27)</f>
        <v>0</v>
      </c>
      <c r="F10" s="132">
        <f>IF(SER_hh_tesh_in!F10=0,0,SER_hh_tesh_in!F10/SER_summary!F$27)</f>
        <v>0</v>
      </c>
      <c r="G10" s="132">
        <f>IF(SER_hh_tesh_in!G10=0,0,SER_hh_tesh_in!G10/SER_summary!G$27)</f>
        <v>0</v>
      </c>
      <c r="H10" s="132">
        <f>IF(SER_hh_tesh_in!H10=0,0,SER_hh_tesh_in!H10/SER_summary!H$27)</f>
        <v>0</v>
      </c>
      <c r="I10" s="132">
        <f>IF(SER_hh_tesh_in!I10=0,0,SER_hh_tesh_in!I10/SER_summary!I$27)</f>
        <v>0</v>
      </c>
      <c r="J10" s="132">
        <f>IF(SER_hh_tesh_in!J10=0,0,SER_hh_tesh_in!J10/SER_summary!J$27)</f>
        <v>0</v>
      </c>
      <c r="K10" s="132">
        <f>IF(SER_hh_tesh_in!K10=0,0,SER_hh_tesh_in!K10/SER_summary!K$27)</f>
        <v>0</v>
      </c>
      <c r="L10" s="132">
        <f>IF(SER_hh_tesh_in!L10=0,0,SER_hh_tesh_in!L10/SER_summary!L$27)</f>
        <v>0</v>
      </c>
      <c r="M10" s="132">
        <f>IF(SER_hh_tesh_in!M10=0,0,SER_hh_tesh_in!M10/SER_summary!M$27)</f>
        <v>57.045915943580965</v>
      </c>
      <c r="N10" s="132">
        <f>IF(SER_hh_tesh_in!N10=0,0,SER_hh_tesh_in!N10/SER_summary!N$27)</f>
        <v>50.199201306171545</v>
      </c>
      <c r="O10" s="132">
        <f>IF(SER_hh_tesh_in!O10=0,0,SER_hh_tesh_in!O10/SER_summary!O$27)</f>
        <v>0</v>
      </c>
      <c r="P10" s="132">
        <f>IF(SER_hh_tesh_in!P10=0,0,SER_hh_tesh_in!P10/SER_summary!P$27)</f>
        <v>0</v>
      </c>
      <c r="Q10" s="132">
        <f>IF(SER_hh_tesh_in!Q10=0,0,SER_hh_tesh_in!Q10/SER_summary!Q$27)</f>
        <v>0</v>
      </c>
      <c r="R10" s="132">
        <f>IF(SER_hh_tesh_in!R10=0,0,SER_hh_tesh_in!R10/SER_summary!R$27)</f>
        <v>39.761823561083013</v>
      </c>
      <c r="S10" s="132">
        <f>IF(SER_hh_tesh_in!S10=0,0,SER_hh_tesh_in!S10/SER_summary!S$27)</f>
        <v>49.660229443352449</v>
      </c>
      <c r="T10" s="132">
        <f>IF(SER_hh_tesh_in!T10=0,0,SER_hh_tesh_in!T10/SER_summary!T$27)</f>
        <v>0</v>
      </c>
      <c r="U10" s="132">
        <f>IF(SER_hh_tesh_in!U10=0,0,SER_hh_tesh_in!U10/SER_summary!U$27)</f>
        <v>0</v>
      </c>
      <c r="V10" s="132">
        <f>IF(SER_hh_tesh_in!V10=0,0,SER_hh_tesh_in!V10/SER_summary!V$27)</f>
        <v>0</v>
      </c>
      <c r="W10" s="132">
        <f>IF(SER_hh_tesh_in!W10=0,0,SER_hh_tesh_in!W10/SER_summary!W$27)</f>
        <v>36.189672283583157</v>
      </c>
      <c r="X10" s="132">
        <f>IF(SER_hh_tesh_in!X10=0,0,SER_hh_tesh_in!X10/SER_summary!X$27)</f>
        <v>55.608103391422709</v>
      </c>
      <c r="Y10" s="132">
        <f>IF(SER_hh_tesh_in!Y10=0,0,SER_hh_tesh_in!Y10/SER_summary!Y$27)</f>
        <v>41.415562940126108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18.591280964706016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37.309203740747542</v>
      </c>
      <c r="K11" s="132">
        <f>IF(SER_hh_tesh_in!K11=0,0,SER_hh_tesh_in!K11/SER_summary!K$27)</f>
        <v>36.106699965127198</v>
      </c>
      <c r="L11" s="132">
        <f>IF(SER_hh_tesh_in!L11=0,0,SER_hh_tesh_in!L11/SER_summary!L$27)</f>
        <v>32.760690109942352</v>
      </c>
      <c r="M11" s="132">
        <f>IF(SER_hh_tesh_in!M11=0,0,SER_hh_tesh_in!M11/SER_summary!M$27)</f>
        <v>44.549390293757767</v>
      </c>
      <c r="N11" s="132">
        <f>IF(SER_hh_tesh_in!N11=0,0,SER_hh_tesh_in!N11/SER_summary!N$27)</f>
        <v>44.32396202477284</v>
      </c>
      <c r="O11" s="132">
        <f>IF(SER_hh_tesh_in!O11=0,0,SER_hh_tesh_in!O11/SER_summary!O$27)</f>
        <v>37.878428697352525</v>
      </c>
      <c r="P11" s="132">
        <f>IF(SER_hh_tesh_in!P11=0,0,SER_hh_tesh_in!P11/SER_summary!P$27)</f>
        <v>0</v>
      </c>
      <c r="Q11" s="132">
        <f>IF(SER_hh_tesh_in!Q11=0,0,SER_hh_tesh_in!Q11/SER_summary!Q$27)</f>
        <v>48.016432433837032</v>
      </c>
      <c r="R11" s="132">
        <f>IF(SER_hh_tesh_in!R11=0,0,SER_hh_tesh_in!R11/SER_summary!R$27)</f>
        <v>40.611934087576188</v>
      </c>
      <c r="S11" s="132">
        <f>IF(SER_hh_tesh_in!S11=0,0,SER_hh_tesh_in!S11/SER_summary!S$27)</f>
        <v>42.795401993931712</v>
      </c>
      <c r="T11" s="132">
        <f>IF(SER_hh_tesh_in!T11=0,0,SER_hh_tesh_in!T11/SER_summary!T$27)</f>
        <v>46.339397004315856</v>
      </c>
      <c r="U11" s="132">
        <f>IF(SER_hh_tesh_in!U11=0,0,SER_hh_tesh_in!U11/SER_summary!U$27)</f>
        <v>45.797358886609153</v>
      </c>
      <c r="V11" s="132">
        <f>IF(SER_hh_tesh_in!V11=0,0,SER_hh_tesh_in!V11/SER_summary!V$27)</f>
        <v>36.056373165140684</v>
      </c>
      <c r="W11" s="132">
        <f>IF(SER_hh_tesh_in!W11=0,0,SER_hh_tesh_in!W11/SER_summary!W$27)</f>
        <v>36.349156347493356</v>
      </c>
      <c r="X11" s="132">
        <f>IF(SER_hh_tesh_in!X11=0,0,SER_hh_tesh_in!X11/SER_summary!X$27)</f>
        <v>45.952362282056399</v>
      </c>
      <c r="Y11" s="132">
        <f>IF(SER_hh_tesh_in!Y11=0,0,SER_hh_tesh_in!Y11/SER_summary!Y$27)</f>
        <v>46.778531752218335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17.977996540769773</v>
      </c>
      <c r="D12" s="132">
        <f>IF(SER_hh_tesh_in!D12=0,0,SER_hh_tesh_in!D12/SER_summary!D$27)</f>
        <v>24.115565163414743</v>
      </c>
      <c r="E12" s="132">
        <f>IF(SER_hh_tesh_in!E12=0,0,SER_hh_tesh_in!E12/SER_summary!E$27)</f>
        <v>24.15747014655263</v>
      </c>
      <c r="F12" s="132">
        <f>IF(SER_hh_tesh_in!F12=0,0,SER_hh_tesh_in!F12/SER_summary!F$27)</f>
        <v>32.349646254969294</v>
      </c>
      <c r="G12" s="132">
        <f>IF(SER_hh_tesh_in!G12=0,0,SER_hh_tesh_in!G12/SER_summary!G$27)</f>
        <v>0</v>
      </c>
      <c r="H12" s="132">
        <f>IF(SER_hh_tesh_in!H12=0,0,SER_hh_tesh_in!H12/SER_summary!H$27)</f>
        <v>0</v>
      </c>
      <c r="I12" s="132">
        <f>IF(SER_hh_tesh_in!I12=0,0,SER_hh_tesh_in!I12/SER_summary!I$27)</f>
        <v>0</v>
      </c>
      <c r="J12" s="132">
        <f>IF(SER_hh_tesh_in!J12=0,0,SER_hh_tesh_in!J12/SER_summary!J$27)</f>
        <v>35.43436857606725</v>
      </c>
      <c r="K12" s="132">
        <f>IF(SER_hh_tesh_in!K12=0,0,SER_hh_tesh_in!K12/SER_summary!K$27)</f>
        <v>31.604537827031834</v>
      </c>
      <c r="L12" s="132">
        <f>IF(SER_hh_tesh_in!L12=0,0,SER_hh_tesh_in!L12/SER_summary!L$27)</f>
        <v>41.163432273323615</v>
      </c>
      <c r="M12" s="132">
        <f>IF(SER_hh_tesh_in!M12=0,0,SER_hh_tesh_in!M12/SER_summary!M$27)</f>
        <v>34.767178692401146</v>
      </c>
      <c r="N12" s="132">
        <f>IF(SER_hh_tesh_in!N12=0,0,SER_hh_tesh_in!N12/SER_summary!N$27)</f>
        <v>44.507041073296911</v>
      </c>
      <c r="O12" s="132">
        <f>IF(SER_hh_tesh_in!O12=0,0,SER_hh_tesh_in!O12/SER_summary!O$27)</f>
        <v>43.721629699918864</v>
      </c>
      <c r="P12" s="132">
        <f>IF(SER_hh_tesh_in!P12=0,0,SER_hh_tesh_in!P12/SER_summary!P$27)</f>
        <v>0</v>
      </c>
      <c r="Q12" s="132">
        <f>IF(SER_hh_tesh_in!Q12=0,0,SER_hh_tesh_in!Q12/SER_summary!Q$27)</f>
        <v>43.788619937295039</v>
      </c>
      <c r="R12" s="132">
        <f>IF(SER_hh_tesh_in!R12=0,0,SER_hh_tesh_in!R12/SER_summary!R$27)</f>
        <v>41.058274398030271</v>
      </c>
      <c r="S12" s="132">
        <f>IF(SER_hh_tesh_in!S12=0,0,SER_hh_tesh_in!S12/SER_summary!S$27)</f>
        <v>44.608270655811417</v>
      </c>
      <c r="T12" s="132">
        <f>IF(SER_hh_tesh_in!T12=0,0,SER_hh_tesh_in!T12/SER_summary!T$27)</f>
        <v>43.71949253639233</v>
      </c>
      <c r="U12" s="132">
        <f>IF(SER_hh_tesh_in!U12=0,0,SER_hh_tesh_in!U12/SER_summary!U$27)</f>
        <v>42.197650473689336</v>
      </c>
      <c r="V12" s="132">
        <f>IF(SER_hh_tesh_in!V12=0,0,SER_hh_tesh_in!V12/SER_summary!V$27)</f>
        <v>40.667617234010223</v>
      </c>
      <c r="W12" s="132">
        <f>IF(SER_hh_tesh_in!W12=0,0,SER_hh_tesh_in!W12/SER_summary!W$27)</f>
        <v>0</v>
      </c>
      <c r="X12" s="132">
        <f>IF(SER_hh_tesh_in!X12=0,0,SER_hh_tesh_in!X12/SER_summary!X$27)</f>
        <v>0</v>
      </c>
      <c r="Y12" s="132">
        <f>IF(SER_hh_tesh_in!Y12=0,0,SER_hh_tesh_in!Y12/SER_summary!Y$27)</f>
        <v>0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18.145286604135258</v>
      </c>
      <c r="D13" s="132">
        <f>IF(SER_hh_tesh_in!D13=0,0,SER_hh_tesh_in!D13/SER_summary!D$27)</f>
        <v>16.41704926009271</v>
      </c>
      <c r="E13" s="132">
        <f>IF(SER_hh_tesh_in!E13=0,0,SER_hh_tesh_in!E13/SER_summary!E$27)</f>
        <v>27.996167248277494</v>
      </c>
      <c r="F13" s="132">
        <f>IF(SER_hh_tesh_in!F13=0,0,SER_hh_tesh_in!F13/SER_summary!F$27)</f>
        <v>26.178983880111822</v>
      </c>
      <c r="G13" s="132">
        <f>IF(SER_hh_tesh_in!G13=0,0,SER_hh_tesh_in!G13/SER_summary!G$27)</f>
        <v>33.27783328262764</v>
      </c>
      <c r="H13" s="132">
        <f>IF(SER_hh_tesh_in!H13=0,0,SER_hh_tesh_in!H13/SER_summary!H$27)</f>
        <v>36.045831279955586</v>
      </c>
      <c r="I13" s="132">
        <f>IF(SER_hh_tesh_in!I13=0,0,SER_hh_tesh_in!I13/SER_summary!I$27)</f>
        <v>36.910562553961817</v>
      </c>
      <c r="J13" s="132">
        <f>IF(SER_hh_tesh_in!J13=0,0,SER_hh_tesh_in!J13/SER_summary!J$27)</f>
        <v>39.60081277155362</v>
      </c>
      <c r="K13" s="132">
        <f>IF(SER_hh_tesh_in!K13=0,0,SER_hh_tesh_in!K13/SER_summary!K$27)</f>
        <v>37.282117623197692</v>
      </c>
      <c r="L13" s="132">
        <f>IF(SER_hh_tesh_in!L13=0,0,SER_hh_tesh_in!L13/SER_summary!L$27)</f>
        <v>38.719127874437966</v>
      </c>
      <c r="M13" s="132">
        <f>IF(SER_hh_tesh_in!M13=0,0,SER_hh_tesh_in!M13/SER_summary!M$27)</f>
        <v>38.442856240808361</v>
      </c>
      <c r="N13" s="132">
        <f>IF(SER_hh_tesh_in!N13=0,0,SER_hh_tesh_in!N13/SER_summary!N$27)</f>
        <v>41.210952512575716</v>
      </c>
      <c r="O13" s="132">
        <f>IF(SER_hh_tesh_in!O13=0,0,SER_hh_tesh_in!O13/SER_summary!O$27)</f>
        <v>42.052542647869267</v>
      </c>
      <c r="P13" s="132">
        <f>IF(SER_hh_tesh_in!P13=0,0,SER_hh_tesh_in!P13/SER_summary!P$27)</f>
        <v>47.213966069333907</v>
      </c>
      <c r="Q13" s="132">
        <f>IF(SER_hh_tesh_in!Q13=0,0,SER_hh_tesh_in!Q13/SER_summary!Q$27)</f>
        <v>45.828976120553982</v>
      </c>
      <c r="R13" s="132">
        <f>IF(SER_hh_tesh_in!R13=0,0,SER_hh_tesh_in!R13/SER_summary!R$27)</f>
        <v>43.701810464276065</v>
      </c>
      <c r="S13" s="132">
        <f>IF(SER_hh_tesh_in!S13=0,0,SER_hh_tesh_in!S13/SER_summary!S$27)</f>
        <v>43.204804078118698</v>
      </c>
      <c r="T13" s="132">
        <f>IF(SER_hh_tesh_in!T13=0,0,SER_hh_tesh_in!T13/SER_summary!T$27)</f>
        <v>43.162881022014545</v>
      </c>
      <c r="U13" s="132">
        <f>IF(SER_hh_tesh_in!U13=0,0,SER_hh_tesh_in!U13/SER_summary!U$27)</f>
        <v>42.593584610106788</v>
      </c>
      <c r="V13" s="132">
        <f>IF(SER_hh_tesh_in!V13=0,0,SER_hh_tesh_in!V13/SER_summary!V$27)</f>
        <v>41.177731732583311</v>
      </c>
      <c r="W13" s="132">
        <f>IF(SER_hh_tesh_in!W13=0,0,SER_hh_tesh_in!W13/SER_summary!W$27)</f>
        <v>40.369276627717625</v>
      </c>
      <c r="X13" s="132">
        <f>IF(SER_hh_tesh_in!X13=0,0,SER_hh_tesh_in!X13/SER_summary!X$27)</f>
        <v>45.226851851076631</v>
      </c>
      <c r="Y13" s="132">
        <f>IF(SER_hh_tesh_in!Y13=0,0,SER_hh_tesh_in!Y13/SER_summary!Y$27)</f>
        <v>46.483195929889028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18.528722518453893</v>
      </c>
      <c r="D14" s="65">
        <f>IF(SER_hh_tesh_in!D14=0,0,SER_hh_tesh_in!D14/SER_summary!D$27)</f>
        <v>20.517803232984075</v>
      </c>
      <c r="E14" s="65">
        <f>IF(SER_hh_tesh_in!E14=0,0,SER_hh_tesh_in!E14/SER_summary!E$27)</f>
        <v>22.555852360473729</v>
      </c>
      <c r="F14" s="65">
        <f>IF(SER_hh_tesh_in!F14=0,0,SER_hh_tesh_in!F14/SER_summary!F$27)</f>
        <v>29.604929060389647</v>
      </c>
      <c r="G14" s="65">
        <f>IF(SER_hh_tesh_in!G14=0,0,SER_hh_tesh_in!G14/SER_summary!G$27)</f>
        <v>35.531535030246864</v>
      </c>
      <c r="H14" s="65">
        <f>IF(SER_hh_tesh_in!H14=0,0,SER_hh_tesh_in!H14/SER_summary!H$27)</f>
        <v>35.356322112187939</v>
      </c>
      <c r="I14" s="65">
        <f>IF(SER_hh_tesh_in!I14=0,0,SER_hh_tesh_in!I14/SER_summary!I$27)</f>
        <v>40.690871155654008</v>
      </c>
      <c r="J14" s="65">
        <f>IF(SER_hh_tesh_in!J14=0,0,SER_hh_tesh_in!J14/SER_summary!J$27)</f>
        <v>0</v>
      </c>
      <c r="K14" s="65">
        <f>IF(SER_hh_tesh_in!K14=0,0,SER_hh_tesh_in!K14/SER_summary!K$27)</f>
        <v>0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16.318549843217813</v>
      </c>
      <c r="P14" s="65">
        <f>IF(SER_hh_tesh_in!P14=0,0,SER_hh_tesh_in!P14/SER_summary!P$27)</f>
        <v>56.536890724853272</v>
      </c>
      <c r="Q14" s="65">
        <f>IF(SER_hh_tesh_in!Q14=0,0,SER_hh_tesh_in!Q14/SER_summary!Q$27)</f>
        <v>65.001476311635713</v>
      </c>
      <c r="R14" s="65">
        <f>IF(SER_hh_tesh_in!R14=0,0,SER_hh_tesh_in!R14/SER_summary!R$27)</f>
        <v>0</v>
      </c>
      <c r="S14" s="65">
        <f>IF(SER_hh_tesh_in!S14=0,0,SER_hh_tesh_in!S14/SER_summary!S$27)</f>
        <v>29.142446407853619</v>
      </c>
      <c r="T14" s="65">
        <f>IF(SER_hh_tesh_in!T14=0,0,SER_hh_tesh_in!T14/SER_summary!T$27)</f>
        <v>55.516636033131604</v>
      </c>
      <c r="U14" s="65">
        <f>IF(SER_hh_tesh_in!U14=0,0,SER_hh_tesh_in!U14/SER_summary!U$27)</f>
        <v>58.921515902791057</v>
      </c>
      <c r="V14" s="65">
        <f>IF(SER_hh_tesh_in!V14=0,0,SER_hh_tesh_in!V14/SER_summary!V$27)</f>
        <v>32.035555488011966</v>
      </c>
      <c r="W14" s="65">
        <f>IF(SER_hh_tesh_in!W14=0,0,SER_hh_tesh_in!W14/SER_summary!W$27)</f>
        <v>33.061883611836492</v>
      </c>
      <c r="X14" s="65">
        <f>IF(SER_hh_tesh_in!X14=0,0,SER_hh_tesh_in!X14/SER_summary!X$27)</f>
        <v>45.677987471044297</v>
      </c>
      <c r="Y14" s="65">
        <f>IF(SER_hh_tesh_in!Y14=0,0,SER_hh_tesh_in!Y14/SER_summary!Y$27)</f>
        <v>51.722596853019844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0.34767158171450085</v>
      </c>
      <c r="D15" s="134">
        <f>IF(SER_hh_tesh_in!D15=0,0,SER_hh_tesh_in!D15/SER_summary!D$27)</f>
        <v>0.37647429332699428</v>
      </c>
      <c r="E15" s="134">
        <f>IF(SER_hh_tesh_in!E15=0,0,SER_hh_tesh_in!E15/SER_summary!E$27)</f>
        <v>0.41150844042967177</v>
      </c>
      <c r="F15" s="134">
        <f>IF(SER_hh_tesh_in!F15=0,0,SER_hh_tesh_in!F15/SER_summary!F$27)</f>
        <v>0.54579816269513148</v>
      </c>
      <c r="G15" s="134">
        <f>IF(SER_hh_tesh_in!G15=0,0,SER_hh_tesh_in!G15/SER_summary!G$27)</f>
        <v>0.64448492426464432</v>
      </c>
      <c r="H15" s="134">
        <f>IF(SER_hh_tesh_in!H15=0,0,SER_hh_tesh_in!H15/SER_summary!H$27)</f>
        <v>0.61423169861683369</v>
      </c>
      <c r="I15" s="134">
        <f>IF(SER_hh_tesh_in!I15=0,0,SER_hh_tesh_in!I15/SER_summary!I$27)</f>
        <v>0.63596342724550103</v>
      </c>
      <c r="J15" s="134">
        <f>IF(SER_hh_tesh_in!J15=0,0,SER_hh_tesh_in!J15/SER_summary!J$27)</f>
        <v>0.60138385947632089</v>
      </c>
      <c r="K15" s="134">
        <f>IF(SER_hh_tesh_in!K15=0,0,SER_hh_tesh_in!K15/SER_summary!K$27)</f>
        <v>0.6113091276790954</v>
      </c>
      <c r="L15" s="134">
        <f>IF(SER_hh_tesh_in!L15=0,0,SER_hh_tesh_in!L15/SER_summary!L$27)</f>
        <v>0.45602693210690565</v>
      </c>
      <c r="M15" s="134">
        <f>IF(SER_hh_tesh_in!M15=0,0,SER_hh_tesh_in!M15/SER_summary!M$27)</f>
        <v>0.50067000925723426</v>
      </c>
      <c r="N15" s="134">
        <f>IF(SER_hh_tesh_in!N15=0,0,SER_hh_tesh_in!N15/SER_summary!N$27)</f>
        <v>0.41206149159575528</v>
      </c>
      <c r="O15" s="134">
        <f>IF(SER_hh_tesh_in!O15=0,0,SER_hh_tesh_in!O15/SER_summary!O$27)</f>
        <v>0.58405153270333265</v>
      </c>
      <c r="P15" s="134">
        <f>IF(SER_hh_tesh_in!P15=0,0,SER_hh_tesh_in!P15/SER_summary!P$27)</f>
        <v>0.18900248462132532</v>
      </c>
      <c r="Q15" s="134">
        <f>IF(SER_hh_tesh_in!Q15=0,0,SER_hh_tesh_in!Q15/SER_summary!Q$27)</f>
        <v>0.69284912524298392</v>
      </c>
      <c r="R15" s="134">
        <f>IF(SER_hh_tesh_in!R15=0,0,SER_hh_tesh_in!R15/SER_summary!R$27)</f>
        <v>0.67141010080753294</v>
      </c>
      <c r="S15" s="134">
        <f>IF(SER_hh_tesh_in!S15=0,0,SER_hh_tesh_in!S15/SER_summary!S$27)</f>
        <v>0.62257805394442223</v>
      </c>
      <c r="T15" s="134">
        <f>IF(SER_hh_tesh_in!T15=0,0,SER_hh_tesh_in!T15/SER_summary!T$27)</f>
        <v>0.63926712783196959</v>
      </c>
      <c r="U15" s="134">
        <f>IF(SER_hh_tesh_in!U15=0,0,SER_hh_tesh_in!U15/SER_summary!U$27)</f>
        <v>0.63395222176602073</v>
      </c>
      <c r="V15" s="134">
        <f>IF(SER_hh_tesh_in!V15=0,0,SER_hh_tesh_in!V15/SER_summary!V$27)</f>
        <v>0.4448968393725079</v>
      </c>
      <c r="W15" s="134">
        <f>IF(SER_hh_tesh_in!W15=0,0,SER_hh_tesh_in!W15/SER_summary!W$27)</f>
        <v>0.61422884472600969</v>
      </c>
      <c r="X15" s="134">
        <f>IF(SER_hh_tesh_in!X15=0,0,SER_hh_tesh_in!X15/SER_summary!X$27)</f>
        <v>0.62972771761863322</v>
      </c>
      <c r="Y15" s="134">
        <f>IF(SER_hh_tesh_in!Y15=0,0,SER_hh_tesh_in!Y15/SER_summary!Y$27)</f>
        <v>0.62930938767155686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25.448481326923542</v>
      </c>
      <c r="D16" s="130">
        <f>IF(SER_hh_tesh_in!D16=0,0,SER_hh_tesh_in!D16/SER_summary!D$27)</f>
        <v>22.67142360022272</v>
      </c>
      <c r="E16" s="130">
        <f>IF(SER_hh_tesh_in!E16=0,0,SER_hh_tesh_in!E16/SER_summary!E$27)</f>
        <v>32.091443122749901</v>
      </c>
      <c r="F16" s="130">
        <f>IF(SER_hh_tesh_in!F16=0,0,SER_hh_tesh_in!F16/SER_summary!F$27)</f>
        <v>26.634849354714689</v>
      </c>
      <c r="G16" s="130">
        <f>IF(SER_hh_tesh_in!G16=0,0,SER_hh_tesh_in!G16/SER_summary!G$27)</f>
        <v>29.23617376091816</v>
      </c>
      <c r="H16" s="130">
        <f>IF(SER_hh_tesh_in!H16=0,0,SER_hh_tesh_in!H16/SER_summary!H$27)</f>
        <v>35.207236324546287</v>
      </c>
      <c r="I16" s="130">
        <f>IF(SER_hh_tesh_in!I16=0,0,SER_hh_tesh_in!I16/SER_summary!I$27)</f>
        <v>22.772738623542107</v>
      </c>
      <c r="J16" s="130">
        <f>IF(SER_hh_tesh_in!J16=0,0,SER_hh_tesh_in!J16/SER_summary!J$27)</f>
        <v>22.067589970911541</v>
      </c>
      <c r="K16" s="130">
        <f>IF(SER_hh_tesh_in!K16=0,0,SER_hh_tesh_in!K16/SER_summary!K$27)</f>
        <v>26.701749245512104</v>
      </c>
      <c r="L16" s="130">
        <f>IF(SER_hh_tesh_in!L16=0,0,SER_hh_tesh_in!L16/SER_summary!L$27)</f>
        <v>36.398458867669341</v>
      </c>
      <c r="M16" s="130">
        <f>IF(SER_hh_tesh_in!M16=0,0,SER_hh_tesh_in!M16/SER_summary!M$27)</f>
        <v>23.743925425892147</v>
      </c>
      <c r="N16" s="130">
        <f>IF(SER_hh_tesh_in!N16=0,0,SER_hh_tesh_in!N16/SER_summary!N$27)</f>
        <v>24.73292405132738</v>
      </c>
      <c r="O16" s="130">
        <f>IF(SER_hh_tesh_in!O16=0,0,SER_hh_tesh_in!O16/SER_summary!O$27)</f>
        <v>31.742347498872288</v>
      </c>
      <c r="P16" s="130">
        <f>IF(SER_hh_tesh_in!P16=0,0,SER_hh_tesh_in!P16/SER_summary!P$27)</f>
        <v>21.164802733173971</v>
      </c>
      <c r="Q16" s="130">
        <f>IF(SER_hh_tesh_in!Q16=0,0,SER_hh_tesh_in!Q16/SER_summary!Q$27)</f>
        <v>24.587586612428208</v>
      </c>
      <c r="R16" s="130">
        <f>IF(SER_hh_tesh_in!R16=0,0,SER_hh_tesh_in!R16/SER_summary!R$27)</f>
        <v>36.392107958709985</v>
      </c>
      <c r="S16" s="130">
        <f>IF(SER_hh_tesh_in!S16=0,0,SER_hh_tesh_in!S16/SER_summary!S$27)</f>
        <v>34.194005238103529</v>
      </c>
      <c r="T16" s="130">
        <f>IF(SER_hh_tesh_in!T16=0,0,SER_hh_tesh_in!T16/SER_summary!T$27)</f>
        <v>28.935931948525035</v>
      </c>
      <c r="U16" s="130">
        <f>IF(SER_hh_tesh_in!U16=0,0,SER_hh_tesh_in!U16/SER_summary!U$27)</f>
        <v>22.434178095871619</v>
      </c>
      <c r="V16" s="130">
        <f>IF(SER_hh_tesh_in!V16=0,0,SER_hh_tesh_in!V16/SER_summary!V$27)</f>
        <v>31.654544267426846</v>
      </c>
      <c r="W16" s="130">
        <f>IF(SER_hh_tesh_in!W16=0,0,SER_hh_tesh_in!W16/SER_summary!W$27)</f>
        <v>19.146666148395571</v>
      </c>
      <c r="X16" s="130">
        <f>IF(SER_hh_tesh_in!X16=0,0,SER_hh_tesh_in!X16/SER_summary!X$27)</f>
        <v>35.383538498785022</v>
      </c>
      <c r="Y16" s="130">
        <f>IF(SER_hh_tesh_in!Y16=0,0,SER_hh_tesh_in!Y16/SER_summary!Y$27)</f>
        <v>29.116132226112182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25.447499115501763</v>
      </c>
      <c r="D17" s="132">
        <f>IF(SER_hh_tesh_in!D17=0,0,SER_hh_tesh_in!D17/SER_summary!D$27)</f>
        <v>22.663065253119321</v>
      </c>
      <c r="E17" s="132">
        <f>IF(SER_hh_tesh_in!E17=0,0,SER_hh_tesh_in!E17/SER_summary!E$27)</f>
        <v>32.0702988457329</v>
      </c>
      <c r="F17" s="132">
        <f>IF(SER_hh_tesh_in!F17=0,0,SER_hh_tesh_in!F17/SER_summary!F$27)</f>
        <v>26.672493436698517</v>
      </c>
      <c r="G17" s="132">
        <f>IF(SER_hh_tesh_in!G17=0,0,SER_hh_tesh_in!G17/SER_summary!G$27)</f>
        <v>29.281765155215258</v>
      </c>
      <c r="H17" s="132">
        <f>IF(SER_hh_tesh_in!H17=0,0,SER_hh_tesh_in!H17/SER_summary!H$27)</f>
        <v>35.273767875490314</v>
      </c>
      <c r="I17" s="132">
        <f>IF(SER_hh_tesh_in!I17=0,0,SER_hh_tesh_in!I17/SER_summary!I$27)</f>
        <v>22.8309226769079</v>
      </c>
      <c r="J17" s="132">
        <f>IF(SER_hh_tesh_in!J17=0,0,SER_hh_tesh_in!J17/SER_summary!J$27)</f>
        <v>22.107174914969306</v>
      </c>
      <c r="K17" s="132">
        <f>IF(SER_hh_tesh_in!K17=0,0,SER_hh_tesh_in!K17/SER_summary!K$27)</f>
        <v>26.747579903982881</v>
      </c>
      <c r="L17" s="132">
        <f>IF(SER_hh_tesh_in!L17=0,0,SER_hh_tesh_in!L17/SER_summary!L$27)</f>
        <v>36.442811319094716</v>
      </c>
      <c r="M17" s="132">
        <f>IF(SER_hh_tesh_in!M17=0,0,SER_hh_tesh_in!M17/SER_summary!M$27)</f>
        <v>23.764497887860188</v>
      </c>
      <c r="N17" s="132">
        <f>IF(SER_hh_tesh_in!N17=0,0,SER_hh_tesh_in!N17/SER_summary!N$27)</f>
        <v>24.742056246717574</v>
      </c>
      <c r="O17" s="132">
        <f>IF(SER_hh_tesh_in!O17=0,0,SER_hh_tesh_in!O17/SER_summary!O$27)</f>
        <v>31.778518722165433</v>
      </c>
      <c r="P17" s="132">
        <f>IF(SER_hh_tesh_in!P17=0,0,SER_hh_tesh_in!P17/SER_summary!P$27)</f>
        <v>21.209018254083041</v>
      </c>
      <c r="Q17" s="132">
        <f>IF(SER_hh_tesh_in!Q17=0,0,SER_hh_tesh_in!Q17/SER_summary!Q$27)</f>
        <v>24.663080892986482</v>
      </c>
      <c r="R17" s="132">
        <f>IF(SER_hh_tesh_in!R17=0,0,SER_hh_tesh_in!R17/SER_summary!R$27)</f>
        <v>36.534740303868446</v>
      </c>
      <c r="S17" s="132">
        <f>IF(SER_hh_tesh_in!S17=0,0,SER_hh_tesh_in!S17/SER_summary!S$27)</f>
        <v>34.324044682599222</v>
      </c>
      <c r="T17" s="132">
        <f>IF(SER_hh_tesh_in!T17=0,0,SER_hh_tesh_in!T17/SER_summary!T$27)</f>
        <v>28.787068329811675</v>
      </c>
      <c r="U17" s="132">
        <f>IF(SER_hh_tesh_in!U17=0,0,SER_hh_tesh_in!U17/SER_summary!U$27)</f>
        <v>22.521499162363206</v>
      </c>
      <c r="V17" s="132">
        <f>IF(SER_hh_tesh_in!V17=0,0,SER_hh_tesh_in!V17/SER_summary!V$27)</f>
        <v>30.511177398153482</v>
      </c>
      <c r="W17" s="132">
        <f>IF(SER_hh_tesh_in!W17=0,0,SER_hh_tesh_in!W17/SER_summary!W$27)</f>
        <v>19.389189955625262</v>
      </c>
      <c r="X17" s="132">
        <f>IF(SER_hh_tesh_in!X17=0,0,SER_hh_tesh_in!X17/SER_summary!X$27)</f>
        <v>35.748999743829501</v>
      </c>
      <c r="Y17" s="132">
        <f>IF(SER_hh_tesh_in!Y17=0,0,SER_hh_tesh_in!Y17/SER_summary!Y$27)</f>
        <v>29.359268015284265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25.448483433298037</v>
      </c>
      <c r="D18" s="132">
        <f>IF(SER_hh_tesh_in!D18=0,0,SER_hh_tesh_in!D18/SER_summary!D$27)</f>
        <v>22.671432370430978</v>
      </c>
      <c r="E18" s="132">
        <f>IF(SER_hh_tesh_in!E18=0,0,SER_hh_tesh_in!E18/SER_summary!E$27)</f>
        <v>32.091465187857594</v>
      </c>
      <c r="F18" s="132">
        <f>IF(SER_hh_tesh_in!F18=0,0,SER_hh_tesh_in!F18/SER_summary!F$27)</f>
        <v>26.634667570401749</v>
      </c>
      <c r="G18" s="132">
        <f>IF(SER_hh_tesh_in!G18=0,0,SER_hh_tesh_in!G18/SER_summary!G$27)</f>
        <v>29.236061182171095</v>
      </c>
      <c r="H18" s="132">
        <f>IF(SER_hh_tesh_in!H18=0,0,SER_hh_tesh_in!H18/SER_summary!H$27)</f>
        <v>35.207046681889707</v>
      </c>
      <c r="I18" s="132">
        <f>IF(SER_hh_tesh_in!I18=0,0,SER_hh_tesh_in!I18/SER_summary!I$27)</f>
        <v>22.772419588925171</v>
      </c>
      <c r="J18" s="132">
        <f>IF(SER_hh_tesh_in!J18=0,0,SER_hh_tesh_in!J18/SER_summary!J$27)</f>
        <v>22.067397422951821</v>
      </c>
      <c r="K18" s="132">
        <f>IF(SER_hh_tesh_in!K18=0,0,SER_hh_tesh_in!K18/SER_summary!K$27)</f>
        <v>26.701328606249582</v>
      </c>
      <c r="L18" s="132">
        <f>IF(SER_hh_tesh_in!L18=0,0,SER_hh_tesh_in!L18/SER_summary!L$27)</f>
        <v>36.398296713687813</v>
      </c>
      <c r="M18" s="132">
        <f>IF(SER_hh_tesh_in!M18=0,0,SER_hh_tesh_in!M18/SER_summary!M$27)</f>
        <v>23.743769880551095</v>
      </c>
      <c r="N18" s="132">
        <f>IF(SER_hh_tesh_in!N18=0,0,SER_hh_tesh_in!N18/SER_summary!N$27)</f>
        <v>24.732875565340539</v>
      </c>
      <c r="O18" s="132">
        <f>IF(SER_hh_tesh_in!O18=0,0,SER_hh_tesh_in!O18/SER_summary!O$27)</f>
        <v>31.742003994917056</v>
      </c>
      <c r="P18" s="132">
        <f>IF(SER_hh_tesh_in!P18=0,0,SER_hh_tesh_in!P18/SER_summary!P$27)</f>
        <v>21.164369833765207</v>
      </c>
      <c r="Q18" s="132">
        <f>IF(SER_hh_tesh_in!Q18=0,0,SER_hh_tesh_in!Q18/SER_summary!Q$27)</f>
        <v>24.586614674751075</v>
      </c>
      <c r="R18" s="132">
        <f>IF(SER_hh_tesh_in!R18=0,0,SER_hh_tesh_in!R18/SER_summary!R$27)</f>
        <v>36.389722312544087</v>
      </c>
      <c r="S18" s="132">
        <f>IF(SER_hh_tesh_in!S18=0,0,SER_hh_tesh_in!S18/SER_summary!S$27)</f>
        <v>34.192180659393472</v>
      </c>
      <c r="T18" s="132">
        <f>IF(SER_hh_tesh_in!T18=0,0,SER_hh_tesh_in!T18/SER_summary!T$27)</f>
        <v>28.938266759179662</v>
      </c>
      <c r="U18" s="132">
        <f>IF(SER_hh_tesh_in!U18=0,0,SER_hh_tesh_in!U18/SER_summary!U$27)</f>
        <v>22.432479730248119</v>
      </c>
      <c r="V18" s="132">
        <f>IF(SER_hh_tesh_in!V18=0,0,SER_hh_tesh_in!V18/SER_summary!V$27)</f>
        <v>31.668648427881319</v>
      </c>
      <c r="W18" s="132">
        <f>IF(SER_hh_tesh_in!W18=0,0,SER_hh_tesh_in!W18/SER_summary!W$27)</f>
        <v>19.144063917908593</v>
      </c>
      <c r="X18" s="132">
        <f>IF(SER_hh_tesh_in!X18=0,0,SER_hh_tesh_in!X18/SER_summary!X$27)</f>
        <v>35.378344908128902</v>
      </c>
      <c r="Y18" s="132">
        <f>IF(SER_hh_tesh_in!Y18=0,0,SER_hh_tesh_in!Y18/SER_summary!Y$27)</f>
        <v>29.112357880909062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9.3348200417371832</v>
      </c>
      <c r="D19" s="130">
        <f>IF(SER_hh_tesh_in!D19=0,0,SER_hh_tesh_in!D19/SER_summary!D$27)</f>
        <v>9.6135744861469998</v>
      </c>
      <c r="E19" s="130">
        <f>IF(SER_hh_tesh_in!E19=0,0,SER_hh_tesh_in!E19/SER_summary!E$27)</f>
        <v>9.4976578294749796</v>
      </c>
      <c r="F19" s="130">
        <f>IF(SER_hh_tesh_in!F19=0,0,SER_hh_tesh_in!F19/SER_summary!F$27)</f>
        <v>9.5886650837748526</v>
      </c>
      <c r="G19" s="130">
        <f>IF(SER_hh_tesh_in!G19=0,0,SER_hh_tesh_in!G19/SER_summary!G$27)</f>
        <v>9.655515222431287</v>
      </c>
      <c r="H19" s="130">
        <f>IF(SER_hh_tesh_in!H19=0,0,SER_hh_tesh_in!H19/SER_summary!H$27)</f>
        <v>9.5152121383881507</v>
      </c>
      <c r="I19" s="130">
        <f>IF(SER_hh_tesh_in!I19=0,0,SER_hh_tesh_in!I19/SER_summary!I$27)</f>
        <v>9.6481133601972342</v>
      </c>
      <c r="J19" s="130">
        <f>IF(SER_hh_tesh_in!J19=0,0,SER_hh_tesh_in!J19/SER_summary!J$27)</f>
        <v>9.7169736589096161</v>
      </c>
      <c r="K19" s="130">
        <f>IF(SER_hh_tesh_in!K19=0,0,SER_hh_tesh_in!K19/SER_summary!K$27)</f>
        <v>9.8537751614796605</v>
      </c>
      <c r="L19" s="130">
        <f>IF(SER_hh_tesh_in!L19=0,0,SER_hh_tesh_in!L19/SER_summary!L$27)</f>
        <v>9.9545413401365437</v>
      </c>
      <c r="M19" s="130">
        <f>IF(SER_hh_tesh_in!M19=0,0,SER_hh_tesh_in!M19/SER_summary!M$27)</f>
        <v>10.29509046018739</v>
      </c>
      <c r="N19" s="130">
        <f>IF(SER_hh_tesh_in!N19=0,0,SER_hh_tesh_in!N19/SER_summary!N$27)</f>
        <v>10.401886699695662</v>
      </c>
      <c r="O19" s="130">
        <f>IF(SER_hh_tesh_in!O19=0,0,SER_hh_tesh_in!O19/SER_summary!O$27)</f>
        <v>10.669635798135745</v>
      </c>
      <c r="P19" s="130">
        <f>IF(SER_hh_tesh_in!P19=0,0,SER_hh_tesh_in!P19/SER_summary!P$27)</f>
        <v>10.617676097201221</v>
      </c>
      <c r="Q19" s="130">
        <f>IF(SER_hh_tesh_in!Q19=0,0,SER_hh_tesh_in!Q19/SER_summary!Q$27)</f>
        <v>10.622687334261661</v>
      </c>
      <c r="R19" s="130">
        <f>IF(SER_hh_tesh_in!R19=0,0,SER_hh_tesh_in!R19/SER_summary!R$27)</f>
        <v>10.616901845569242</v>
      </c>
      <c r="S19" s="130">
        <f>IF(SER_hh_tesh_in!S19=0,0,SER_hh_tesh_in!S19/SER_summary!S$27)</f>
        <v>10.584031631279073</v>
      </c>
      <c r="T19" s="130">
        <f>IF(SER_hh_tesh_in!T19=0,0,SER_hh_tesh_in!T19/SER_summary!T$27)</f>
        <v>10.687874026039506</v>
      </c>
      <c r="U19" s="130">
        <f>IF(SER_hh_tesh_in!U19=0,0,SER_hh_tesh_in!U19/SER_summary!U$27)</f>
        <v>10.66124428227773</v>
      </c>
      <c r="V19" s="130">
        <f>IF(SER_hh_tesh_in!V19=0,0,SER_hh_tesh_in!V19/SER_summary!V$27)</f>
        <v>9.6626805854020965</v>
      </c>
      <c r="W19" s="130">
        <f>IF(SER_hh_tesh_in!W19=0,0,SER_hh_tesh_in!W19/SER_summary!W$27)</f>
        <v>10.240596893353207</v>
      </c>
      <c r="X19" s="130">
        <f>IF(SER_hh_tesh_in!X19=0,0,SER_hh_tesh_in!X19/SER_summary!X$27)</f>
        <v>10.226539426396315</v>
      </c>
      <c r="Y19" s="130">
        <f>IF(SER_hh_tesh_in!Y19=0,0,SER_hh_tesh_in!Y19/SER_summary!Y$27)</f>
        <v>10.416421241086976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9.2500168176908169</v>
      </c>
      <c r="D21" s="132">
        <f>IF(SER_hh_tesh_in!D21=0,0,SER_hh_tesh_in!D21/SER_summary!D$27)</f>
        <v>9.3374783737927896</v>
      </c>
      <c r="E21" s="132">
        <f>IF(SER_hh_tesh_in!E21=0,0,SER_hh_tesh_in!E21/SER_summary!E$27)</f>
        <v>9.389818011809238</v>
      </c>
      <c r="F21" s="132">
        <f>IF(SER_hh_tesh_in!F21=0,0,SER_hh_tesh_in!F21/SER_summary!F$27)</f>
        <v>9.4086035431580815</v>
      </c>
      <c r="G21" s="132">
        <f>IF(SER_hh_tesh_in!G21=0,0,SER_hh_tesh_in!G21/SER_summary!G$27)</f>
        <v>8.7909351292450886</v>
      </c>
      <c r="H21" s="132">
        <f>IF(SER_hh_tesh_in!H21=0,0,SER_hh_tesh_in!H21/SER_summary!H$27)</f>
        <v>9.0858242747636471</v>
      </c>
      <c r="I21" s="132">
        <f>IF(SER_hh_tesh_in!I21=0,0,SER_hh_tesh_in!I21/SER_summary!I$27)</f>
        <v>9.0156501001010305</v>
      </c>
      <c r="J21" s="132">
        <f>IF(SER_hh_tesh_in!J21=0,0,SER_hh_tesh_in!J21/SER_summary!J$27)</f>
        <v>7.3575444663416691</v>
      </c>
      <c r="K21" s="132">
        <f>IF(SER_hh_tesh_in!K21=0,0,SER_hh_tesh_in!K21/SER_summary!K$27)</f>
        <v>8.8266205145447607</v>
      </c>
      <c r="L21" s="132">
        <f>IF(SER_hh_tesh_in!L21=0,0,SER_hh_tesh_in!L21/SER_summary!L$27)</f>
        <v>7.6082436442011652</v>
      </c>
      <c r="M21" s="132">
        <f>IF(SER_hh_tesh_in!M21=0,0,SER_hh_tesh_in!M21/SER_summary!M$27)</f>
        <v>9.0402187416006594</v>
      </c>
      <c r="N21" s="132">
        <f>IF(SER_hh_tesh_in!N21=0,0,SER_hh_tesh_in!N21/SER_summary!N$27)</f>
        <v>9.1843102998339567</v>
      </c>
      <c r="O21" s="132">
        <f>IF(SER_hh_tesh_in!O21=0,0,SER_hh_tesh_in!O21/SER_summary!O$27)</f>
        <v>9.8742370667256321</v>
      </c>
      <c r="P21" s="132">
        <f>IF(SER_hh_tesh_in!P21=0,0,SER_hh_tesh_in!P21/SER_summary!P$27)</f>
        <v>9.594687949671453</v>
      </c>
      <c r="Q21" s="132">
        <f>IF(SER_hh_tesh_in!Q21=0,0,SER_hh_tesh_in!Q21/SER_summary!Q$27)</f>
        <v>9.9159245610780609</v>
      </c>
      <c r="R21" s="132">
        <f>IF(SER_hh_tesh_in!R21=0,0,SER_hh_tesh_in!R21/SER_summary!R$27)</f>
        <v>9.7725250823781344</v>
      </c>
      <c r="S21" s="132">
        <f>IF(SER_hh_tesh_in!S21=0,0,SER_hh_tesh_in!S21/SER_summary!S$27)</f>
        <v>9.6641960003886282</v>
      </c>
      <c r="T21" s="132">
        <f>IF(SER_hh_tesh_in!T21=0,0,SER_hh_tesh_in!T21/SER_summary!T$27)</f>
        <v>9.734338650263016</v>
      </c>
      <c r="U21" s="132">
        <f>IF(SER_hh_tesh_in!U21=0,0,SER_hh_tesh_in!U21/SER_summary!U$27)</f>
        <v>9.3617523571619063</v>
      </c>
      <c r="V21" s="132">
        <f>IF(SER_hh_tesh_in!V21=0,0,SER_hh_tesh_in!V21/SER_summary!V$27)</f>
        <v>7.0924650233271889</v>
      </c>
      <c r="W21" s="132">
        <f>IF(SER_hh_tesh_in!W21=0,0,SER_hh_tesh_in!W21/SER_summary!W$27)</f>
        <v>9.2439686151307328</v>
      </c>
      <c r="X21" s="132">
        <f>IF(SER_hh_tesh_in!X21=0,0,SER_hh_tesh_in!X21/SER_summary!X$27)</f>
        <v>7.7531250338526876</v>
      </c>
      <c r="Y21" s="132">
        <f>IF(SER_hh_tesh_in!Y21=0,0,SER_hh_tesh_in!Y21/SER_summary!Y$27)</f>
        <v>9.7788253092822064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9.3825595755034161</v>
      </c>
      <c r="D22" s="132">
        <f>IF(SER_hh_tesh_in!D22=0,0,SER_hh_tesh_in!D22/SER_summary!D$27)</f>
        <v>9.3530738807386555</v>
      </c>
      <c r="E22" s="132">
        <f>IF(SER_hh_tesh_in!E22=0,0,SER_hh_tesh_in!E22/SER_summary!E$27)</f>
        <v>9.4537071443149614</v>
      </c>
      <c r="F22" s="132">
        <f>IF(SER_hh_tesh_in!F22=0,0,SER_hh_tesh_in!F22/SER_summary!F$27)</f>
        <v>9.4705685507075419</v>
      </c>
      <c r="G22" s="132">
        <f>IF(SER_hh_tesh_in!G22=0,0,SER_hh_tesh_in!G22/SER_summary!G$27)</f>
        <v>8.8171412237404621</v>
      </c>
      <c r="H22" s="132">
        <f>IF(SER_hh_tesh_in!H22=0,0,SER_hh_tesh_in!H22/SER_summary!H$27)</f>
        <v>9.1086159890865623</v>
      </c>
      <c r="I22" s="132">
        <f>IF(SER_hh_tesh_in!I22=0,0,SER_hh_tesh_in!I22/SER_summary!I$27)</f>
        <v>9.0028173614761915</v>
      </c>
      <c r="J22" s="132">
        <f>IF(SER_hh_tesh_in!J22=0,0,SER_hh_tesh_in!J22/SER_summary!J$27)</f>
        <v>7.1284581439384276</v>
      </c>
      <c r="K22" s="132">
        <f>IF(SER_hh_tesh_in!K22=0,0,SER_hh_tesh_in!K22/SER_summary!K$27)</f>
        <v>8.5546224817885026</v>
      </c>
      <c r="L22" s="132">
        <f>IF(SER_hh_tesh_in!L22=0,0,SER_hh_tesh_in!L22/SER_summary!L$27)</f>
        <v>7.6049351595510499</v>
      </c>
      <c r="M22" s="132">
        <f>IF(SER_hh_tesh_in!M22=0,0,SER_hh_tesh_in!M22/SER_summary!M$27)</f>
        <v>9.0863322742487682</v>
      </c>
      <c r="N22" s="132">
        <f>IF(SER_hh_tesh_in!N22=0,0,SER_hh_tesh_in!N22/SER_summary!N$27)</f>
        <v>9.2268504964287654</v>
      </c>
      <c r="O22" s="132">
        <f>IF(SER_hh_tesh_in!O22=0,0,SER_hh_tesh_in!O22/SER_summary!O$27)</f>
        <v>10.095939095363322</v>
      </c>
      <c r="P22" s="132">
        <f>IF(SER_hh_tesh_in!P22=0,0,SER_hh_tesh_in!P22/SER_summary!P$27)</f>
        <v>9.7368374677173417</v>
      </c>
      <c r="Q22" s="132">
        <f>IF(SER_hh_tesh_in!Q22=0,0,SER_hh_tesh_in!Q22/SER_summary!Q$27)</f>
        <v>9.9778977211155535</v>
      </c>
      <c r="R22" s="132">
        <f>IF(SER_hh_tesh_in!R22=0,0,SER_hh_tesh_in!R22/SER_summary!R$27)</f>
        <v>9.6672041723578257</v>
      </c>
      <c r="S22" s="132">
        <f>IF(SER_hh_tesh_in!S22=0,0,SER_hh_tesh_in!S22/SER_summary!S$27)</f>
        <v>9.6994125189848059</v>
      </c>
      <c r="T22" s="132">
        <f>IF(SER_hh_tesh_in!T22=0,0,SER_hh_tesh_in!T22/SER_summary!T$27)</f>
        <v>9.8886105448279764</v>
      </c>
      <c r="U22" s="132">
        <f>IF(SER_hh_tesh_in!U22=0,0,SER_hh_tesh_in!U22/SER_summary!U$27)</f>
        <v>9.3023022494297951</v>
      </c>
      <c r="V22" s="132">
        <f>IF(SER_hh_tesh_in!V22=0,0,SER_hh_tesh_in!V22/SER_summary!V$27)</f>
        <v>6.7844988803179866</v>
      </c>
      <c r="W22" s="132">
        <f>IF(SER_hh_tesh_in!W22=0,0,SER_hh_tesh_in!W22/SER_summary!W$27)</f>
        <v>9.7342969140906241</v>
      </c>
      <c r="X22" s="132">
        <f>IF(SER_hh_tesh_in!X22=0,0,SER_hh_tesh_in!X22/SER_summary!X$27)</f>
        <v>7.8180907306225196</v>
      </c>
      <c r="Y22" s="132">
        <f>IF(SER_hh_tesh_in!Y22=0,0,SER_hh_tesh_in!Y22/SER_summary!Y$27)</f>
        <v>10.017460651069644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9.1843024311782457</v>
      </c>
      <c r="D23" s="132">
        <f>IF(SER_hh_tesh_in!D23=0,0,SER_hh_tesh_in!D23/SER_summary!D$27)</f>
        <v>9.2668339644989715</v>
      </c>
      <c r="E23" s="132">
        <f>IF(SER_hh_tesh_in!E23=0,0,SER_hh_tesh_in!E23/SER_summary!E$27)</f>
        <v>9.0979511658944876</v>
      </c>
      <c r="F23" s="132">
        <f>IF(SER_hh_tesh_in!F23=0,0,SER_hh_tesh_in!F23/SER_summary!F$27)</f>
        <v>9.0932884110461956</v>
      </c>
      <c r="G23" s="132">
        <f>IF(SER_hh_tesh_in!G23=0,0,SER_hh_tesh_in!G23/SER_summary!G$27)</f>
        <v>8.8478061459331929</v>
      </c>
      <c r="H23" s="132">
        <f>IF(SER_hh_tesh_in!H23=0,0,SER_hh_tesh_in!H23/SER_summary!H$27)</f>
        <v>9.0470207888535814</v>
      </c>
      <c r="I23" s="132">
        <f>IF(SER_hh_tesh_in!I23=0,0,SER_hh_tesh_in!I23/SER_summary!I$27)</f>
        <v>9.1404597338278339</v>
      </c>
      <c r="J23" s="132">
        <f>IF(SER_hh_tesh_in!J23=0,0,SER_hh_tesh_in!J23/SER_summary!J$27)</f>
        <v>7.7360399865024405</v>
      </c>
      <c r="K23" s="132">
        <f>IF(SER_hh_tesh_in!K23=0,0,SER_hh_tesh_in!K23/SER_summary!K$27)</f>
        <v>8.7047143343600712</v>
      </c>
      <c r="L23" s="132">
        <f>IF(SER_hh_tesh_in!L23=0,0,SER_hh_tesh_in!L23/SER_summary!L$27)</f>
        <v>7.8716955587632222</v>
      </c>
      <c r="M23" s="132">
        <f>IF(SER_hh_tesh_in!M23=0,0,SER_hh_tesh_in!M23/SER_summary!M$27)</f>
        <v>9.1908107798340843</v>
      </c>
      <c r="N23" s="132">
        <f>IF(SER_hh_tesh_in!N23=0,0,SER_hh_tesh_in!N23/SER_summary!N$27)</f>
        <v>9.3351268685258795</v>
      </c>
      <c r="O23" s="132">
        <f>IF(SER_hh_tesh_in!O23=0,0,SER_hh_tesh_in!O23/SER_summary!O$27)</f>
        <v>10.057623221424704</v>
      </c>
      <c r="P23" s="132">
        <f>IF(SER_hh_tesh_in!P23=0,0,SER_hh_tesh_in!P23/SER_summary!P$27)</f>
        <v>9.5720179617361332</v>
      </c>
      <c r="Q23" s="132">
        <f>IF(SER_hh_tesh_in!Q23=0,0,SER_hh_tesh_in!Q23/SER_summary!Q$27)</f>
        <v>9.750724441055473</v>
      </c>
      <c r="R23" s="132">
        <f>IF(SER_hh_tesh_in!R23=0,0,SER_hh_tesh_in!R23/SER_summary!R$27)</f>
        <v>9.7663369418712769</v>
      </c>
      <c r="S23" s="132">
        <f>IF(SER_hh_tesh_in!S23=0,0,SER_hh_tesh_in!S23/SER_summary!S$27)</f>
        <v>9.8366707283385537</v>
      </c>
      <c r="T23" s="132">
        <f>IF(SER_hh_tesh_in!T23=0,0,SER_hh_tesh_in!T23/SER_summary!T$27)</f>
        <v>10.071218157035689</v>
      </c>
      <c r="U23" s="132">
        <f>IF(SER_hh_tesh_in!U23=0,0,SER_hh_tesh_in!U23/SER_summary!U$27)</f>
        <v>9.6912882058152583</v>
      </c>
      <c r="V23" s="132">
        <f>IF(SER_hh_tesh_in!V23=0,0,SER_hh_tesh_in!V23/SER_summary!V$27)</f>
        <v>6.2919871052359131</v>
      </c>
      <c r="W23" s="132">
        <f>IF(SER_hh_tesh_in!W23=0,0,SER_hh_tesh_in!W23/SER_summary!W$27)</f>
        <v>9.5690101236644889</v>
      </c>
      <c r="X23" s="132">
        <f>IF(SER_hh_tesh_in!X23=0,0,SER_hh_tesh_in!X23/SER_summary!X$27)</f>
        <v>7.5115530801719688</v>
      </c>
      <c r="Y23" s="132">
        <f>IF(SER_hh_tesh_in!Y23=0,0,SER_hh_tesh_in!Y23/SER_summary!Y$27)</f>
        <v>10.098045053348985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9.2484556708277239</v>
      </c>
      <c r="D25" s="132">
        <f>IF(SER_hh_tesh_in!D25=0,0,SER_hh_tesh_in!D25/SER_summary!D$27)</f>
        <v>9.6231772675653673</v>
      </c>
      <c r="E25" s="132">
        <f>IF(SER_hh_tesh_in!E25=0,0,SER_hh_tesh_in!E25/SER_summary!E$27)</f>
        <v>9.7731080157787424</v>
      </c>
      <c r="F25" s="132">
        <f>IF(SER_hh_tesh_in!F25=0,0,SER_hh_tesh_in!F25/SER_summary!F$27)</f>
        <v>10.012983750851863</v>
      </c>
      <c r="G25" s="132">
        <f>IF(SER_hh_tesh_in!G25=0,0,SER_hh_tesh_in!G25/SER_summary!G$27)</f>
        <v>0</v>
      </c>
      <c r="H25" s="132">
        <f>IF(SER_hh_tesh_in!H25=0,0,SER_hh_tesh_in!H25/SER_summary!H$27)</f>
        <v>0</v>
      </c>
      <c r="I25" s="132">
        <f>IF(SER_hh_tesh_in!I25=0,0,SER_hh_tesh_in!I25/SER_summary!I$27)</f>
        <v>2.0321124306902747</v>
      </c>
      <c r="J25" s="132">
        <f>IF(SER_hh_tesh_in!J25=0,0,SER_hh_tesh_in!J25/SER_summary!J$27)</f>
        <v>0</v>
      </c>
      <c r="K25" s="132">
        <f>IF(SER_hh_tesh_in!K25=0,0,SER_hh_tesh_in!K25/SER_summary!K$27)</f>
        <v>0</v>
      </c>
      <c r="L25" s="132">
        <f>IF(SER_hh_tesh_in!L25=0,0,SER_hh_tesh_in!L25/SER_summary!L$27)</f>
        <v>2.0015060613126279</v>
      </c>
      <c r="M25" s="132">
        <f>IF(SER_hh_tesh_in!M25=0,0,SER_hh_tesh_in!M25/SER_summary!M$27)</f>
        <v>7.7942440236485497</v>
      </c>
      <c r="N25" s="132">
        <f>IF(SER_hh_tesh_in!N25=0,0,SER_hh_tesh_in!N25/SER_summary!N$27)</f>
        <v>9.242586938003166</v>
      </c>
      <c r="O25" s="132">
        <f>IF(SER_hh_tesh_in!O25=0,0,SER_hh_tesh_in!O25/SER_summary!O$27)</f>
        <v>10.655849278388889</v>
      </c>
      <c r="P25" s="132">
        <f>IF(SER_hh_tesh_in!P25=0,0,SER_hh_tesh_in!P25/SER_summary!P$27)</f>
        <v>9.8404038490281316</v>
      </c>
      <c r="Q25" s="132">
        <f>IF(SER_hh_tesh_in!Q25=0,0,SER_hh_tesh_in!Q25/SER_summary!Q$27)</f>
        <v>10.301779540964752</v>
      </c>
      <c r="R25" s="132">
        <f>IF(SER_hh_tesh_in!R25=0,0,SER_hh_tesh_in!R25/SER_summary!R$27)</f>
        <v>9.6926097672253526</v>
      </c>
      <c r="S25" s="132">
        <f>IF(SER_hh_tesh_in!S25=0,0,SER_hh_tesh_in!S25/SER_summary!S$27)</f>
        <v>10.27919516981223</v>
      </c>
      <c r="T25" s="132">
        <f>IF(SER_hh_tesh_in!T25=0,0,SER_hh_tesh_in!T25/SER_summary!T$27)</f>
        <v>0</v>
      </c>
      <c r="U25" s="132">
        <f>IF(SER_hh_tesh_in!U25=0,0,SER_hh_tesh_in!U25/SER_summary!U$27)</f>
        <v>0</v>
      </c>
      <c r="V25" s="132">
        <f>IF(SER_hh_tesh_in!V25=0,0,SER_hh_tesh_in!V25/SER_summary!V$27)</f>
        <v>0</v>
      </c>
      <c r="W25" s="132">
        <f>IF(SER_hh_tesh_in!W25=0,0,SER_hh_tesh_in!W25/SER_summary!W$27)</f>
        <v>0</v>
      </c>
      <c r="X25" s="132">
        <f>IF(SER_hh_tesh_in!X25=0,0,SER_hh_tesh_in!X25/SER_summary!X$27)</f>
        <v>0</v>
      </c>
      <c r="Y25" s="132">
        <f>IF(SER_hh_tesh_in!Y25=0,0,SER_hh_tesh_in!Y25/SER_summary!Y$27)</f>
        <v>0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7.2457773311503164</v>
      </c>
      <c r="D26" s="65">
        <f>IF(SER_hh_tesh_in!D26=0,0,SER_hh_tesh_in!D26/SER_summary!D$27)</f>
        <v>6.1578461037624654</v>
      </c>
      <c r="E26" s="65">
        <f>IF(SER_hh_tesh_in!E26=0,0,SER_hh_tesh_in!E26/SER_summary!E$27)</f>
        <v>6.7593381746957872</v>
      </c>
      <c r="F26" s="65">
        <f>IF(SER_hh_tesh_in!F26=0,0,SER_hh_tesh_in!F26/SER_summary!F$27)</f>
        <v>6.2245217248487839</v>
      </c>
      <c r="G26" s="65">
        <f>IF(SER_hh_tesh_in!G26=0,0,SER_hh_tesh_in!G26/SER_summary!G$27)</f>
        <v>3.111709859594475</v>
      </c>
      <c r="H26" s="65">
        <f>IF(SER_hh_tesh_in!H26=0,0,SER_hh_tesh_in!H26/SER_summary!H$27)</f>
        <v>6.567661338035065</v>
      </c>
      <c r="I26" s="65">
        <f>IF(SER_hh_tesh_in!I26=0,0,SER_hh_tesh_in!I26/SER_summary!I$27)</f>
        <v>4.2253738538956469</v>
      </c>
      <c r="J26" s="65">
        <f>IF(SER_hh_tesh_in!J26=0,0,SER_hh_tesh_in!J26/SER_summary!J$27)</f>
        <v>1.6255009013665878</v>
      </c>
      <c r="K26" s="65">
        <f>IF(SER_hh_tesh_in!K26=0,0,SER_hh_tesh_in!K26/SER_summary!K$27)</f>
        <v>1.7235251922084358</v>
      </c>
      <c r="L26" s="65">
        <f>IF(SER_hh_tesh_in!L26=0,0,SER_hh_tesh_in!L26/SER_summary!L$27)</f>
        <v>0.89046519124692214</v>
      </c>
      <c r="M26" s="65">
        <f>IF(SER_hh_tesh_in!M26=0,0,SER_hh_tesh_in!M26/SER_summary!M$27)</f>
        <v>0.18415245504253389</v>
      </c>
      <c r="N26" s="65">
        <f>IF(SER_hh_tesh_in!N26=0,0,SER_hh_tesh_in!N26/SER_summary!N$27)</f>
        <v>9.7609903450878027E-2</v>
      </c>
      <c r="O26" s="65">
        <f>IF(SER_hh_tesh_in!O26=0,0,SER_hh_tesh_in!O26/SER_summary!O$27)</f>
        <v>9.7007327511145727E-2</v>
      </c>
      <c r="P26" s="65">
        <f>IF(SER_hh_tesh_in!P26=0,0,SER_hh_tesh_in!P26/SER_summary!P$27)</f>
        <v>9.8782085824807742E-2</v>
      </c>
      <c r="Q26" s="65">
        <f>IF(SER_hh_tesh_in!Q26=0,0,SER_hh_tesh_in!Q26/SER_summary!Q$27)</f>
        <v>9.9533415580090975E-2</v>
      </c>
      <c r="R26" s="65">
        <f>IF(SER_hh_tesh_in!R26=0,0,SER_hh_tesh_in!R26/SER_summary!R$27)</f>
        <v>0.10034191601107544</v>
      </c>
      <c r="S26" s="65">
        <f>IF(SER_hh_tesh_in!S26=0,0,SER_hh_tesh_in!S26/SER_summary!S$27)</f>
        <v>9.6543004244138433E-2</v>
      </c>
      <c r="T26" s="65">
        <f>IF(SER_hh_tesh_in!T26=0,0,SER_hh_tesh_in!T26/SER_summary!T$27)</f>
        <v>9.4237477457272886E-2</v>
      </c>
      <c r="U26" s="65">
        <f>IF(SER_hh_tesh_in!U26=0,0,SER_hh_tesh_in!U26/SER_summary!U$27)</f>
        <v>9.4577287728060302E-2</v>
      </c>
      <c r="V26" s="65">
        <f>IF(SER_hh_tesh_in!V26=0,0,SER_hh_tesh_in!V26/SER_summary!V$27)</f>
        <v>7.4465911744401786E-2</v>
      </c>
      <c r="W26" s="65">
        <f>IF(SER_hh_tesh_in!W26=0,0,SER_hh_tesh_in!W26/SER_summary!W$27)</f>
        <v>8.5413362008737961E-2</v>
      </c>
      <c r="X26" s="65">
        <f>IF(SER_hh_tesh_in!X26=0,0,SER_hh_tesh_in!X26/SER_summary!X$27)</f>
        <v>9.3146068995445308E-2</v>
      </c>
      <c r="Y26" s="65">
        <f>IF(SER_hh_tesh_in!Y26=0,0,SER_hh_tesh_in!Y26/SER_summary!Y$27)</f>
        <v>9.4563382526962184E-2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1.7174742625067116</v>
      </c>
      <c r="D27" s="145">
        <f>IF(SER_hh_tesh_in!D27=0,0,SER_hh_tesh_in!D27/SER_summary!D$27)</f>
        <v>2.8663288180701865</v>
      </c>
      <c r="E27" s="145">
        <f>IF(SER_hh_tesh_in!E27=0,0,SER_hh_tesh_in!E27/SER_summary!E$27)</f>
        <v>2.1091315874197125</v>
      </c>
      <c r="F27" s="145">
        <f>IF(SER_hh_tesh_in!F27=0,0,SER_hh_tesh_in!F27/SER_summary!F$27)</f>
        <v>2.5612811319144999</v>
      </c>
      <c r="G27" s="145">
        <f>IF(SER_hh_tesh_in!G27=0,0,SER_hh_tesh_in!G27/SER_summary!G$27)</f>
        <v>4.7660761086965344</v>
      </c>
      <c r="H27" s="145">
        <f>IF(SER_hh_tesh_in!H27=0,0,SER_hh_tesh_in!H27/SER_summary!H$27)</f>
        <v>2.1008607606625582</v>
      </c>
      <c r="I27" s="145">
        <f>IF(SER_hh_tesh_in!I27=0,0,SER_hh_tesh_in!I27/SER_summary!I$27)</f>
        <v>3.7395334895178527</v>
      </c>
      <c r="J27" s="145">
        <f>IF(SER_hh_tesh_in!J27=0,0,SER_hh_tesh_in!J27/SER_summary!J$27)</f>
        <v>5.9906897810722857</v>
      </c>
      <c r="K27" s="145">
        <f>IF(SER_hh_tesh_in!K27=0,0,SER_hh_tesh_in!K27/SER_summary!K$27)</f>
        <v>5.533041702266047</v>
      </c>
      <c r="L27" s="145">
        <f>IF(SER_hh_tesh_in!L27=0,0,SER_hh_tesh_in!L27/SER_summary!L$27)</f>
        <v>6.2529034218681021</v>
      </c>
      <c r="M27" s="145">
        <f>IF(SER_hh_tesh_in!M27=0,0,SER_hh_tesh_in!M27/SER_summary!M$27)</f>
        <v>6.183946533532608</v>
      </c>
      <c r="N27" s="145">
        <f>IF(SER_hh_tesh_in!N27=0,0,SER_hh_tesh_in!N27/SER_summary!N$27)</f>
        <v>5.8617404622367983</v>
      </c>
      <c r="O27" s="145">
        <f>IF(SER_hh_tesh_in!O27=0,0,SER_hh_tesh_in!O27/SER_summary!O$27)</f>
        <v>6.1014096431684539</v>
      </c>
      <c r="P27" s="145">
        <f>IF(SER_hh_tesh_in!P27=0,0,SER_hh_tesh_in!P27/SER_summary!P$27)</f>
        <v>7.01351447880901</v>
      </c>
      <c r="Q27" s="145">
        <f>IF(SER_hh_tesh_in!Q27=0,0,SER_hh_tesh_in!Q27/SER_summary!Q$27)</f>
        <v>6.6969089000176369</v>
      </c>
      <c r="R27" s="145">
        <f>IF(SER_hh_tesh_in!R27=0,0,SER_hh_tesh_in!R27/SER_summary!R$27)</f>
        <v>6.4033594465437043</v>
      </c>
      <c r="S27" s="145">
        <f>IF(SER_hh_tesh_in!S27=0,0,SER_hh_tesh_in!S27/SER_summary!S$27)</f>
        <v>6.1524856059917212</v>
      </c>
      <c r="T27" s="145">
        <f>IF(SER_hh_tesh_in!T27=0,0,SER_hh_tesh_in!T27/SER_summary!T$27)</f>
        <v>5.8262315612722384</v>
      </c>
      <c r="U27" s="145">
        <f>IF(SER_hh_tesh_in!U27=0,0,SER_hh_tesh_in!U27/SER_summary!U$27)</f>
        <v>6.0090466690793658</v>
      </c>
      <c r="V27" s="145">
        <f>IF(SER_hh_tesh_in!V27=0,0,SER_hh_tesh_in!V27/SER_summary!V$27)</f>
        <v>6.5125139281691524</v>
      </c>
      <c r="W27" s="145">
        <f>IF(SER_hh_tesh_in!W27=0,0,SER_hh_tesh_in!W27/SER_summary!W$27)</f>
        <v>6.1282106436817214</v>
      </c>
      <c r="X27" s="145">
        <f>IF(SER_hh_tesh_in!X27=0,0,SER_hh_tesh_in!X27/SER_summary!X$27)</f>
        <v>7.3000565258849166</v>
      </c>
      <c r="Y27" s="145">
        <f>IF(SER_hh_tesh_in!Y27=0,0,SER_hh_tesh_in!Y27/SER_summary!Y$27)</f>
        <v>6.7293864784234536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7.5734482290971403</v>
      </c>
      <c r="D28" s="146">
        <f>IF(SER_hh_tesh_in!D28=0,0,SER_hh_tesh_in!D28/SER_summary!D$27)</f>
        <v>7.628635784694219</v>
      </c>
      <c r="E28" s="146">
        <f>IF(SER_hh_tesh_in!E28=0,0,SER_hh_tesh_in!E28/SER_summary!E$27)</f>
        <v>8.0426953641043237</v>
      </c>
      <c r="F28" s="146">
        <f>IF(SER_hh_tesh_in!F28=0,0,SER_hh_tesh_in!F28/SER_summary!F$27)</f>
        <v>8.1125476934563547</v>
      </c>
      <c r="G28" s="146">
        <f>IF(SER_hh_tesh_in!G28=0,0,SER_hh_tesh_in!G28/SER_summary!G$27)</f>
        <v>7.6976719383457999</v>
      </c>
      <c r="H28" s="146">
        <f>IF(SER_hh_tesh_in!H28=0,0,SER_hh_tesh_in!H28/SER_summary!H$27)</f>
        <v>7.872998249213885</v>
      </c>
      <c r="I28" s="146">
        <f>IF(SER_hh_tesh_in!I28=0,0,SER_hh_tesh_in!I28/SER_summary!I$27)</f>
        <v>7.9329628760316009</v>
      </c>
      <c r="J28" s="146">
        <f>IF(SER_hh_tesh_in!J28=0,0,SER_hh_tesh_in!J28/SER_summary!J$27)</f>
        <v>7.9793668854984077</v>
      </c>
      <c r="K28" s="146">
        <f>IF(SER_hh_tesh_in!K28=0,0,SER_hh_tesh_in!K28/SER_summary!K$27)</f>
        <v>8.0338933876333609</v>
      </c>
      <c r="L28" s="146">
        <f>IF(SER_hh_tesh_in!L28=0,0,SER_hh_tesh_in!L28/SER_summary!L$27)</f>
        <v>8.508026778288734</v>
      </c>
      <c r="M28" s="146">
        <f>IF(SER_hh_tesh_in!M28=0,0,SER_hh_tesh_in!M28/SER_summary!M$27)</f>
        <v>9.439531336562812</v>
      </c>
      <c r="N28" s="146">
        <f>IF(SER_hh_tesh_in!N28=0,0,SER_hh_tesh_in!N28/SER_summary!N$27)</f>
        <v>9.3814534420829787</v>
      </c>
      <c r="O28" s="146">
        <f>IF(SER_hh_tesh_in!O28=0,0,SER_hh_tesh_in!O28/SER_summary!O$27)</f>
        <v>10.108354788587974</v>
      </c>
      <c r="P28" s="146">
        <f>IF(SER_hh_tesh_in!P28=0,0,SER_hh_tesh_in!P28/SER_summary!P$27)</f>
        <v>10.092746650114661</v>
      </c>
      <c r="Q28" s="146">
        <f>IF(SER_hh_tesh_in!Q28=0,0,SER_hh_tesh_in!Q28/SER_summary!Q$27)</f>
        <v>10.152741723279297</v>
      </c>
      <c r="R28" s="146">
        <f>IF(SER_hh_tesh_in!R28=0,0,SER_hh_tesh_in!R28/SER_summary!R$27)</f>
        <v>9.9834175482529464</v>
      </c>
      <c r="S28" s="146">
        <f>IF(SER_hh_tesh_in!S28=0,0,SER_hh_tesh_in!S28/SER_summary!S$27)</f>
        <v>9.8769826187743064</v>
      </c>
      <c r="T28" s="146">
        <f>IF(SER_hh_tesh_in!T28=0,0,SER_hh_tesh_in!T28/SER_summary!T$27)</f>
        <v>10.266315201421321</v>
      </c>
      <c r="U28" s="146">
        <f>IF(SER_hh_tesh_in!U28=0,0,SER_hh_tesh_in!U28/SER_summary!U$27)</f>
        <v>10.063009356005072</v>
      </c>
      <c r="V28" s="146">
        <f>IF(SER_hh_tesh_in!V28=0,0,SER_hh_tesh_in!V28/SER_summary!V$27)</f>
        <v>8.3861202428923018</v>
      </c>
      <c r="W28" s="146">
        <f>IF(SER_hh_tesh_in!W28=0,0,SER_hh_tesh_in!W28/SER_summary!W$27)</f>
        <v>9.9937693463866779</v>
      </c>
      <c r="X28" s="146">
        <f>IF(SER_hh_tesh_in!X28=0,0,SER_hh_tesh_in!X28/SER_summary!X$27)</f>
        <v>8.932954693201598</v>
      </c>
      <c r="Y28" s="146">
        <f>IF(SER_hh_tesh_in!Y28=0,0,SER_hh_tesh_in!Y28/SER_summary!Y$27)</f>
        <v>9.8882452673023167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8.8381885452582409</v>
      </c>
      <c r="D29" s="130">
        <f>IF(SER_hh_tesh_in!D29=0,0,SER_hh_tesh_in!D29/SER_summary!D$27)</f>
        <v>9.5241402939034394</v>
      </c>
      <c r="E29" s="130">
        <f>IF(SER_hh_tesh_in!E29=0,0,SER_hh_tesh_in!E29/SER_summary!E$27)</f>
        <v>9.4754195182179064</v>
      </c>
      <c r="F29" s="130">
        <f>IF(SER_hh_tesh_in!F29=0,0,SER_hh_tesh_in!F29/SER_summary!F$27)</f>
        <v>9.4732516630718706</v>
      </c>
      <c r="G29" s="130">
        <f>IF(SER_hh_tesh_in!G29=0,0,SER_hh_tesh_in!G29/SER_summary!G$27)</f>
        <v>10.651962699905708</v>
      </c>
      <c r="H29" s="130">
        <f>IF(SER_hh_tesh_in!H29=0,0,SER_hh_tesh_in!H29/SER_summary!H$27)</f>
        <v>10.001474665361238</v>
      </c>
      <c r="I29" s="130">
        <f>IF(SER_hh_tesh_in!I29=0,0,SER_hh_tesh_in!I29/SER_summary!I$27)</f>
        <v>9.9637086337414509</v>
      </c>
      <c r="J29" s="130">
        <f>IF(SER_hh_tesh_in!J29=0,0,SER_hh_tesh_in!J29/SER_summary!J$27)</f>
        <v>9.7467641442744455</v>
      </c>
      <c r="K29" s="130">
        <f>IF(SER_hh_tesh_in!K29=0,0,SER_hh_tesh_in!K29/SER_summary!K$27)</f>
        <v>9.2248632612635131</v>
      </c>
      <c r="L29" s="130">
        <f>IF(SER_hh_tesh_in!L29=0,0,SER_hh_tesh_in!L29/SER_summary!L$27)</f>
        <v>11.173701248423168</v>
      </c>
      <c r="M29" s="130">
        <f>IF(SER_hh_tesh_in!M29=0,0,SER_hh_tesh_in!M29/SER_summary!M$27)</f>
        <v>10.541673943671316</v>
      </c>
      <c r="N29" s="130">
        <f>IF(SER_hh_tesh_in!N29=0,0,SER_hh_tesh_in!N29/SER_summary!N$27)</f>
        <v>15.762013311147314</v>
      </c>
      <c r="O29" s="130">
        <f>IF(SER_hh_tesh_in!O29=0,0,SER_hh_tesh_in!O29/SER_summary!O$27)</f>
        <v>9.3514884570117474</v>
      </c>
      <c r="P29" s="130">
        <f>IF(SER_hh_tesh_in!P29=0,0,SER_hh_tesh_in!P29/SER_summary!P$27)</f>
        <v>10.934517686895562</v>
      </c>
      <c r="Q29" s="130">
        <f>IF(SER_hh_tesh_in!Q29=0,0,SER_hh_tesh_in!Q29/SER_summary!Q$27)</f>
        <v>10.667526158744085</v>
      </c>
      <c r="R29" s="130">
        <f>IF(SER_hh_tesh_in!R29=0,0,SER_hh_tesh_in!R29/SER_summary!R$27)</f>
        <v>10.467494900820242</v>
      </c>
      <c r="S29" s="130">
        <f>IF(SER_hh_tesh_in!S29=0,0,SER_hh_tesh_in!S29/SER_summary!S$27)</f>
        <v>10.71517848990676</v>
      </c>
      <c r="T29" s="130">
        <f>IF(SER_hh_tesh_in!T29=0,0,SER_hh_tesh_in!T29/SER_summary!T$27)</f>
        <v>10.819630421342939</v>
      </c>
      <c r="U29" s="130">
        <f>IF(SER_hh_tesh_in!U29=0,0,SER_hh_tesh_in!U29/SER_summary!U$27)</f>
        <v>10.287389971113351</v>
      </c>
      <c r="V29" s="130">
        <f>IF(SER_hh_tesh_in!V29=0,0,SER_hh_tesh_in!V29/SER_summary!V$27)</f>
        <v>10.748773360119822</v>
      </c>
      <c r="W29" s="130">
        <f>IF(SER_hh_tesh_in!W29=0,0,SER_hh_tesh_in!W29/SER_summary!W$27)</f>
        <v>11.071082640069294</v>
      </c>
      <c r="X29" s="130">
        <f>IF(SER_hh_tesh_in!X29=0,0,SER_hh_tesh_in!X29/SER_summary!X$27)</f>
        <v>11.092039574632523</v>
      </c>
      <c r="Y29" s="130">
        <f>IF(SER_hh_tesh_in!Y29=0,0,SER_hh_tesh_in!Y29/SER_summary!Y$27)</f>
        <v>11.323537752422876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6.9055061759984655</v>
      </c>
      <c r="D30" s="132">
        <f>IF(SER_hh_tesh_in!D30=0,0,SER_hh_tesh_in!D30/SER_summary!D$27)</f>
        <v>9.7359244013863844</v>
      </c>
      <c r="E30" s="132">
        <f>IF(SER_hh_tesh_in!E30=0,0,SER_hh_tesh_in!E30/SER_summary!E$27)</f>
        <v>9.1588886051730363</v>
      </c>
      <c r="F30" s="132">
        <f>IF(SER_hh_tesh_in!F30=0,0,SER_hh_tesh_in!F30/SER_summary!F$27)</f>
        <v>9.07182388705154</v>
      </c>
      <c r="G30" s="132">
        <f>IF(SER_hh_tesh_in!G30=0,0,SER_hh_tesh_in!G30/SER_summary!G$27)</f>
        <v>11.46486011558356</v>
      </c>
      <c r="H30" s="132">
        <f>IF(SER_hh_tesh_in!H30=0,0,SER_hh_tesh_in!H30/SER_summary!H$27)</f>
        <v>9.6530925311285767</v>
      </c>
      <c r="I30" s="132">
        <f>IF(SER_hh_tesh_in!I30=0,0,SER_hh_tesh_in!I30/SER_summary!I$27)</f>
        <v>9.7649177271968188</v>
      </c>
      <c r="J30" s="132">
        <f>IF(SER_hh_tesh_in!J30=0,0,SER_hh_tesh_in!J30/SER_summary!J$27)</f>
        <v>11.48093918870322</v>
      </c>
      <c r="K30" s="132">
        <f>IF(SER_hh_tesh_in!K30=0,0,SER_hh_tesh_in!K30/SER_summary!K$27)</f>
        <v>0</v>
      </c>
      <c r="L30" s="132">
        <f>IF(SER_hh_tesh_in!L30=0,0,SER_hh_tesh_in!L30/SER_summary!L$27)</f>
        <v>0</v>
      </c>
      <c r="M30" s="132">
        <f>IF(SER_hh_tesh_in!M30=0,0,SER_hh_tesh_in!M30/SER_summary!M$27)</f>
        <v>0</v>
      </c>
      <c r="N30" s="132">
        <f>IF(SER_hh_tesh_in!N30=0,0,SER_hh_tesh_in!N30/SER_summary!N$27)</f>
        <v>7.4903530324292316</v>
      </c>
      <c r="O30" s="132">
        <f>IF(SER_hh_tesh_in!O30=0,0,SER_hh_tesh_in!O30/SER_summary!O$27)</f>
        <v>7.506366390489803</v>
      </c>
      <c r="P30" s="132">
        <f>IF(SER_hh_tesh_in!P30=0,0,SER_hh_tesh_in!P30/SER_summary!P$27)</f>
        <v>11.469582719560057</v>
      </c>
      <c r="Q30" s="132">
        <f>IF(SER_hh_tesh_in!Q30=0,0,SER_hh_tesh_in!Q30/SER_summary!Q$27)</f>
        <v>11.257550258830481</v>
      </c>
      <c r="R30" s="132">
        <f>IF(SER_hh_tesh_in!R30=0,0,SER_hh_tesh_in!R30/SER_summary!R$27)</f>
        <v>9.9828333983145559</v>
      </c>
      <c r="S30" s="132">
        <f>IF(SER_hh_tesh_in!S30=0,0,SER_hh_tesh_in!S30/SER_summary!S$27)</f>
        <v>9.7025521473213292</v>
      </c>
      <c r="T30" s="132">
        <f>IF(SER_hh_tesh_in!T30=0,0,SER_hh_tesh_in!T30/SER_summary!T$27)</f>
        <v>12.396400512686048</v>
      </c>
      <c r="U30" s="132">
        <f>IF(SER_hh_tesh_in!U30=0,0,SER_hh_tesh_in!U30/SER_summary!U$27)</f>
        <v>12.347834807030983</v>
      </c>
      <c r="V30" s="132">
        <f>IF(SER_hh_tesh_in!V30=0,0,SER_hh_tesh_in!V30/SER_summary!V$27)</f>
        <v>0</v>
      </c>
      <c r="W30" s="132">
        <f>IF(SER_hh_tesh_in!W30=0,0,SER_hh_tesh_in!W30/SER_summary!W$27)</f>
        <v>0</v>
      </c>
      <c r="X30" s="132">
        <f>IF(SER_hh_tesh_in!X30=0,0,SER_hh_tesh_in!X30/SER_summary!X$27)</f>
        <v>11.930584346033532</v>
      </c>
      <c r="Y30" s="132">
        <f>IF(SER_hh_tesh_in!Y30=0,0,SER_hh_tesh_in!Y30/SER_summary!Y$27)</f>
        <v>11.319382590393916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8.7181319686943084</v>
      </c>
      <c r="D31" s="132">
        <f>IF(SER_hh_tesh_in!D31=0,0,SER_hh_tesh_in!D31/SER_summary!D$27)</f>
        <v>9.3651036405538886</v>
      </c>
      <c r="E31" s="132">
        <f>IF(SER_hh_tesh_in!E31=0,0,SER_hh_tesh_in!E31/SER_summary!E$27)</f>
        <v>9.2941332760531825</v>
      </c>
      <c r="F31" s="132">
        <f>IF(SER_hh_tesh_in!F31=0,0,SER_hh_tesh_in!F31/SER_summary!F$27)</f>
        <v>9.8555806394340078</v>
      </c>
      <c r="G31" s="132">
        <f>IF(SER_hh_tesh_in!G31=0,0,SER_hh_tesh_in!G31/SER_summary!G$27)</f>
        <v>10.027610484027315</v>
      </c>
      <c r="H31" s="132">
        <f>IF(SER_hh_tesh_in!H31=0,0,SER_hh_tesh_in!H31/SER_summary!H$27)</f>
        <v>10.055958403977616</v>
      </c>
      <c r="I31" s="132">
        <f>IF(SER_hh_tesh_in!I31=0,0,SER_hh_tesh_in!I31/SER_summary!I$27)</f>
        <v>9.9623887077092483</v>
      </c>
      <c r="J31" s="132">
        <f>IF(SER_hh_tesh_in!J31=0,0,SER_hh_tesh_in!J31/SER_summary!J$27)</f>
        <v>9.609138220047905</v>
      </c>
      <c r="K31" s="132">
        <f>IF(SER_hh_tesh_in!K31=0,0,SER_hh_tesh_in!K31/SER_summary!K$27)</f>
        <v>9.7105031333320948</v>
      </c>
      <c r="L31" s="132">
        <f>IF(SER_hh_tesh_in!L31=0,0,SER_hh_tesh_in!L31/SER_summary!L$27)</f>
        <v>10.813822022520112</v>
      </c>
      <c r="M31" s="132">
        <f>IF(SER_hh_tesh_in!M31=0,0,SER_hh_tesh_in!M31/SER_summary!M$27)</f>
        <v>10.104767195914292</v>
      </c>
      <c r="N31" s="132">
        <f>IF(SER_hh_tesh_in!N31=0,0,SER_hh_tesh_in!N31/SER_summary!N$27)</f>
        <v>9.4673721730027758</v>
      </c>
      <c r="O31" s="132">
        <f>IF(SER_hh_tesh_in!O31=0,0,SER_hh_tesh_in!O31/SER_summary!O$27)</f>
        <v>10.472571856845477</v>
      </c>
      <c r="P31" s="132">
        <f>IF(SER_hh_tesh_in!P31=0,0,SER_hh_tesh_in!P31/SER_summary!P$27)</f>
        <v>9.8688955588808174</v>
      </c>
      <c r="Q31" s="132">
        <f>IF(SER_hh_tesh_in!Q31=0,0,SER_hh_tesh_in!Q31/SER_summary!Q$27)</f>
        <v>10.446767339156953</v>
      </c>
      <c r="R31" s="132">
        <f>IF(SER_hh_tesh_in!R31=0,0,SER_hh_tesh_in!R31/SER_summary!R$27)</f>
        <v>10.627341489658221</v>
      </c>
      <c r="S31" s="132">
        <f>IF(SER_hh_tesh_in!S31=0,0,SER_hh_tesh_in!S31/SER_summary!S$27)</f>
        <v>10.656290899688146</v>
      </c>
      <c r="T31" s="132">
        <f>IF(SER_hh_tesh_in!T31=0,0,SER_hh_tesh_in!T31/SER_summary!T$27)</f>
        <v>10.784358434245563</v>
      </c>
      <c r="U31" s="132">
        <f>IF(SER_hh_tesh_in!U31=0,0,SER_hh_tesh_in!U31/SER_summary!U$27)</f>
        <v>11.233897885293931</v>
      </c>
      <c r="V31" s="132">
        <f>IF(SER_hh_tesh_in!V31=0,0,SER_hh_tesh_in!V31/SER_summary!V$27)</f>
        <v>10.752759240342515</v>
      </c>
      <c r="W31" s="132">
        <f>IF(SER_hh_tesh_in!W31=0,0,SER_hh_tesh_in!W31/SER_summary!W$27)</f>
        <v>10.650855974442562</v>
      </c>
      <c r="X31" s="132">
        <f>IF(SER_hh_tesh_in!X31=0,0,SER_hh_tesh_in!X31/SER_summary!X$27)</f>
        <v>10.651457424405013</v>
      </c>
      <c r="Y31" s="132">
        <f>IF(SER_hh_tesh_in!Y31=0,0,SER_hh_tesh_in!Y31/SER_summary!Y$27)</f>
        <v>11.363777709654117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17.50936566399572</v>
      </c>
      <c r="O32" s="132">
        <f>IF(SER_hh_tesh_in!O32=0,0,SER_hh_tesh_in!O32/SER_summary!O$27)</f>
        <v>9.5432919157496361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10.858619726844683</v>
      </c>
      <c r="X32" s="132">
        <f>IF(SER_hh_tesh_in!X32=0,0,SER_hh_tesh_in!X32/SER_summary!X$27)</f>
        <v>10.984038503931639</v>
      </c>
      <c r="Y32" s="132">
        <f>IF(SER_hh_tesh_in!Y32=0,0,SER_hh_tesh_in!Y32/SER_summary!Y$27)</f>
        <v>11.408274689974345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9.1431501018405115</v>
      </c>
      <c r="D33" s="68">
        <f>IF(SER_hh_tesh_in!D33=0,0,SER_hh_tesh_in!D33/SER_summary!D$27)</f>
        <v>9.333112955721008</v>
      </c>
      <c r="E33" s="68">
        <f>IF(SER_hh_tesh_in!E33=0,0,SER_hh_tesh_in!E33/SER_summary!E$27)</f>
        <v>9.9758552452412523</v>
      </c>
      <c r="F33" s="68">
        <f>IF(SER_hh_tesh_in!F33=0,0,SER_hh_tesh_in!F33/SER_summary!F$27)</f>
        <v>10.167922071510812</v>
      </c>
      <c r="G33" s="68">
        <f>IF(SER_hh_tesh_in!G33=0,0,SER_hh_tesh_in!G33/SER_summary!G$27)</f>
        <v>8.7896854818429127</v>
      </c>
      <c r="H33" s="68">
        <f>IF(SER_hh_tesh_in!H33=0,0,SER_hh_tesh_in!H33/SER_summary!H$27)</f>
        <v>10.182687339374372</v>
      </c>
      <c r="I33" s="68">
        <f>IF(SER_hh_tesh_in!I33=0,0,SER_hh_tesh_in!I33/SER_summary!I$27)</f>
        <v>10.070329577315853</v>
      </c>
      <c r="J33" s="68">
        <f>IF(SER_hh_tesh_in!J33=0,0,SER_hh_tesh_in!J33/SER_summary!J$27)</f>
        <v>9.5505622218646629</v>
      </c>
      <c r="K33" s="68">
        <f>IF(SER_hh_tesh_in!K33=0,0,SER_hh_tesh_in!K33/SER_summary!K$27)</f>
        <v>9.1414439752447141</v>
      </c>
      <c r="L33" s="68">
        <f>IF(SER_hh_tesh_in!L33=0,0,SER_hh_tesh_in!L33/SER_summary!L$27)</f>
        <v>11.230903961184737</v>
      </c>
      <c r="M33" s="68">
        <f>IF(SER_hh_tesh_in!M33=0,0,SER_hh_tesh_in!M33/SER_summary!M$27)</f>
        <v>10.69595538707509</v>
      </c>
      <c r="N33" s="68">
        <f>IF(SER_hh_tesh_in!N33=0,0,SER_hh_tesh_in!N33/SER_summary!N$27)</f>
        <v>0</v>
      </c>
      <c r="O33" s="68">
        <f>IF(SER_hh_tesh_in!O33=0,0,SER_hh_tesh_in!O33/SER_summary!O$27)</f>
        <v>9.8720447039285517</v>
      </c>
      <c r="P33" s="68">
        <f>IF(SER_hh_tesh_in!P33=0,0,SER_hh_tesh_in!P33/SER_summary!P$27)</f>
        <v>9.8630895245482808</v>
      </c>
      <c r="Q33" s="68">
        <f>IF(SER_hh_tesh_in!Q33=0,0,SER_hh_tesh_in!Q33/SER_summary!Q$27)</f>
        <v>9.6897296441081622</v>
      </c>
      <c r="R33" s="68">
        <f>IF(SER_hh_tesh_in!R33=0,0,SER_hh_tesh_in!R33/SER_summary!R$27)</f>
        <v>10.809887527377061</v>
      </c>
      <c r="S33" s="68">
        <f>IF(SER_hh_tesh_in!S33=0,0,SER_hh_tesh_in!S33/SER_summary!S$27)</f>
        <v>11.357652585996748</v>
      </c>
      <c r="T33" s="68">
        <f>IF(SER_hh_tesh_in!T33=0,0,SER_hh_tesh_in!T33/SER_summary!T$27)</f>
        <v>10.037331928800995</v>
      </c>
      <c r="U33" s="68">
        <f>IF(SER_hh_tesh_in!U33=0,0,SER_hh_tesh_in!U33/SER_summary!U$27)</f>
        <v>10.009381835566288</v>
      </c>
      <c r="V33" s="68">
        <f>IF(SER_hh_tesh_in!V33=0,0,SER_hh_tesh_in!V33/SER_summary!V$27)</f>
        <v>10.748226962791488</v>
      </c>
      <c r="W33" s="68">
        <f>IF(SER_hh_tesh_in!W33=0,0,SER_hh_tesh_in!W33/SER_summary!W$27)</f>
        <v>11.123382913702153</v>
      </c>
      <c r="X33" s="68">
        <f>IF(SER_hh_tesh_in!X33=0,0,SER_hh_tesh_in!X33/SER_summary!X$27)</f>
        <v>11.00471564934689</v>
      </c>
      <c r="Y33" s="68">
        <f>IF(SER_hh_tesh_in!Y33=0,0,SER_hh_tesh_in!Y33/SER_summary!Y$27)</f>
        <v>11.241512590398111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8.2789571344331012</v>
      </c>
      <c r="D3" s="125">
        <f>IF(SER_hh_emih_in!D3=0,0,SER_hh_emih_in!D3/SER_summary!D$27)</f>
        <v>6.4319672532566345</v>
      </c>
      <c r="E3" s="125">
        <f>IF(SER_hh_emih_in!E3=0,0,SER_hh_emih_in!E3/SER_summary!E$27)</f>
        <v>5.6506482008830874</v>
      </c>
      <c r="F3" s="125">
        <f>IF(SER_hh_emih_in!F3=0,0,SER_hh_emih_in!F3/SER_summary!F$27)</f>
        <v>8.0355527446705821</v>
      </c>
      <c r="G3" s="125">
        <f>IF(SER_hh_emih_in!G3=0,0,SER_hh_emih_in!G3/SER_summary!G$27)</f>
        <v>6.7965432813806483</v>
      </c>
      <c r="H3" s="125">
        <f>IF(SER_hh_emih_in!H3=0,0,SER_hh_emih_in!H3/SER_summary!H$27)</f>
        <v>4.0074379503625472</v>
      </c>
      <c r="I3" s="125">
        <f>IF(SER_hh_emih_in!I3=0,0,SER_hh_emih_in!I3/SER_summary!I$27)</f>
        <v>4.409357412046762</v>
      </c>
      <c r="J3" s="125">
        <f>IF(SER_hh_emih_in!J3=0,0,SER_hh_emih_in!J3/SER_summary!J$27)</f>
        <v>3.8925414776019256</v>
      </c>
      <c r="K3" s="125">
        <f>IF(SER_hh_emih_in!K3=0,0,SER_hh_emih_in!K3/SER_summary!K$27)</f>
        <v>4.1318653185657164</v>
      </c>
      <c r="L3" s="125">
        <f>IF(SER_hh_emih_in!L3=0,0,SER_hh_emih_in!L3/SER_summary!L$27)</f>
        <v>3.0567214120944706</v>
      </c>
      <c r="M3" s="125">
        <f>IF(SER_hh_emih_in!M3=0,0,SER_hh_emih_in!M3/SER_summary!M$27)</f>
        <v>4.1439173589794107</v>
      </c>
      <c r="N3" s="125">
        <f>IF(SER_hh_emih_in!N3=0,0,SER_hh_emih_in!N3/SER_summary!N$27)</f>
        <v>3.2050194885496857</v>
      </c>
      <c r="O3" s="125">
        <f>IF(SER_hh_emih_in!O3=0,0,SER_hh_emih_in!O3/SER_summary!O$27)</f>
        <v>7.7663690402540366</v>
      </c>
      <c r="P3" s="125">
        <f>IF(SER_hh_emih_in!P3=0,0,SER_hh_emih_in!P3/SER_summary!P$27)</f>
        <v>5.3370732974799129</v>
      </c>
      <c r="Q3" s="125">
        <f>IF(SER_hh_emih_in!Q3=0,0,SER_hh_emih_in!Q3/SER_summary!Q$27)</f>
        <v>6.7312422628970614</v>
      </c>
      <c r="R3" s="125">
        <f>IF(SER_hh_emih_in!R3=0,0,SER_hh_emih_in!R3/SER_summary!R$27)</f>
        <v>7.1357859748779457</v>
      </c>
      <c r="S3" s="125">
        <f>IF(SER_hh_emih_in!S3=0,0,SER_hh_emih_in!S3/SER_summary!S$27)</f>
        <v>6.8029991870989788</v>
      </c>
      <c r="T3" s="125">
        <f>IF(SER_hh_emih_in!T3=0,0,SER_hh_emih_in!T3/SER_summary!T$27)</f>
        <v>4.7887248722338711</v>
      </c>
      <c r="U3" s="125">
        <f>IF(SER_hh_emih_in!U3=0,0,SER_hh_emih_in!U3/SER_summary!U$27)</f>
        <v>4.1090753954351333</v>
      </c>
      <c r="V3" s="125">
        <f>IF(SER_hh_emih_in!V3=0,0,SER_hh_emih_in!V3/SER_summary!V$27)</f>
        <v>1.9492853489547226</v>
      </c>
      <c r="W3" s="125">
        <f>IF(SER_hh_emih_in!W3=0,0,SER_hh_emih_in!W3/SER_summary!W$27)</f>
        <v>2.0683008058960395</v>
      </c>
      <c r="X3" s="125">
        <f>IF(SER_hh_emih_in!X3=0,0,SER_hh_emih_in!X3/SER_summary!X$27)</f>
        <v>2.5528308148360335</v>
      </c>
      <c r="Y3" s="125">
        <f>IF(SER_hh_emih_in!Y3=0,0,SER_hh_emih_in!Y3/SER_summary!Y$27)</f>
        <v>3.922461161670828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7.0545784319511835</v>
      </c>
      <c r="D4" s="130">
        <f>IF(SER_hh_emih_in!D4=0,0,SER_hh_emih_in!D4/SER_summary!D$27)</f>
        <v>3.568068392850118</v>
      </c>
      <c r="E4" s="130">
        <f>IF(SER_hh_emih_in!E4=0,0,SER_hh_emih_in!E4/SER_summary!E$27)</f>
        <v>2.3020291246238562</v>
      </c>
      <c r="F4" s="130">
        <f>IF(SER_hh_emih_in!F4=0,0,SER_hh_emih_in!F4/SER_summary!F$27)</f>
        <v>4.1750706982750421</v>
      </c>
      <c r="G4" s="130">
        <f>IF(SER_hh_emih_in!G4=0,0,SER_hh_emih_in!G4/SER_summary!G$27)</f>
        <v>1.9454153312574192</v>
      </c>
      <c r="H4" s="130">
        <f>IF(SER_hh_emih_in!H4=0,0,SER_hh_emih_in!H4/SER_summary!H$27)</f>
        <v>0.95637997481900916</v>
      </c>
      <c r="I4" s="130">
        <f>IF(SER_hh_emih_in!I4=0,0,SER_hh_emih_in!I4/SER_summary!I$27)</f>
        <v>1.3651567573314807</v>
      </c>
      <c r="J4" s="130">
        <f>IF(SER_hh_emih_in!J4=0,0,SER_hh_emih_in!J4/SER_summary!J$27)</f>
        <v>1.8440036132369799</v>
      </c>
      <c r="K4" s="130">
        <f>IF(SER_hh_emih_in!K4=0,0,SER_hh_emih_in!K4/SER_summary!K$27)</f>
        <v>2.2242796912925256</v>
      </c>
      <c r="L4" s="130">
        <f>IF(SER_hh_emih_in!L4=0,0,SER_hh_emih_in!L4/SER_summary!L$27)</f>
        <v>1.1676561521114819</v>
      </c>
      <c r="M4" s="130">
        <f>IF(SER_hh_emih_in!M4=0,0,SER_hh_emih_in!M4/SER_summary!M$27)</f>
        <v>1.5569158824718694</v>
      </c>
      <c r="N4" s="130">
        <f>IF(SER_hh_emih_in!N4=0,0,SER_hh_emih_in!N4/SER_summary!N$27)</f>
        <v>0.75505016210626674</v>
      </c>
      <c r="O4" s="130">
        <f>IF(SER_hh_emih_in!O4=0,0,SER_hh_emih_in!O4/SER_summary!O$27)</f>
        <v>3.1615427945797365</v>
      </c>
      <c r="P4" s="130">
        <f>IF(SER_hh_emih_in!P4=0,0,SER_hh_emih_in!P4/SER_summary!P$27)</f>
        <v>1.494553701287306E-2</v>
      </c>
      <c r="Q4" s="130">
        <f>IF(SER_hh_emih_in!Q4=0,0,SER_hh_emih_in!Q4/SER_summary!Q$27)</f>
        <v>2.1843455723558236</v>
      </c>
      <c r="R4" s="130">
        <f>IF(SER_hh_emih_in!R4=0,0,SER_hh_emih_in!R4/SER_summary!R$27)</f>
        <v>3.5529777772316402</v>
      </c>
      <c r="S4" s="130">
        <f>IF(SER_hh_emih_in!S4=0,0,SER_hh_emih_in!S4/SER_summary!S$27)</f>
        <v>3.4901478122157843</v>
      </c>
      <c r="T4" s="130">
        <f>IF(SER_hh_emih_in!T4=0,0,SER_hh_emih_in!T4/SER_summary!T$27)</f>
        <v>1.1705087326281169</v>
      </c>
      <c r="U4" s="130">
        <f>IF(SER_hh_emih_in!U4=0,0,SER_hh_emih_in!U4/SER_summary!U$27)</f>
        <v>1.7967922649264254</v>
      </c>
      <c r="V4" s="130">
        <f>IF(SER_hh_emih_in!V4=0,0,SER_hh_emih_in!V4/SER_summary!V$27)</f>
        <v>0.48160303516781428</v>
      </c>
      <c r="W4" s="130">
        <f>IF(SER_hh_emih_in!W4=0,0,SER_hh_emih_in!W4/SER_summary!W$27)</f>
        <v>0.4904317041665659</v>
      </c>
      <c r="X4" s="130">
        <f>IF(SER_hh_emih_in!X4=0,0,SER_hh_emih_in!X4/SER_summary!X$27)</f>
        <v>0.84935628513402772</v>
      </c>
      <c r="Y4" s="130">
        <f>IF(SER_hh_emih_in!Y4=0,0,SER_hh_emih_in!Y4/SER_summary!Y$27)</f>
        <v>0.53604031855638601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10.394152624375966</v>
      </c>
      <c r="D7" s="132">
        <f>IF(SER_hh_emih_in!D7=0,0,SER_hh_emih_in!D7/SER_summary!D$27)</f>
        <v>11.039210312305441</v>
      </c>
      <c r="E7" s="132">
        <f>IF(SER_hh_emih_in!E7=0,0,SER_hh_emih_in!E7/SER_summary!E$27)</f>
        <v>12.188724420606649</v>
      </c>
      <c r="F7" s="132">
        <f>IF(SER_hh_emih_in!F7=0,0,SER_hh_emih_in!F7/SER_summary!F$27)</f>
        <v>16.076046326997925</v>
      </c>
      <c r="G7" s="132">
        <f>IF(SER_hh_emih_in!G7=0,0,SER_hh_emih_in!G7/SER_summary!G$27)</f>
        <v>19.135297552504497</v>
      </c>
      <c r="H7" s="132">
        <f>IF(SER_hh_emih_in!H7=0,0,SER_hh_emih_in!H7/SER_summary!H$27)</f>
        <v>0</v>
      </c>
      <c r="I7" s="132">
        <f>IF(SER_hh_emih_in!I7=0,0,SER_hh_emih_in!I7/SER_summary!I$27)</f>
        <v>0</v>
      </c>
      <c r="J7" s="132">
        <f>IF(SER_hh_emih_in!J7=0,0,SER_hh_emih_in!J7/SER_summary!J$27)</f>
        <v>0</v>
      </c>
      <c r="K7" s="132">
        <f>IF(SER_hh_emih_in!K7=0,0,SER_hh_emih_in!K7/SER_summary!K$27)</f>
        <v>0</v>
      </c>
      <c r="L7" s="132">
        <f>IF(SER_hh_emih_in!L7=0,0,SER_hh_emih_in!L7/SER_summary!L$27)</f>
        <v>0</v>
      </c>
      <c r="M7" s="132">
        <f>IF(SER_hh_emih_in!M7=0,0,SER_hh_emih_in!M7/SER_summary!M$27)</f>
        <v>0</v>
      </c>
      <c r="N7" s="132">
        <f>IF(SER_hh_emih_in!N7=0,0,SER_hh_emih_in!N7/SER_summary!N$27)</f>
        <v>0</v>
      </c>
      <c r="O7" s="132">
        <f>IF(SER_hh_emih_in!O7=0,0,SER_hh_emih_in!O7/SER_summary!O$27)</f>
        <v>17.149556747252788</v>
      </c>
      <c r="P7" s="132">
        <f>IF(SER_hh_emih_in!P7=0,0,SER_hh_emih_in!P7/SER_summary!P$27)</f>
        <v>0</v>
      </c>
      <c r="Q7" s="132">
        <f>IF(SER_hh_emih_in!Q7=0,0,SER_hh_emih_in!Q7/SER_summary!Q$27)</f>
        <v>0</v>
      </c>
      <c r="R7" s="132">
        <f>IF(SER_hh_emih_in!R7=0,0,SER_hh_emih_in!R7/SER_summary!R$27)</f>
        <v>15.213754571563461</v>
      </c>
      <c r="S7" s="132">
        <f>IF(SER_hh_emih_in!S7=0,0,SER_hh_emih_in!S7/SER_summary!S$27)</f>
        <v>15.118453425098535</v>
      </c>
      <c r="T7" s="132">
        <f>IF(SER_hh_emih_in!T7=0,0,SER_hh_emih_in!T7/SER_summary!T$27)</f>
        <v>16.382700892764078</v>
      </c>
      <c r="U7" s="132">
        <f>IF(SER_hh_emih_in!U7=0,0,SER_hh_emih_in!U7/SER_summary!U$27)</f>
        <v>16.581057729456969</v>
      </c>
      <c r="V7" s="132">
        <f>IF(SER_hh_emih_in!V7=0,0,SER_hh_emih_in!V7/SER_summary!V$27)</f>
        <v>0</v>
      </c>
      <c r="W7" s="132">
        <f>IF(SER_hh_emih_in!W7=0,0,SER_hh_emih_in!W7/SER_summary!W$27)</f>
        <v>0</v>
      </c>
      <c r="X7" s="132">
        <f>IF(SER_hh_emih_in!X7=0,0,SER_hh_emih_in!X7/SER_summary!X$27)</f>
        <v>0</v>
      </c>
      <c r="Y7" s="132">
        <f>IF(SER_hh_emih_in!Y7=0,0,SER_hh_emih_in!Y7/SER_summary!Y$27)</f>
        <v>0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2.9113889600120659</v>
      </c>
      <c r="D8" s="132">
        <f>IF(SER_hh_emih_in!D8=0,0,SER_hh_emih_in!D8/SER_summary!D$27)</f>
        <v>3.4034170338686449</v>
      </c>
      <c r="E8" s="132">
        <f>IF(SER_hh_emih_in!E8=0,0,SER_hh_emih_in!E8/SER_summary!E$27)</f>
        <v>3.8466327444628279</v>
      </c>
      <c r="F8" s="132">
        <f>IF(SER_hh_emih_in!F8=0,0,SER_hh_emih_in!F8/SER_summary!F$27)</f>
        <v>4.0343537238048963</v>
      </c>
      <c r="G8" s="132">
        <f>IF(SER_hh_emih_in!G8=0,0,SER_hh_emih_in!G8/SER_summary!G$27)</f>
        <v>4.0293523941846088</v>
      </c>
      <c r="H8" s="132">
        <f>IF(SER_hh_emih_in!H8=0,0,SER_hh_emih_in!H8/SER_summary!H$27)</f>
        <v>4.387533619997452</v>
      </c>
      <c r="I8" s="132">
        <f>IF(SER_hh_emih_in!I8=0,0,SER_hh_emih_in!I8/SER_summary!I$27)</f>
        <v>4.4448502367506819</v>
      </c>
      <c r="J8" s="132">
        <f>IF(SER_hh_emih_in!J8=0,0,SER_hh_emih_in!J8/SER_summary!J$27)</f>
        <v>4.5598854542184357</v>
      </c>
      <c r="K8" s="132">
        <f>IF(SER_hh_emih_in!K8=0,0,SER_hh_emih_in!K8/SER_summary!K$27)</f>
        <v>4.1622908844014699</v>
      </c>
      <c r="L8" s="132">
        <f>IF(SER_hh_emih_in!L8=0,0,SER_hh_emih_in!L8/SER_summary!L$27)</f>
        <v>4.0579226330227511</v>
      </c>
      <c r="M8" s="132">
        <f>IF(SER_hh_emih_in!M8=0,0,SER_hh_emih_in!M8/SER_summary!M$27)</f>
        <v>4.1057908501584004</v>
      </c>
      <c r="N8" s="132">
        <f>IF(SER_hh_emih_in!N8=0,0,SER_hh_emih_in!N8/SER_summary!N$27)</f>
        <v>3.9174078484613468</v>
      </c>
      <c r="O8" s="132">
        <f>IF(SER_hh_emih_in!O8=0,0,SER_hh_emih_in!O8/SER_summary!O$27)</f>
        <v>3.8708243736418306</v>
      </c>
      <c r="P8" s="132">
        <f>IF(SER_hh_emih_in!P8=0,0,SER_hh_emih_in!P8/SER_summary!P$27)</f>
        <v>3.9214356499093519</v>
      </c>
      <c r="Q8" s="132">
        <f>IF(SER_hh_emih_in!Q8=0,0,SER_hh_emih_in!Q8/SER_summary!Q$27)</f>
        <v>3.8377179726970456</v>
      </c>
      <c r="R8" s="132">
        <f>IF(SER_hh_emih_in!R8=0,0,SER_hh_emih_in!R8/SER_summary!R$27)</f>
        <v>3.4431691471862123</v>
      </c>
      <c r="S8" s="132">
        <f>IF(SER_hh_emih_in!S8=0,0,SER_hh_emih_in!S8/SER_summary!S$27)</f>
        <v>3.2033372100026614</v>
      </c>
      <c r="T8" s="132">
        <f>IF(SER_hh_emih_in!T8=0,0,SER_hh_emih_in!T8/SER_summary!T$27)</f>
        <v>3.1227008590033987</v>
      </c>
      <c r="U8" s="132">
        <f>IF(SER_hh_emih_in!U8=0,0,SER_hh_emih_in!U8/SER_summary!U$27)</f>
        <v>3.0742445147024942</v>
      </c>
      <c r="V8" s="132">
        <f>IF(SER_hh_emih_in!V8=0,0,SER_hh_emih_in!V8/SER_summary!V$27)</f>
        <v>2.8550164370807667</v>
      </c>
      <c r="W8" s="132">
        <f>IF(SER_hh_emih_in!W8=0,0,SER_hh_emih_in!W8/SER_summary!W$27)</f>
        <v>2.9243005534753808</v>
      </c>
      <c r="X8" s="132">
        <f>IF(SER_hh_emih_in!X8=0,0,SER_hh_emih_in!X8/SER_summary!X$27)</f>
        <v>3.1647842713318552</v>
      </c>
      <c r="Y8" s="132">
        <f>IF(SER_hh_emih_in!Y8=0,0,SER_hh_emih_in!Y8/SER_summary!Y$27)</f>
        <v>3.3150218043705695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6.9284550198945523</v>
      </c>
      <c r="D9" s="132">
        <f>IF(SER_hh_emih_in!D9=0,0,SER_hh_emih_in!D9/SER_summary!D$27)</f>
        <v>8.6618257933595952</v>
      </c>
      <c r="E9" s="132">
        <f>IF(SER_hh_emih_in!E9=0,0,SER_hh_emih_in!E9/SER_summary!E$27)</f>
        <v>9.2389809447380351</v>
      </c>
      <c r="F9" s="132">
        <f>IF(SER_hh_emih_in!F9=0,0,SER_hh_emih_in!F9/SER_summary!F$27)</f>
        <v>11.598482602456764</v>
      </c>
      <c r="G9" s="132">
        <f>IF(SER_hh_emih_in!G9=0,0,SER_hh_emih_in!G9/SER_summary!G$27)</f>
        <v>0</v>
      </c>
      <c r="H9" s="132">
        <f>IF(SER_hh_emih_in!H9=0,0,SER_hh_emih_in!H9/SER_summary!H$27)</f>
        <v>13.152650708948293</v>
      </c>
      <c r="I9" s="132">
        <f>IF(SER_hh_emih_in!I9=0,0,SER_hh_emih_in!I9/SER_summary!I$27)</f>
        <v>13.672587628216624</v>
      </c>
      <c r="J9" s="132">
        <f>IF(SER_hh_emih_in!J9=0,0,SER_hh_emih_in!J9/SER_summary!J$27)</f>
        <v>13.722135897339349</v>
      </c>
      <c r="K9" s="132">
        <f>IF(SER_hh_emih_in!K9=0,0,SER_hh_emih_in!K9/SER_summary!K$27)</f>
        <v>14.665413680501905</v>
      </c>
      <c r="L9" s="132">
        <f>IF(SER_hh_emih_in!L9=0,0,SER_hh_emih_in!L9/SER_summary!L$27)</f>
        <v>12.703042565199523</v>
      </c>
      <c r="M9" s="132">
        <f>IF(SER_hh_emih_in!M9=0,0,SER_hh_emih_in!M9/SER_summary!M$27)</f>
        <v>13.943481073537516</v>
      </c>
      <c r="N9" s="132">
        <f>IF(SER_hh_emih_in!N9=0,0,SER_hh_emih_in!N9/SER_summary!N$27)</f>
        <v>13.797713469131857</v>
      </c>
      <c r="O9" s="132">
        <f>IF(SER_hh_emih_in!O9=0,0,SER_hh_emih_in!O9/SER_summary!O$27)</f>
        <v>12.872491887643745</v>
      </c>
      <c r="P9" s="132">
        <f>IF(SER_hh_emih_in!P9=0,0,SER_hh_emih_in!P9/SER_summary!P$27)</f>
        <v>0</v>
      </c>
      <c r="Q9" s="132">
        <f>IF(SER_hh_emih_in!Q9=0,0,SER_hh_emih_in!Q9/SER_summary!Q$27)</f>
        <v>12.6128489823883</v>
      </c>
      <c r="R9" s="132">
        <f>IF(SER_hh_emih_in!R9=0,0,SER_hh_emih_in!R9/SER_summary!R$27)</f>
        <v>12.751043231815986</v>
      </c>
      <c r="S9" s="132">
        <f>IF(SER_hh_emih_in!S9=0,0,SER_hh_emih_in!S9/SER_summary!S$27)</f>
        <v>12.232666208691576</v>
      </c>
      <c r="T9" s="132">
        <f>IF(SER_hh_emih_in!T9=0,0,SER_hh_emih_in!T9/SER_summary!T$27)</f>
        <v>12.776527056707872</v>
      </c>
      <c r="U9" s="132">
        <f>IF(SER_hh_emih_in!U9=0,0,SER_hh_emih_in!U9/SER_summary!U$27)</f>
        <v>0</v>
      </c>
      <c r="V9" s="132">
        <f>IF(SER_hh_emih_in!V9=0,0,SER_hh_emih_in!V9/SER_summary!V$27)</f>
        <v>8.5939212549559318</v>
      </c>
      <c r="W9" s="132">
        <f>IF(SER_hh_emih_in!W9=0,0,SER_hh_emih_in!W9/SER_summary!W$27)</f>
        <v>11.788337148309132</v>
      </c>
      <c r="X9" s="132">
        <f>IF(SER_hh_emih_in!X9=0,0,SER_hh_emih_in!X9/SER_summary!X$27)</f>
        <v>11.4806787672676</v>
      </c>
      <c r="Y9" s="132">
        <f>IF(SER_hh_emih_in!Y9=0,0,SER_hh_emih_in!Y9/SER_summary!Y$27)</f>
        <v>12.126577203259183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9.4049350494251008E-3</v>
      </c>
      <c r="D16" s="130">
        <f>IF(SER_hh_emih_in!D16=0,0,SER_hh_emih_in!D16/SER_summary!D$27)</f>
        <v>4.05066301204993E-3</v>
      </c>
      <c r="E16" s="130">
        <f>IF(SER_hh_emih_in!E16=0,0,SER_hh_emih_in!E16/SER_summary!E$27)</f>
        <v>5.6146654502685685E-3</v>
      </c>
      <c r="F16" s="130">
        <f>IF(SER_hh_emih_in!F16=0,0,SER_hh_emih_in!F16/SER_summary!F$27)</f>
        <v>2.1214204008036152E-2</v>
      </c>
      <c r="G16" s="130">
        <f>IF(SER_hh_emih_in!G16=0,0,SER_hh_emih_in!G16/SER_summary!G$27)</f>
        <v>1.1768251911733824E-2</v>
      </c>
      <c r="H16" s="130">
        <f>IF(SER_hh_emih_in!H16=0,0,SER_hh_emih_in!H16/SER_summary!H$27)</f>
        <v>1.6133439983275898E-2</v>
      </c>
      <c r="I16" s="130">
        <f>IF(SER_hh_emih_in!I16=0,0,SER_hh_emih_in!I16/SER_summary!I$27)</f>
        <v>1.9766406899636969E-2</v>
      </c>
      <c r="J16" s="130">
        <f>IF(SER_hh_emih_in!J16=0,0,SER_hh_emih_in!J16/SER_summary!J$27)</f>
        <v>1.67657662508101E-2</v>
      </c>
      <c r="K16" s="130">
        <f>IF(SER_hh_emih_in!K16=0,0,SER_hh_emih_in!K16/SER_summary!K$27)</f>
        <v>3.7615295080014557E-2</v>
      </c>
      <c r="L16" s="130">
        <f>IF(SER_hh_emih_in!L16=0,0,SER_hh_emih_in!L16/SER_summary!L$27)</f>
        <v>2.0262272736028864E-2</v>
      </c>
      <c r="M16" s="130">
        <f>IF(SER_hh_emih_in!M16=0,0,SER_hh_emih_in!M16/SER_summary!M$27)</f>
        <v>2.6816513194354061E-2</v>
      </c>
      <c r="N16" s="130">
        <f>IF(SER_hh_emih_in!N16=0,0,SER_hh_emih_in!N16/SER_summary!N$27)</f>
        <v>1.9323171985617584E-2</v>
      </c>
      <c r="O16" s="130">
        <f>IF(SER_hh_emih_in!O16=0,0,SER_hh_emih_in!O16/SER_summary!O$27)</f>
        <v>4.3412605255261652E-2</v>
      </c>
      <c r="P16" s="130">
        <f>IF(SER_hh_emih_in!P16=0,0,SER_hh_emih_in!P16/SER_summary!P$27)</f>
        <v>2.9339539378860711E-2</v>
      </c>
      <c r="Q16" s="130">
        <f>IF(SER_hh_emih_in!Q16=0,0,SER_hh_emih_in!Q16/SER_summary!Q$27)</f>
        <v>4.4143572489054643E-2</v>
      </c>
      <c r="R16" s="130">
        <f>IF(SER_hh_emih_in!R16=0,0,SER_hh_emih_in!R16/SER_summary!R$27)</f>
        <v>8.3274321127009845E-2</v>
      </c>
      <c r="S16" s="130">
        <f>IF(SER_hh_emih_in!S16=0,0,SER_hh_emih_in!S16/SER_summary!S$27)</f>
        <v>6.4513632465605014E-2</v>
      </c>
      <c r="T16" s="130">
        <f>IF(SER_hh_emih_in!T16=0,0,SER_hh_emih_in!T16/SER_summary!T$27)</f>
        <v>5.9146761187489093E-2</v>
      </c>
      <c r="U16" s="130">
        <f>IF(SER_hh_emih_in!U16=0,0,SER_hh_emih_in!U16/SER_summary!U$27)</f>
        <v>5.6119390306556736E-2</v>
      </c>
      <c r="V16" s="130">
        <f>IF(SER_hh_emih_in!V16=0,0,SER_hh_emih_in!V16/SER_summary!V$27)</f>
        <v>4.7763730034561504E-2</v>
      </c>
      <c r="W16" s="130">
        <f>IF(SER_hh_emih_in!W16=0,0,SER_hh_emih_in!W16/SER_summary!W$27)</f>
        <v>2.6115035103610563E-2</v>
      </c>
      <c r="X16" s="130">
        <f>IF(SER_hh_emih_in!X16=0,0,SER_hh_emih_in!X16/SER_summary!X$27)</f>
        <v>6.324962580785691E-2</v>
      </c>
      <c r="Y16" s="130">
        <f>IF(SER_hh_emih_in!Y16=0,0,SER_hh_emih_in!Y16/SER_summary!Y$27)</f>
        <v>5.6550646784569336E-2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4.3949663071878353</v>
      </c>
      <c r="D17" s="132">
        <f>IF(SER_hh_emih_in!D17=0,0,SER_hh_emih_in!D17/SER_summary!D$27)</f>
        <v>3.8644889156670197</v>
      </c>
      <c r="E17" s="132">
        <f>IF(SER_hh_emih_in!E17=0,0,SER_hh_emih_in!E17/SER_summary!E$27)</f>
        <v>5.3859664529590692</v>
      </c>
      <c r="F17" s="132">
        <f>IF(SER_hh_emih_in!F17=0,0,SER_hh_emih_in!F17/SER_summary!F$27)</f>
        <v>4.414273329982338</v>
      </c>
      <c r="G17" s="132">
        <f>IF(SER_hh_emih_in!G17=0,0,SER_hh_emih_in!G17/SER_summary!G$27)</f>
        <v>4.7775968569958094</v>
      </c>
      <c r="H17" s="132">
        <f>IF(SER_hh_emih_in!H17=0,0,SER_hh_emih_in!H17/SER_summary!H$27)</f>
        <v>5.6761616400899246</v>
      </c>
      <c r="I17" s="132">
        <f>IF(SER_hh_emih_in!I17=0,0,SER_hh_emih_in!I17/SER_summary!I$27)</f>
        <v>3.6246719966733916</v>
      </c>
      <c r="J17" s="132">
        <f>IF(SER_hh_emih_in!J17=0,0,SER_hh_emih_in!J17/SER_summary!J$27)</f>
        <v>3.4635533618803178</v>
      </c>
      <c r="K17" s="132">
        <f>IF(SER_hh_emih_in!K17=0,0,SER_hh_emih_in!K17/SER_summary!K$27)</f>
        <v>4.135981509752221</v>
      </c>
      <c r="L17" s="132">
        <f>IF(SER_hh_emih_in!L17=0,0,SER_hh_emih_in!L17/SER_summary!L$27)</f>
        <v>5.5624109072859786</v>
      </c>
      <c r="M17" s="132">
        <f>IF(SER_hh_emih_in!M17=0,0,SER_hh_emih_in!M17/SER_summary!M$27)</f>
        <v>3.5735746100376566</v>
      </c>
      <c r="N17" s="132">
        <f>IF(SER_hh_emih_in!N17=0,0,SER_hh_emih_in!N17/SER_summary!N$27)</f>
        <v>3.6587867289199796</v>
      </c>
      <c r="O17" s="132">
        <f>IF(SER_hh_emih_in!O17=0,0,SER_hh_emih_in!O17/SER_summary!O$27)</f>
        <v>4.6147923944035032</v>
      </c>
      <c r="P17" s="132">
        <f>IF(SER_hh_emih_in!P17=0,0,SER_hh_emih_in!P17/SER_summary!P$27)</f>
        <v>3.0260241977575268</v>
      </c>
      <c r="Q17" s="132">
        <f>IF(SER_hh_emih_in!Q17=0,0,SER_hh_emih_in!Q17/SER_summary!Q$27)</f>
        <v>3.4729511233545272</v>
      </c>
      <c r="R17" s="132">
        <f>IF(SER_hh_emih_in!R17=0,0,SER_hh_emih_in!R17/SER_summary!R$27)</f>
        <v>5.0620561218827582</v>
      </c>
      <c r="S17" s="132">
        <f>IF(SER_hh_emih_in!S17=0,0,SER_hh_emih_in!S17/SER_summary!S$27)</f>
        <v>4.6624610282017445</v>
      </c>
      <c r="T17" s="132">
        <f>IF(SER_hh_emih_in!T17=0,0,SER_hh_emih_in!T17/SER_summary!T$27)</f>
        <v>3.8302452389518713</v>
      </c>
      <c r="U17" s="132">
        <f>IF(SER_hh_emih_in!U17=0,0,SER_hh_emih_in!U17/SER_summary!U$27)</f>
        <v>2.9414845582126623</v>
      </c>
      <c r="V17" s="132">
        <f>IF(SER_hh_emih_in!V17=0,0,SER_hh_emih_in!V17/SER_summary!V$27)</f>
        <v>3.919774875306659</v>
      </c>
      <c r="W17" s="132">
        <f>IF(SER_hh_emih_in!W17=0,0,SER_hh_emih_in!W17/SER_summary!W$27)</f>
        <v>2.4599954200150265</v>
      </c>
      <c r="X17" s="132">
        <f>IF(SER_hh_emih_in!X17=0,0,SER_hh_emih_in!X17/SER_summary!X$27)</f>
        <v>4.5139829482535454</v>
      </c>
      <c r="Y17" s="132">
        <f>IF(SER_hh_emih_in!Y17=0,0,SER_hh_emih_in!Y17/SER_summary!Y$27)</f>
        <v>3.6994305091818553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0.62363576560144918</v>
      </c>
      <c r="D19" s="130">
        <f>IF(SER_hh_emih_in!D19=0,0,SER_hh_emih_in!D19/SER_summary!D$27)</f>
        <v>0.56752457813582713</v>
      </c>
      <c r="E19" s="130">
        <f>IF(SER_hh_emih_in!E19=0,0,SER_hh_emih_in!E19/SER_summary!E$27)</f>
        <v>0.87950218242927147</v>
      </c>
      <c r="F19" s="130">
        <f>IF(SER_hh_emih_in!F19=0,0,SER_hh_emih_in!F19/SER_summary!F$27)</f>
        <v>1.0310222921322645</v>
      </c>
      <c r="G19" s="130">
        <f>IF(SER_hh_emih_in!G19=0,0,SER_hh_emih_in!G19/SER_summary!G$27)</f>
        <v>1.2024170209825353</v>
      </c>
      <c r="H19" s="130">
        <f>IF(SER_hh_emih_in!H19=0,0,SER_hh_emih_in!H19/SER_summary!H$27)</f>
        <v>1.3268576826681078</v>
      </c>
      <c r="I19" s="130">
        <f>IF(SER_hh_emih_in!I19=0,0,SER_hh_emih_in!I19/SER_summary!I$27)</f>
        <v>1.3261824662246207</v>
      </c>
      <c r="J19" s="130">
        <f>IF(SER_hh_emih_in!J19=0,0,SER_hh_emih_in!J19/SER_summary!J$27)</f>
        <v>1.1064627224430148</v>
      </c>
      <c r="K19" s="130">
        <f>IF(SER_hh_emih_in!K19=0,0,SER_hh_emih_in!K19/SER_summary!K$27)</f>
        <v>1.3307543150751102</v>
      </c>
      <c r="L19" s="130">
        <f>IF(SER_hh_emih_in!L19=0,0,SER_hh_emih_in!L19/SER_summary!L$27)</f>
        <v>1.3077908551310298</v>
      </c>
      <c r="M19" s="130">
        <f>IF(SER_hh_emih_in!M19=0,0,SER_hh_emih_in!M19/SER_summary!M$27)</f>
        <v>1.5637563864146464</v>
      </c>
      <c r="N19" s="130">
        <f>IF(SER_hh_emih_in!N19=0,0,SER_hh_emih_in!N19/SER_summary!N$27)</f>
        <v>1.6547822065760216</v>
      </c>
      <c r="O19" s="130">
        <f>IF(SER_hh_emih_in!O19=0,0,SER_hh_emih_in!O19/SER_summary!O$27)</f>
        <v>1.5457366211725405</v>
      </c>
      <c r="P19" s="130">
        <f>IF(SER_hh_emih_in!P19=0,0,SER_hh_emih_in!P19/SER_summary!P$27)</f>
        <v>1.0320194796735989</v>
      </c>
      <c r="Q19" s="130">
        <f>IF(SER_hh_emih_in!Q19=0,0,SER_hh_emih_in!Q19/SER_summary!Q$27)</f>
        <v>1.1275724981838475</v>
      </c>
      <c r="R19" s="130">
        <f>IF(SER_hh_emih_in!R19=0,0,SER_hh_emih_in!R19/SER_summary!R$27)</f>
        <v>1.2286996487330835</v>
      </c>
      <c r="S19" s="130">
        <f>IF(SER_hh_emih_in!S19=0,0,SER_hh_emih_in!S19/SER_summary!S$27)</f>
        <v>1.2985313132066771</v>
      </c>
      <c r="T19" s="130">
        <f>IF(SER_hh_emih_in!T19=0,0,SER_hh_emih_in!T19/SER_summary!T$27)</f>
        <v>1.4693372987265112</v>
      </c>
      <c r="U19" s="130">
        <f>IF(SER_hh_emih_in!U19=0,0,SER_hh_emih_in!U19/SER_summary!U$27)</f>
        <v>1.4058991476059699</v>
      </c>
      <c r="V19" s="130">
        <f>IF(SER_hh_emih_in!V19=0,0,SER_hh_emih_in!V19/SER_summary!V$27)</f>
        <v>0.96388307264350837</v>
      </c>
      <c r="W19" s="130">
        <f>IF(SER_hh_emih_in!W19=0,0,SER_hh_emih_in!W19/SER_summary!W$27)</f>
        <v>1.2116453187962326</v>
      </c>
      <c r="X19" s="130">
        <f>IF(SER_hh_emih_in!X19=0,0,SER_hh_emih_in!X19/SER_summary!X$27)</f>
        <v>0.8540900511776226</v>
      </c>
      <c r="Y19" s="130">
        <f>IF(SER_hh_emih_in!Y19=0,0,SER_hh_emih_in!Y19/SER_summary!Y$27)</f>
        <v>1.0518609130633048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3.8907089791329894</v>
      </c>
      <c r="D21" s="132">
        <f>IF(SER_hh_emih_in!D21=0,0,SER_hh_emih_in!D21/SER_summary!D$27)</f>
        <v>3.9105212270408516</v>
      </c>
      <c r="E21" s="132">
        <f>IF(SER_hh_emih_in!E21=0,0,SER_hh_emih_in!E21/SER_summary!E$27)</f>
        <v>3.9131762938334913</v>
      </c>
      <c r="F21" s="132">
        <f>IF(SER_hh_emih_in!F21=0,0,SER_hh_emih_in!F21/SER_summary!F$27)</f>
        <v>3.9015735453888731</v>
      </c>
      <c r="G21" s="132">
        <f>IF(SER_hh_emih_in!G21=0,0,SER_hh_emih_in!G21/SER_summary!G$27)</f>
        <v>3.6254845770377129</v>
      </c>
      <c r="H21" s="132">
        <f>IF(SER_hh_emih_in!H21=0,0,SER_hh_emih_in!H21/SER_summary!H$27)</f>
        <v>3.7248941156315531</v>
      </c>
      <c r="I21" s="132">
        <f>IF(SER_hh_emih_in!I21=0,0,SER_hh_emih_in!I21/SER_summary!I$27)</f>
        <v>3.672163731470854</v>
      </c>
      <c r="J21" s="132">
        <f>IF(SER_hh_emih_in!J21=0,0,SER_hh_emih_in!J21/SER_summary!J$27)</f>
        <v>2.9743724507142026</v>
      </c>
      <c r="K21" s="132">
        <f>IF(SER_hh_emih_in!K21=0,0,SER_hh_emih_in!K21/SER_summary!K$27)</f>
        <v>3.5367002344975287</v>
      </c>
      <c r="L21" s="132">
        <f>IF(SER_hh_emih_in!L21=0,0,SER_hh_emih_in!L21/SER_summary!L$27)</f>
        <v>3.0172054219064508</v>
      </c>
      <c r="M21" s="132">
        <f>IF(SER_hh_emih_in!M21=0,0,SER_hh_emih_in!M21/SER_summary!M$27)</f>
        <v>3.511565265972012</v>
      </c>
      <c r="N21" s="132">
        <f>IF(SER_hh_emih_in!N21=0,0,SER_hh_emih_in!N21/SER_summary!N$27)</f>
        <v>3.4508840232825513</v>
      </c>
      <c r="O21" s="132">
        <f>IF(SER_hh_emih_in!O21=0,0,SER_hh_emih_in!O21/SER_summary!O$27)</f>
        <v>3.5408523204987974</v>
      </c>
      <c r="P21" s="132">
        <f>IF(SER_hh_emih_in!P21=0,0,SER_hh_emih_in!P21/SER_summary!P$27)</f>
        <v>3.2602456537505651</v>
      </c>
      <c r="Q21" s="132">
        <f>IF(SER_hh_emih_in!Q21=0,0,SER_hh_emih_in!Q21/SER_summary!Q$27)</f>
        <v>3.2175385563251453</v>
      </c>
      <c r="R21" s="132">
        <f>IF(SER_hh_emih_in!R21=0,0,SER_hh_emih_in!R21/SER_summary!R$27)</f>
        <v>3.0809186261007109</v>
      </c>
      <c r="S21" s="132">
        <f>IF(SER_hh_emih_in!S21=0,0,SER_hh_emih_in!S21/SER_summary!S$27)</f>
        <v>2.9682481853418681</v>
      </c>
      <c r="T21" s="132">
        <f>IF(SER_hh_emih_in!T21=0,0,SER_hh_emih_in!T21/SER_summary!T$27)</f>
        <v>2.9222755141168504</v>
      </c>
      <c r="U21" s="132">
        <f>IF(SER_hh_emih_in!U21=0,0,SER_hh_emih_in!U21/SER_summary!U$27)</f>
        <v>2.7573919423349675</v>
      </c>
      <c r="V21" s="132">
        <f>IF(SER_hh_emih_in!V21=0,0,SER_hh_emih_in!V21/SER_summary!V$27)</f>
        <v>2.0584231492749927</v>
      </c>
      <c r="W21" s="132">
        <f>IF(SER_hh_emih_in!W21=0,0,SER_hh_emih_in!W21/SER_summary!W$27)</f>
        <v>2.6589250263696784</v>
      </c>
      <c r="X21" s="132">
        <f>IF(SER_hh_emih_in!X21=0,0,SER_hh_emih_in!X21/SER_summary!X$27)</f>
        <v>2.2204410385614666</v>
      </c>
      <c r="Y21" s="132">
        <f>IF(SER_hh_emih_in!Y21=0,0,SER_hh_emih_in!Y21/SER_summary!Y$27)</f>
        <v>2.7944584238530603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4.9034156244820819</v>
      </c>
      <c r="D22" s="132">
        <f>IF(SER_hh_emih_in!D22=0,0,SER_hh_emih_in!D22/SER_summary!D$27)</f>
        <v>4.8682967686353509</v>
      </c>
      <c r="E22" s="132">
        <f>IF(SER_hh_emih_in!E22=0,0,SER_hh_emih_in!E22/SER_summary!E$27)</f>
        <v>4.8933020056182679</v>
      </c>
      <c r="F22" s="132">
        <f>IF(SER_hh_emih_in!F22=0,0,SER_hh_emih_in!F22/SER_summary!F$27)</f>
        <v>4.9272055723032064</v>
      </c>
      <c r="G22" s="132">
        <f>IF(SER_hh_emih_in!G22=0,0,SER_hh_emih_in!G22/SER_summary!G$27)</f>
        <v>4.5799359110998017</v>
      </c>
      <c r="H22" s="132">
        <f>IF(SER_hh_emih_in!H22=0,0,SER_hh_emih_in!H22/SER_summary!H$27)</f>
        <v>4.7024046433468376</v>
      </c>
      <c r="I22" s="132">
        <f>IF(SER_hh_emih_in!I22=0,0,SER_hh_emih_in!I22/SER_summary!I$27)</f>
        <v>4.5356100723217336</v>
      </c>
      <c r="J22" s="132">
        <f>IF(SER_hh_emih_in!J22=0,0,SER_hh_emih_in!J22/SER_summary!J$27)</f>
        <v>3.5379392336645727</v>
      </c>
      <c r="K22" s="132">
        <f>IF(SER_hh_emih_in!K22=0,0,SER_hh_emih_in!K22/SER_summary!K$27)</f>
        <v>4.2036706506415937</v>
      </c>
      <c r="L22" s="132">
        <f>IF(SER_hh_emih_in!L22=0,0,SER_hh_emih_in!L22/SER_summary!L$27)</f>
        <v>3.7439325075207561</v>
      </c>
      <c r="M22" s="132">
        <f>IF(SER_hh_emih_in!M22=0,0,SER_hh_emih_in!M22/SER_summary!M$27)</f>
        <v>4.3473156508742621</v>
      </c>
      <c r="N22" s="132">
        <f>IF(SER_hh_emih_in!N22=0,0,SER_hh_emih_in!N22/SER_summary!N$27)</f>
        <v>4.2570077458971332</v>
      </c>
      <c r="O22" s="132">
        <f>IF(SER_hh_emih_in!O22=0,0,SER_hh_emih_in!O22/SER_summary!O$27)</f>
        <v>4.3420279738219891</v>
      </c>
      <c r="P22" s="132">
        <f>IF(SER_hh_emih_in!P22=0,0,SER_hh_emih_in!P22/SER_summary!P$27)</f>
        <v>3.9688685095331295</v>
      </c>
      <c r="Q22" s="132">
        <f>IF(SER_hh_emih_in!Q22=0,0,SER_hh_emih_in!Q22/SER_summary!Q$27)</f>
        <v>3.8599815811963438</v>
      </c>
      <c r="R22" s="132">
        <f>IF(SER_hh_emih_in!R22=0,0,SER_hh_emih_in!R22/SER_summary!R$27)</f>
        <v>3.6380276122653323</v>
      </c>
      <c r="S22" s="132">
        <f>IF(SER_hh_emih_in!S22=0,0,SER_hh_emih_in!S22/SER_summary!S$27)</f>
        <v>3.5548144395995398</v>
      </c>
      <c r="T22" s="132">
        <f>IF(SER_hh_emih_in!T22=0,0,SER_hh_emih_in!T22/SER_summary!T$27)</f>
        <v>3.5230695842574189</v>
      </c>
      <c r="U22" s="132">
        <f>IF(SER_hh_emih_in!U22=0,0,SER_hh_emih_in!U22/SER_summary!U$27)</f>
        <v>3.2540503845523592</v>
      </c>
      <c r="V22" s="132">
        <f>IF(SER_hh_emih_in!V22=0,0,SER_hh_emih_in!V22/SER_summary!V$27)</f>
        <v>2.328785659814578</v>
      </c>
      <c r="W22" s="132">
        <f>IF(SER_hh_emih_in!W22=0,0,SER_hh_emih_in!W22/SER_summary!W$27)</f>
        <v>3.2803218030217938</v>
      </c>
      <c r="X22" s="132">
        <f>IF(SER_hh_emih_in!X22=0,0,SER_hh_emih_in!X22/SER_summary!X$27)</f>
        <v>2.6610228111802998</v>
      </c>
      <c r="Y22" s="132">
        <f>IF(SER_hh_emih_in!Y22=0,0,SER_hh_emih_in!Y22/SER_summary!Y$27)</f>
        <v>3.4048485699501287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3.3500394610367055</v>
      </c>
      <c r="D23" s="132">
        <f>IF(SER_hh_emih_in!D23=0,0,SER_hh_emih_in!D23/SER_summary!D$27)</f>
        <v>3.3546057756847922</v>
      </c>
      <c r="E23" s="132">
        <f>IF(SER_hh_emih_in!E23=0,0,SER_hh_emih_in!E23/SER_summary!E$27)</f>
        <v>3.2577581813569112</v>
      </c>
      <c r="F23" s="132">
        <f>IF(SER_hh_emih_in!F23=0,0,SER_hh_emih_in!F23/SER_summary!F$27)</f>
        <v>3.2208946381581938</v>
      </c>
      <c r="G23" s="132">
        <f>IF(SER_hh_emih_in!G23=0,0,SER_hh_emih_in!G23/SER_summary!G$27)</f>
        <v>3.0991297885721063</v>
      </c>
      <c r="H23" s="132">
        <f>IF(SER_hh_emih_in!H23=0,0,SER_hh_emih_in!H23/SER_summary!H$27)</f>
        <v>3.1329314156177386</v>
      </c>
      <c r="I23" s="132">
        <f>IF(SER_hh_emih_in!I23=0,0,SER_hh_emih_in!I23/SER_summary!I$27)</f>
        <v>3.1283648794356953</v>
      </c>
      <c r="J23" s="132">
        <f>IF(SER_hh_emih_in!J23=0,0,SER_hh_emih_in!J23/SER_summary!J$27)</f>
        <v>2.615171109039828</v>
      </c>
      <c r="K23" s="132">
        <f>IF(SER_hh_emih_in!K23=0,0,SER_hh_emih_in!K23/SER_summary!K$27)</f>
        <v>2.9039612431249631</v>
      </c>
      <c r="L23" s="132">
        <f>IF(SER_hh_emih_in!L23=0,0,SER_hh_emih_in!L23/SER_summary!L$27)</f>
        <v>2.5892312312360759</v>
      </c>
      <c r="M23" s="132">
        <f>IF(SER_hh_emih_in!M23=0,0,SER_hh_emih_in!M23/SER_summary!M$27)</f>
        <v>2.9591012095698623</v>
      </c>
      <c r="N23" s="132">
        <f>IF(SER_hh_emih_in!N23=0,0,SER_hh_emih_in!N23/SER_summary!N$27)</f>
        <v>2.9163025486777867</v>
      </c>
      <c r="O23" s="132">
        <f>IF(SER_hh_emih_in!O23=0,0,SER_hh_emih_in!O23/SER_summary!O$27)</f>
        <v>3.020528641725273</v>
      </c>
      <c r="P23" s="132">
        <f>IF(SER_hh_emih_in!P23=0,0,SER_hh_emih_in!P23/SER_summary!P$27)</f>
        <v>2.7510162393283459</v>
      </c>
      <c r="Q23" s="132">
        <f>IF(SER_hh_emih_in!Q23=0,0,SER_hh_emih_in!Q23/SER_summary!Q$27)</f>
        <v>2.7006523547444843</v>
      </c>
      <c r="R23" s="132">
        <f>IF(SER_hh_emih_in!R23=0,0,SER_hh_emih_in!R23/SER_summary!R$27)</f>
        <v>2.6462591667002218</v>
      </c>
      <c r="S23" s="132">
        <f>IF(SER_hh_emih_in!S23=0,0,SER_hh_emih_in!S23/SER_summary!S$27)</f>
        <v>2.6169395902706762</v>
      </c>
      <c r="T23" s="132">
        <f>IF(SER_hh_emih_in!T23=0,0,SER_hh_emih_in!T23/SER_summary!T$27)</f>
        <v>2.6390327757156231</v>
      </c>
      <c r="U23" s="132">
        <f>IF(SER_hh_emih_in!U23=0,0,SER_hh_emih_in!U23/SER_summary!U$27)</f>
        <v>2.5081850849523075</v>
      </c>
      <c r="V23" s="132">
        <f>IF(SER_hh_emih_in!V23=0,0,SER_hh_emih_in!V23/SER_summary!V$27)</f>
        <v>1.6122661184147544</v>
      </c>
      <c r="W23" s="132">
        <f>IF(SER_hh_emih_in!W23=0,0,SER_hh_emih_in!W23/SER_summary!W$27)</f>
        <v>2.4359838095419737</v>
      </c>
      <c r="X23" s="132">
        <f>IF(SER_hh_emih_in!X23=0,0,SER_hh_emih_in!X23/SER_summary!X$27)</f>
        <v>1.9060130101167168</v>
      </c>
      <c r="Y23" s="132">
        <f>IF(SER_hh_emih_in!Y23=0,0,SER_hh_emih_in!Y23/SER_summary!Y$27)</f>
        <v>2.5541047059869566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0.59133800183104379</v>
      </c>
      <c r="D29" s="130">
        <f>IF(SER_hh_emih_in!D29=0,0,SER_hh_emih_in!D29/SER_summary!D$27)</f>
        <v>2.2923236192586396</v>
      </c>
      <c r="E29" s="130">
        <f>IF(SER_hh_emih_in!E29=0,0,SER_hh_emih_in!E29/SER_summary!E$27)</f>
        <v>2.463502228379689</v>
      </c>
      <c r="F29" s="130">
        <f>IF(SER_hh_emih_in!F29=0,0,SER_hh_emih_in!F29/SER_summary!F$27)</f>
        <v>2.808245550255239</v>
      </c>
      <c r="G29" s="130">
        <f>IF(SER_hh_emih_in!G29=0,0,SER_hh_emih_in!G29/SER_summary!G$27)</f>
        <v>3.6369426772289586</v>
      </c>
      <c r="H29" s="130">
        <f>IF(SER_hh_emih_in!H29=0,0,SER_hh_emih_in!H29/SER_summary!H$27)</f>
        <v>1.7080668528921552</v>
      </c>
      <c r="I29" s="130">
        <f>IF(SER_hh_emih_in!I29=0,0,SER_hh_emih_in!I29/SER_summary!I$27)</f>
        <v>1.6982517815910232</v>
      </c>
      <c r="J29" s="130">
        <f>IF(SER_hh_emih_in!J29=0,0,SER_hh_emih_in!J29/SER_summary!J$27)</f>
        <v>0.92530937567112048</v>
      </c>
      <c r="K29" s="130">
        <f>IF(SER_hh_emih_in!K29=0,0,SER_hh_emih_in!K29/SER_summary!K$27)</f>
        <v>0.53921601711806555</v>
      </c>
      <c r="L29" s="130">
        <f>IF(SER_hh_emih_in!L29=0,0,SER_hh_emih_in!L29/SER_summary!L$27)</f>
        <v>0.56101213211593004</v>
      </c>
      <c r="M29" s="130">
        <f>IF(SER_hh_emih_in!M29=0,0,SER_hh_emih_in!M29/SER_summary!M$27)</f>
        <v>0.99642857689854147</v>
      </c>
      <c r="N29" s="130">
        <f>IF(SER_hh_emih_in!N29=0,0,SER_hh_emih_in!N29/SER_summary!N$27)</f>
        <v>0.77586394788178059</v>
      </c>
      <c r="O29" s="130">
        <f>IF(SER_hh_emih_in!O29=0,0,SER_hh_emih_in!O29/SER_summary!O$27)</f>
        <v>3.0156770192464979</v>
      </c>
      <c r="P29" s="130">
        <f>IF(SER_hh_emih_in!P29=0,0,SER_hh_emih_in!P29/SER_summary!P$27)</f>
        <v>4.260768741414581</v>
      </c>
      <c r="Q29" s="130">
        <f>IF(SER_hh_emih_in!Q29=0,0,SER_hh_emih_in!Q29/SER_summary!Q$27)</f>
        <v>3.3751806198683356</v>
      </c>
      <c r="R29" s="130">
        <f>IF(SER_hh_emih_in!R29=0,0,SER_hh_emih_in!R29/SER_summary!R$27)</f>
        <v>2.2708342277862124</v>
      </c>
      <c r="S29" s="130">
        <f>IF(SER_hh_emih_in!S29=0,0,SER_hh_emih_in!S29/SER_summary!S$27)</f>
        <v>1.9498064292109132</v>
      </c>
      <c r="T29" s="130">
        <f>IF(SER_hh_emih_in!T29=0,0,SER_hh_emih_in!T29/SER_summary!T$27)</f>
        <v>2.0897320796917547</v>
      </c>
      <c r="U29" s="130">
        <f>IF(SER_hh_emih_in!U29=0,0,SER_hh_emih_in!U29/SER_summary!U$27)</f>
        <v>0.85026459259618092</v>
      </c>
      <c r="V29" s="130">
        <f>IF(SER_hh_emih_in!V29=0,0,SER_hh_emih_in!V29/SER_summary!V$27)</f>
        <v>0.45603551110883828</v>
      </c>
      <c r="W29" s="130">
        <f>IF(SER_hh_emih_in!W29=0,0,SER_hh_emih_in!W29/SER_summary!W$27)</f>
        <v>0.34010874782963069</v>
      </c>
      <c r="X29" s="130">
        <f>IF(SER_hh_emih_in!X29=0,0,SER_hh_emih_in!X29/SER_summary!X$27)</f>
        <v>0.78613485271652705</v>
      </c>
      <c r="Y29" s="130">
        <f>IF(SER_hh_emih_in!Y29=0,0,SER_hh_emih_in!Y29/SER_summary!Y$27)</f>
        <v>2.2780092832665688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3.0125622977816464</v>
      </c>
      <c r="D30" s="132">
        <f>IF(SER_hh_emih_in!D30=0,0,SER_hh_emih_in!D30/SER_summary!D$27)</f>
        <v>4.2411095085078587</v>
      </c>
      <c r="E30" s="132">
        <f>IF(SER_hh_emih_in!E30=0,0,SER_hh_emih_in!E30/SER_summary!E$27)</f>
        <v>3.9838935397258841</v>
      </c>
      <c r="F30" s="132">
        <f>IF(SER_hh_emih_in!F30=0,0,SER_hh_emih_in!F30/SER_summary!F$27)</f>
        <v>3.9402441980317295</v>
      </c>
      <c r="G30" s="132">
        <f>IF(SER_hh_emih_in!G30=0,0,SER_hh_emih_in!G30/SER_summary!G$27)</f>
        <v>4.9723506396730439</v>
      </c>
      <c r="H30" s="132">
        <f>IF(SER_hh_emih_in!H30=0,0,SER_hh_emih_in!H30/SER_summary!H$27)</f>
        <v>4.1804669650737667</v>
      </c>
      <c r="I30" s="132">
        <f>IF(SER_hh_emih_in!I30=0,0,SER_hh_emih_in!I30/SER_summary!I$27)</f>
        <v>4.2227281521346658</v>
      </c>
      <c r="J30" s="132">
        <f>IF(SER_hh_emih_in!J30=0,0,SER_hh_emih_in!J30/SER_summary!J$27)</f>
        <v>4.9575714320763336</v>
      </c>
      <c r="K30" s="132">
        <f>IF(SER_hh_emih_in!K30=0,0,SER_hh_emih_in!K30/SER_summary!K$27)</f>
        <v>0</v>
      </c>
      <c r="L30" s="132">
        <f>IF(SER_hh_emih_in!L30=0,0,SER_hh_emih_in!L30/SER_summary!L$27)</f>
        <v>0</v>
      </c>
      <c r="M30" s="132">
        <f>IF(SER_hh_emih_in!M30=0,0,SER_hh_emih_in!M30/SER_summary!M$27)</f>
        <v>0</v>
      </c>
      <c r="N30" s="132">
        <f>IF(SER_hh_emih_in!N30=0,0,SER_hh_emih_in!N30/SER_summary!N$27)</f>
        <v>3.2194661001073914</v>
      </c>
      <c r="O30" s="132">
        <f>IF(SER_hh_emih_in!O30=0,0,SER_hh_emih_in!O30/SER_summary!O$27)</f>
        <v>3.2251621282025056</v>
      </c>
      <c r="P30" s="132">
        <f>IF(SER_hh_emih_in!P30=0,0,SER_hh_emih_in!P30/SER_summary!P$27)</f>
        <v>4.9229326099321815</v>
      </c>
      <c r="Q30" s="132">
        <f>IF(SER_hh_emih_in!Q30=0,0,SER_hh_emih_in!Q30/SER_summary!Q$27)</f>
        <v>4.8118435561142361</v>
      </c>
      <c r="R30" s="132">
        <f>IF(SER_hh_emih_in!R30=0,0,SER_hh_emih_in!R30/SER_summary!R$27)</f>
        <v>4.2209098525298288</v>
      </c>
      <c r="S30" s="132">
        <f>IF(SER_hh_emih_in!S30=0,0,SER_hh_emih_in!S30/SER_summary!S$27)</f>
        <v>4.0408484078489524</v>
      </c>
      <c r="T30" s="132">
        <f>IF(SER_hh_emih_in!T30=0,0,SER_hh_emih_in!T30/SER_summary!T$27)</f>
        <v>5.0791463479014549</v>
      </c>
      <c r="U30" s="132">
        <f>IF(SER_hh_emih_in!U30=0,0,SER_hh_emih_in!U30/SER_summary!U$27)</f>
        <v>4.9856165995748887</v>
      </c>
      <c r="V30" s="132">
        <f>IF(SER_hh_emih_in!V30=0,0,SER_hh_emih_in!V30/SER_summary!V$27)</f>
        <v>0</v>
      </c>
      <c r="W30" s="132">
        <f>IF(SER_hh_emih_in!W30=0,0,SER_hh_emih_in!W30/SER_summary!W$27)</f>
        <v>0</v>
      </c>
      <c r="X30" s="132">
        <f>IF(SER_hh_emih_in!X30=0,0,SER_hh_emih_in!X30/SER_summary!X$27)</f>
        <v>4.7414669023854428</v>
      </c>
      <c r="Y30" s="132">
        <f>IF(SER_hh_emih_in!Y30=0,0,SER_hh_emih_in!Y30/SER_summary!Y$27)</f>
        <v>4.4982651672449219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3.3303682062585227</v>
      </c>
      <c r="D31" s="132">
        <f>IF(SER_hh_emih_in!D31=0,0,SER_hh_emih_in!D31/SER_summary!D$27)</f>
        <v>3.582990605269412</v>
      </c>
      <c r="E31" s="132">
        <f>IF(SER_hh_emih_in!E31=0,0,SER_hh_emih_in!E31/SER_summary!E$27)</f>
        <v>3.550767074052307</v>
      </c>
      <c r="F31" s="132">
        <f>IF(SER_hh_emih_in!F31=0,0,SER_hh_emih_in!F31/SER_summary!F$27)</f>
        <v>3.7599025266953312</v>
      </c>
      <c r="G31" s="132">
        <f>IF(SER_hh_emih_in!G31=0,0,SER_hh_emih_in!G31/SER_summary!G$27)</f>
        <v>3.8200912600428647</v>
      </c>
      <c r="H31" s="132">
        <f>IF(SER_hh_emih_in!H31=0,0,SER_hh_emih_in!H31/SER_summary!H$27)</f>
        <v>3.8254496929423087</v>
      </c>
      <c r="I31" s="132">
        <f>IF(SER_hh_emih_in!I31=0,0,SER_hh_emih_in!I31/SER_summary!I$27)</f>
        <v>3.7844787736341732</v>
      </c>
      <c r="J31" s="132">
        <f>IF(SER_hh_emih_in!J31=0,0,SER_hh_emih_in!J31/SER_summary!J$27)</f>
        <v>3.6451161276251964</v>
      </c>
      <c r="K31" s="132">
        <f>IF(SER_hh_emih_in!K31=0,0,SER_hh_emih_in!K31/SER_summary!K$27)</f>
        <v>3.6783557780545104</v>
      </c>
      <c r="L31" s="132">
        <f>IF(SER_hh_emih_in!L31=0,0,SER_hh_emih_in!L31/SER_summary!L$27)</f>
        <v>4.0905057886432594</v>
      </c>
      <c r="M31" s="132">
        <f>IF(SER_hh_emih_in!M31=0,0,SER_hh_emih_in!M31/SER_summary!M$27)</f>
        <v>3.8181961161453066</v>
      </c>
      <c r="N31" s="132">
        <f>IF(SER_hh_emih_in!N31=0,0,SER_hh_emih_in!N31/SER_summary!N$27)</f>
        <v>3.5752069414375365</v>
      </c>
      <c r="O31" s="132">
        <f>IF(SER_hh_emih_in!O31=0,0,SER_hh_emih_in!O31/SER_summary!O$27)</f>
        <v>3.9533899388331455</v>
      </c>
      <c r="P31" s="132">
        <f>IF(SER_hh_emih_in!P31=0,0,SER_hh_emih_in!P31/SER_summary!P$27)</f>
        <v>3.7217864118668351</v>
      </c>
      <c r="Q31" s="132">
        <f>IF(SER_hh_emih_in!Q31=0,0,SER_hh_emih_in!Q31/SER_summary!Q$27)</f>
        <v>3.9237848165383036</v>
      </c>
      <c r="R31" s="132">
        <f>IF(SER_hh_emih_in!R31=0,0,SER_hh_emih_in!R31/SER_summary!R$27)</f>
        <v>3.9496576465470259</v>
      </c>
      <c r="S31" s="132">
        <f>IF(SER_hh_emih_in!S31=0,0,SER_hh_emih_in!S31/SER_summary!S$27)</f>
        <v>3.9025609285816261</v>
      </c>
      <c r="T31" s="132">
        <f>IF(SER_hh_emih_in!T31=0,0,SER_hh_emih_in!T31/SER_summary!T$27)</f>
        <v>3.8871570868380783</v>
      </c>
      <c r="U31" s="132">
        <f>IF(SER_hh_emih_in!U31=0,0,SER_hh_emih_in!U31/SER_summary!U$27)</f>
        <v>3.9917683707197869</v>
      </c>
      <c r="V31" s="132">
        <f>IF(SER_hh_emih_in!V31=0,0,SER_hh_emih_in!V31/SER_summary!V$27)</f>
        <v>3.7827408779083211</v>
      </c>
      <c r="W31" s="132">
        <f>IF(SER_hh_emih_in!W31=0,0,SER_hh_emih_in!W31/SER_summary!W$27)</f>
        <v>3.7290379086540657</v>
      </c>
      <c r="X31" s="132">
        <f>IF(SER_hh_emih_in!X31=0,0,SER_hh_emih_in!X31/SER_summary!X$27)</f>
        <v>3.7267844708667344</v>
      </c>
      <c r="Y31" s="132">
        <f>IF(SER_hh_emih_in!Y31=0,0,SER_hh_emih_in!Y31/SER_summary!Y$27)</f>
        <v>3.9705428364124278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597.41498902854869</v>
      </c>
      <c r="C3" s="179">
        <f t="shared" ref="C3:W3" si="1">SUM(C4:C9)</f>
        <v>623.20157736037481</v>
      </c>
      <c r="D3" s="179">
        <f t="shared" si="1"/>
        <v>642.07073988301204</v>
      </c>
      <c r="E3" s="179">
        <f t="shared" si="1"/>
        <v>658.2536205974958</v>
      </c>
      <c r="F3" s="179">
        <f t="shared" si="1"/>
        <v>677.09283227472531</v>
      </c>
      <c r="G3" s="179">
        <f t="shared" si="1"/>
        <v>696.0906589534593</v>
      </c>
      <c r="H3" s="179">
        <f t="shared" si="1"/>
        <v>714.91268826032035</v>
      </c>
      <c r="I3" s="179">
        <f t="shared" si="1"/>
        <v>730.55135180423588</v>
      </c>
      <c r="J3" s="179">
        <f t="shared" si="1"/>
        <v>743.68601604815694</v>
      </c>
      <c r="K3" s="179">
        <f t="shared" si="1"/>
        <v>751.86532475696401</v>
      </c>
      <c r="L3" s="179">
        <f t="shared" si="1"/>
        <v>760.36212639377345</v>
      </c>
      <c r="M3" s="179">
        <f t="shared" si="1"/>
        <v>767.25652352047962</v>
      </c>
      <c r="N3" s="179">
        <f t="shared" si="1"/>
        <v>774.09693795659052</v>
      </c>
      <c r="O3" s="179">
        <f t="shared" si="1"/>
        <v>780.54296060408058</v>
      </c>
      <c r="P3" s="179">
        <f t="shared" si="1"/>
        <v>789.09579649015507</v>
      </c>
      <c r="Q3" s="179">
        <f t="shared" si="1"/>
        <v>803.69828261206931</v>
      </c>
      <c r="R3" s="179">
        <f t="shared" si="1"/>
        <v>791.7046236700595</v>
      </c>
      <c r="S3" s="179">
        <f t="shared" si="1"/>
        <v>794.52921756805142</v>
      </c>
      <c r="T3" s="179">
        <f t="shared" si="1"/>
        <v>779.25171688761918</v>
      </c>
      <c r="U3" s="179">
        <f t="shared" si="1"/>
        <v>760.21131707959103</v>
      </c>
      <c r="V3" s="179">
        <f t="shared" si="1"/>
        <v>709.01158181840685</v>
      </c>
      <c r="W3" s="179">
        <f t="shared" si="1"/>
        <v>683.76920250163835</v>
      </c>
      <c r="X3" s="179">
        <f t="shared" ref="X3:Y3" si="2">SUM(X4:X9)</f>
        <v>687.06711308506988</v>
      </c>
      <c r="Y3" s="179">
        <f t="shared" si="2"/>
        <v>681.03792311772565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31.661366535556635</v>
      </c>
      <c r="C4" s="180">
        <f t="shared" ref="C4:R9" si="4">C12*C44/11630</f>
        <v>32.883773498921606</v>
      </c>
      <c r="D4" s="180">
        <f t="shared" si="4"/>
        <v>33.66787373252631</v>
      </c>
      <c r="E4" s="180">
        <f t="shared" si="4"/>
        <v>34.380187615281194</v>
      </c>
      <c r="F4" s="180">
        <f t="shared" si="4"/>
        <v>35.309390905013665</v>
      </c>
      <c r="G4" s="180">
        <f t="shared" si="4"/>
        <v>36.370359886888714</v>
      </c>
      <c r="H4" s="180">
        <f t="shared" si="4"/>
        <v>37.648971207855048</v>
      </c>
      <c r="I4" s="180">
        <f t="shared" si="4"/>
        <v>38.624809467202915</v>
      </c>
      <c r="J4" s="180">
        <f t="shared" si="4"/>
        <v>39.415976813087305</v>
      </c>
      <c r="K4" s="180">
        <f t="shared" si="4"/>
        <v>39.915012367565822</v>
      </c>
      <c r="L4" s="180">
        <f t="shared" si="4"/>
        <v>40.403860538683574</v>
      </c>
      <c r="M4" s="180">
        <f t="shared" si="4"/>
        <v>40.800133543333438</v>
      </c>
      <c r="N4" s="180">
        <f t="shared" si="4"/>
        <v>41.06022380493053</v>
      </c>
      <c r="O4" s="180">
        <f t="shared" si="4"/>
        <v>41.418012927790038</v>
      </c>
      <c r="P4" s="180">
        <f t="shared" si="4"/>
        <v>41.775951233529916</v>
      </c>
      <c r="Q4" s="180">
        <f t="shared" si="4"/>
        <v>42.193174935873728</v>
      </c>
      <c r="R4" s="180">
        <f t="shared" si="4"/>
        <v>42.652325199627064</v>
      </c>
      <c r="S4" s="180">
        <f t="shared" ref="D4:W9" si="5">S12*S44/11630</f>
        <v>43.177993861701104</v>
      </c>
      <c r="T4" s="180">
        <f t="shared" si="5"/>
        <v>43.639917388055885</v>
      </c>
      <c r="U4" s="180">
        <f t="shared" si="5"/>
        <v>44.129940467462674</v>
      </c>
      <c r="V4" s="180">
        <f t="shared" si="5"/>
        <v>44.661650447992123</v>
      </c>
      <c r="W4" s="180">
        <f t="shared" si="5"/>
        <v>45.136828756061149</v>
      </c>
      <c r="X4" s="180">
        <f t="shared" ref="X4:Y4" si="6">X12*X44/11630</f>
        <v>45.160805023848972</v>
      </c>
      <c r="Y4" s="180">
        <f t="shared" si="6"/>
        <v>44.952107765373498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95.7587381952752</v>
      </c>
      <c r="C5" s="180">
        <f t="shared" si="4"/>
        <v>97.111646700514356</v>
      </c>
      <c r="D5" s="180">
        <f t="shared" si="5"/>
        <v>98.2796913285394</v>
      </c>
      <c r="E5" s="180">
        <f t="shared" si="5"/>
        <v>99.316264090008829</v>
      </c>
      <c r="F5" s="180">
        <f t="shared" si="5"/>
        <v>99.67507814313835</v>
      </c>
      <c r="G5" s="180">
        <f t="shared" si="5"/>
        <v>100.13242275360084</v>
      </c>
      <c r="H5" s="180">
        <f t="shared" si="5"/>
        <v>100.19490690193295</v>
      </c>
      <c r="I5" s="180">
        <f t="shared" si="5"/>
        <v>100.38796087893587</v>
      </c>
      <c r="J5" s="180">
        <f t="shared" si="5"/>
        <v>101.14848281438535</v>
      </c>
      <c r="K5" s="180">
        <f t="shared" si="5"/>
        <v>101.71714202535908</v>
      </c>
      <c r="L5" s="180">
        <f t="shared" si="5"/>
        <v>102.8340144131239</v>
      </c>
      <c r="M5" s="180">
        <f t="shared" si="5"/>
        <v>104.0565947451902</v>
      </c>
      <c r="N5" s="180">
        <f t="shared" si="5"/>
        <v>105.04530726588744</v>
      </c>
      <c r="O5" s="180">
        <f t="shared" si="5"/>
        <v>105.97232296645552</v>
      </c>
      <c r="P5" s="180">
        <f t="shared" si="5"/>
        <v>107.07372359824002</v>
      </c>
      <c r="Q5" s="180">
        <f t="shared" si="5"/>
        <v>108.8463301172312</v>
      </c>
      <c r="R5" s="180">
        <f t="shared" si="5"/>
        <v>105.87815688986811</v>
      </c>
      <c r="S5" s="180">
        <f t="shared" si="5"/>
        <v>104.77408335229119</v>
      </c>
      <c r="T5" s="180">
        <f t="shared" si="5"/>
        <v>101.41997411872093</v>
      </c>
      <c r="U5" s="180">
        <f t="shared" si="5"/>
        <v>97.571919994541005</v>
      </c>
      <c r="V5" s="180">
        <f t="shared" si="5"/>
        <v>93.520423157839559</v>
      </c>
      <c r="W5" s="180">
        <f t="shared" si="5"/>
        <v>89.580492923546629</v>
      </c>
      <c r="X5" s="180">
        <f t="shared" ref="X5:Y5" si="7">X13*X45/11630</f>
        <v>85.937448084514045</v>
      </c>
      <c r="Y5" s="180">
        <f t="shared" si="7"/>
        <v>83.927742068671364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229.16556383596435</v>
      </c>
      <c r="C6" s="180">
        <f t="shared" si="4"/>
        <v>237.78321934457307</v>
      </c>
      <c r="D6" s="180">
        <f t="shared" si="5"/>
        <v>241.14775570722659</v>
      </c>
      <c r="E6" s="180">
        <f t="shared" si="5"/>
        <v>243.41434061389967</v>
      </c>
      <c r="F6" s="180">
        <f t="shared" si="5"/>
        <v>247.38881794042919</v>
      </c>
      <c r="G6" s="180">
        <f t="shared" si="5"/>
        <v>250.60900593669248</v>
      </c>
      <c r="H6" s="180">
        <f t="shared" si="5"/>
        <v>254.45113536413132</v>
      </c>
      <c r="I6" s="180">
        <f t="shared" si="5"/>
        <v>258.3823927075361</v>
      </c>
      <c r="J6" s="180">
        <f t="shared" si="5"/>
        <v>262.04844862817203</v>
      </c>
      <c r="K6" s="180">
        <f t="shared" si="5"/>
        <v>263.32526109363897</v>
      </c>
      <c r="L6" s="180">
        <f t="shared" si="5"/>
        <v>265.00910087331727</v>
      </c>
      <c r="M6" s="180">
        <f t="shared" si="5"/>
        <v>268.08870467524292</v>
      </c>
      <c r="N6" s="180">
        <f t="shared" si="5"/>
        <v>270.90535528030546</v>
      </c>
      <c r="O6" s="180">
        <f t="shared" si="5"/>
        <v>273.29610520335638</v>
      </c>
      <c r="P6" s="180">
        <f t="shared" si="5"/>
        <v>275.43638617996226</v>
      </c>
      <c r="Q6" s="180">
        <f t="shared" si="5"/>
        <v>277.6730281106224</v>
      </c>
      <c r="R6" s="180">
        <f t="shared" si="5"/>
        <v>266.69686123608733</v>
      </c>
      <c r="S6" s="180">
        <f t="shared" si="5"/>
        <v>263.42270314151637</v>
      </c>
      <c r="T6" s="180">
        <f t="shared" si="5"/>
        <v>247.62011548550916</v>
      </c>
      <c r="U6" s="180">
        <f t="shared" si="5"/>
        <v>229.98418120062939</v>
      </c>
      <c r="V6" s="180">
        <f t="shared" si="5"/>
        <v>196.99278089256916</v>
      </c>
      <c r="W6" s="180">
        <f t="shared" si="5"/>
        <v>179.59633690400869</v>
      </c>
      <c r="X6" s="180">
        <f t="shared" ref="X6:Y6" si="8">X14*X46/11630</f>
        <v>178.99809823839104</v>
      </c>
      <c r="Y6" s="180">
        <f t="shared" si="8"/>
        <v>171.45917280431379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108.93933845057953</v>
      </c>
      <c r="C7" s="180">
        <f t="shared" si="4"/>
        <v>113.76512892349052</v>
      </c>
      <c r="D7" s="180">
        <f t="shared" si="5"/>
        <v>118.93377681959007</v>
      </c>
      <c r="E7" s="180">
        <f t="shared" si="5"/>
        <v>123.25795281651448</v>
      </c>
      <c r="F7" s="180">
        <f t="shared" si="5"/>
        <v>128.18025505705666</v>
      </c>
      <c r="G7" s="180">
        <f t="shared" si="5"/>
        <v>132.50205497885563</v>
      </c>
      <c r="H7" s="180">
        <f t="shared" si="5"/>
        <v>136.06494476637863</v>
      </c>
      <c r="I7" s="180">
        <f t="shared" si="5"/>
        <v>137.68859150213126</v>
      </c>
      <c r="J7" s="180">
        <f t="shared" si="5"/>
        <v>138.38150536594324</v>
      </c>
      <c r="K7" s="180">
        <f t="shared" si="5"/>
        <v>138.62929890357941</v>
      </c>
      <c r="L7" s="180">
        <f t="shared" si="5"/>
        <v>138.72619928215542</v>
      </c>
      <c r="M7" s="180">
        <f t="shared" si="5"/>
        <v>138.44207071242104</v>
      </c>
      <c r="N7" s="180">
        <f t="shared" si="5"/>
        <v>138.16008634656509</v>
      </c>
      <c r="O7" s="180">
        <f t="shared" si="5"/>
        <v>137.89813400666881</v>
      </c>
      <c r="P7" s="180">
        <f t="shared" si="5"/>
        <v>137.99830582646678</v>
      </c>
      <c r="Q7" s="180">
        <f t="shared" si="5"/>
        <v>138.92448851846206</v>
      </c>
      <c r="R7" s="180">
        <f t="shared" si="5"/>
        <v>137.8769641844425</v>
      </c>
      <c r="S7" s="180">
        <f t="shared" si="5"/>
        <v>137.09391530454045</v>
      </c>
      <c r="T7" s="180">
        <f t="shared" si="5"/>
        <v>136.35565519471669</v>
      </c>
      <c r="U7" s="180">
        <f t="shared" si="5"/>
        <v>135.45673328234446</v>
      </c>
      <c r="V7" s="180">
        <f t="shared" si="5"/>
        <v>134.3178978066347</v>
      </c>
      <c r="W7" s="180">
        <f t="shared" si="5"/>
        <v>132.57146861680528</v>
      </c>
      <c r="X7" s="180">
        <f t="shared" ref="X7:Y7" si="9">X15*X47/11630</f>
        <v>130.61875801963754</v>
      </c>
      <c r="Y7" s="180">
        <f t="shared" si="9"/>
        <v>129.41464088531947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70.471116054656278</v>
      </c>
      <c r="C8" s="55">
        <f t="shared" si="4"/>
        <v>75.138764198870874</v>
      </c>
      <c r="D8" s="55">
        <f t="shared" si="5"/>
        <v>78.897684222406227</v>
      </c>
      <c r="E8" s="55">
        <f t="shared" si="5"/>
        <v>82.304882048085659</v>
      </c>
      <c r="F8" s="55">
        <f t="shared" si="5"/>
        <v>86.224711568194053</v>
      </c>
      <c r="G8" s="55">
        <f t="shared" si="5"/>
        <v>90.994734410452494</v>
      </c>
      <c r="H8" s="55">
        <f t="shared" si="5"/>
        <v>96.319341634521265</v>
      </c>
      <c r="I8" s="55">
        <f t="shared" si="5"/>
        <v>100.85604610860671</v>
      </c>
      <c r="J8" s="55">
        <f t="shared" si="5"/>
        <v>103.71381480564341</v>
      </c>
      <c r="K8" s="55">
        <f t="shared" si="5"/>
        <v>106.09076968617087</v>
      </c>
      <c r="L8" s="55">
        <f t="shared" si="5"/>
        <v>107.64103031047915</v>
      </c>
      <c r="M8" s="55">
        <f t="shared" si="5"/>
        <v>108.86112169340312</v>
      </c>
      <c r="N8" s="55">
        <f t="shared" si="5"/>
        <v>109.35672607678563</v>
      </c>
      <c r="O8" s="55">
        <f t="shared" si="5"/>
        <v>109.4348659870451</v>
      </c>
      <c r="P8" s="55">
        <f t="shared" si="5"/>
        <v>108.87143888999634</v>
      </c>
      <c r="Q8" s="55">
        <f t="shared" si="5"/>
        <v>107.94829444720067</v>
      </c>
      <c r="R8" s="55">
        <f t="shared" si="5"/>
        <v>107.38619915119048</v>
      </c>
      <c r="S8" s="55">
        <f t="shared" si="5"/>
        <v>109.57525794709841</v>
      </c>
      <c r="T8" s="55">
        <f t="shared" si="5"/>
        <v>110.1553671741308</v>
      </c>
      <c r="U8" s="55">
        <f t="shared" si="5"/>
        <v>110.08746819007823</v>
      </c>
      <c r="V8" s="55">
        <f t="shared" si="5"/>
        <v>100.76137581144614</v>
      </c>
      <c r="W8" s="55">
        <f t="shared" si="5"/>
        <v>98.259046839688679</v>
      </c>
      <c r="X8" s="55">
        <f t="shared" ref="X8:Y8" si="10">X16*X48/11630</f>
        <v>103.97758862522416</v>
      </c>
      <c r="Y8" s="55">
        <f t="shared" si="10"/>
        <v>106.6654790320636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61.418865956516719</v>
      </c>
      <c r="C9" s="63">
        <f t="shared" si="4"/>
        <v>66.519044694004421</v>
      </c>
      <c r="D9" s="63">
        <f t="shared" si="5"/>
        <v>71.143958072723379</v>
      </c>
      <c r="E9" s="63">
        <f t="shared" si="5"/>
        <v>75.579993413705921</v>
      </c>
      <c r="F9" s="63">
        <f t="shared" si="5"/>
        <v>80.314578660893432</v>
      </c>
      <c r="G9" s="63">
        <f t="shared" si="5"/>
        <v>85.482080986969152</v>
      </c>
      <c r="H9" s="63">
        <f t="shared" si="5"/>
        <v>90.233388385501115</v>
      </c>
      <c r="I9" s="63">
        <f t="shared" si="5"/>
        <v>94.611551139823035</v>
      </c>
      <c r="J9" s="63">
        <f t="shared" si="5"/>
        <v>98.977787620925611</v>
      </c>
      <c r="K9" s="63">
        <f t="shared" si="5"/>
        <v>102.18784068064986</v>
      </c>
      <c r="L9" s="63">
        <f t="shared" si="5"/>
        <v>105.74792097601407</v>
      </c>
      <c r="M9" s="63">
        <f t="shared" si="5"/>
        <v>107.00789815088892</v>
      </c>
      <c r="N9" s="63">
        <f t="shared" si="5"/>
        <v>109.56923918211631</v>
      </c>
      <c r="O9" s="63">
        <f t="shared" si="5"/>
        <v>112.52351951276478</v>
      </c>
      <c r="P9" s="63">
        <f t="shared" si="5"/>
        <v>117.93999076195989</v>
      </c>
      <c r="Q9" s="63">
        <f t="shared" si="5"/>
        <v>128.11296648267924</v>
      </c>
      <c r="R9" s="63">
        <f t="shared" si="5"/>
        <v>131.21411700884406</v>
      </c>
      <c r="S9" s="63">
        <f t="shared" si="5"/>
        <v>136.48526396090395</v>
      </c>
      <c r="T9" s="63">
        <f t="shared" si="5"/>
        <v>140.06068752648579</v>
      </c>
      <c r="U9" s="63">
        <f t="shared" si="5"/>
        <v>142.98107394453524</v>
      </c>
      <c r="V9" s="63">
        <f t="shared" si="5"/>
        <v>138.75745370192519</v>
      </c>
      <c r="W9" s="63">
        <f t="shared" si="5"/>
        <v>138.6250284615279</v>
      </c>
      <c r="X9" s="63">
        <f t="shared" ref="X9:Y9" si="11">X17*X49/11630</f>
        <v>142.3744150934541</v>
      </c>
      <c r="Y9" s="63">
        <f t="shared" si="11"/>
        <v>144.61878056198398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2909.4049582978987</v>
      </c>
      <c r="C11" s="179">
        <f t="shared" ref="C11:W11" si="13">SUM(C12:C17)</f>
        <v>3029.9114025013346</v>
      </c>
      <c r="D11" s="179">
        <f t="shared" si="13"/>
        <v>3106.7597747020272</v>
      </c>
      <c r="E11" s="179">
        <f t="shared" si="13"/>
        <v>3173.7422857530987</v>
      </c>
      <c r="F11" s="179">
        <f t="shared" si="13"/>
        <v>3253.8354948421843</v>
      </c>
      <c r="G11" s="179">
        <f t="shared" si="13"/>
        <v>3344.7748293061377</v>
      </c>
      <c r="H11" s="179">
        <f t="shared" si="13"/>
        <v>3441.2619140153502</v>
      </c>
      <c r="I11" s="179">
        <f t="shared" si="13"/>
        <v>3526.2046058727587</v>
      </c>
      <c r="J11" s="179">
        <f t="shared" si="13"/>
        <v>3591.6075415775367</v>
      </c>
      <c r="K11" s="179">
        <f t="shared" si="13"/>
        <v>3633.2437058659771</v>
      </c>
      <c r="L11" s="179">
        <f t="shared" si="13"/>
        <v>3668.7495857063423</v>
      </c>
      <c r="M11" s="179">
        <f t="shared" si="13"/>
        <v>3697.9764217269649</v>
      </c>
      <c r="N11" s="179">
        <f t="shared" si="13"/>
        <v>3724.9520455803013</v>
      </c>
      <c r="O11" s="179">
        <f t="shared" si="13"/>
        <v>3748.3803472411255</v>
      </c>
      <c r="P11" s="179">
        <f t="shared" si="13"/>
        <v>3776.311654449526</v>
      </c>
      <c r="Q11" s="179">
        <f t="shared" si="13"/>
        <v>3832.4570660189079</v>
      </c>
      <c r="R11" s="179">
        <f t="shared" si="13"/>
        <v>3819.0982106606743</v>
      </c>
      <c r="S11" s="179">
        <f t="shared" si="13"/>
        <v>3801.6047573032774</v>
      </c>
      <c r="T11" s="179">
        <f t="shared" si="13"/>
        <v>3763.8540102564884</v>
      </c>
      <c r="U11" s="179">
        <f t="shared" si="13"/>
        <v>3698.9886493715621</v>
      </c>
      <c r="V11" s="179">
        <f t="shared" si="13"/>
        <v>3619.2706845571383</v>
      </c>
      <c r="W11" s="179">
        <f t="shared" si="13"/>
        <v>3531.129216586301</v>
      </c>
      <c r="X11" s="179">
        <f t="shared" ref="X11:Y11" si="14">SUM(X12:X17)</f>
        <v>3448.7429064101975</v>
      </c>
      <c r="Y11" s="179">
        <f t="shared" si="14"/>
        <v>3372.6597204555355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42.034439818324621</v>
      </c>
      <c r="C12" s="180">
        <f t="shared" ref="C12:W12" si="15">C20*C52</f>
        <v>43.657338560782925</v>
      </c>
      <c r="D12" s="180">
        <f t="shared" si="15"/>
        <v>44.698330080968155</v>
      </c>
      <c r="E12" s="180">
        <f t="shared" si="15"/>
        <v>45.644016206132463</v>
      </c>
      <c r="F12" s="180">
        <f t="shared" si="15"/>
        <v>46.877650254030712</v>
      </c>
      <c r="G12" s="180">
        <f t="shared" si="15"/>
        <v>48.286219804168461</v>
      </c>
      <c r="H12" s="180">
        <f t="shared" si="15"/>
        <v>49.983736888967393</v>
      </c>
      <c r="I12" s="180">
        <f t="shared" si="15"/>
        <v>51.279284715019386</v>
      </c>
      <c r="J12" s="180">
        <f t="shared" si="15"/>
        <v>52.329658714178684</v>
      </c>
      <c r="K12" s="180">
        <f t="shared" si="15"/>
        <v>52.992191077030881</v>
      </c>
      <c r="L12" s="180">
        <f t="shared" si="15"/>
        <v>53.641198409234022</v>
      </c>
      <c r="M12" s="180">
        <f t="shared" si="15"/>
        <v>54.1673005832155</v>
      </c>
      <c r="N12" s="180">
        <f t="shared" si="15"/>
        <v>54.512603065221697</v>
      </c>
      <c r="O12" s="180">
        <f t="shared" si="15"/>
        <v>54.987613053675581</v>
      </c>
      <c r="P12" s="180">
        <f t="shared" si="15"/>
        <v>55.462821101136178</v>
      </c>
      <c r="Q12" s="180">
        <f t="shared" si="15"/>
        <v>56.016737957101775</v>
      </c>
      <c r="R12" s="180">
        <f t="shared" si="15"/>
        <v>56.626317588089371</v>
      </c>
      <c r="S12" s="180">
        <f t="shared" si="15"/>
        <v>57.324208745614619</v>
      </c>
      <c r="T12" s="180">
        <f t="shared" si="15"/>
        <v>57.937470230946353</v>
      </c>
      <c r="U12" s="180">
        <f t="shared" si="15"/>
        <v>58.588037401437319</v>
      </c>
      <c r="V12" s="180">
        <f t="shared" si="15"/>
        <v>59.293949167825183</v>
      </c>
      <c r="W12" s="180">
        <f t="shared" si="15"/>
        <v>59.924808040295808</v>
      </c>
      <c r="X12" s="180">
        <f t="shared" ref="X12:Y12" si="16">X20*X52</f>
        <v>59.956639546502707</v>
      </c>
      <c r="Y12" s="180">
        <f t="shared" si="16"/>
        <v>59.679567729599761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294.01618491340139</v>
      </c>
      <c r="C13" s="180">
        <f t="shared" ref="C13:W13" si="17">C21*C53/1000</f>
        <v>298.01007112785737</v>
      </c>
      <c r="D13" s="180">
        <f t="shared" si="17"/>
        <v>301.28210082905883</v>
      </c>
      <c r="E13" s="180">
        <f t="shared" si="17"/>
        <v>304.3391069004067</v>
      </c>
      <c r="F13" s="180">
        <f t="shared" si="17"/>
        <v>305.26525267573248</v>
      </c>
      <c r="G13" s="180">
        <f t="shared" si="17"/>
        <v>306.51468341139361</v>
      </c>
      <c r="H13" s="180">
        <f t="shared" si="17"/>
        <v>306.67975631711118</v>
      </c>
      <c r="I13" s="180">
        <f t="shared" si="17"/>
        <v>307.27014133584703</v>
      </c>
      <c r="J13" s="180">
        <f t="shared" si="17"/>
        <v>310.03354359679975</v>
      </c>
      <c r="K13" s="180">
        <f t="shared" si="17"/>
        <v>312.01598855524128</v>
      </c>
      <c r="L13" s="180">
        <f t="shared" si="17"/>
        <v>315.86998607544791</v>
      </c>
      <c r="M13" s="180">
        <f t="shared" si="17"/>
        <v>320.2641743845432</v>
      </c>
      <c r="N13" s="180">
        <f t="shared" si="17"/>
        <v>324.40447957092829</v>
      </c>
      <c r="O13" s="180">
        <f t="shared" si="17"/>
        <v>329.58383662612158</v>
      </c>
      <c r="P13" s="180">
        <f t="shared" si="17"/>
        <v>335.56710695444389</v>
      </c>
      <c r="Q13" s="180">
        <f t="shared" si="17"/>
        <v>343.07028826995389</v>
      </c>
      <c r="R13" s="180">
        <f t="shared" si="17"/>
        <v>338.62981442022658</v>
      </c>
      <c r="S13" s="180">
        <f t="shared" si="17"/>
        <v>332.23148277725875</v>
      </c>
      <c r="T13" s="180">
        <f t="shared" si="17"/>
        <v>324.46541633829742</v>
      </c>
      <c r="U13" s="180">
        <f t="shared" si="17"/>
        <v>314.52299410124607</v>
      </c>
      <c r="V13" s="180">
        <f t="shared" si="17"/>
        <v>302.43483010315452</v>
      </c>
      <c r="W13" s="180">
        <f t="shared" si="17"/>
        <v>289.08008704860521</v>
      </c>
      <c r="X13" s="180">
        <f t="shared" ref="X13:Y13" si="18">X21*X53/1000</f>
        <v>277.35398329098058</v>
      </c>
      <c r="Y13" s="180">
        <f t="shared" si="18"/>
        <v>270.89732974294799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1173.9160866868215</v>
      </c>
      <c r="C14" s="180">
        <f t="shared" ref="C14:W14" si="19">C22*C54</f>
        <v>1209.5999810736407</v>
      </c>
      <c r="D14" s="180">
        <f t="shared" si="19"/>
        <v>1220.5482041704811</v>
      </c>
      <c r="E14" s="180">
        <f t="shared" si="19"/>
        <v>1228.1056000740989</v>
      </c>
      <c r="F14" s="180">
        <f t="shared" si="19"/>
        <v>1241.4466973305559</v>
      </c>
      <c r="G14" s="180">
        <f t="shared" si="19"/>
        <v>1251.5963668976963</v>
      </c>
      <c r="H14" s="180">
        <f t="shared" si="19"/>
        <v>1264.1990151510081</v>
      </c>
      <c r="I14" s="180">
        <f t="shared" si="19"/>
        <v>1277.9093447231749</v>
      </c>
      <c r="J14" s="180">
        <f t="shared" si="19"/>
        <v>1291.633074413804</v>
      </c>
      <c r="K14" s="180">
        <f t="shared" si="19"/>
        <v>1294.999253852151</v>
      </c>
      <c r="L14" s="180">
        <f t="shared" si="19"/>
        <v>1300.3298651692387</v>
      </c>
      <c r="M14" s="180">
        <f t="shared" si="19"/>
        <v>1313.3909226027572</v>
      </c>
      <c r="N14" s="180">
        <f t="shared" si="19"/>
        <v>1324.7615996000955</v>
      </c>
      <c r="O14" s="180">
        <f t="shared" si="19"/>
        <v>1332.5104995090715</v>
      </c>
      <c r="P14" s="180">
        <f t="shared" si="19"/>
        <v>1337.5293179509458</v>
      </c>
      <c r="Q14" s="180">
        <f t="shared" si="19"/>
        <v>1344.9259972870436</v>
      </c>
      <c r="R14" s="180">
        <f t="shared" si="19"/>
        <v>1309.92382956249</v>
      </c>
      <c r="S14" s="180">
        <f t="shared" si="19"/>
        <v>1267.8098486132194</v>
      </c>
      <c r="T14" s="180">
        <f t="shared" si="19"/>
        <v>1208.6376051365739</v>
      </c>
      <c r="U14" s="180">
        <f t="shared" si="19"/>
        <v>1133.6961220979415</v>
      </c>
      <c r="V14" s="180">
        <f t="shared" si="19"/>
        <v>1061.8246348500754</v>
      </c>
      <c r="W14" s="180">
        <f t="shared" si="19"/>
        <v>989.28245508873385</v>
      </c>
      <c r="X14" s="180">
        <f t="shared" ref="X14:Y14" si="20">X22*X54</f>
        <v>926.45299654219571</v>
      </c>
      <c r="Y14" s="180">
        <f t="shared" si="20"/>
        <v>861.42667698449509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144.63065139043837</v>
      </c>
      <c r="C15" s="180">
        <f t="shared" ref="C15:W15" si="21">C23*C55/1000</f>
        <v>151.03749422148351</v>
      </c>
      <c r="D15" s="180">
        <f t="shared" si="21"/>
        <v>157.89952333468412</v>
      </c>
      <c r="E15" s="180">
        <f t="shared" si="21"/>
        <v>163.64040996073786</v>
      </c>
      <c r="F15" s="180">
        <f t="shared" si="21"/>
        <v>170.17538428237086</v>
      </c>
      <c r="G15" s="180">
        <f t="shared" si="21"/>
        <v>175.91311637033007</v>
      </c>
      <c r="H15" s="180">
        <f t="shared" si="21"/>
        <v>180.6432999581032</v>
      </c>
      <c r="I15" s="180">
        <f t="shared" si="21"/>
        <v>182.79889488239584</v>
      </c>
      <c r="J15" s="180">
        <f t="shared" si="21"/>
        <v>183.71882504633797</v>
      </c>
      <c r="K15" s="180">
        <f t="shared" si="21"/>
        <v>184.04780208317678</v>
      </c>
      <c r="L15" s="180">
        <f t="shared" si="21"/>
        <v>184.17644950359221</v>
      </c>
      <c r="M15" s="180">
        <f t="shared" si="21"/>
        <v>183.79923314902473</v>
      </c>
      <c r="N15" s="180">
        <f t="shared" si="21"/>
        <v>183.42486349435532</v>
      </c>
      <c r="O15" s="180">
        <f t="shared" si="21"/>
        <v>183.07708886958437</v>
      </c>
      <c r="P15" s="180">
        <f t="shared" si="21"/>
        <v>183.2100795390192</v>
      </c>
      <c r="Q15" s="180">
        <f t="shared" si="21"/>
        <v>184.43970336412258</v>
      </c>
      <c r="R15" s="180">
        <f t="shared" si="21"/>
        <v>183.04898327226783</v>
      </c>
      <c r="S15" s="180">
        <f t="shared" si="21"/>
        <v>182.0093875561422</v>
      </c>
      <c r="T15" s="180">
        <f t="shared" si="21"/>
        <v>181.0292545564561</v>
      </c>
      <c r="U15" s="180">
        <f t="shared" si="21"/>
        <v>179.83582283945958</v>
      </c>
      <c r="V15" s="180">
        <f t="shared" si="21"/>
        <v>178.32387574100019</v>
      </c>
      <c r="W15" s="180">
        <f t="shared" si="21"/>
        <v>176.00527169103256</v>
      </c>
      <c r="X15" s="180">
        <f t="shared" ref="X15:Y15" si="22">X23*X55/1000</f>
        <v>173.41280316990694</v>
      </c>
      <c r="Y15" s="180">
        <f t="shared" si="22"/>
        <v>171.81418647217643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883.98710825557112</v>
      </c>
      <c r="C16" s="55">
        <f t="shared" ref="C16:W16" si="23">C24*C56</f>
        <v>938.05692891077615</v>
      </c>
      <c r="D16" s="55">
        <f t="shared" si="23"/>
        <v>980.70858212803739</v>
      </c>
      <c r="E16" s="55">
        <f t="shared" si="23"/>
        <v>1018.9742544945123</v>
      </c>
      <c r="F16" s="55">
        <f t="shared" si="23"/>
        <v>1063.5554330152784</v>
      </c>
      <c r="G16" s="55">
        <f t="shared" si="23"/>
        <v>1118.5270227052499</v>
      </c>
      <c r="H16" s="55">
        <f t="shared" si="23"/>
        <v>1180.1637977511698</v>
      </c>
      <c r="I16" s="55">
        <f t="shared" si="23"/>
        <v>1232.0101172867273</v>
      </c>
      <c r="J16" s="55">
        <f t="shared" si="23"/>
        <v>1263.3036924182115</v>
      </c>
      <c r="K16" s="55">
        <f t="shared" si="23"/>
        <v>1288.7678756408109</v>
      </c>
      <c r="L16" s="55">
        <f t="shared" si="23"/>
        <v>1304.2508494517865</v>
      </c>
      <c r="M16" s="55">
        <f t="shared" si="23"/>
        <v>1316.8908409890776</v>
      </c>
      <c r="N16" s="55">
        <f t="shared" si="23"/>
        <v>1320.8363909411751</v>
      </c>
      <c r="O16" s="55">
        <f t="shared" si="23"/>
        <v>1319.8231182292709</v>
      </c>
      <c r="P16" s="55">
        <f t="shared" si="23"/>
        <v>1311.1665770266143</v>
      </c>
      <c r="Q16" s="55">
        <f t="shared" si="23"/>
        <v>1298.2810958370258</v>
      </c>
      <c r="R16" s="55">
        <f t="shared" si="23"/>
        <v>1307.0311568526222</v>
      </c>
      <c r="S16" s="55">
        <f t="shared" si="23"/>
        <v>1320.5303609328682</v>
      </c>
      <c r="T16" s="55">
        <f t="shared" si="23"/>
        <v>1332.7634828480918</v>
      </c>
      <c r="U16" s="55">
        <f t="shared" si="23"/>
        <v>1340.5120310414768</v>
      </c>
      <c r="V16" s="55">
        <f t="shared" si="23"/>
        <v>1341.6236680432614</v>
      </c>
      <c r="W16" s="55">
        <f t="shared" si="23"/>
        <v>1336.9941775348982</v>
      </c>
      <c r="X16" s="55">
        <f t="shared" ref="X16:Y16" si="24">X24*X56</f>
        <v>1330.2389969400808</v>
      </c>
      <c r="Y16" s="55">
        <f t="shared" si="24"/>
        <v>1325.0265158919544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370.82048723334168</v>
      </c>
      <c r="C17" s="63">
        <f t="shared" ref="C17:W17" si="25">C25*C57/1000</f>
        <v>389.54958860679363</v>
      </c>
      <c r="D17" s="63">
        <f t="shared" si="25"/>
        <v>401.6230341587974</v>
      </c>
      <c r="E17" s="63">
        <f t="shared" si="25"/>
        <v>413.03889811721029</v>
      </c>
      <c r="F17" s="63">
        <f t="shared" si="25"/>
        <v>426.51507728421581</v>
      </c>
      <c r="G17" s="63">
        <f t="shared" si="25"/>
        <v>443.93742011729967</v>
      </c>
      <c r="H17" s="63">
        <f t="shared" si="25"/>
        <v>459.59230794899048</v>
      </c>
      <c r="I17" s="63">
        <f t="shared" si="25"/>
        <v>474.93682292959426</v>
      </c>
      <c r="J17" s="63">
        <f t="shared" si="25"/>
        <v>490.58874738820464</v>
      </c>
      <c r="K17" s="63">
        <f t="shared" si="25"/>
        <v>500.4205946575662</v>
      </c>
      <c r="L17" s="63">
        <f t="shared" si="25"/>
        <v>510.48123709704316</v>
      </c>
      <c r="M17" s="63">
        <f t="shared" si="25"/>
        <v>509.46395001834651</v>
      </c>
      <c r="N17" s="63">
        <f t="shared" si="25"/>
        <v>517.01210890852531</v>
      </c>
      <c r="O17" s="63">
        <f t="shared" si="25"/>
        <v>528.39819095340135</v>
      </c>
      <c r="P17" s="63">
        <f t="shared" si="25"/>
        <v>553.37575187736627</v>
      </c>
      <c r="Q17" s="63">
        <f t="shared" si="25"/>
        <v>605.72324330366007</v>
      </c>
      <c r="R17" s="63">
        <f t="shared" si="25"/>
        <v>623.83810896497835</v>
      </c>
      <c r="S17" s="63">
        <f t="shared" si="25"/>
        <v>641.69946867817453</v>
      </c>
      <c r="T17" s="63">
        <f t="shared" si="25"/>
        <v>659.02078114612254</v>
      </c>
      <c r="U17" s="63">
        <f t="shared" si="25"/>
        <v>671.83364189000088</v>
      </c>
      <c r="V17" s="63">
        <f t="shared" si="25"/>
        <v>675.76972665182143</v>
      </c>
      <c r="W17" s="63">
        <f t="shared" si="25"/>
        <v>679.84241718273563</v>
      </c>
      <c r="X17" s="63">
        <f t="shared" ref="X17:Y17" si="26">X25*X57/1000</f>
        <v>681.32748692053099</v>
      </c>
      <c r="Y17" s="63">
        <f t="shared" si="26"/>
        <v>683.81544363436228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58.357984886595389</v>
      </c>
      <c r="C20" s="181">
        <v>61.191892210065582</v>
      </c>
      <c r="D20" s="181">
        <v>63.196371150373864</v>
      </c>
      <c r="E20" s="181">
        <v>65.110534807497814</v>
      </c>
      <c r="F20" s="181">
        <v>67.547458341767182</v>
      </c>
      <c r="G20" s="181">
        <v>70.349067744617344</v>
      </c>
      <c r="H20" s="181">
        <v>73.711670056630467</v>
      </c>
      <c r="I20" s="181">
        <v>76.490230296395509</v>
      </c>
      <c r="J20" s="181">
        <v>78.951149167569582</v>
      </c>
      <c r="K20" s="181">
        <v>80.849536486695385</v>
      </c>
      <c r="L20" s="181">
        <v>82.840257813065918</v>
      </c>
      <c r="M20" s="181">
        <v>84.737520113394467</v>
      </c>
      <c r="N20" s="181">
        <v>86.443962155463637</v>
      </c>
      <c r="O20" s="181">
        <v>88.561999199618398</v>
      </c>
      <c r="P20" s="181">
        <v>90.886512826749197</v>
      </c>
      <c r="Q20" s="181">
        <v>93.598960642122449</v>
      </c>
      <c r="R20" s="181">
        <v>96.512134876585151</v>
      </c>
      <c r="S20" s="181">
        <v>99.720403610083025</v>
      </c>
      <c r="T20" s="181">
        <v>102.88281627310705</v>
      </c>
      <c r="U20" s="181">
        <v>105.9636633735139</v>
      </c>
      <c r="V20" s="181">
        <v>108.89724256796877</v>
      </c>
      <c r="W20" s="181">
        <v>111.64725990179315</v>
      </c>
      <c r="X20" s="181">
        <v>113.30272437409288</v>
      </c>
      <c r="Y20" s="181">
        <v>114.39231048642952</v>
      </c>
      <c r="DA20" s="190" t="s">
        <v>922</v>
      </c>
    </row>
    <row r="21" spans="1:105" ht="12" customHeight="1" x14ac:dyDescent="0.25">
      <c r="A21" s="131" t="s">
        <v>156</v>
      </c>
      <c r="B21" s="181">
        <v>1498.9781841412507</v>
      </c>
      <c r="C21" s="181">
        <v>1532.1898781506925</v>
      </c>
      <c r="D21" s="181">
        <v>1564.5962308929363</v>
      </c>
      <c r="E21" s="181">
        <v>1600.4840110567934</v>
      </c>
      <c r="F21" s="181">
        <v>1629.6725679754404</v>
      </c>
      <c r="G21" s="181">
        <v>1666.3854276310954</v>
      </c>
      <c r="H21" s="181">
        <v>1702.503223784561</v>
      </c>
      <c r="I21" s="181">
        <v>1747.533338118888</v>
      </c>
      <c r="J21" s="181">
        <v>1791.759663286196</v>
      </c>
      <c r="K21" s="181">
        <v>1835.0864722465326</v>
      </c>
      <c r="L21" s="181">
        <v>1893.3695420612614</v>
      </c>
      <c r="M21" s="181">
        <v>1958.5927750577982</v>
      </c>
      <c r="N21" s="181">
        <v>2028.7073912206577</v>
      </c>
      <c r="O21" s="181">
        <v>2114.7766520342602</v>
      </c>
      <c r="P21" s="181">
        <v>2221.6226114995316</v>
      </c>
      <c r="Q21" s="181">
        <v>2351.9081102035316</v>
      </c>
      <c r="R21" s="181">
        <v>2402.3450593109642</v>
      </c>
      <c r="S21" s="181">
        <v>2453.152558030923</v>
      </c>
      <c r="T21" s="181">
        <v>2501.9246233031258</v>
      </c>
      <c r="U21" s="181">
        <v>2545.8202612354416</v>
      </c>
      <c r="V21" s="181">
        <v>2583.0811101312825</v>
      </c>
      <c r="W21" s="181">
        <v>2610.4353970730099</v>
      </c>
      <c r="X21" s="181">
        <v>2633.1839333641637</v>
      </c>
      <c r="Y21" s="181">
        <v>2668.6862346466132</v>
      </c>
      <c r="DA21" s="190" t="s">
        <v>923</v>
      </c>
    </row>
    <row r="22" spans="1:105" ht="12" customHeight="1" x14ac:dyDescent="0.25">
      <c r="A22" s="131" t="s">
        <v>160</v>
      </c>
      <c r="B22" s="181">
        <v>25.968910238086892</v>
      </c>
      <c r="C22" s="181">
        <v>27.102564025926338</v>
      </c>
      <c r="D22" s="181">
        <v>27.831270011967305</v>
      </c>
      <c r="E22" s="181">
        <v>28.595964058604018</v>
      </c>
      <c r="F22" s="181">
        <v>29.655242825477401</v>
      </c>
      <c r="G22" s="181">
        <v>30.833717040459064</v>
      </c>
      <c r="H22" s="181">
        <v>32.195813619910716</v>
      </c>
      <c r="I22" s="181">
        <v>33.459306095434513</v>
      </c>
      <c r="J22" s="181">
        <v>34.615788460179289</v>
      </c>
      <c r="K22" s="181">
        <v>35.607372051088589</v>
      </c>
      <c r="L22" s="181">
        <v>36.752401960542656</v>
      </c>
      <c r="M22" s="181">
        <v>38.202301521772164</v>
      </c>
      <c r="N22" s="181">
        <v>39.972355147275266</v>
      </c>
      <c r="O22" s="181">
        <v>42.057098530433933</v>
      </c>
      <c r="P22" s="181">
        <v>44.421171703409563</v>
      </c>
      <c r="Q22" s="181">
        <v>47.288401830265762</v>
      </c>
      <c r="R22" s="181">
        <v>48.96794078221339</v>
      </c>
      <c r="S22" s="181">
        <v>50.818605290654453</v>
      </c>
      <c r="T22" s="181">
        <v>52.591771281768892</v>
      </c>
      <c r="U22" s="181">
        <v>54.220471628286241</v>
      </c>
      <c r="V22" s="181">
        <v>55.580463869341543</v>
      </c>
      <c r="W22" s="181">
        <v>56.46801488106388</v>
      </c>
      <c r="X22" s="181">
        <v>57.045236896676087</v>
      </c>
      <c r="Y22" s="181">
        <v>57.4629819377922</v>
      </c>
      <c r="DA22" s="190" t="s">
        <v>924</v>
      </c>
    </row>
    <row r="23" spans="1:105" ht="12" customHeight="1" x14ac:dyDescent="0.25">
      <c r="A23" s="131" t="s">
        <v>172</v>
      </c>
      <c r="B23" s="181">
        <v>213.00653087556583</v>
      </c>
      <c r="C23" s="181">
        <v>225.2519961010282</v>
      </c>
      <c r="D23" s="181">
        <v>239.35009956998081</v>
      </c>
      <c r="E23" s="181">
        <v>252.40517733671126</v>
      </c>
      <c r="F23" s="181">
        <v>267.36399966158609</v>
      </c>
      <c r="G23" s="181">
        <v>281.41294416668552</v>
      </c>
      <c r="H23" s="181">
        <v>294.20894107008928</v>
      </c>
      <c r="I23" s="181">
        <v>302.97175697334956</v>
      </c>
      <c r="J23" s="181">
        <v>310.15807066817109</v>
      </c>
      <c r="K23" s="181">
        <v>316.90831525468963</v>
      </c>
      <c r="L23" s="181">
        <v>323.96226946367386</v>
      </c>
      <c r="M23" s="181">
        <v>330.06127105075689</v>
      </c>
      <c r="N23" s="181">
        <v>336.18347485995099</v>
      </c>
      <c r="O23" s="181">
        <v>342.14976127235161</v>
      </c>
      <c r="P23" s="181">
        <v>350.30352107869618</v>
      </c>
      <c r="Q23" s="181">
        <v>360.947432269393</v>
      </c>
      <c r="R23" s="181">
        <v>365.81664662276751</v>
      </c>
      <c r="S23" s="181">
        <v>370.73055998652734</v>
      </c>
      <c r="T23" s="181">
        <v>375.47783763045072</v>
      </c>
      <c r="U23" s="181">
        <v>379.72198549412292</v>
      </c>
      <c r="V23" s="181">
        <v>383.36626314072208</v>
      </c>
      <c r="W23" s="181">
        <v>386.12781750067319</v>
      </c>
      <c r="X23" s="181">
        <v>388.57865589170734</v>
      </c>
      <c r="Y23" s="181">
        <v>393.17055352144746</v>
      </c>
      <c r="DA23" s="190" t="s">
        <v>925</v>
      </c>
    </row>
    <row r="24" spans="1:105" ht="12" customHeight="1" x14ac:dyDescent="0.25">
      <c r="A24" s="60" t="s">
        <v>159</v>
      </c>
      <c r="B24" s="36">
        <v>17.752514869845939</v>
      </c>
      <c r="C24" s="36">
        <v>18.935343795803689</v>
      </c>
      <c r="D24" s="36">
        <v>19.892887754522228</v>
      </c>
      <c r="E24" s="36">
        <v>20.772918882342541</v>
      </c>
      <c r="F24" s="36">
        <v>21.816450741987218</v>
      </c>
      <c r="G24" s="36">
        <v>23.118080372940511</v>
      </c>
      <c r="H24" s="36">
        <v>24.605805499145131</v>
      </c>
      <c r="I24" s="36">
        <v>25.919482416238203</v>
      </c>
      <c r="J24" s="36">
        <v>26.815114122939672</v>
      </c>
      <c r="K24" s="36">
        <v>27.631259242487026</v>
      </c>
      <c r="L24" s="36">
        <v>28.272361728325642</v>
      </c>
      <c r="M24" s="36">
        <v>28.927936722933968</v>
      </c>
      <c r="N24" s="36">
        <v>29.472373401319867</v>
      </c>
      <c r="O24" s="36">
        <v>30.010332238493195</v>
      </c>
      <c r="P24" s="36">
        <v>30.492841075869297</v>
      </c>
      <c r="Q24" s="36">
        <v>31.045702379494731</v>
      </c>
      <c r="R24" s="36">
        <v>31.876294707683357</v>
      </c>
      <c r="S24" s="36">
        <v>32.803273948706163</v>
      </c>
      <c r="T24" s="36">
        <v>33.709228642381916</v>
      </c>
      <c r="U24" s="36">
        <v>34.579726739794729</v>
      </c>
      <c r="V24" s="36">
        <v>35.388034618779379</v>
      </c>
      <c r="W24" s="36">
        <v>36.114271612293734</v>
      </c>
      <c r="X24" s="36">
        <v>36.72858112962561</v>
      </c>
      <c r="Y24" s="36">
        <v>37.254354960721535</v>
      </c>
      <c r="DA24" s="89" t="s">
        <v>926</v>
      </c>
    </row>
    <row r="25" spans="1:105" ht="12" customHeight="1" x14ac:dyDescent="0.25">
      <c r="A25" s="62" t="s">
        <v>157</v>
      </c>
      <c r="B25" s="38">
        <v>973.52798939782701</v>
      </c>
      <c r="C25" s="38">
        <v>1045.3946056968696</v>
      </c>
      <c r="D25" s="38">
        <v>1107.7812269581434</v>
      </c>
      <c r="E25" s="38">
        <v>1179.4205002252299</v>
      </c>
      <c r="F25" s="38">
        <v>1271.0673088827371</v>
      </c>
      <c r="G25" s="38">
        <v>1388.824844257756</v>
      </c>
      <c r="H25" s="38">
        <v>1510.6382514975426</v>
      </c>
      <c r="I25" s="38">
        <v>1638.1291431813022</v>
      </c>
      <c r="J25" s="38">
        <v>1780.1379003716254</v>
      </c>
      <c r="K25" s="38">
        <v>1919.8362844045016</v>
      </c>
      <c r="L25" s="38">
        <v>2086.5464281532563</v>
      </c>
      <c r="M25" s="38">
        <v>2242.7123468414147</v>
      </c>
      <c r="N25" s="38">
        <v>2428.3206634111357</v>
      </c>
      <c r="O25" s="38">
        <v>2632.603600466995</v>
      </c>
      <c r="P25" s="38">
        <v>2879.4926659619387</v>
      </c>
      <c r="Q25" s="38">
        <v>3247.28692247347</v>
      </c>
      <c r="R25" s="38">
        <v>3402.2946158330174</v>
      </c>
      <c r="S25" s="38">
        <v>3558.1651305281312</v>
      </c>
      <c r="T25" s="38">
        <v>3708.9936471098636</v>
      </c>
      <c r="U25" s="38">
        <v>3852.7359315382628</v>
      </c>
      <c r="V25" s="38">
        <v>3985.8840988400498</v>
      </c>
      <c r="W25" s="38">
        <v>4106.1115243763079</v>
      </c>
      <c r="X25" s="38">
        <v>4207.1496505454406</v>
      </c>
      <c r="Y25" s="38">
        <v>4312.4390959294733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5.3650872935521434</v>
      </c>
      <c r="D28" s="182">
        <v>4.6072548401189124</v>
      </c>
      <c r="E28" s="182">
        <v>4.5905606200849505</v>
      </c>
      <c r="F28" s="182">
        <v>5.1890239759047887</v>
      </c>
      <c r="G28" s="182">
        <v>5.6315546410447155</v>
      </c>
      <c r="H28" s="182">
        <v>6.2725942331005058</v>
      </c>
      <c r="I28" s="182">
        <v>5.7708630117424349</v>
      </c>
      <c r="J28" s="182">
        <v>5.5378607053760618</v>
      </c>
      <c r="K28" s="182">
        <v>5.062362281728241</v>
      </c>
      <c r="L28" s="182">
        <v>5.2441912011338161</v>
      </c>
      <c r="M28" s="182">
        <v>5.2427585040297942</v>
      </c>
      <c r="N28" s="182">
        <v>5.1465675941134492</v>
      </c>
      <c r="O28" s="182">
        <v>5.6554685918979573</v>
      </c>
      <c r="P28" s="182">
        <v>5.9620035284900155</v>
      </c>
      <c r="Q28" s="182">
        <v>6.4528262803449934</v>
      </c>
      <c r="R28" s="182">
        <v>6.7593515272151876</v>
      </c>
      <c r="S28" s="182">
        <v>7.1632374367509186</v>
      </c>
      <c r="T28" s="182">
        <v>7.2292500064781393</v>
      </c>
      <c r="U28" s="182">
        <v>8.4459343939589928</v>
      </c>
      <c r="V28" s="182">
        <v>7.5408340345737912</v>
      </c>
      <c r="W28" s="182">
        <v>7.3405779539093317</v>
      </c>
      <c r="X28" s="182">
        <v>6.8444884482045154</v>
      </c>
      <c r="Y28" s="182">
        <v>6.7211407533813627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221.25015723899128</v>
      </c>
      <c r="D29" s="182">
        <v>228.5389093409508</v>
      </c>
      <c r="E29" s="182">
        <v>240.46283942173272</v>
      </c>
      <c r="F29" s="182">
        <v>242.5695253623087</v>
      </c>
      <c r="G29" s="182">
        <v>259.27878660259807</v>
      </c>
      <c r="H29" s="182">
        <v>268.26404705414393</v>
      </c>
      <c r="I29" s="182">
        <v>287.1690730981627</v>
      </c>
      <c r="J29" s="182">
        <v>265.47648240629928</v>
      </c>
      <c r="K29" s="182">
        <v>271.86571830128742</v>
      </c>
      <c r="L29" s="182">
        <v>298.74590923646156</v>
      </c>
      <c r="M29" s="182">
        <v>307.7927583588455</v>
      </c>
      <c r="N29" s="182">
        <v>329.39340276545749</v>
      </c>
      <c r="O29" s="182">
        <v>354.3333078677465</v>
      </c>
      <c r="P29" s="182">
        <v>394.01503256343403</v>
      </c>
      <c r="Q29" s="182">
        <v>395.7619811102993</v>
      </c>
      <c r="R29" s="182">
        <v>322.30266740872003</v>
      </c>
      <c r="S29" s="182">
        <v>349.55340795642041</v>
      </c>
      <c r="T29" s="182">
        <v>356.56482363104851</v>
      </c>
      <c r="U29" s="182">
        <v>373.28904069777309</v>
      </c>
      <c r="V29" s="182">
        <v>391.59415676358731</v>
      </c>
      <c r="W29" s="182">
        <v>421.36931950516146</v>
      </c>
      <c r="X29" s="182">
        <v>418.5105174014534</v>
      </c>
      <c r="Y29" s="182">
        <v>357.80496869116951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5.1891171493253943</v>
      </c>
      <c r="D30" s="182">
        <v>4.8895236026000397</v>
      </c>
      <c r="E30" s="182">
        <v>5.0336028482008679</v>
      </c>
      <c r="F30" s="182">
        <v>5.439086784303985</v>
      </c>
      <c r="G30" s="182">
        <v>5.672062427154458</v>
      </c>
      <c r="H30" s="182">
        <v>5.9724208083259711</v>
      </c>
      <c r="I30" s="182">
        <v>6.4526096248491918</v>
      </c>
      <c r="J30" s="182">
        <v>6.046005967344815</v>
      </c>
      <c r="K30" s="182">
        <v>6.0251864391101684</v>
      </c>
      <c r="L30" s="182">
        <v>6.5841166937580518</v>
      </c>
      <c r="M30" s="182">
        <v>7.1219619883839655</v>
      </c>
      <c r="N30" s="182">
        <v>7.7424744338290736</v>
      </c>
      <c r="O30" s="182">
        <v>8.5373530080078552</v>
      </c>
      <c r="P30" s="182">
        <v>8.4100791403204411</v>
      </c>
      <c r="Q30" s="182">
        <v>8.8924165659663643</v>
      </c>
      <c r="R30" s="182">
        <v>8.2636556457056827</v>
      </c>
      <c r="S30" s="182">
        <v>8.9726264968250291</v>
      </c>
      <c r="T30" s="182">
        <v>9.5156404249435127</v>
      </c>
      <c r="U30" s="182">
        <v>10.166053354525204</v>
      </c>
      <c r="V30" s="182">
        <v>9.7700713813757432</v>
      </c>
      <c r="W30" s="182">
        <v>9.7799675776887014</v>
      </c>
      <c r="X30" s="182">
        <v>8.8408776613178901</v>
      </c>
      <c r="Y30" s="182">
        <v>9.3903715379411423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31.604159578794309</v>
      </c>
      <c r="D31" s="182">
        <v>33.86457294525232</v>
      </c>
      <c r="E31" s="182">
        <v>33.237911816705491</v>
      </c>
      <c r="F31" s="182">
        <v>35.566791329013256</v>
      </c>
      <c r="G31" s="182">
        <v>35.09100358480805</v>
      </c>
      <c r="H31" s="182">
        <v>34.281289812425143</v>
      </c>
      <c r="I31" s="182">
        <v>30.700679001059257</v>
      </c>
      <c r="J31" s="182">
        <v>29.586280003667639</v>
      </c>
      <c r="K31" s="182">
        <v>29.622047934027876</v>
      </c>
      <c r="L31" s="182">
        <v>30.407533457920522</v>
      </c>
      <c r="M31" s="182">
        <v>37.703161165877304</v>
      </c>
      <c r="N31" s="182">
        <v>39.986776754446453</v>
      </c>
      <c r="O31" s="182">
        <v>39.204198229106112</v>
      </c>
      <c r="P31" s="182">
        <v>43.720551135357823</v>
      </c>
      <c r="Q31" s="182">
        <v>45.734914775504876</v>
      </c>
      <c r="R31" s="182">
        <v>39.150504165799646</v>
      </c>
      <c r="S31" s="182">
        <v>35.614592364819089</v>
      </c>
      <c r="T31" s="182">
        <v>34.333557647591022</v>
      </c>
      <c r="U31" s="182">
        <v>33.866195797700072</v>
      </c>
      <c r="V31" s="182">
        <v>34.051811104519686</v>
      </c>
      <c r="W31" s="182">
        <v>40.46471552582841</v>
      </c>
      <c r="X31" s="182">
        <v>42.437615145480606</v>
      </c>
      <c r="Y31" s="182">
        <v>43.796095858846229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1.688464123797722</v>
      </c>
      <c r="D32" s="41">
        <v>1.5200790317377795</v>
      </c>
      <c r="E32" s="41">
        <v>1.5058691029624569</v>
      </c>
      <c r="F32" s="41">
        <v>1.7397963059268022</v>
      </c>
      <c r="G32" s="41">
        <v>2.0762457431290464</v>
      </c>
      <c r="H32" s="41">
        <v>2.3495099328916318</v>
      </c>
      <c r="I32" s="41">
        <v>2.2724396401541007</v>
      </c>
      <c r="J32" s="41">
        <v>1.9622854142148434</v>
      </c>
      <c r="K32" s="41">
        <v>2.0028309432509985</v>
      </c>
      <c r="L32" s="41">
        <v>1.9613278169464046</v>
      </c>
      <c r="M32" s="41">
        <v>2.1243672310056496</v>
      </c>
      <c r="N32" s="41">
        <v>2.1785142732240743</v>
      </c>
      <c r="O32" s="41">
        <v>2.3559215958148378</v>
      </c>
      <c r="P32" s="41">
        <v>2.505049628735982</v>
      </c>
      <c r="Q32" s="41">
        <v>2.8030015957024013</v>
      </c>
      <c r="R32" s="41">
        <v>2.5190564519863479</v>
      </c>
      <c r="S32" s="41">
        <v>2.4470582727605859</v>
      </c>
      <c r="T32" s="41">
        <v>2.4118237966382097</v>
      </c>
      <c r="U32" s="41">
        <v>2.6102944033396156</v>
      </c>
      <c r="V32" s="41">
        <v>2.8845536221136925</v>
      </c>
      <c r="W32" s="41">
        <v>3.0757469264059836</v>
      </c>
      <c r="X32" s="41">
        <v>2.8867491574859798</v>
      </c>
      <c r="Y32" s="41">
        <v>2.4880592453107724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266.57221417860796</v>
      </c>
      <c r="D33" s="42">
        <v>257.09221914083923</v>
      </c>
      <c r="E33" s="42">
        <v>266.34487114665194</v>
      </c>
      <c r="F33" s="42">
        <v>286.35240653707251</v>
      </c>
      <c r="G33" s="42">
        <v>312.46313325458436</v>
      </c>
      <c r="H33" s="42">
        <v>388.38562141839452</v>
      </c>
      <c r="I33" s="42">
        <v>384.58311082459886</v>
      </c>
      <c r="J33" s="42">
        <v>408.35362833697513</v>
      </c>
      <c r="K33" s="42">
        <v>426.05079056994873</v>
      </c>
      <c r="L33" s="42">
        <v>479.17327700333908</v>
      </c>
      <c r="M33" s="42">
        <v>544.55154010655292</v>
      </c>
      <c r="N33" s="42">
        <v>570.19142739431982</v>
      </c>
      <c r="O33" s="42">
        <v>612.63656539283443</v>
      </c>
      <c r="P33" s="42">
        <v>672.93985606489241</v>
      </c>
      <c r="Q33" s="42">
        <v>846.96753351487041</v>
      </c>
      <c r="R33" s="42">
        <v>699.55923346610007</v>
      </c>
      <c r="S33" s="42">
        <v>726.06194208943361</v>
      </c>
      <c r="T33" s="42">
        <v>763.4650819745666</v>
      </c>
      <c r="U33" s="42">
        <v>816.68214049329163</v>
      </c>
      <c r="V33" s="42">
        <v>980.11570081665741</v>
      </c>
      <c r="W33" s="42">
        <v>819.78665900235819</v>
      </c>
      <c r="X33" s="42">
        <v>827.10006825856635</v>
      </c>
      <c r="Y33" s="42">
        <v>868.75452735859926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2.5311799700819506</v>
      </c>
      <c r="D36" s="182">
        <v>2.6027758998106378</v>
      </c>
      <c r="E36" s="182">
        <v>2.6763969629609932</v>
      </c>
      <c r="F36" s="182">
        <v>2.7521004416354202</v>
      </c>
      <c r="G36" s="182">
        <v>2.8299452381945542</v>
      </c>
      <c r="H36" s="182">
        <v>2.9099919210873821</v>
      </c>
      <c r="I36" s="182">
        <v>2.9923027719773927</v>
      </c>
      <c r="J36" s="182">
        <v>3.076941834201989</v>
      </c>
      <c r="K36" s="182">
        <v>3.1639749626024383</v>
      </c>
      <c r="L36" s="182">
        <v>3.2534698747632831</v>
      </c>
      <c r="M36" s="182">
        <v>3.345496203701245</v>
      </c>
      <c r="N36" s="182">
        <v>3.4401255520442788</v>
      </c>
      <c r="O36" s="182">
        <v>3.5374315477431963</v>
      </c>
      <c r="P36" s="182">
        <v>3.637489901359217</v>
      </c>
      <c r="Q36" s="182">
        <v>3.7403784649717409</v>
      </c>
      <c r="R36" s="182">
        <v>3.8461772927524862</v>
      </c>
      <c r="S36" s="182">
        <v>3.9549687032530443</v>
      </c>
      <c r="T36" s="182">
        <v>4.066837343454111</v>
      </c>
      <c r="U36" s="182">
        <v>5.3650872935521505</v>
      </c>
      <c r="V36" s="182">
        <v>4.6072548401189124</v>
      </c>
      <c r="W36" s="182">
        <v>4.5905606200849576</v>
      </c>
      <c r="X36" s="182">
        <v>5.1890239759047887</v>
      </c>
      <c r="Y36" s="182">
        <v>5.6315546410447155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188.03846322954951</v>
      </c>
      <c r="D37" s="182">
        <v>196.13255659870697</v>
      </c>
      <c r="E37" s="182">
        <v>204.57505925787564</v>
      </c>
      <c r="F37" s="182">
        <v>213.38096844366169</v>
      </c>
      <c r="G37" s="182">
        <v>222.56592694694314</v>
      </c>
      <c r="H37" s="182">
        <v>232.1462509006783</v>
      </c>
      <c r="I37" s="182">
        <v>242.13895876383572</v>
      </c>
      <c r="J37" s="182">
        <v>221.25015723899128</v>
      </c>
      <c r="K37" s="182">
        <v>228.5389093409508</v>
      </c>
      <c r="L37" s="182">
        <v>240.46283942173272</v>
      </c>
      <c r="M37" s="182">
        <v>242.5695253623087</v>
      </c>
      <c r="N37" s="182">
        <v>259.27878660259807</v>
      </c>
      <c r="O37" s="182">
        <v>268.2640470541437</v>
      </c>
      <c r="P37" s="182">
        <v>287.1690730981627</v>
      </c>
      <c r="Q37" s="182">
        <v>265.47648240629951</v>
      </c>
      <c r="R37" s="182">
        <v>271.86571830128742</v>
      </c>
      <c r="S37" s="182">
        <v>298.74590923646156</v>
      </c>
      <c r="T37" s="182">
        <v>307.79275835884573</v>
      </c>
      <c r="U37" s="182">
        <v>329.39340276545727</v>
      </c>
      <c r="V37" s="182">
        <v>354.3333078677465</v>
      </c>
      <c r="W37" s="182">
        <v>394.01503256343403</v>
      </c>
      <c r="X37" s="182">
        <v>395.76198111029953</v>
      </c>
      <c r="Y37" s="182">
        <v>322.30266740872003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4.0554633614859483</v>
      </c>
      <c r="D38" s="182">
        <v>4.160817616559072</v>
      </c>
      <c r="E38" s="182">
        <v>4.2689088015641588</v>
      </c>
      <c r="F38" s="182">
        <v>4.3798080174306051</v>
      </c>
      <c r="G38" s="182">
        <v>4.4935882121727957</v>
      </c>
      <c r="H38" s="182">
        <v>4.6103242288743189</v>
      </c>
      <c r="I38" s="182">
        <v>5.1891171493253978</v>
      </c>
      <c r="J38" s="182">
        <v>4.8895236026000362</v>
      </c>
      <c r="K38" s="182">
        <v>5.0336028482008714</v>
      </c>
      <c r="L38" s="182">
        <v>5.4390867843039814</v>
      </c>
      <c r="M38" s="182">
        <v>5.672062427154458</v>
      </c>
      <c r="N38" s="182">
        <v>5.9724208083259711</v>
      </c>
      <c r="O38" s="182">
        <v>6.4526096248491882</v>
      </c>
      <c r="P38" s="182">
        <v>6.0460059673448114</v>
      </c>
      <c r="Q38" s="182">
        <v>6.0251864391101648</v>
      </c>
      <c r="R38" s="182">
        <v>6.5841166937580553</v>
      </c>
      <c r="S38" s="182">
        <v>7.1219619883839655</v>
      </c>
      <c r="T38" s="182">
        <v>7.7424744338290736</v>
      </c>
      <c r="U38" s="182">
        <v>8.5373530080078552</v>
      </c>
      <c r="V38" s="182">
        <v>8.4100791403204411</v>
      </c>
      <c r="W38" s="182">
        <v>8.8924165659663572</v>
      </c>
      <c r="X38" s="182">
        <v>8.2636556457056827</v>
      </c>
      <c r="Y38" s="182">
        <v>8.972626496825022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19.358694353331941</v>
      </c>
      <c r="D39" s="182">
        <v>19.766469476299704</v>
      </c>
      <c r="E39" s="182">
        <v>20.182834049975014</v>
      </c>
      <c r="F39" s="182">
        <v>20.607969004138397</v>
      </c>
      <c r="G39" s="182">
        <v>21.042059079708622</v>
      </c>
      <c r="H39" s="182">
        <v>21.485292909021382</v>
      </c>
      <c r="I39" s="182">
        <v>21.937863097798981</v>
      </c>
      <c r="J39" s="182">
        <v>22.399966308846103</v>
      </c>
      <c r="K39" s="182">
        <v>22.871803347509342</v>
      </c>
      <c r="L39" s="182">
        <v>23.353579248936285</v>
      </c>
      <c r="M39" s="182">
        <v>31.604159578794281</v>
      </c>
      <c r="N39" s="182">
        <v>33.864572945252348</v>
      </c>
      <c r="O39" s="182">
        <v>33.237911816705491</v>
      </c>
      <c r="P39" s="182">
        <v>35.566791329013256</v>
      </c>
      <c r="Q39" s="182">
        <v>35.09100358480805</v>
      </c>
      <c r="R39" s="182">
        <v>34.281289812425143</v>
      </c>
      <c r="S39" s="182">
        <v>30.700679001059257</v>
      </c>
      <c r="T39" s="182">
        <v>29.586280003667639</v>
      </c>
      <c r="U39" s="182">
        <v>29.622047934027876</v>
      </c>
      <c r="V39" s="182">
        <v>30.407533457920522</v>
      </c>
      <c r="W39" s="182">
        <v>37.703161165877304</v>
      </c>
      <c r="X39" s="182">
        <v>39.986776754446453</v>
      </c>
      <c r="Y39" s="182">
        <v>39.204198229106112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0.5056351978399718</v>
      </c>
      <c r="D40" s="41">
        <v>0.56253507301924088</v>
      </c>
      <c r="E40" s="41">
        <v>0.62583797514214368</v>
      </c>
      <c r="F40" s="41">
        <v>0.69626444628212525</v>
      </c>
      <c r="G40" s="41">
        <v>0.7746161121757531</v>
      </c>
      <c r="H40" s="41">
        <v>0.86178480668701241</v>
      </c>
      <c r="I40" s="41">
        <v>0.95876272306102805</v>
      </c>
      <c r="J40" s="41">
        <v>1.0666537075133746</v>
      </c>
      <c r="K40" s="41">
        <v>1.1866858237036446</v>
      </c>
      <c r="L40" s="41">
        <v>1.3202253311077889</v>
      </c>
      <c r="M40" s="41">
        <v>1.4687922363973236</v>
      </c>
      <c r="N40" s="41">
        <v>1.6340775948381747</v>
      </c>
      <c r="O40" s="41">
        <v>1.8179627586415101</v>
      </c>
      <c r="P40" s="41">
        <v>2.0225407913598836</v>
      </c>
      <c r="Q40" s="41">
        <v>2.2501402920769671</v>
      </c>
      <c r="R40" s="41">
        <v>1.688464123797722</v>
      </c>
      <c r="S40" s="41">
        <v>1.5200790317377795</v>
      </c>
      <c r="T40" s="41">
        <v>1.5058691029624569</v>
      </c>
      <c r="U40" s="41">
        <v>1.7397963059268022</v>
      </c>
      <c r="V40" s="41">
        <v>2.0762457431290429</v>
      </c>
      <c r="W40" s="41">
        <v>2.3495099328916282</v>
      </c>
      <c r="X40" s="41">
        <v>2.2724396401541043</v>
      </c>
      <c r="Y40" s="41">
        <v>1.9622854142148469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194.7055978795654</v>
      </c>
      <c r="D41" s="42">
        <v>194.7055978795654</v>
      </c>
      <c r="E41" s="42">
        <v>194.7055978795654</v>
      </c>
      <c r="F41" s="42">
        <v>194.7055978795654</v>
      </c>
      <c r="G41" s="42">
        <v>194.7055978795654</v>
      </c>
      <c r="H41" s="42">
        <v>266.57221417860796</v>
      </c>
      <c r="I41" s="42">
        <v>257.09221914083923</v>
      </c>
      <c r="J41" s="42">
        <v>266.34487114665194</v>
      </c>
      <c r="K41" s="42">
        <v>286.35240653707274</v>
      </c>
      <c r="L41" s="42">
        <v>312.46313325458459</v>
      </c>
      <c r="M41" s="42">
        <v>388.38562141839429</v>
      </c>
      <c r="N41" s="42">
        <v>384.58311082459886</v>
      </c>
      <c r="O41" s="42">
        <v>408.35362833697491</v>
      </c>
      <c r="P41" s="42">
        <v>426.05079056994873</v>
      </c>
      <c r="Q41" s="42">
        <v>479.17327700333908</v>
      </c>
      <c r="R41" s="42">
        <v>544.55154010655269</v>
      </c>
      <c r="S41" s="42">
        <v>570.19142739431936</v>
      </c>
      <c r="T41" s="42">
        <v>612.6365653928342</v>
      </c>
      <c r="U41" s="42">
        <v>672.93985606489241</v>
      </c>
      <c r="V41" s="42">
        <v>846.96753351487041</v>
      </c>
      <c r="W41" s="42">
        <v>699.55923346610052</v>
      </c>
      <c r="X41" s="42">
        <v>726.06194208943361</v>
      </c>
      <c r="Y41" s="42">
        <v>763.4650819745666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8760</v>
      </c>
      <c r="C44" s="184">
        <v>8759.9999999999964</v>
      </c>
      <c r="D44" s="184">
        <v>8759.9999999999982</v>
      </c>
      <c r="E44" s="184">
        <v>8759.9999999999982</v>
      </c>
      <c r="F44" s="184">
        <v>8759.9999999999964</v>
      </c>
      <c r="G44" s="184">
        <v>8760</v>
      </c>
      <c r="H44" s="184">
        <v>8759.9999999999964</v>
      </c>
      <c r="I44" s="184">
        <v>8760.0000000000018</v>
      </c>
      <c r="J44" s="184">
        <v>8760.0000000000018</v>
      </c>
      <c r="K44" s="184">
        <v>8760</v>
      </c>
      <c r="L44" s="184">
        <v>8759.9999999999982</v>
      </c>
      <c r="M44" s="184">
        <v>8760.0000000000018</v>
      </c>
      <c r="N44" s="184">
        <v>8760</v>
      </c>
      <c r="O44" s="184">
        <v>8760.0000000000018</v>
      </c>
      <c r="P44" s="184">
        <v>8760</v>
      </c>
      <c r="Q44" s="184">
        <v>8759.9999999999982</v>
      </c>
      <c r="R44" s="184">
        <v>8759.9999999999982</v>
      </c>
      <c r="S44" s="184">
        <v>8759.9999999999964</v>
      </c>
      <c r="T44" s="184">
        <v>8759.9999999999982</v>
      </c>
      <c r="U44" s="184">
        <v>8760</v>
      </c>
      <c r="V44" s="184">
        <v>8759.9999999999964</v>
      </c>
      <c r="W44" s="184">
        <v>8759.9999999999982</v>
      </c>
      <c r="X44" s="184">
        <v>8759.9999999999982</v>
      </c>
      <c r="Y44" s="184">
        <v>8759.9999999999982</v>
      </c>
      <c r="DA44" s="193" t="s">
        <v>940</v>
      </c>
    </row>
    <row r="45" spans="1:105" ht="12" customHeight="1" x14ac:dyDescent="0.25">
      <c r="A45" s="131" t="s">
        <v>6</v>
      </c>
      <c r="B45" s="184">
        <v>3787.7987075407723</v>
      </c>
      <c r="C45" s="184">
        <v>3789.8331652101247</v>
      </c>
      <c r="D45" s="184">
        <v>3793.762745963536</v>
      </c>
      <c r="E45" s="184">
        <v>3795.2669413096023</v>
      </c>
      <c r="F45" s="184">
        <v>3797.4225649457712</v>
      </c>
      <c r="G45" s="184">
        <v>3799.2962153182443</v>
      </c>
      <c r="H45" s="184">
        <v>3799.620755093395</v>
      </c>
      <c r="I45" s="184">
        <v>3799.6271943193165</v>
      </c>
      <c r="J45" s="184">
        <v>3794.2889710706913</v>
      </c>
      <c r="K45" s="184">
        <v>3791.3773817571068</v>
      </c>
      <c r="L45" s="184">
        <v>3786.2400365540493</v>
      </c>
      <c r="M45" s="184">
        <v>3778.687388972497</v>
      </c>
      <c r="N45" s="184">
        <v>3765.9064545536335</v>
      </c>
      <c r="O45" s="184">
        <v>3739.4373726463191</v>
      </c>
      <c r="P45" s="184">
        <v>3710.9340565271409</v>
      </c>
      <c r="Q45" s="184">
        <v>3689.8643296889227</v>
      </c>
      <c r="R45" s="184">
        <v>3636.3099532077586</v>
      </c>
      <c r="S45" s="184">
        <v>3667.6915119573205</v>
      </c>
      <c r="T45" s="184">
        <v>3635.2542970894847</v>
      </c>
      <c r="U45" s="184">
        <v>3607.8806663376358</v>
      </c>
      <c r="V45" s="184">
        <v>3596.2872429564441</v>
      </c>
      <c r="W45" s="184">
        <v>3603.9187041121863</v>
      </c>
      <c r="X45" s="184">
        <v>3603.5268337009675</v>
      </c>
      <c r="Y45" s="184">
        <v>3603.1349632897491</v>
      </c>
      <c r="DA45" s="193" t="s">
        <v>941</v>
      </c>
    </row>
    <row r="46" spans="1:105" ht="12" customHeight="1" x14ac:dyDescent="0.25">
      <c r="A46" s="131" t="s">
        <v>5</v>
      </c>
      <c r="B46" s="184">
        <v>2270.345842976159</v>
      </c>
      <c r="C46" s="184">
        <v>2286.225929437267</v>
      </c>
      <c r="D46" s="184">
        <v>2297.7776619491201</v>
      </c>
      <c r="E46" s="184">
        <v>2305.1020866355857</v>
      </c>
      <c r="F46" s="184">
        <v>2317.5638219778575</v>
      </c>
      <c r="G46" s="184">
        <v>2328.6922334778296</v>
      </c>
      <c r="H46" s="184">
        <v>2340.8234532846586</v>
      </c>
      <c r="I46" s="184">
        <v>2351.4870124371737</v>
      </c>
      <c r="J46" s="184">
        <v>2359.511782344825</v>
      </c>
      <c r="K46" s="184">
        <v>2364.8452131607646</v>
      </c>
      <c r="L46" s="184">
        <v>2370.2107639860665</v>
      </c>
      <c r="M46" s="184">
        <v>2373.9098403347912</v>
      </c>
      <c r="N46" s="184">
        <v>2378.2613285749148</v>
      </c>
      <c r="O46" s="184">
        <v>2385.2973051139525</v>
      </c>
      <c r="P46" s="184">
        <v>2394.9569764798557</v>
      </c>
      <c r="Q46" s="184">
        <v>2401.1263991035116</v>
      </c>
      <c r="R46" s="184">
        <v>2367.8357673756095</v>
      </c>
      <c r="S46" s="184">
        <v>2416.4554652158045</v>
      </c>
      <c r="T46" s="184">
        <v>2382.7009277698726</v>
      </c>
      <c r="U46" s="184">
        <v>2359.2883271168566</v>
      </c>
      <c r="V46" s="184">
        <v>2157.6312760007318</v>
      </c>
      <c r="W46" s="184">
        <v>2111.33371207546</v>
      </c>
      <c r="X46" s="184">
        <v>2247.0086343097855</v>
      </c>
      <c r="Y46" s="184">
        <v>2314.8460954269485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8759.9999999999945</v>
      </c>
      <c r="D47" s="184">
        <v>8759.9999999999982</v>
      </c>
      <c r="E47" s="184">
        <v>8759.9999999999982</v>
      </c>
      <c r="F47" s="184">
        <v>8760.0000000000018</v>
      </c>
      <c r="G47" s="184">
        <v>8759.9999999999982</v>
      </c>
      <c r="H47" s="184">
        <v>8759.9999999999964</v>
      </c>
      <c r="I47" s="184">
        <v>8759.9999999999945</v>
      </c>
      <c r="J47" s="184">
        <v>8759.9999999999964</v>
      </c>
      <c r="K47" s="184">
        <v>8760</v>
      </c>
      <c r="L47" s="184">
        <v>8759.9999999999982</v>
      </c>
      <c r="M47" s="184">
        <v>8760</v>
      </c>
      <c r="N47" s="184">
        <v>8759.9999999999964</v>
      </c>
      <c r="O47" s="184">
        <v>8759.9999999999964</v>
      </c>
      <c r="P47" s="184">
        <v>8760.0000000000018</v>
      </c>
      <c r="Q47" s="184">
        <v>8760</v>
      </c>
      <c r="R47" s="184">
        <v>8760</v>
      </c>
      <c r="S47" s="184">
        <v>8759.9999999999982</v>
      </c>
      <c r="T47" s="184">
        <v>8759.9999999999982</v>
      </c>
      <c r="U47" s="184">
        <v>8760</v>
      </c>
      <c r="V47" s="184">
        <v>8760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927.13917664815369</v>
      </c>
      <c r="C48" s="44">
        <v>931.56801117343093</v>
      </c>
      <c r="D48" s="44">
        <v>935.62969084611188</v>
      </c>
      <c r="E48" s="44">
        <v>939.38171057529053</v>
      </c>
      <c r="F48" s="44">
        <v>942.86895107581233</v>
      </c>
      <c r="G48" s="44">
        <v>946.12712944033501</v>
      </c>
      <c r="H48" s="44">
        <v>949.1851430657664</v>
      </c>
      <c r="I48" s="44">
        <v>952.06670772015468</v>
      </c>
      <c r="J48" s="44">
        <v>954.79153067362995</v>
      </c>
      <c r="K48" s="44">
        <v>957.37616895258975</v>
      </c>
      <c r="L48" s="44">
        <v>959.83466910300808</v>
      </c>
      <c r="M48" s="44">
        <v>961.39695553154752</v>
      </c>
      <c r="N48" s="44">
        <v>962.88891871518604</v>
      </c>
      <c r="O48" s="44">
        <v>964.31671324023955</v>
      </c>
      <c r="P48" s="44">
        <v>965.68571566399567</v>
      </c>
      <c r="Q48" s="44">
        <v>967.00065066536251</v>
      </c>
      <c r="R48" s="44">
        <v>955.525420783193</v>
      </c>
      <c r="S48" s="44">
        <v>965.03669103412551</v>
      </c>
      <c r="T48" s="44">
        <v>961.24101291959062</v>
      </c>
      <c r="U48" s="44">
        <v>955.09568389020717</v>
      </c>
      <c r="V48" s="44">
        <v>873.46014281057796</v>
      </c>
      <c r="W48" s="44">
        <v>854.71779454757655</v>
      </c>
      <c r="X48" s="44">
        <v>909.05420641928959</v>
      </c>
      <c r="Y48" s="44">
        <v>936.22241235514605</v>
      </c>
      <c r="DA48" s="95" t="s">
        <v>944</v>
      </c>
    </row>
    <row r="49" spans="1:105" ht="12" customHeight="1" x14ac:dyDescent="0.25">
      <c r="A49" s="62" t="s">
        <v>3</v>
      </c>
      <c r="B49" s="185">
        <v>1926.2727806751675</v>
      </c>
      <c r="C49" s="185">
        <v>1985.9255725518169</v>
      </c>
      <c r="D49" s="185">
        <v>2060.151340967725</v>
      </c>
      <c r="E49" s="185">
        <v>2128.1175390700432</v>
      </c>
      <c r="F49" s="185">
        <v>2189.9777981442007</v>
      </c>
      <c r="G49" s="185">
        <v>2239.4070804298713</v>
      </c>
      <c r="H49" s="185">
        <v>2283.35916152855</v>
      </c>
      <c r="I49" s="185">
        <v>2316.7972804653596</v>
      </c>
      <c r="J49" s="185">
        <v>2346.3882450619803</v>
      </c>
      <c r="K49" s="185">
        <v>2374.8914409272084</v>
      </c>
      <c r="L49" s="185">
        <v>2409.1939753649513</v>
      </c>
      <c r="M49" s="185">
        <v>2442.7672565448879</v>
      </c>
      <c r="N49" s="185">
        <v>2464.7203222729008</v>
      </c>
      <c r="O49" s="185">
        <v>2476.6332556366797</v>
      </c>
      <c r="P49" s="185">
        <v>2478.6812358658667</v>
      </c>
      <c r="Q49" s="185">
        <v>2459.7930105294286</v>
      </c>
      <c r="R49" s="185">
        <v>2446.1798003086178</v>
      </c>
      <c r="S49" s="185">
        <v>2473.6246441578219</v>
      </c>
      <c r="T49" s="185">
        <v>2471.70626865537</v>
      </c>
      <c r="U49" s="185">
        <v>2475.1214977817472</v>
      </c>
      <c r="V49" s="185">
        <v>2388.0163950949614</v>
      </c>
      <c r="W49" s="185">
        <v>2371.4452647549674</v>
      </c>
      <c r="X49" s="185">
        <v>2430.2768922780929</v>
      </c>
      <c r="Y49" s="185">
        <v>2459.6057804672782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0.72028600541996735</v>
      </c>
      <c r="C52" s="180">
        <v>0.71344972322332656</v>
      </c>
      <c r="D52" s="180">
        <v>0.70729266993210449</v>
      </c>
      <c r="E52" s="180">
        <v>0.7010235185608753</v>
      </c>
      <c r="F52" s="180">
        <v>0.69399576838029542</v>
      </c>
      <c r="G52" s="180">
        <v>0.68638037933150875</v>
      </c>
      <c r="H52" s="180">
        <v>0.67809801148944782</v>
      </c>
      <c r="I52" s="180">
        <v>0.67040306345418144</v>
      </c>
      <c r="J52" s="180">
        <v>0.66281060207384423</v>
      </c>
      <c r="K52" s="180">
        <v>0.65544211358281923</v>
      </c>
      <c r="L52" s="180">
        <v>0.64752572994495805</v>
      </c>
      <c r="M52" s="180">
        <v>0.6392363207081071</v>
      </c>
      <c r="N52" s="180">
        <v>0.63061203704643309</v>
      </c>
      <c r="O52" s="180">
        <v>0.62089399009312918</v>
      </c>
      <c r="P52" s="180">
        <v>0.61024259129471936</v>
      </c>
      <c r="Q52" s="180">
        <v>0.5984760682469854</v>
      </c>
      <c r="R52" s="180">
        <v>0.58672743754451451</v>
      </c>
      <c r="S52" s="180">
        <v>0.5748493454735516</v>
      </c>
      <c r="T52" s="180">
        <v>0.56314039923974024</v>
      </c>
      <c r="U52" s="180">
        <v>0.55290686954563772</v>
      </c>
      <c r="V52" s="180">
        <v>0.54449449563258279</v>
      </c>
      <c r="W52" s="180">
        <v>0.53673335192468408</v>
      </c>
      <c r="X52" s="180">
        <v>0.52917209076582483</v>
      </c>
      <c r="Y52" s="180">
        <v>0.52170961033853414</v>
      </c>
      <c r="DA52" s="189" t="s">
        <v>946</v>
      </c>
    </row>
    <row r="53" spans="1:105" ht="12" customHeight="1" x14ac:dyDescent="0.25">
      <c r="A53" s="131" t="s">
        <v>100</v>
      </c>
      <c r="B53" s="180">
        <v>196.14440558508878</v>
      </c>
      <c r="C53" s="180">
        <v>194.49943859931162</v>
      </c>
      <c r="D53" s="180">
        <v>192.56220543054297</v>
      </c>
      <c r="E53" s="180">
        <v>190.1544187870098</v>
      </c>
      <c r="F53" s="180">
        <v>187.31692407080689</v>
      </c>
      <c r="G53" s="180">
        <v>183.93984868622476</v>
      </c>
      <c r="H53" s="180">
        <v>180.13461121993106</v>
      </c>
      <c r="I53" s="180">
        <v>175.8307750893064</v>
      </c>
      <c r="J53" s="180">
        <v>173.03299652821707</v>
      </c>
      <c r="K53" s="180">
        <v>170.02794869566443</v>
      </c>
      <c r="L53" s="180">
        <v>166.82954862132652</v>
      </c>
      <c r="M53" s="180">
        <v>163.51748993615692</v>
      </c>
      <c r="N53" s="180">
        <v>159.90698361666469</v>
      </c>
      <c r="O53" s="180">
        <v>155.84805908892841</v>
      </c>
      <c r="P53" s="180">
        <v>151.04595407765757</v>
      </c>
      <c r="Q53" s="180">
        <v>145.8689167240743</v>
      </c>
      <c r="R53" s="180">
        <v>140.95802478822574</v>
      </c>
      <c r="S53" s="180">
        <v>135.43042061922625</v>
      </c>
      <c r="T53" s="180">
        <v>129.68632760403756</v>
      </c>
      <c r="U53" s="180">
        <v>123.54485463502974</v>
      </c>
      <c r="V53" s="180">
        <v>117.08297850847725</v>
      </c>
      <c r="W53" s="180">
        <v>110.74018049737626</v>
      </c>
      <c r="X53" s="180">
        <v>105.33027327742818</v>
      </c>
      <c r="Y53" s="180">
        <v>101.50962156059539</v>
      </c>
      <c r="DA53" s="189" t="s">
        <v>947</v>
      </c>
    </row>
    <row r="54" spans="1:105" ht="12" customHeight="1" x14ac:dyDescent="0.25">
      <c r="A54" s="131" t="s">
        <v>140</v>
      </c>
      <c r="B54" s="180">
        <v>45.204672661431744</v>
      </c>
      <c r="C54" s="180">
        <v>44.630463004036677</v>
      </c>
      <c r="D54" s="180">
        <v>43.855282336941556</v>
      </c>
      <c r="E54" s="180">
        <v>42.946815765932669</v>
      </c>
      <c r="F54" s="180">
        <v>41.862638071673608</v>
      </c>
      <c r="G54" s="180">
        <v>40.591809455064713</v>
      </c>
      <c r="H54" s="180">
        <v>39.265944016062853</v>
      </c>
      <c r="I54" s="180">
        <v>38.192942228934754</v>
      </c>
      <c r="J54" s="180">
        <v>37.313409050313865</v>
      </c>
      <c r="K54" s="180">
        <v>36.368852270089398</v>
      </c>
      <c r="L54" s="180">
        <v>35.38081311162388</v>
      </c>
      <c r="M54" s="180">
        <v>34.379889961714284</v>
      </c>
      <c r="N54" s="180">
        <v>33.141945094781299</v>
      </c>
      <c r="O54" s="180">
        <v>31.68336728090793</v>
      </c>
      <c r="P54" s="180">
        <v>30.110176446522757</v>
      </c>
      <c r="Q54" s="180">
        <v>28.440927272493639</v>
      </c>
      <c r="R54" s="180">
        <v>26.75064151438227</v>
      </c>
      <c r="S54" s="180">
        <v>24.947749773179424</v>
      </c>
      <c r="T54" s="180">
        <v>22.981496452384217</v>
      </c>
      <c r="U54" s="180">
        <v>20.909005179263406</v>
      </c>
      <c r="V54" s="180">
        <v>19.104278030968057</v>
      </c>
      <c r="W54" s="180">
        <v>17.519341828686848</v>
      </c>
      <c r="X54" s="180">
        <v>16.240672261914618</v>
      </c>
      <c r="Y54" s="180">
        <v>14.990984594517759</v>
      </c>
      <c r="DA54" s="189" t="s">
        <v>948</v>
      </c>
    </row>
    <row r="55" spans="1:105" ht="12" customHeight="1" x14ac:dyDescent="0.25">
      <c r="A55" s="131" t="s">
        <v>173</v>
      </c>
      <c r="B55" s="180">
        <v>678.99632370863185</v>
      </c>
      <c r="C55" s="180">
        <v>670.52677372830647</v>
      </c>
      <c r="D55" s="180">
        <v>659.70109733970548</v>
      </c>
      <c r="E55" s="180">
        <v>648.3243001883427</v>
      </c>
      <c r="F55" s="180">
        <v>636.4932619865391</v>
      </c>
      <c r="G55" s="180">
        <v>625.10669824105116</v>
      </c>
      <c r="H55" s="180">
        <v>613.99663552396464</v>
      </c>
      <c r="I55" s="180">
        <v>603.35292209588852</v>
      </c>
      <c r="J55" s="180">
        <v>592.33933410326529</v>
      </c>
      <c r="K55" s="180">
        <v>580.76040679230243</v>
      </c>
      <c r="L55" s="180">
        <v>568.51203631984697</v>
      </c>
      <c r="M55" s="180">
        <v>556.86398032673162</v>
      </c>
      <c r="N55" s="180">
        <v>545.60939847137752</v>
      </c>
      <c r="O55" s="180">
        <v>535.07881516203895</v>
      </c>
      <c r="P55" s="180">
        <v>523.00381958724529</v>
      </c>
      <c r="Q55" s="180">
        <v>510.98771420672153</v>
      </c>
      <c r="R55" s="180">
        <v>500.38450945899439</v>
      </c>
      <c r="S55" s="180">
        <v>490.94789370144338</v>
      </c>
      <c r="T55" s="180">
        <v>482.13033210931349</v>
      </c>
      <c r="U55" s="180">
        <v>473.59865825373168</v>
      </c>
      <c r="V55" s="180">
        <v>465.15276091350518</v>
      </c>
      <c r="W55" s="180">
        <v>455.82126879715349</v>
      </c>
      <c r="X55" s="180">
        <v>446.27464875022673</v>
      </c>
      <c r="Y55" s="180">
        <v>436.99657803290694</v>
      </c>
      <c r="DA55" s="189" t="s">
        <v>949</v>
      </c>
    </row>
    <row r="56" spans="1:105" ht="12" customHeight="1" x14ac:dyDescent="0.25">
      <c r="A56" s="60" t="s">
        <v>99</v>
      </c>
      <c r="B56" s="55">
        <v>49.795035505481742</v>
      </c>
      <c r="C56" s="55">
        <v>49.539999855648851</v>
      </c>
      <c r="D56" s="55">
        <v>49.299457888163772</v>
      </c>
      <c r="E56" s="55">
        <v>49.053012735762607</v>
      </c>
      <c r="F56" s="55">
        <v>48.750158565820001</v>
      </c>
      <c r="G56" s="55">
        <v>48.383213686482158</v>
      </c>
      <c r="H56" s="55">
        <v>47.962819091298265</v>
      </c>
      <c r="I56" s="55">
        <v>47.532203672203337</v>
      </c>
      <c r="J56" s="55">
        <v>47.111628413227088</v>
      </c>
      <c r="K56" s="55">
        <v>46.641662775149435</v>
      </c>
      <c r="L56" s="55">
        <v>46.131655430295297</v>
      </c>
      <c r="M56" s="55">
        <v>45.523151326069204</v>
      </c>
      <c r="N56" s="55">
        <v>44.816084980859529</v>
      </c>
      <c r="O56" s="55">
        <v>43.978957238480028</v>
      </c>
      <c r="P56" s="55">
        <v>42.999160811690132</v>
      </c>
      <c r="Q56" s="55">
        <v>41.818383748164862</v>
      </c>
      <c r="R56" s="55">
        <v>41.003233557681334</v>
      </c>
      <c r="S56" s="55">
        <v>40.25605380114667</v>
      </c>
      <c r="T56" s="55">
        <v>39.537050728370446</v>
      </c>
      <c r="U56" s="55">
        <v>38.765836443085618</v>
      </c>
      <c r="V56" s="55">
        <v>37.911788051979059</v>
      </c>
      <c r="W56" s="55">
        <v>37.021213992303508</v>
      </c>
      <c r="X56" s="55">
        <v>36.218088366803201</v>
      </c>
      <c r="Y56" s="55">
        <v>35.567023433608568</v>
      </c>
      <c r="DA56" s="101" t="s">
        <v>950</v>
      </c>
    </row>
    <row r="57" spans="1:105" ht="12" customHeight="1" x14ac:dyDescent="0.25">
      <c r="A57" s="62" t="s">
        <v>98</v>
      </c>
      <c r="B57" s="63">
        <v>380.90377603083772</v>
      </c>
      <c r="C57" s="63">
        <v>372.63401445152505</v>
      </c>
      <c r="D57" s="63">
        <v>362.547247042283</v>
      </c>
      <c r="E57" s="63">
        <v>350.20495068411452</v>
      </c>
      <c r="F57" s="63">
        <v>335.5566414961304</v>
      </c>
      <c r="G57" s="63">
        <v>319.64968221356793</v>
      </c>
      <c r="H57" s="63">
        <v>304.237170939755</v>
      </c>
      <c r="I57" s="63">
        <v>289.92636197610824</v>
      </c>
      <c r="J57" s="63">
        <v>275.59030527117494</v>
      </c>
      <c r="K57" s="63">
        <v>260.65795230700496</v>
      </c>
      <c r="L57" s="63">
        <v>244.65366799858643</v>
      </c>
      <c r="M57" s="63">
        <v>227.16419728810249</v>
      </c>
      <c r="N57" s="63">
        <v>212.90932317903301</v>
      </c>
      <c r="O57" s="63">
        <v>200.71316124450692</v>
      </c>
      <c r="P57" s="63">
        <v>192.17821195335551</v>
      </c>
      <c r="Q57" s="63">
        <v>186.53209826074701</v>
      </c>
      <c r="R57" s="63">
        <v>183.3580507878028</v>
      </c>
      <c r="S57" s="63">
        <v>180.34561217312825</v>
      </c>
      <c r="T57" s="63">
        <v>177.68183066575139</v>
      </c>
      <c r="U57" s="63">
        <v>174.37832590352519</v>
      </c>
      <c r="V57" s="63">
        <v>169.54073673353429</v>
      </c>
      <c r="W57" s="63">
        <v>165.56842480940637</v>
      </c>
      <c r="X57" s="63">
        <v>161.94515135257896</v>
      </c>
      <c r="Y57" s="63">
        <v>158.56813938075513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0.64231429304966137</v>
      </c>
      <c r="D60" s="180">
        <v>0.63285723869095434</v>
      </c>
      <c r="E60" s="180">
        <v>0.6259491248109158</v>
      </c>
      <c r="F60" s="180">
        <v>0.61975691314041315</v>
      </c>
      <c r="G60" s="180">
        <v>0.61207601115892263</v>
      </c>
      <c r="H60" s="180">
        <v>0.60478063787783165</v>
      </c>
      <c r="I60" s="180">
        <v>0.59798016859262593</v>
      </c>
      <c r="J60" s="180">
        <v>0.58987618425559585</v>
      </c>
      <c r="K60" s="180">
        <v>0.58105269560235795</v>
      </c>
      <c r="L60" s="180">
        <v>0.57061919317579501</v>
      </c>
      <c r="M60" s="180">
        <v>0.55997549161124638</v>
      </c>
      <c r="N60" s="180">
        <v>0.54855526958597178</v>
      </c>
      <c r="O60" s="180">
        <v>0.53452200791197579</v>
      </c>
      <c r="P60" s="180">
        <v>0.51916123556035831</v>
      </c>
      <c r="Q60" s="180">
        <v>0.50335449586678127</v>
      </c>
      <c r="R60" s="180">
        <v>0.50003721447429783</v>
      </c>
      <c r="S60" s="180">
        <v>0.49511129536996479</v>
      </c>
      <c r="T60" s="180">
        <v>0.490029741254842</v>
      </c>
      <c r="U60" s="180">
        <v>0.48504277105547666</v>
      </c>
      <c r="V60" s="180">
        <v>0.48027132354938978</v>
      </c>
      <c r="W60" s="180">
        <v>0.47738969560809347</v>
      </c>
      <c r="X60" s="180">
        <v>0.4745080676667971</v>
      </c>
      <c r="Y60" s="180">
        <v>0.47162643972550078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184.75276728321282</v>
      </c>
      <c r="D61" s="180">
        <v>182.6486944893239</v>
      </c>
      <c r="E61" s="180">
        <v>179.58392062102303</v>
      </c>
      <c r="F61" s="180">
        <v>176.36027827478091</v>
      </c>
      <c r="G61" s="180">
        <v>173.18999663859751</v>
      </c>
      <c r="H61" s="180">
        <v>170.35179256881372</v>
      </c>
      <c r="I61" s="180">
        <v>167.44347375465449</v>
      </c>
      <c r="J61" s="180">
        <v>164.38360444264643</v>
      </c>
      <c r="K61" s="180">
        <v>160.83226183421723</v>
      </c>
      <c r="L61" s="180">
        <v>157.44904125195649</v>
      </c>
      <c r="M61" s="180">
        <v>153.26487066981329</v>
      </c>
      <c r="N61" s="180">
        <v>148.89429161236345</v>
      </c>
      <c r="O61" s="180">
        <v>143.58971404297552</v>
      </c>
      <c r="P61" s="180">
        <v>137.22282911649674</v>
      </c>
      <c r="Q61" s="180">
        <v>129.22707291067096</v>
      </c>
      <c r="R61" s="180">
        <v>121.88637734740009</v>
      </c>
      <c r="S61" s="180">
        <v>116.25955982475691</v>
      </c>
      <c r="T61" s="180">
        <v>110.52057929525031</v>
      </c>
      <c r="U61" s="180">
        <v>104.7509325652984</v>
      </c>
      <c r="V61" s="180">
        <v>99.057796661553112</v>
      </c>
      <c r="W61" s="180">
        <v>96.62097486367891</v>
      </c>
      <c r="X61" s="180">
        <v>94.184153065804708</v>
      </c>
      <c r="Y61" s="180">
        <v>91.747331267930505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42.205597181727384</v>
      </c>
      <c r="D62" s="180">
        <v>40.706751339020535</v>
      </c>
      <c r="E62" s="180">
        <v>39.838665653073043</v>
      </c>
      <c r="F62" s="180">
        <v>38.853743906820981</v>
      </c>
      <c r="G62" s="180">
        <v>37.601993368870239</v>
      </c>
      <c r="H62" s="180">
        <v>37.005236733242</v>
      </c>
      <c r="I62" s="180">
        <v>36.066046334056239</v>
      </c>
      <c r="J62" s="180">
        <v>35.190231749205076</v>
      </c>
      <c r="K62" s="180">
        <v>33.840977768696249</v>
      </c>
      <c r="L62" s="180">
        <v>32.906387659685521</v>
      </c>
      <c r="M62" s="180">
        <v>31.780836738017609</v>
      </c>
      <c r="N62" s="180">
        <v>30.013857309575457</v>
      </c>
      <c r="O62" s="180">
        <v>28.166694921576902</v>
      </c>
      <c r="P62" s="180">
        <v>25.895020243711706</v>
      </c>
      <c r="Q62" s="180">
        <v>23.761243988833861</v>
      </c>
      <c r="R62" s="180">
        <v>21.982683740126145</v>
      </c>
      <c r="S62" s="180">
        <v>20.532218779319141</v>
      </c>
      <c r="T62" s="180">
        <v>18.202587704901099</v>
      </c>
      <c r="U62" s="180">
        <v>16.282379090805254</v>
      </c>
      <c r="V62" s="180">
        <v>14.934147013509703</v>
      </c>
      <c r="W62" s="180">
        <v>14.187439662834217</v>
      </c>
      <c r="X62" s="180">
        <v>13.440732312158731</v>
      </c>
      <c r="Y62" s="180">
        <v>12.694024961483246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618.63138869464194</v>
      </c>
      <c r="D63" s="180">
        <v>598.95600198763532</v>
      </c>
      <c r="E63" s="180">
        <v>585.02341709189818</v>
      </c>
      <c r="F63" s="180">
        <v>577.15944417508274</v>
      </c>
      <c r="G63" s="180">
        <v>570.66515062597716</v>
      </c>
      <c r="H63" s="180">
        <v>563.53242811184498</v>
      </c>
      <c r="I63" s="180">
        <v>555.40541357841175</v>
      </c>
      <c r="J63" s="180">
        <v>545.16569629052333</v>
      </c>
      <c r="K63" s="180">
        <v>535.37309309957618</v>
      </c>
      <c r="L63" s="180">
        <v>525.71320518328457</v>
      </c>
      <c r="M63" s="180">
        <v>508.55440714457444</v>
      </c>
      <c r="N63" s="180">
        <v>497.89008221133338</v>
      </c>
      <c r="O63" s="180">
        <v>487.12084383501252</v>
      </c>
      <c r="P63" s="180">
        <v>472.56266555319019</v>
      </c>
      <c r="Q63" s="180">
        <v>464.73983335874578</v>
      </c>
      <c r="R63" s="180">
        <v>457.92254217273063</v>
      </c>
      <c r="S63" s="180">
        <v>449.58334599422579</v>
      </c>
      <c r="T63" s="180">
        <v>441.23862999157171</v>
      </c>
      <c r="U63" s="180">
        <v>433.03994924590415</v>
      </c>
      <c r="V63" s="180">
        <v>425.04919145110961</v>
      </c>
      <c r="W63" s="180">
        <v>416.54820762208743</v>
      </c>
      <c r="X63" s="180">
        <v>408.0472237930652</v>
      </c>
      <c r="Y63" s="180">
        <v>399.54623996404302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46.934928712741559</v>
      </c>
      <c r="D64" s="55">
        <v>46.486469240056529</v>
      </c>
      <c r="E64" s="55">
        <v>46.105797922787623</v>
      </c>
      <c r="F64" s="55">
        <v>45.552281651943915</v>
      </c>
      <c r="G64" s="55">
        <v>45.05421711685478</v>
      </c>
      <c r="H64" s="55">
        <v>44.498377567747298</v>
      </c>
      <c r="I64" s="55">
        <v>43.824241406456231</v>
      </c>
      <c r="J64" s="55">
        <v>43.014962939496669</v>
      </c>
      <c r="K64" s="55">
        <v>42.217864784195953</v>
      </c>
      <c r="L64" s="55">
        <v>41.412577921411227</v>
      </c>
      <c r="M64" s="55">
        <v>40.378401552666176</v>
      </c>
      <c r="N64" s="55">
        <v>39.161782346055567</v>
      </c>
      <c r="O64" s="55">
        <v>37.99457824118884</v>
      </c>
      <c r="P64" s="55">
        <v>36.748153912161833</v>
      </c>
      <c r="Q64" s="55">
        <v>35.376481661206668</v>
      </c>
      <c r="R64" s="55">
        <v>34.93292269439825</v>
      </c>
      <c r="S64" s="55">
        <v>34.393259927003456</v>
      </c>
      <c r="T64" s="55">
        <v>33.859197586659327</v>
      </c>
      <c r="U64" s="55">
        <v>33.329665583570105</v>
      </c>
      <c r="V64" s="55">
        <v>32.814527272093628</v>
      </c>
      <c r="W64" s="55">
        <v>32.486381999372689</v>
      </c>
      <c r="X64" s="55">
        <v>32.158236726651758</v>
      </c>
      <c r="Y64" s="55">
        <v>31.83009145393082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348.47292358040067</v>
      </c>
      <c r="D65" s="63">
        <v>335.43427835686384</v>
      </c>
      <c r="E65" s="63">
        <v>321.31259384364176</v>
      </c>
      <c r="F65" s="63">
        <v>306.05741252021733</v>
      </c>
      <c r="G65" s="63">
        <v>293.11118827298782</v>
      </c>
      <c r="H65" s="63">
        <v>279.48533793653462</v>
      </c>
      <c r="I65" s="63">
        <v>264.13551484741532</v>
      </c>
      <c r="J65" s="63">
        <v>247.90250126087938</v>
      </c>
      <c r="K65" s="63">
        <v>228.7805257975044</v>
      </c>
      <c r="L65" s="63">
        <v>212.13011575877334</v>
      </c>
      <c r="M65" s="63">
        <v>197.46670728738312</v>
      </c>
      <c r="N65" s="63">
        <v>191.39224412433168</v>
      </c>
      <c r="O65" s="63">
        <v>183.82508369600004</v>
      </c>
      <c r="P65" s="63">
        <v>181.96230124195836</v>
      </c>
      <c r="Q65" s="63">
        <v>181.81874517250219</v>
      </c>
      <c r="R65" s="63">
        <v>179.60689992167954</v>
      </c>
      <c r="S65" s="63">
        <v>174.90460416806783</v>
      </c>
      <c r="T65" s="63">
        <v>170.19675613775411</v>
      </c>
      <c r="U65" s="63">
        <v>165.62446862028526</v>
      </c>
      <c r="V65" s="63">
        <v>161.13470968351129</v>
      </c>
      <c r="W65" s="63">
        <v>158.23428490920807</v>
      </c>
      <c r="X65" s="63">
        <v>155.33386013490488</v>
      </c>
      <c r="Y65" s="63">
        <v>152.43343536060166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363.30095556185023</v>
      </c>
      <c r="C68" s="187">
        <f>1000000*C20/SER_summary!C$8</f>
        <v>368.03358775561151</v>
      </c>
      <c r="D68" s="187">
        <f>1000000*D20/SER_summary!D$8</f>
        <v>374.46089484781112</v>
      </c>
      <c r="E68" s="187">
        <f>1000000*E20/SER_summary!E$8</f>
        <v>382.05175742340055</v>
      </c>
      <c r="F68" s="187">
        <f>1000000*F20/SER_summary!F$8</f>
        <v>389.60988238544854</v>
      </c>
      <c r="G68" s="187">
        <f>1000000*G20/SER_summary!G$8</f>
        <v>397.99150178473991</v>
      </c>
      <c r="H68" s="187">
        <f>1000000*H20/SER_summary!H$8</f>
        <v>407.22864976629359</v>
      </c>
      <c r="I68" s="187">
        <f>1000000*I20/SER_summary!I$8</f>
        <v>414.23985937992501</v>
      </c>
      <c r="J68" s="187">
        <f>1000000*J20/SER_summary!J$8</f>
        <v>422.79832890696554</v>
      </c>
      <c r="K68" s="187">
        <f>1000000*K20/SER_summary!K$8</f>
        <v>430.98969022219654</v>
      </c>
      <c r="L68" s="187">
        <f>1000000*L20/SER_summary!L$8</f>
        <v>439.83778602512081</v>
      </c>
      <c r="M68" s="187">
        <f>1000000*M20/SER_summary!M$8</f>
        <v>448.0862603206096</v>
      </c>
      <c r="N68" s="187">
        <f>1000000*N20/SER_summary!N$8</f>
        <v>456.57019836883262</v>
      </c>
      <c r="O68" s="187">
        <f>1000000*O20/SER_summary!O$8</f>
        <v>465.66308876448932</v>
      </c>
      <c r="P68" s="187">
        <f>1000000*P20/SER_summary!P$8</f>
        <v>474.44213051423992</v>
      </c>
      <c r="Q68" s="187">
        <f>1000000*Q20/SER_summary!Q$8</f>
        <v>485.36692642891268</v>
      </c>
      <c r="R68" s="187">
        <f>1000000*R20/SER_summary!R$8</f>
        <v>497.45435581508411</v>
      </c>
      <c r="S68" s="187">
        <f>1000000*S20/SER_summary!S$8</f>
        <v>509.57386172765598</v>
      </c>
      <c r="T68" s="187">
        <f>1000000*T20/SER_summary!T$8</f>
        <v>521.55580019330762</v>
      </c>
      <c r="U68" s="187">
        <f>1000000*U20/SER_summary!U$8</f>
        <v>533.29727979415225</v>
      </c>
      <c r="V68" s="187">
        <f>1000000*V20/SER_summary!V$8</f>
        <v>544.60678273035387</v>
      </c>
      <c r="W68" s="187">
        <f>1000000*W20/SER_summary!W$8</f>
        <v>555.32827882041795</v>
      </c>
      <c r="X68" s="187">
        <f>1000000*X20/SER_summary!X$8</f>
        <v>560.76792053282225</v>
      </c>
      <c r="Y68" s="187">
        <f>1000000*Y20/SER_summary!Y$8</f>
        <v>563.50769011081468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0.14625572899943534</v>
      </c>
      <c r="C69" s="187">
        <f>1000*C21/SER_summary!C$3</f>
        <v>0.14831317364513952</v>
      </c>
      <c r="D69" s="187">
        <f>1000*D21/SER_summary!D$3</f>
        <v>0.15051910079031244</v>
      </c>
      <c r="E69" s="187">
        <f>1000*E21/SER_summary!E$3</f>
        <v>0.1532356659845395</v>
      </c>
      <c r="F69" s="187">
        <f>1000*F21/SER_summary!F$3</f>
        <v>0.15560630074099147</v>
      </c>
      <c r="G69" s="187">
        <f>1000*G21/SER_summary!G$3</f>
        <v>0.15878394557077108</v>
      </c>
      <c r="H69" s="187">
        <f>1000*H21/SER_summary!H$3</f>
        <v>0.16195825411754286</v>
      </c>
      <c r="I69" s="187">
        <f>1000*I21/SER_summary!I$3</f>
        <v>0.16591680393450195</v>
      </c>
      <c r="J69" s="187">
        <f>1000*J21/SER_summary!J$3</f>
        <v>0.16978130459811783</v>
      </c>
      <c r="K69" s="187">
        <f>1000*K21/SER_summary!K$3</f>
        <v>0.17372754331732709</v>
      </c>
      <c r="L69" s="187">
        <f>1000*L21/SER_summary!L$3</f>
        <v>0.1790677923568261</v>
      </c>
      <c r="M69" s="187">
        <f>1000*M21/SER_summary!M$3</f>
        <v>0.1852496415121328</v>
      </c>
      <c r="N69" s="187">
        <f>1000*N21/SER_summary!N$3</f>
        <v>0.19213154633942367</v>
      </c>
      <c r="O69" s="187">
        <f>1000*O21/SER_summary!O$3</f>
        <v>0.20133273038531352</v>
      </c>
      <c r="P69" s="187">
        <f>1000*P21/SER_summary!P$3</f>
        <v>0.21271572593381327</v>
      </c>
      <c r="Q69" s="187">
        <f>1000*Q21/SER_summary!Q$3</f>
        <v>0.22625115284406325</v>
      </c>
      <c r="R69" s="187">
        <f>1000*R21/SER_summary!R$3</f>
        <v>0.23169528357676145</v>
      </c>
      <c r="S69" s="187">
        <f>1000*S21/SER_summary!S$3</f>
        <v>0.23714609456667826</v>
      </c>
      <c r="T69" s="187">
        <f>1000*T21/SER_summary!T$3</f>
        <v>0.24206465733110602</v>
      </c>
      <c r="U69" s="187">
        <f>1000*U21/SER_summary!U$3</f>
        <v>0.24636582442529048</v>
      </c>
      <c r="V69" s="187">
        <f>1000*V21/SER_summary!V$3</f>
        <v>0.24896219470499989</v>
      </c>
      <c r="W69" s="187">
        <f>1000*W21/SER_summary!W$3</f>
        <v>0.251141120661937</v>
      </c>
      <c r="X69" s="187">
        <f>1000*X21/SER_summary!X$3</f>
        <v>0.25267770560144021</v>
      </c>
      <c r="Y69" s="187">
        <f>1000*Y21/SER_summary!Y$3</f>
        <v>0.25375890551219954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161.66647842160086</v>
      </c>
      <c r="C70" s="187">
        <f>1000000*C22/SER_summary!C$8</f>
        <v>163.00613554481797</v>
      </c>
      <c r="D70" s="187">
        <f>1000000*D22/SER_summary!D$8</f>
        <v>164.91013777728082</v>
      </c>
      <c r="E70" s="187">
        <f>1000000*E22/SER_summary!E$8</f>
        <v>167.79371197159907</v>
      </c>
      <c r="F70" s="187">
        <f>1000000*F22/SER_summary!F$8</f>
        <v>171.04974714055083</v>
      </c>
      <c r="G70" s="187">
        <f>1000000*G22/SER_summary!G$8</f>
        <v>174.43809483142681</v>
      </c>
      <c r="H70" s="187">
        <f>1000000*H22/SER_summary!H$8</f>
        <v>177.86949744173012</v>
      </c>
      <c r="I70" s="187">
        <f>1000000*I22/SER_summary!I$8</f>
        <v>181.2019417148467</v>
      </c>
      <c r="J70" s="187">
        <f>1000000*J22/SER_summary!J$8</f>
        <v>185.37409105594864</v>
      </c>
      <c r="K70" s="187">
        <f>1000000*K22/SER_summary!K$8</f>
        <v>189.81444936855735</v>
      </c>
      <c r="L70" s="187">
        <f>1000000*L22/SER_summary!L$8</f>
        <v>195.13574119853553</v>
      </c>
      <c r="M70" s="187">
        <f>1000000*M22/SER_summary!M$8</f>
        <v>202.01117995457349</v>
      </c>
      <c r="N70" s="187">
        <f>1000000*N22/SER_summary!N$8</f>
        <v>211.12158285895282</v>
      </c>
      <c r="O70" s="187">
        <f>1000000*O22/SER_summary!O$8</f>
        <v>221.13816967942518</v>
      </c>
      <c r="P70" s="187">
        <f>1000000*P22/SER_summary!P$8</f>
        <v>231.88561963070219</v>
      </c>
      <c r="Q70" s="187">
        <f>1000000*Q22/SER_summary!Q$8</f>
        <v>245.21881540810875</v>
      </c>
      <c r="R70" s="187">
        <f>1000000*R22/SER_summary!R$8</f>
        <v>252.39640039624666</v>
      </c>
      <c r="S70" s="187">
        <f>1000000*S22/SER_summary!S$8</f>
        <v>259.68439765674867</v>
      </c>
      <c r="T70" s="187">
        <f>1000000*T22/SER_summary!T$8</f>
        <v>266.60956948955828</v>
      </c>
      <c r="U70" s="187">
        <f>1000000*U22/SER_summary!U$8</f>
        <v>272.88250620965846</v>
      </c>
      <c r="V70" s="187">
        <f>1000000*V22/SER_summary!V$8</f>
        <v>277.96385745626122</v>
      </c>
      <c r="W70" s="187">
        <f>1000000*W22/SER_summary!W$8</f>
        <v>280.869280087037</v>
      </c>
      <c r="X70" s="187">
        <f>1000000*X22/SER_summary!X$8</f>
        <v>282.33336001023577</v>
      </c>
      <c r="Y70" s="187">
        <f>1000000*Y22/SER_summary!Y$8</f>
        <v>283.06825940443014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2.0783107976113803E-2</v>
      </c>
      <c r="C71" s="187">
        <f>1000*C23/SER_summary!C$3</f>
        <v>2.1803980621493434E-2</v>
      </c>
      <c r="D71" s="187">
        <f>1000*D23/SER_summary!D$3</f>
        <v>2.3026235810873902E-2</v>
      </c>
      <c r="E71" s="187">
        <f>1000*E23/SER_summary!E$3</f>
        <v>2.4166111738659707E-2</v>
      </c>
      <c r="F71" s="187">
        <f>1000*F23/SER_summary!F$3</f>
        <v>2.5528761885180159E-2</v>
      </c>
      <c r="G71" s="187">
        <f>1000*G23/SER_summary!G$3</f>
        <v>2.6814839393426066E-2</v>
      </c>
      <c r="H71" s="187">
        <f>1000*H23/SER_summary!H$3</f>
        <v>2.7987944912997359E-2</v>
      </c>
      <c r="I71" s="187">
        <f>1000*I23/SER_summary!I$3</f>
        <v>2.8765176894164052E-2</v>
      </c>
      <c r="J71" s="187">
        <f>1000*J23/SER_summary!J$3</f>
        <v>2.9389567668410076E-2</v>
      </c>
      <c r="K71" s="187">
        <f>1000*K23/SER_summary!K$3</f>
        <v>3.0001694142854453E-2</v>
      </c>
      <c r="L71" s="187">
        <f>1000*L23/SER_summary!L$3</f>
        <v>3.0639136793450279E-2</v>
      </c>
      <c r="M71" s="187">
        <f>1000*M23/SER_summary!M$3</f>
        <v>3.1218195491090412E-2</v>
      </c>
      <c r="N71" s="187">
        <f>1000*N23/SER_summary!N$3</f>
        <v>3.1838722113463079E-2</v>
      </c>
      <c r="O71" s="187">
        <f>1000*O23/SER_summary!O$3</f>
        <v>3.2573626898794492E-2</v>
      </c>
      <c r="P71" s="187">
        <f>1000*P23/SER_summary!P$3</f>
        <v>3.3540830651309486E-2</v>
      </c>
      <c r="Q71" s="187">
        <f>1000*Q23/SER_summary!Q$3</f>
        <v>3.4722773527060727E-2</v>
      </c>
      <c r="R71" s="187">
        <f>1000*R23/SER_summary!R$3</f>
        <v>3.5281356168156863E-2</v>
      </c>
      <c r="S71" s="187">
        <f>1000*S23/SER_summary!S$3</f>
        <v>3.583849856769257E-2</v>
      </c>
      <c r="T71" s="187">
        <f>1000*T23/SER_summary!T$3</f>
        <v>3.632799855554552E-2</v>
      </c>
      <c r="U71" s="187">
        <f>1000*U23/SER_summary!U$3</f>
        <v>3.6746710454440869E-2</v>
      </c>
      <c r="V71" s="187">
        <f>1000*V23/SER_summary!V$3</f>
        <v>3.6949558367726919E-2</v>
      </c>
      <c r="W71" s="187">
        <f>1000*W23/SER_summary!W$3</f>
        <v>3.714804546191755E-2</v>
      </c>
      <c r="X71" s="187">
        <f>1000*X23/SER_summary!X$3</f>
        <v>3.7287620500922054E-2</v>
      </c>
      <c r="Y71" s="187">
        <f>1000*Y23/SER_summary!Y$3</f>
        <v>3.7385634941246575E-2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110.51624946224645</v>
      </c>
      <c r="C72" s="187">
        <f>1000000*C24/SER_summary!C$8</f>
        <v>113.88506321445755</v>
      </c>
      <c r="D72" s="187">
        <f>1000000*D24/SER_summary!D$8</f>
        <v>117.87240966637987</v>
      </c>
      <c r="E72" s="187">
        <f>1000000*E24/SER_summary!E$8</f>
        <v>121.89010870939428</v>
      </c>
      <c r="F72" s="187">
        <f>1000000*F24/SER_summary!F$8</f>
        <v>125.83604204094463</v>
      </c>
      <c r="G72" s="187">
        <f>1000000*G24/SER_summary!G$8</f>
        <v>130.78779607155349</v>
      </c>
      <c r="H72" s="187">
        <f>1000000*H24/SER_summary!H$8</f>
        <v>135.93761940450818</v>
      </c>
      <c r="I72" s="187">
        <f>1000000*I24/SER_summary!I$8</f>
        <v>140.36933487712238</v>
      </c>
      <c r="J72" s="187">
        <f>1000000*J24/SER_summary!J$8</f>
        <v>143.60000532184114</v>
      </c>
      <c r="K72" s="187">
        <f>1000000*K24/SER_summary!K$8</f>
        <v>147.29568503250977</v>
      </c>
      <c r="L72" s="187">
        <f>1000000*L24/SER_summary!L$8</f>
        <v>150.11122993302379</v>
      </c>
      <c r="M72" s="187">
        <f>1000000*M24/SER_summary!M$8</f>
        <v>152.96896779165684</v>
      </c>
      <c r="N72" s="187">
        <f>1000000*N24/SER_summary!N$8</f>
        <v>155.66393574187214</v>
      </c>
      <c r="O72" s="187">
        <f>1000000*O24/SER_summary!O$8</f>
        <v>157.79571522009508</v>
      </c>
      <c r="P72" s="187">
        <f>1000000*P24/SER_summary!P$8</f>
        <v>159.17750649147678</v>
      </c>
      <c r="Q72" s="187">
        <f>1000000*Q24/SER_summary!Q$8</f>
        <v>160.99064604335805</v>
      </c>
      <c r="R72" s="187">
        <f>1000000*R24/SER_summary!R$8</f>
        <v>164.30059981430867</v>
      </c>
      <c r="S72" s="187">
        <f>1000000*S24/SER_summary!S$8</f>
        <v>167.62558491753077</v>
      </c>
      <c r="T72" s="187">
        <f>1000000*T24/SER_summary!T$8</f>
        <v>170.88610474859539</v>
      </c>
      <c r="U72" s="187">
        <f>1000000*U24/SER_summary!U$8</f>
        <v>174.03394351659534</v>
      </c>
      <c r="V72" s="187">
        <f>1000000*V24/SER_summary!V$8</f>
        <v>176.97935435651414</v>
      </c>
      <c r="W72" s="187">
        <f>1000000*W24/SER_summary!W$8</f>
        <v>179.63070757803754</v>
      </c>
      <c r="X72" s="187">
        <f>1000000*X24/SER_summary!X$8</f>
        <v>181.78036033960203</v>
      </c>
      <c r="Y72" s="187">
        <f>1000000*Y24/SER_summary!Y$8</f>
        <v>183.51858985289923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9.4987403617420973E-2</v>
      </c>
      <c r="C73" s="52">
        <f>1000*C25/SER_summary!C$3</f>
        <v>0.10119228294964826</v>
      </c>
      <c r="D73" s="52">
        <f>1000*D25/SER_summary!D$3</f>
        <v>0.10657205409408835</v>
      </c>
      <c r="E73" s="52">
        <f>1000*E25/SER_summary!E$3</f>
        <v>0.11292164406472076</v>
      </c>
      <c r="F73" s="52">
        <f>1000*F25/SER_summary!F$3</f>
        <v>0.12136553428874464</v>
      </c>
      <c r="G73" s="52">
        <f>1000*G25/SER_summary!G$3</f>
        <v>0.1323361839472216</v>
      </c>
      <c r="H73" s="52">
        <f>1000*H25/SER_summary!H$3</f>
        <v>0.14370623820133191</v>
      </c>
      <c r="I73" s="52">
        <f>1000*I25/SER_summary!I$3</f>
        <v>0.15552959473790318</v>
      </c>
      <c r="J73" s="52">
        <f>1000*J25/SER_summary!J$3</f>
        <v>0.16868006423101023</v>
      </c>
      <c r="K73" s="52">
        <f>1000*K25/SER_summary!K$3</f>
        <v>0.18175080373882885</v>
      </c>
      <c r="L73" s="52">
        <f>1000*L25/SER_summary!L$3</f>
        <v>0.19733773795297238</v>
      </c>
      <c r="M73" s="52">
        <f>1000*M25/SER_summary!M$3</f>
        <v>0.21212253182897903</v>
      </c>
      <c r="N73" s="52">
        <f>1000*N25/SER_summary!N$3</f>
        <v>0.2299774753560852</v>
      </c>
      <c r="O73" s="52">
        <f>1000*O25/SER_summary!O$3</f>
        <v>0.25063132335718658</v>
      </c>
      <c r="P73" s="52">
        <f>1000*P25/SER_summary!P$3</f>
        <v>0.27570540990657094</v>
      </c>
      <c r="Q73" s="52">
        <f>1000*Q25/SER_summary!Q$3</f>
        <v>0.31238567809585577</v>
      </c>
      <c r="R73" s="52">
        <f>1000*R25/SER_summary!R$3</f>
        <v>0.32813588238369762</v>
      </c>
      <c r="S73" s="52">
        <f>1000*S25/SER_summary!S$3</f>
        <v>0.34396758642902336</v>
      </c>
      <c r="T73" s="52">
        <f>1000*T25/SER_summary!T$3</f>
        <v>0.35885024987106556</v>
      </c>
      <c r="U73" s="52">
        <f>1000*U25/SER_summary!U$3</f>
        <v>0.37283954351346948</v>
      </c>
      <c r="V73" s="52">
        <f>1000*V25/SER_summary!V$3</f>
        <v>0.38416697377208769</v>
      </c>
      <c r="W73" s="52">
        <f>1000*W25/SER_summary!W$3</f>
        <v>0.39503503934670214</v>
      </c>
      <c r="X73" s="52">
        <f>1000*X25/SER_summary!X$3</f>
        <v>0.40371388696100818</v>
      </c>
      <c r="Y73" s="52">
        <f>1000*Y25/SER_summary!Y$3</f>
        <v>0.41005938085336285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31.661366535556635</v>
      </c>
      <c r="C3" s="198">
        <f>'SER_se-appl'!C4</f>
        <v>32.883773498921606</v>
      </c>
      <c r="D3" s="198">
        <f>'SER_se-appl'!D4</f>
        <v>33.66787373252631</v>
      </c>
      <c r="E3" s="198">
        <f>'SER_se-appl'!E4</f>
        <v>34.380187615281194</v>
      </c>
      <c r="F3" s="198">
        <f>'SER_se-appl'!F4</f>
        <v>35.309390905013665</v>
      </c>
      <c r="G3" s="198">
        <f>'SER_se-appl'!G4</f>
        <v>36.370359886888714</v>
      </c>
      <c r="H3" s="198">
        <f>'SER_se-appl'!H4</f>
        <v>37.648971207855048</v>
      </c>
      <c r="I3" s="198">
        <f>'SER_se-appl'!I4</f>
        <v>38.624809467202915</v>
      </c>
      <c r="J3" s="198">
        <f>'SER_se-appl'!J4</f>
        <v>39.415976813087305</v>
      </c>
      <c r="K3" s="198">
        <f>'SER_se-appl'!K4</f>
        <v>39.915012367565822</v>
      </c>
      <c r="L3" s="198">
        <f>'SER_se-appl'!L4</f>
        <v>40.403860538683574</v>
      </c>
      <c r="M3" s="198">
        <f>'SER_se-appl'!M4</f>
        <v>40.800133543333438</v>
      </c>
      <c r="N3" s="198">
        <f>'SER_se-appl'!N4</f>
        <v>41.06022380493053</v>
      </c>
      <c r="O3" s="198">
        <f>'SER_se-appl'!O4</f>
        <v>41.418012927790038</v>
      </c>
      <c r="P3" s="198">
        <f>'SER_se-appl'!P4</f>
        <v>41.775951233529916</v>
      </c>
      <c r="Q3" s="198">
        <f>'SER_se-appl'!Q4</f>
        <v>42.193174935873728</v>
      </c>
      <c r="R3" s="198">
        <f>'SER_se-appl'!R4</f>
        <v>42.652325199627064</v>
      </c>
      <c r="S3" s="198">
        <f>'SER_se-appl'!S4</f>
        <v>43.177993861701104</v>
      </c>
      <c r="T3" s="198">
        <f>'SER_se-appl'!T4</f>
        <v>43.639917388055885</v>
      </c>
      <c r="U3" s="198">
        <f>'SER_se-appl'!U4</f>
        <v>44.129940467462674</v>
      </c>
      <c r="V3" s="198">
        <f>'SER_se-appl'!V4</f>
        <v>44.661650447992123</v>
      </c>
      <c r="W3" s="198">
        <f>'SER_se-appl'!W4</f>
        <v>45.136828756061149</v>
      </c>
      <c r="X3" s="198">
        <f>'SER_se-appl'!X4</f>
        <v>45.160805023848972</v>
      </c>
      <c r="Y3" s="198">
        <f>'SER_se-appl'!Y4</f>
        <v>44.952107765373498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42.034439818324621</v>
      </c>
      <c r="C5" s="59">
        <f>'SER_se-appl'!C12</f>
        <v>43.657338560782925</v>
      </c>
      <c r="D5" s="59">
        <f>'SER_se-appl'!D12</f>
        <v>44.698330080968155</v>
      </c>
      <c r="E5" s="59">
        <f>'SER_se-appl'!E12</f>
        <v>45.644016206132463</v>
      </c>
      <c r="F5" s="59">
        <f>'SER_se-appl'!F12</f>
        <v>46.877650254030712</v>
      </c>
      <c r="G5" s="59">
        <f>'SER_se-appl'!G12</f>
        <v>48.286219804168461</v>
      </c>
      <c r="H5" s="59">
        <f>'SER_se-appl'!H12</f>
        <v>49.983736888967393</v>
      </c>
      <c r="I5" s="59">
        <f>'SER_se-appl'!I12</f>
        <v>51.279284715019386</v>
      </c>
      <c r="J5" s="59">
        <f>'SER_se-appl'!J12</f>
        <v>52.329658714178684</v>
      </c>
      <c r="K5" s="59">
        <f>'SER_se-appl'!K12</f>
        <v>52.992191077030881</v>
      </c>
      <c r="L5" s="59">
        <f>'SER_se-appl'!L12</f>
        <v>53.641198409234022</v>
      </c>
      <c r="M5" s="59">
        <f>'SER_se-appl'!M12</f>
        <v>54.1673005832155</v>
      </c>
      <c r="N5" s="59">
        <f>'SER_se-appl'!N12</f>
        <v>54.512603065221697</v>
      </c>
      <c r="O5" s="59">
        <f>'SER_se-appl'!O12</f>
        <v>54.987613053675581</v>
      </c>
      <c r="P5" s="59">
        <f>'SER_se-appl'!P12</f>
        <v>55.462821101136178</v>
      </c>
      <c r="Q5" s="59">
        <f>'SER_se-appl'!Q12</f>
        <v>56.016737957101775</v>
      </c>
      <c r="R5" s="59">
        <f>'SER_se-appl'!R12</f>
        <v>56.626317588089371</v>
      </c>
      <c r="S5" s="59">
        <f>'SER_se-appl'!S12</f>
        <v>57.324208745614619</v>
      </c>
      <c r="T5" s="59">
        <f>'SER_se-appl'!T12</f>
        <v>57.937470230946353</v>
      </c>
      <c r="U5" s="59">
        <f>'SER_se-appl'!U12</f>
        <v>58.588037401437319</v>
      </c>
      <c r="V5" s="59">
        <f>'SER_se-appl'!V12</f>
        <v>59.293949167825183</v>
      </c>
      <c r="W5" s="59">
        <f>'SER_se-appl'!W12</f>
        <v>59.924808040295808</v>
      </c>
      <c r="X5" s="59">
        <f>'SER_se-appl'!X12</f>
        <v>59.956639546502707</v>
      </c>
      <c r="Y5" s="59">
        <f>'SER_se-appl'!Y12</f>
        <v>59.679567729599761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363.30095556185023</v>
      </c>
      <c r="C6" s="201">
        <f>'SER_se-appl'!C68</f>
        <v>368.03358775561151</v>
      </c>
      <c r="D6" s="201">
        <f>'SER_se-appl'!D68</f>
        <v>374.46089484781112</v>
      </c>
      <c r="E6" s="201">
        <f>'SER_se-appl'!E68</f>
        <v>382.05175742340055</v>
      </c>
      <c r="F6" s="201">
        <f>'SER_se-appl'!F68</f>
        <v>389.60988238544854</v>
      </c>
      <c r="G6" s="201">
        <f>'SER_se-appl'!G68</f>
        <v>397.99150178473991</v>
      </c>
      <c r="H6" s="201">
        <f>'SER_se-appl'!H68</f>
        <v>407.22864976629359</v>
      </c>
      <c r="I6" s="201">
        <f>'SER_se-appl'!I68</f>
        <v>414.23985937992501</v>
      </c>
      <c r="J6" s="201">
        <f>'SER_se-appl'!J68</f>
        <v>422.79832890696554</v>
      </c>
      <c r="K6" s="201">
        <f>'SER_se-appl'!K68</f>
        <v>430.98969022219654</v>
      </c>
      <c r="L6" s="201">
        <f>'SER_se-appl'!L68</f>
        <v>439.83778602512081</v>
      </c>
      <c r="M6" s="201">
        <f>'SER_se-appl'!M68</f>
        <v>448.0862603206096</v>
      </c>
      <c r="N6" s="201">
        <f>'SER_se-appl'!N68</f>
        <v>456.57019836883262</v>
      </c>
      <c r="O6" s="201">
        <f>'SER_se-appl'!O68</f>
        <v>465.66308876448932</v>
      </c>
      <c r="P6" s="201">
        <f>'SER_se-appl'!P68</f>
        <v>474.44213051423992</v>
      </c>
      <c r="Q6" s="201">
        <f>'SER_se-appl'!Q68</f>
        <v>485.36692642891268</v>
      </c>
      <c r="R6" s="201">
        <f>'SER_se-appl'!R68</f>
        <v>497.45435581508411</v>
      </c>
      <c r="S6" s="201">
        <f>'SER_se-appl'!S68</f>
        <v>509.57386172765598</v>
      </c>
      <c r="T6" s="201">
        <f>'SER_se-appl'!T68</f>
        <v>521.55580019330762</v>
      </c>
      <c r="U6" s="201">
        <f>'SER_se-appl'!U68</f>
        <v>533.29727979415225</v>
      </c>
      <c r="V6" s="201">
        <f>'SER_se-appl'!V68</f>
        <v>544.60678273035387</v>
      </c>
      <c r="W6" s="201">
        <f>'SER_se-appl'!W68</f>
        <v>555.32827882041795</v>
      </c>
      <c r="X6" s="201">
        <f>'SER_se-appl'!X68</f>
        <v>560.76792053282225</v>
      </c>
      <c r="Y6" s="201">
        <f>'SER_se-appl'!Y68</f>
        <v>563.50769011081468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58.357984886595389</v>
      </c>
      <c r="C8" s="34">
        <f>'SER_se-appl'!C20</f>
        <v>61.191892210065582</v>
      </c>
      <c r="D8" s="34">
        <f>'SER_se-appl'!D20</f>
        <v>63.196371150373864</v>
      </c>
      <c r="E8" s="34">
        <f>'SER_se-appl'!E20</f>
        <v>65.110534807497814</v>
      </c>
      <c r="F8" s="34">
        <f>'SER_se-appl'!F20</f>
        <v>67.547458341767182</v>
      </c>
      <c r="G8" s="34">
        <f>'SER_se-appl'!G20</f>
        <v>70.349067744617344</v>
      </c>
      <c r="H8" s="34">
        <f>'SER_se-appl'!H20</f>
        <v>73.711670056630467</v>
      </c>
      <c r="I8" s="34">
        <f>'SER_se-appl'!I20</f>
        <v>76.490230296395509</v>
      </c>
      <c r="J8" s="34">
        <f>'SER_se-appl'!J20</f>
        <v>78.951149167569582</v>
      </c>
      <c r="K8" s="34">
        <f>'SER_se-appl'!K20</f>
        <v>80.849536486695385</v>
      </c>
      <c r="L8" s="34">
        <f>'SER_se-appl'!L20</f>
        <v>82.840257813065918</v>
      </c>
      <c r="M8" s="34">
        <f>'SER_se-appl'!M20</f>
        <v>84.737520113394467</v>
      </c>
      <c r="N8" s="34">
        <f>'SER_se-appl'!N20</f>
        <v>86.443962155463637</v>
      </c>
      <c r="O8" s="34">
        <f>'SER_se-appl'!O20</f>
        <v>88.561999199618398</v>
      </c>
      <c r="P8" s="34">
        <f>'SER_se-appl'!P20</f>
        <v>90.886512826749197</v>
      </c>
      <c r="Q8" s="34">
        <f>'SER_se-appl'!Q20</f>
        <v>93.598960642122449</v>
      </c>
      <c r="R8" s="34">
        <f>'SER_se-appl'!R20</f>
        <v>96.512134876585151</v>
      </c>
      <c r="S8" s="34">
        <f>'SER_se-appl'!S20</f>
        <v>99.720403610083025</v>
      </c>
      <c r="T8" s="34">
        <f>'SER_se-appl'!T20</f>
        <v>102.88281627310705</v>
      </c>
      <c r="U8" s="34">
        <f>'SER_se-appl'!U20</f>
        <v>105.9636633735139</v>
      </c>
      <c r="V8" s="34">
        <f>'SER_se-appl'!V20</f>
        <v>108.89724256796877</v>
      </c>
      <c r="W8" s="34">
        <f>'SER_se-appl'!W20</f>
        <v>111.64725990179315</v>
      </c>
      <c r="X8" s="34">
        <f>'SER_se-appl'!X20</f>
        <v>113.30272437409288</v>
      </c>
      <c r="Y8" s="34">
        <f>'SER_se-appl'!Y20</f>
        <v>114.39231048642952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5.3650872935521434</v>
      </c>
      <c r="D9" s="36">
        <f>'SER_se-appl'!D28</f>
        <v>4.6072548401189124</v>
      </c>
      <c r="E9" s="36">
        <f>'SER_se-appl'!E28</f>
        <v>4.5905606200849505</v>
      </c>
      <c r="F9" s="36">
        <f>'SER_se-appl'!F28</f>
        <v>5.1890239759047887</v>
      </c>
      <c r="G9" s="36">
        <f>'SER_se-appl'!G28</f>
        <v>5.6315546410447155</v>
      </c>
      <c r="H9" s="36">
        <f>'SER_se-appl'!H28</f>
        <v>6.2725942331005058</v>
      </c>
      <c r="I9" s="36">
        <f>'SER_se-appl'!I28</f>
        <v>5.7708630117424349</v>
      </c>
      <c r="J9" s="36">
        <f>'SER_se-appl'!J28</f>
        <v>5.5378607053760618</v>
      </c>
      <c r="K9" s="36">
        <f>'SER_se-appl'!K28</f>
        <v>5.062362281728241</v>
      </c>
      <c r="L9" s="36">
        <f>'SER_se-appl'!L28</f>
        <v>5.2441912011338161</v>
      </c>
      <c r="M9" s="36">
        <f>'SER_se-appl'!M28</f>
        <v>5.2427585040297942</v>
      </c>
      <c r="N9" s="36">
        <f>'SER_se-appl'!N28</f>
        <v>5.1465675941134492</v>
      </c>
      <c r="O9" s="36">
        <f>'SER_se-appl'!O28</f>
        <v>5.6554685918979573</v>
      </c>
      <c r="P9" s="36">
        <f>'SER_se-appl'!P28</f>
        <v>5.9620035284900155</v>
      </c>
      <c r="Q9" s="36">
        <f>'SER_se-appl'!Q28</f>
        <v>6.4528262803449934</v>
      </c>
      <c r="R9" s="36">
        <f>'SER_se-appl'!R28</f>
        <v>6.7593515272151876</v>
      </c>
      <c r="S9" s="36">
        <f>'SER_se-appl'!S28</f>
        <v>7.1632374367509186</v>
      </c>
      <c r="T9" s="36">
        <f>'SER_se-appl'!T28</f>
        <v>7.2292500064781393</v>
      </c>
      <c r="U9" s="36">
        <f>'SER_se-appl'!U28</f>
        <v>8.4459343939589928</v>
      </c>
      <c r="V9" s="36">
        <f>'SER_se-appl'!V28</f>
        <v>7.5408340345737912</v>
      </c>
      <c r="W9" s="36">
        <f>'SER_se-appl'!W28</f>
        <v>7.3405779539093317</v>
      </c>
      <c r="X9" s="36">
        <f>'SER_se-appl'!X28</f>
        <v>6.8444884482045154</v>
      </c>
      <c r="Y9" s="36">
        <f>'SER_se-appl'!Y28</f>
        <v>6.7211407533813627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2.5311799700819506</v>
      </c>
      <c r="D10" s="38">
        <f>'SER_se-appl'!D36</f>
        <v>2.6027758998106378</v>
      </c>
      <c r="E10" s="38">
        <f>'SER_se-appl'!E36</f>
        <v>2.6763969629609932</v>
      </c>
      <c r="F10" s="38">
        <f>'SER_se-appl'!F36</f>
        <v>2.7521004416354202</v>
      </c>
      <c r="G10" s="38">
        <f>'SER_se-appl'!G36</f>
        <v>2.8299452381945542</v>
      </c>
      <c r="H10" s="38">
        <f>'SER_se-appl'!H36</f>
        <v>2.9099919210873821</v>
      </c>
      <c r="I10" s="38">
        <f>'SER_se-appl'!I36</f>
        <v>2.9923027719773927</v>
      </c>
      <c r="J10" s="38">
        <f>'SER_se-appl'!J36</f>
        <v>3.076941834201989</v>
      </c>
      <c r="K10" s="38">
        <f>'SER_se-appl'!K36</f>
        <v>3.1639749626024383</v>
      </c>
      <c r="L10" s="38">
        <f>'SER_se-appl'!L36</f>
        <v>3.2534698747632831</v>
      </c>
      <c r="M10" s="38">
        <f>'SER_se-appl'!M36</f>
        <v>3.345496203701245</v>
      </c>
      <c r="N10" s="38">
        <f>'SER_se-appl'!N36</f>
        <v>3.4401255520442788</v>
      </c>
      <c r="O10" s="38">
        <f>'SER_se-appl'!O36</f>
        <v>3.5374315477431963</v>
      </c>
      <c r="P10" s="38">
        <f>'SER_se-appl'!P36</f>
        <v>3.637489901359217</v>
      </c>
      <c r="Q10" s="38">
        <f>'SER_se-appl'!Q36</f>
        <v>3.7403784649717409</v>
      </c>
      <c r="R10" s="38">
        <f>'SER_se-appl'!R36</f>
        <v>3.8461772927524862</v>
      </c>
      <c r="S10" s="38">
        <f>'SER_se-appl'!S36</f>
        <v>3.9549687032530443</v>
      </c>
      <c r="T10" s="38">
        <f>'SER_se-appl'!T36</f>
        <v>4.066837343454111</v>
      </c>
      <c r="U10" s="38">
        <f>'SER_se-appl'!U36</f>
        <v>5.3650872935521505</v>
      </c>
      <c r="V10" s="38">
        <f>'SER_se-appl'!V36</f>
        <v>4.6072548401189124</v>
      </c>
      <c r="W10" s="38">
        <f>'SER_se-appl'!W36</f>
        <v>4.5905606200849576</v>
      </c>
      <c r="X10" s="38">
        <f>'SER_se-appl'!X36</f>
        <v>5.1890239759047887</v>
      </c>
      <c r="Y10" s="38">
        <f>'SER_se-appl'!Y36</f>
        <v>5.6315546410447155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8760</v>
      </c>
      <c r="C12" s="204">
        <f>'SER_se-appl'!C44</f>
        <v>8759.9999999999964</v>
      </c>
      <c r="D12" s="204">
        <f>'SER_se-appl'!D44</f>
        <v>8759.9999999999982</v>
      </c>
      <c r="E12" s="204">
        <f>'SER_se-appl'!E44</f>
        <v>8759.9999999999982</v>
      </c>
      <c r="F12" s="204">
        <f>'SER_se-appl'!F44</f>
        <v>8759.9999999999964</v>
      </c>
      <c r="G12" s="204">
        <f>'SER_se-appl'!G44</f>
        <v>8760</v>
      </c>
      <c r="H12" s="204">
        <f>'SER_se-appl'!H44</f>
        <v>8759.9999999999964</v>
      </c>
      <c r="I12" s="204">
        <f>'SER_se-appl'!I44</f>
        <v>8760.0000000000018</v>
      </c>
      <c r="J12" s="204">
        <f>'SER_se-appl'!J44</f>
        <v>8760.0000000000018</v>
      </c>
      <c r="K12" s="204">
        <f>'SER_se-appl'!K44</f>
        <v>8760</v>
      </c>
      <c r="L12" s="204">
        <f>'SER_se-appl'!L44</f>
        <v>8759.9999999999982</v>
      </c>
      <c r="M12" s="204">
        <f>'SER_se-appl'!M44</f>
        <v>8760.0000000000018</v>
      </c>
      <c r="N12" s="204">
        <f>'SER_se-appl'!N44</f>
        <v>8760</v>
      </c>
      <c r="O12" s="204">
        <f>'SER_se-appl'!O44</f>
        <v>8760.0000000000018</v>
      </c>
      <c r="P12" s="204">
        <f>'SER_se-appl'!P44</f>
        <v>8760</v>
      </c>
      <c r="Q12" s="204">
        <f>'SER_se-appl'!Q44</f>
        <v>8759.9999999999982</v>
      </c>
      <c r="R12" s="204">
        <f>'SER_se-appl'!R44</f>
        <v>8759.9999999999982</v>
      </c>
      <c r="S12" s="204">
        <f>'SER_se-appl'!S44</f>
        <v>8759.9999999999964</v>
      </c>
      <c r="T12" s="204">
        <f>'SER_se-appl'!T44</f>
        <v>8759.9999999999982</v>
      </c>
      <c r="U12" s="204">
        <f>'SER_se-appl'!U44</f>
        <v>8760</v>
      </c>
      <c r="V12" s="204">
        <f>'SER_se-appl'!V44</f>
        <v>8759.9999999999964</v>
      </c>
      <c r="W12" s="204">
        <f>'SER_se-appl'!W44</f>
        <v>8759.9999999999982</v>
      </c>
      <c r="X12" s="204">
        <f>'SER_se-appl'!X44</f>
        <v>8759.9999999999982</v>
      </c>
      <c r="Y12" s="204">
        <f>'SER_se-appl'!Y44</f>
        <v>8759.9999999999982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0.72028600541996735</v>
      </c>
      <c r="C14" s="59">
        <f>'SER_se-appl'!C52</f>
        <v>0.71344972322332656</v>
      </c>
      <c r="D14" s="59">
        <f>'SER_se-appl'!D52</f>
        <v>0.70729266993210449</v>
      </c>
      <c r="E14" s="59">
        <f>'SER_se-appl'!E52</f>
        <v>0.7010235185608753</v>
      </c>
      <c r="F14" s="59">
        <f>'SER_se-appl'!F52</f>
        <v>0.69399576838029542</v>
      </c>
      <c r="G14" s="59">
        <f>'SER_se-appl'!G52</f>
        <v>0.68638037933150875</v>
      </c>
      <c r="H14" s="59">
        <f>'SER_se-appl'!H52</f>
        <v>0.67809801148944782</v>
      </c>
      <c r="I14" s="59">
        <f>'SER_se-appl'!I52</f>
        <v>0.67040306345418144</v>
      </c>
      <c r="J14" s="59">
        <f>'SER_se-appl'!J52</f>
        <v>0.66281060207384423</v>
      </c>
      <c r="K14" s="59">
        <f>'SER_se-appl'!K52</f>
        <v>0.65544211358281923</v>
      </c>
      <c r="L14" s="59">
        <f>'SER_se-appl'!L52</f>
        <v>0.64752572994495805</v>
      </c>
      <c r="M14" s="59">
        <f>'SER_se-appl'!M52</f>
        <v>0.6392363207081071</v>
      </c>
      <c r="N14" s="59">
        <f>'SER_se-appl'!N52</f>
        <v>0.63061203704643309</v>
      </c>
      <c r="O14" s="59">
        <f>'SER_se-appl'!O52</f>
        <v>0.62089399009312918</v>
      </c>
      <c r="P14" s="59">
        <f>'SER_se-appl'!P52</f>
        <v>0.61024259129471936</v>
      </c>
      <c r="Q14" s="59">
        <f>'SER_se-appl'!Q52</f>
        <v>0.5984760682469854</v>
      </c>
      <c r="R14" s="59">
        <f>'SER_se-appl'!R52</f>
        <v>0.58672743754451451</v>
      </c>
      <c r="S14" s="59">
        <f>'SER_se-appl'!S52</f>
        <v>0.5748493454735516</v>
      </c>
      <c r="T14" s="59">
        <f>'SER_se-appl'!T52</f>
        <v>0.56314039923974024</v>
      </c>
      <c r="U14" s="59">
        <f>'SER_se-appl'!U52</f>
        <v>0.55290686954563772</v>
      </c>
      <c r="V14" s="59">
        <f>'SER_se-appl'!V52</f>
        <v>0.54449449563258279</v>
      </c>
      <c r="W14" s="59">
        <f>'SER_se-appl'!W52</f>
        <v>0.53673335192468408</v>
      </c>
      <c r="X14" s="59">
        <f>'SER_se-appl'!X52</f>
        <v>0.52917209076582483</v>
      </c>
      <c r="Y14" s="59">
        <f>'SER_se-appl'!Y52</f>
        <v>0.52170961033853414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0.64231429304966137</v>
      </c>
      <c r="D15" s="63">
        <f>'SER_se-appl'!D60</f>
        <v>0.63285723869095434</v>
      </c>
      <c r="E15" s="63">
        <f>'SER_se-appl'!E60</f>
        <v>0.6259491248109158</v>
      </c>
      <c r="F15" s="63">
        <f>'SER_se-appl'!F60</f>
        <v>0.61975691314041315</v>
      </c>
      <c r="G15" s="63">
        <f>'SER_se-appl'!G60</f>
        <v>0.61207601115892263</v>
      </c>
      <c r="H15" s="63">
        <f>'SER_se-appl'!H60</f>
        <v>0.60478063787783165</v>
      </c>
      <c r="I15" s="63">
        <f>'SER_se-appl'!I60</f>
        <v>0.59798016859262593</v>
      </c>
      <c r="J15" s="63">
        <f>'SER_se-appl'!J60</f>
        <v>0.58987618425559585</v>
      </c>
      <c r="K15" s="63">
        <f>'SER_se-appl'!K60</f>
        <v>0.58105269560235795</v>
      </c>
      <c r="L15" s="63">
        <f>'SER_se-appl'!L60</f>
        <v>0.57061919317579501</v>
      </c>
      <c r="M15" s="63">
        <f>'SER_se-appl'!M60</f>
        <v>0.55997549161124638</v>
      </c>
      <c r="N15" s="63">
        <f>'SER_se-appl'!N60</f>
        <v>0.54855526958597178</v>
      </c>
      <c r="O15" s="63">
        <f>'SER_se-appl'!O60</f>
        <v>0.53452200791197579</v>
      </c>
      <c r="P15" s="63">
        <f>'SER_se-appl'!P60</f>
        <v>0.51916123556035831</v>
      </c>
      <c r="Q15" s="63">
        <f>'SER_se-appl'!Q60</f>
        <v>0.50335449586678127</v>
      </c>
      <c r="R15" s="63">
        <f>'SER_se-appl'!R60</f>
        <v>0.50003721447429783</v>
      </c>
      <c r="S15" s="63">
        <f>'SER_se-appl'!S60</f>
        <v>0.49511129536996479</v>
      </c>
      <c r="T15" s="63">
        <f>'SER_se-appl'!T60</f>
        <v>0.490029741254842</v>
      </c>
      <c r="U15" s="63">
        <f>'SER_se-appl'!U60</f>
        <v>0.48504277105547666</v>
      </c>
      <c r="V15" s="63">
        <f>'SER_se-appl'!V60</f>
        <v>0.48027132354938978</v>
      </c>
      <c r="W15" s="63">
        <f>'SER_se-appl'!W60</f>
        <v>0.47738969560809347</v>
      </c>
      <c r="X15" s="63">
        <f>'SER_se-appl'!X60</f>
        <v>0.4745080676667971</v>
      </c>
      <c r="Y15" s="63">
        <f>'SER_se-appl'!Y60</f>
        <v>0.47162643972550078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95.7587381952752</v>
      </c>
      <c r="C3" s="198">
        <f>'SER_se-appl'!C5</f>
        <v>97.111646700514356</v>
      </c>
      <c r="D3" s="198">
        <f>'SER_se-appl'!D5</f>
        <v>98.2796913285394</v>
      </c>
      <c r="E3" s="198">
        <f>'SER_se-appl'!E5</f>
        <v>99.316264090008829</v>
      </c>
      <c r="F3" s="198">
        <f>'SER_se-appl'!F5</f>
        <v>99.67507814313835</v>
      </c>
      <c r="G3" s="198">
        <f>'SER_se-appl'!G5</f>
        <v>100.13242275360084</v>
      </c>
      <c r="H3" s="198">
        <f>'SER_se-appl'!H5</f>
        <v>100.19490690193295</v>
      </c>
      <c r="I3" s="198">
        <f>'SER_se-appl'!I5</f>
        <v>100.38796087893587</v>
      </c>
      <c r="J3" s="198">
        <f>'SER_se-appl'!J5</f>
        <v>101.14848281438535</v>
      </c>
      <c r="K3" s="198">
        <f>'SER_se-appl'!K5</f>
        <v>101.71714202535908</v>
      </c>
      <c r="L3" s="198">
        <f>'SER_se-appl'!L5</f>
        <v>102.8340144131239</v>
      </c>
      <c r="M3" s="198">
        <f>'SER_se-appl'!M5</f>
        <v>104.0565947451902</v>
      </c>
      <c r="N3" s="198">
        <f>'SER_se-appl'!N5</f>
        <v>105.04530726588744</v>
      </c>
      <c r="O3" s="198">
        <f>'SER_se-appl'!O5</f>
        <v>105.97232296645552</v>
      </c>
      <c r="P3" s="198">
        <f>'SER_se-appl'!P5</f>
        <v>107.07372359824002</v>
      </c>
      <c r="Q3" s="198">
        <f>'SER_se-appl'!Q5</f>
        <v>108.8463301172312</v>
      </c>
      <c r="R3" s="198">
        <f>'SER_se-appl'!R5</f>
        <v>105.87815688986811</v>
      </c>
      <c r="S3" s="198">
        <f>'SER_se-appl'!S5</f>
        <v>104.77408335229119</v>
      </c>
      <c r="T3" s="198">
        <f>'SER_se-appl'!T5</f>
        <v>101.41997411872093</v>
      </c>
      <c r="U3" s="198">
        <f>'SER_se-appl'!U5</f>
        <v>97.571919994541005</v>
      </c>
      <c r="V3" s="198">
        <f>'SER_se-appl'!V5</f>
        <v>93.520423157839559</v>
      </c>
      <c r="W3" s="198">
        <f>'SER_se-appl'!W5</f>
        <v>89.580492923546629</v>
      </c>
      <c r="X3" s="198">
        <f>'SER_se-appl'!X5</f>
        <v>85.937448084514045</v>
      </c>
      <c r="Y3" s="198">
        <f>'SER_se-appl'!Y5</f>
        <v>83.927742068671364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294.01618491340139</v>
      </c>
      <c r="C5" s="59">
        <f>'SER_se-appl'!C13</f>
        <v>298.01007112785737</v>
      </c>
      <c r="D5" s="59">
        <f>'SER_se-appl'!D13</f>
        <v>301.28210082905883</v>
      </c>
      <c r="E5" s="59">
        <f>'SER_se-appl'!E13</f>
        <v>304.3391069004067</v>
      </c>
      <c r="F5" s="59">
        <f>'SER_se-appl'!F13</f>
        <v>305.26525267573248</v>
      </c>
      <c r="G5" s="59">
        <f>'SER_se-appl'!G13</f>
        <v>306.51468341139361</v>
      </c>
      <c r="H5" s="59">
        <f>'SER_se-appl'!H13</f>
        <v>306.67975631711118</v>
      </c>
      <c r="I5" s="59">
        <f>'SER_se-appl'!I13</f>
        <v>307.27014133584703</v>
      </c>
      <c r="J5" s="59">
        <f>'SER_se-appl'!J13</f>
        <v>310.03354359679975</v>
      </c>
      <c r="K5" s="59">
        <f>'SER_se-appl'!K13</f>
        <v>312.01598855524128</v>
      </c>
      <c r="L5" s="59">
        <f>'SER_se-appl'!L13</f>
        <v>315.86998607544791</v>
      </c>
      <c r="M5" s="59">
        <f>'SER_se-appl'!M13</f>
        <v>320.2641743845432</v>
      </c>
      <c r="N5" s="59">
        <f>'SER_se-appl'!N13</f>
        <v>324.40447957092829</v>
      </c>
      <c r="O5" s="59">
        <f>'SER_se-appl'!O13</f>
        <v>329.58383662612158</v>
      </c>
      <c r="P5" s="59">
        <f>'SER_se-appl'!P13</f>
        <v>335.56710695444389</v>
      </c>
      <c r="Q5" s="59">
        <f>'SER_se-appl'!Q13</f>
        <v>343.07028826995389</v>
      </c>
      <c r="R5" s="59">
        <f>'SER_se-appl'!R13</f>
        <v>338.62981442022658</v>
      </c>
      <c r="S5" s="59">
        <f>'SER_se-appl'!S13</f>
        <v>332.23148277725875</v>
      </c>
      <c r="T5" s="59">
        <f>'SER_se-appl'!T13</f>
        <v>324.46541633829742</v>
      </c>
      <c r="U5" s="59">
        <f>'SER_se-appl'!U13</f>
        <v>314.52299410124607</v>
      </c>
      <c r="V5" s="59">
        <f>'SER_se-appl'!V13</f>
        <v>302.43483010315452</v>
      </c>
      <c r="W5" s="59">
        <f>'SER_se-appl'!W13</f>
        <v>289.08008704860521</v>
      </c>
      <c r="X5" s="59">
        <f>'SER_se-appl'!X13</f>
        <v>277.35398329098058</v>
      </c>
      <c r="Y5" s="59">
        <f>'SER_se-appl'!Y13</f>
        <v>270.89732974294799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0.14625572899943534</v>
      </c>
      <c r="C6" s="201">
        <f>'SER_se-appl'!C69</f>
        <v>0.14831317364513952</v>
      </c>
      <c r="D6" s="201">
        <f>'SER_se-appl'!D69</f>
        <v>0.15051910079031244</v>
      </c>
      <c r="E6" s="201">
        <f>'SER_se-appl'!E69</f>
        <v>0.1532356659845395</v>
      </c>
      <c r="F6" s="201">
        <f>'SER_se-appl'!F69</f>
        <v>0.15560630074099147</v>
      </c>
      <c r="G6" s="201">
        <f>'SER_se-appl'!G69</f>
        <v>0.15878394557077108</v>
      </c>
      <c r="H6" s="201">
        <f>'SER_se-appl'!H69</f>
        <v>0.16195825411754286</v>
      </c>
      <c r="I6" s="201">
        <f>'SER_se-appl'!I69</f>
        <v>0.16591680393450195</v>
      </c>
      <c r="J6" s="201">
        <f>'SER_se-appl'!J69</f>
        <v>0.16978130459811783</v>
      </c>
      <c r="K6" s="201">
        <f>'SER_se-appl'!K69</f>
        <v>0.17372754331732709</v>
      </c>
      <c r="L6" s="201">
        <f>'SER_se-appl'!L69</f>
        <v>0.1790677923568261</v>
      </c>
      <c r="M6" s="201">
        <f>'SER_se-appl'!M69</f>
        <v>0.1852496415121328</v>
      </c>
      <c r="N6" s="201">
        <f>'SER_se-appl'!N69</f>
        <v>0.19213154633942367</v>
      </c>
      <c r="O6" s="201">
        <f>'SER_se-appl'!O69</f>
        <v>0.20133273038531352</v>
      </c>
      <c r="P6" s="201">
        <f>'SER_se-appl'!P69</f>
        <v>0.21271572593381327</v>
      </c>
      <c r="Q6" s="201">
        <f>'SER_se-appl'!Q69</f>
        <v>0.22625115284406325</v>
      </c>
      <c r="R6" s="201">
        <f>'SER_se-appl'!R69</f>
        <v>0.23169528357676145</v>
      </c>
      <c r="S6" s="201">
        <f>'SER_se-appl'!S69</f>
        <v>0.23714609456667826</v>
      </c>
      <c r="T6" s="201">
        <f>'SER_se-appl'!T69</f>
        <v>0.24206465733110602</v>
      </c>
      <c r="U6" s="201">
        <f>'SER_se-appl'!U69</f>
        <v>0.24636582442529048</v>
      </c>
      <c r="V6" s="201">
        <f>'SER_se-appl'!V69</f>
        <v>0.24896219470499989</v>
      </c>
      <c r="W6" s="201">
        <f>'SER_se-appl'!W69</f>
        <v>0.251141120661937</v>
      </c>
      <c r="X6" s="201">
        <f>'SER_se-appl'!X69</f>
        <v>0.25267770560144021</v>
      </c>
      <c r="Y6" s="201">
        <f>'SER_se-appl'!Y69</f>
        <v>0.25375890551219954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1498.9781841412507</v>
      </c>
      <c r="C8" s="34">
        <f>'SER_se-appl'!C21</f>
        <v>1532.1898781506925</v>
      </c>
      <c r="D8" s="34">
        <f>'SER_se-appl'!D21</f>
        <v>1564.5962308929363</v>
      </c>
      <c r="E8" s="34">
        <f>'SER_se-appl'!E21</f>
        <v>1600.4840110567934</v>
      </c>
      <c r="F8" s="34">
        <f>'SER_se-appl'!F21</f>
        <v>1629.6725679754404</v>
      </c>
      <c r="G8" s="34">
        <f>'SER_se-appl'!G21</f>
        <v>1666.3854276310954</v>
      </c>
      <c r="H8" s="34">
        <f>'SER_se-appl'!H21</f>
        <v>1702.503223784561</v>
      </c>
      <c r="I8" s="34">
        <f>'SER_se-appl'!I21</f>
        <v>1747.533338118888</v>
      </c>
      <c r="J8" s="34">
        <f>'SER_se-appl'!J21</f>
        <v>1791.759663286196</v>
      </c>
      <c r="K8" s="34">
        <f>'SER_se-appl'!K21</f>
        <v>1835.0864722465326</v>
      </c>
      <c r="L8" s="34">
        <f>'SER_se-appl'!L21</f>
        <v>1893.3695420612614</v>
      </c>
      <c r="M8" s="34">
        <f>'SER_se-appl'!M21</f>
        <v>1958.5927750577982</v>
      </c>
      <c r="N8" s="34">
        <f>'SER_se-appl'!N21</f>
        <v>2028.7073912206577</v>
      </c>
      <c r="O8" s="34">
        <f>'SER_se-appl'!O21</f>
        <v>2114.7766520342602</v>
      </c>
      <c r="P8" s="34">
        <f>'SER_se-appl'!P21</f>
        <v>2221.6226114995316</v>
      </c>
      <c r="Q8" s="34">
        <f>'SER_se-appl'!Q21</f>
        <v>2351.9081102035316</v>
      </c>
      <c r="R8" s="34">
        <f>'SER_se-appl'!R21</f>
        <v>2402.3450593109642</v>
      </c>
      <c r="S8" s="34">
        <f>'SER_se-appl'!S21</f>
        <v>2453.152558030923</v>
      </c>
      <c r="T8" s="34">
        <f>'SER_se-appl'!T21</f>
        <v>2501.9246233031258</v>
      </c>
      <c r="U8" s="34">
        <f>'SER_se-appl'!U21</f>
        <v>2545.8202612354416</v>
      </c>
      <c r="V8" s="34">
        <f>'SER_se-appl'!V21</f>
        <v>2583.0811101312825</v>
      </c>
      <c r="W8" s="34">
        <f>'SER_se-appl'!W21</f>
        <v>2610.4353970730099</v>
      </c>
      <c r="X8" s="34">
        <f>'SER_se-appl'!X21</f>
        <v>2633.1839333641637</v>
      </c>
      <c r="Y8" s="34">
        <f>'SER_se-appl'!Y21</f>
        <v>2668.6862346466132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221.25015723899128</v>
      </c>
      <c r="D9" s="36">
        <f>'SER_se-appl'!D29</f>
        <v>228.5389093409508</v>
      </c>
      <c r="E9" s="36">
        <f>'SER_se-appl'!E29</f>
        <v>240.46283942173272</v>
      </c>
      <c r="F9" s="36">
        <f>'SER_se-appl'!F29</f>
        <v>242.5695253623087</v>
      </c>
      <c r="G9" s="36">
        <f>'SER_se-appl'!G29</f>
        <v>259.27878660259807</v>
      </c>
      <c r="H9" s="36">
        <f>'SER_se-appl'!H29</f>
        <v>268.26404705414393</v>
      </c>
      <c r="I9" s="36">
        <f>'SER_se-appl'!I29</f>
        <v>287.1690730981627</v>
      </c>
      <c r="J9" s="36">
        <f>'SER_se-appl'!J29</f>
        <v>265.47648240629928</v>
      </c>
      <c r="K9" s="36">
        <f>'SER_se-appl'!K29</f>
        <v>271.86571830128742</v>
      </c>
      <c r="L9" s="36">
        <f>'SER_se-appl'!L29</f>
        <v>298.74590923646156</v>
      </c>
      <c r="M9" s="36">
        <f>'SER_se-appl'!M29</f>
        <v>307.7927583588455</v>
      </c>
      <c r="N9" s="36">
        <f>'SER_se-appl'!N29</f>
        <v>329.39340276545749</v>
      </c>
      <c r="O9" s="36">
        <f>'SER_se-appl'!O29</f>
        <v>354.3333078677465</v>
      </c>
      <c r="P9" s="36">
        <f>'SER_se-appl'!P29</f>
        <v>394.01503256343403</v>
      </c>
      <c r="Q9" s="36">
        <f>'SER_se-appl'!Q29</f>
        <v>395.7619811102993</v>
      </c>
      <c r="R9" s="36">
        <f>'SER_se-appl'!R29</f>
        <v>322.30266740872003</v>
      </c>
      <c r="S9" s="36">
        <f>'SER_se-appl'!S29</f>
        <v>349.55340795642041</v>
      </c>
      <c r="T9" s="36">
        <f>'SER_se-appl'!T29</f>
        <v>356.56482363104851</v>
      </c>
      <c r="U9" s="36">
        <f>'SER_se-appl'!U29</f>
        <v>373.28904069777309</v>
      </c>
      <c r="V9" s="36">
        <f>'SER_se-appl'!V29</f>
        <v>391.59415676358731</v>
      </c>
      <c r="W9" s="36">
        <f>'SER_se-appl'!W29</f>
        <v>421.36931950516146</v>
      </c>
      <c r="X9" s="36">
        <f>'SER_se-appl'!X29</f>
        <v>418.5105174014534</v>
      </c>
      <c r="Y9" s="36">
        <f>'SER_se-appl'!Y29</f>
        <v>357.80496869116951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188.03846322954951</v>
      </c>
      <c r="D10" s="38">
        <f>'SER_se-appl'!D37</f>
        <v>196.13255659870697</v>
      </c>
      <c r="E10" s="38">
        <f>'SER_se-appl'!E37</f>
        <v>204.57505925787564</v>
      </c>
      <c r="F10" s="38">
        <f>'SER_se-appl'!F37</f>
        <v>213.38096844366169</v>
      </c>
      <c r="G10" s="38">
        <f>'SER_se-appl'!G37</f>
        <v>222.56592694694314</v>
      </c>
      <c r="H10" s="38">
        <f>'SER_se-appl'!H37</f>
        <v>232.1462509006783</v>
      </c>
      <c r="I10" s="38">
        <f>'SER_se-appl'!I37</f>
        <v>242.13895876383572</v>
      </c>
      <c r="J10" s="38">
        <f>'SER_se-appl'!J37</f>
        <v>221.25015723899128</v>
      </c>
      <c r="K10" s="38">
        <f>'SER_se-appl'!K37</f>
        <v>228.5389093409508</v>
      </c>
      <c r="L10" s="38">
        <f>'SER_se-appl'!L37</f>
        <v>240.46283942173272</v>
      </c>
      <c r="M10" s="38">
        <f>'SER_se-appl'!M37</f>
        <v>242.5695253623087</v>
      </c>
      <c r="N10" s="38">
        <f>'SER_se-appl'!N37</f>
        <v>259.27878660259807</v>
      </c>
      <c r="O10" s="38">
        <f>'SER_se-appl'!O37</f>
        <v>268.2640470541437</v>
      </c>
      <c r="P10" s="38">
        <f>'SER_se-appl'!P37</f>
        <v>287.1690730981627</v>
      </c>
      <c r="Q10" s="38">
        <f>'SER_se-appl'!Q37</f>
        <v>265.47648240629951</v>
      </c>
      <c r="R10" s="38">
        <f>'SER_se-appl'!R37</f>
        <v>271.86571830128742</v>
      </c>
      <c r="S10" s="38">
        <f>'SER_se-appl'!S37</f>
        <v>298.74590923646156</v>
      </c>
      <c r="T10" s="38">
        <f>'SER_se-appl'!T37</f>
        <v>307.79275835884573</v>
      </c>
      <c r="U10" s="38">
        <f>'SER_se-appl'!U37</f>
        <v>329.39340276545727</v>
      </c>
      <c r="V10" s="38">
        <f>'SER_se-appl'!V37</f>
        <v>354.3333078677465</v>
      </c>
      <c r="W10" s="38">
        <f>'SER_se-appl'!W37</f>
        <v>394.01503256343403</v>
      </c>
      <c r="X10" s="38">
        <f>'SER_se-appl'!X37</f>
        <v>395.76198111029953</v>
      </c>
      <c r="Y10" s="38">
        <f>'SER_se-appl'!Y37</f>
        <v>322.30266740872003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3787.7987075407723</v>
      </c>
      <c r="C12" s="204">
        <f>'SER_se-appl'!C45</f>
        <v>3789.8331652101247</v>
      </c>
      <c r="D12" s="204">
        <f>'SER_se-appl'!D45</f>
        <v>3793.762745963536</v>
      </c>
      <c r="E12" s="204">
        <f>'SER_se-appl'!E45</f>
        <v>3795.2669413096023</v>
      </c>
      <c r="F12" s="204">
        <f>'SER_se-appl'!F45</f>
        <v>3797.4225649457712</v>
      </c>
      <c r="G12" s="204">
        <f>'SER_se-appl'!G45</f>
        <v>3799.2962153182443</v>
      </c>
      <c r="H12" s="204">
        <f>'SER_se-appl'!H45</f>
        <v>3799.620755093395</v>
      </c>
      <c r="I12" s="204">
        <f>'SER_se-appl'!I45</f>
        <v>3799.6271943193165</v>
      </c>
      <c r="J12" s="204">
        <f>'SER_se-appl'!J45</f>
        <v>3794.2889710706913</v>
      </c>
      <c r="K12" s="204">
        <f>'SER_se-appl'!K45</f>
        <v>3791.3773817571068</v>
      </c>
      <c r="L12" s="204">
        <f>'SER_se-appl'!L45</f>
        <v>3786.2400365540493</v>
      </c>
      <c r="M12" s="204">
        <f>'SER_se-appl'!M45</f>
        <v>3778.687388972497</v>
      </c>
      <c r="N12" s="204">
        <f>'SER_se-appl'!N45</f>
        <v>3765.9064545536335</v>
      </c>
      <c r="O12" s="204">
        <f>'SER_se-appl'!O45</f>
        <v>3739.4373726463191</v>
      </c>
      <c r="P12" s="204">
        <f>'SER_se-appl'!P45</f>
        <v>3710.9340565271409</v>
      </c>
      <c r="Q12" s="204">
        <f>'SER_se-appl'!Q45</f>
        <v>3689.8643296889227</v>
      </c>
      <c r="R12" s="204">
        <f>'SER_se-appl'!R45</f>
        <v>3636.3099532077586</v>
      </c>
      <c r="S12" s="204">
        <f>'SER_se-appl'!S45</f>
        <v>3667.6915119573205</v>
      </c>
      <c r="T12" s="204">
        <f>'SER_se-appl'!T45</f>
        <v>3635.2542970894847</v>
      </c>
      <c r="U12" s="204">
        <f>'SER_se-appl'!U45</f>
        <v>3607.8806663376358</v>
      </c>
      <c r="V12" s="204">
        <f>'SER_se-appl'!V45</f>
        <v>3596.2872429564441</v>
      </c>
      <c r="W12" s="204">
        <f>'SER_se-appl'!W45</f>
        <v>3603.9187041121863</v>
      </c>
      <c r="X12" s="204">
        <f>'SER_se-appl'!X45</f>
        <v>3603.5268337009675</v>
      </c>
      <c r="Y12" s="204">
        <f>'SER_se-appl'!Y45</f>
        <v>3603.1349632897491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196.14440558508878</v>
      </c>
      <c r="C14" s="59">
        <f>'SER_se-appl'!C53</f>
        <v>194.49943859931162</v>
      </c>
      <c r="D14" s="59">
        <f>'SER_se-appl'!D53</f>
        <v>192.56220543054297</v>
      </c>
      <c r="E14" s="59">
        <f>'SER_se-appl'!E53</f>
        <v>190.1544187870098</v>
      </c>
      <c r="F14" s="59">
        <f>'SER_se-appl'!F53</f>
        <v>187.31692407080689</v>
      </c>
      <c r="G14" s="59">
        <f>'SER_se-appl'!G53</f>
        <v>183.93984868622476</v>
      </c>
      <c r="H14" s="59">
        <f>'SER_se-appl'!H53</f>
        <v>180.13461121993106</v>
      </c>
      <c r="I14" s="59">
        <f>'SER_se-appl'!I53</f>
        <v>175.8307750893064</v>
      </c>
      <c r="J14" s="59">
        <f>'SER_se-appl'!J53</f>
        <v>173.03299652821707</v>
      </c>
      <c r="K14" s="59">
        <f>'SER_se-appl'!K53</f>
        <v>170.02794869566443</v>
      </c>
      <c r="L14" s="59">
        <f>'SER_se-appl'!L53</f>
        <v>166.82954862132652</v>
      </c>
      <c r="M14" s="59">
        <f>'SER_se-appl'!M53</f>
        <v>163.51748993615692</v>
      </c>
      <c r="N14" s="59">
        <f>'SER_se-appl'!N53</f>
        <v>159.90698361666469</v>
      </c>
      <c r="O14" s="59">
        <f>'SER_se-appl'!O53</f>
        <v>155.84805908892841</v>
      </c>
      <c r="P14" s="59">
        <f>'SER_se-appl'!P53</f>
        <v>151.04595407765757</v>
      </c>
      <c r="Q14" s="59">
        <f>'SER_se-appl'!Q53</f>
        <v>145.8689167240743</v>
      </c>
      <c r="R14" s="59">
        <f>'SER_se-appl'!R53</f>
        <v>140.95802478822574</v>
      </c>
      <c r="S14" s="59">
        <f>'SER_se-appl'!S53</f>
        <v>135.43042061922625</v>
      </c>
      <c r="T14" s="59">
        <f>'SER_se-appl'!T53</f>
        <v>129.68632760403756</v>
      </c>
      <c r="U14" s="59">
        <f>'SER_se-appl'!U53</f>
        <v>123.54485463502974</v>
      </c>
      <c r="V14" s="59">
        <f>'SER_se-appl'!V53</f>
        <v>117.08297850847725</v>
      </c>
      <c r="W14" s="59">
        <f>'SER_se-appl'!W53</f>
        <v>110.74018049737626</v>
      </c>
      <c r="X14" s="59">
        <f>'SER_se-appl'!X53</f>
        <v>105.33027327742818</v>
      </c>
      <c r="Y14" s="59">
        <f>'SER_se-appl'!Y53</f>
        <v>101.50962156059539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184.75276728321282</v>
      </c>
      <c r="D15" s="63">
        <f>'SER_se-appl'!D61</f>
        <v>182.6486944893239</v>
      </c>
      <c r="E15" s="63">
        <f>'SER_se-appl'!E61</f>
        <v>179.58392062102303</v>
      </c>
      <c r="F15" s="63">
        <f>'SER_se-appl'!F61</f>
        <v>176.36027827478091</v>
      </c>
      <c r="G15" s="63">
        <f>'SER_se-appl'!G61</f>
        <v>173.18999663859751</v>
      </c>
      <c r="H15" s="63">
        <f>'SER_se-appl'!H61</f>
        <v>170.35179256881372</v>
      </c>
      <c r="I15" s="63">
        <f>'SER_se-appl'!I61</f>
        <v>167.44347375465449</v>
      </c>
      <c r="J15" s="63">
        <f>'SER_se-appl'!J61</f>
        <v>164.38360444264643</v>
      </c>
      <c r="K15" s="63">
        <f>'SER_se-appl'!K61</f>
        <v>160.83226183421723</v>
      </c>
      <c r="L15" s="63">
        <f>'SER_se-appl'!L61</f>
        <v>157.44904125195649</v>
      </c>
      <c r="M15" s="63">
        <f>'SER_se-appl'!M61</f>
        <v>153.26487066981329</v>
      </c>
      <c r="N15" s="63">
        <f>'SER_se-appl'!N61</f>
        <v>148.89429161236345</v>
      </c>
      <c r="O15" s="63">
        <f>'SER_se-appl'!O61</f>
        <v>143.58971404297552</v>
      </c>
      <c r="P15" s="63">
        <f>'SER_se-appl'!P61</f>
        <v>137.22282911649674</v>
      </c>
      <c r="Q15" s="63">
        <f>'SER_se-appl'!Q61</f>
        <v>129.22707291067096</v>
      </c>
      <c r="R15" s="63">
        <f>'SER_se-appl'!R61</f>
        <v>121.88637734740009</v>
      </c>
      <c r="S15" s="63">
        <f>'SER_se-appl'!S61</f>
        <v>116.25955982475691</v>
      </c>
      <c r="T15" s="63">
        <f>'SER_se-appl'!T61</f>
        <v>110.52057929525031</v>
      </c>
      <c r="U15" s="63">
        <f>'SER_se-appl'!U61</f>
        <v>104.7509325652984</v>
      </c>
      <c r="V15" s="63">
        <f>'SER_se-appl'!V61</f>
        <v>99.057796661553112</v>
      </c>
      <c r="W15" s="63">
        <f>'SER_se-appl'!W61</f>
        <v>96.62097486367891</v>
      </c>
      <c r="X15" s="63">
        <f>'SER_se-appl'!X61</f>
        <v>94.184153065804708</v>
      </c>
      <c r="Y15" s="63">
        <f>'SER_se-appl'!Y61</f>
        <v>91.747331267930505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229.16556383596435</v>
      </c>
      <c r="C3" s="198">
        <f>'SER_se-appl'!C6</f>
        <v>237.78321934457307</v>
      </c>
      <c r="D3" s="198">
        <f>'SER_se-appl'!D6</f>
        <v>241.14775570722659</v>
      </c>
      <c r="E3" s="198">
        <f>'SER_se-appl'!E6</f>
        <v>243.41434061389967</v>
      </c>
      <c r="F3" s="198">
        <f>'SER_se-appl'!F6</f>
        <v>247.38881794042919</v>
      </c>
      <c r="G3" s="198">
        <f>'SER_se-appl'!G6</f>
        <v>250.60900593669248</v>
      </c>
      <c r="H3" s="198">
        <f>'SER_se-appl'!H6</f>
        <v>254.45113536413132</v>
      </c>
      <c r="I3" s="198">
        <f>'SER_se-appl'!I6</f>
        <v>258.3823927075361</v>
      </c>
      <c r="J3" s="198">
        <f>'SER_se-appl'!J6</f>
        <v>262.04844862817203</v>
      </c>
      <c r="K3" s="198">
        <f>'SER_se-appl'!K6</f>
        <v>263.32526109363897</v>
      </c>
      <c r="L3" s="198">
        <f>'SER_se-appl'!L6</f>
        <v>265.00910087331727</v>
      </c>
      <c r="M3" s="198">
        <f>'SER_se-appl'!M6</f>
        <v>268.08870467524292</v>
      </c>
      <c r="N3" s="198">
        <f>'SER_se-appl'!N6</f>
        <v>270.90535528030546</v>
      </c>
      <c r="O3" s="198">
        <f>'SER_se-appl'!O6</f>
        <v>273.29610520335638</v>
      </c>
      <c r="P3" s="198">
        <f>'SER_se-appl'!P6</f>
        <v>275.43638617996226</v>
      </c>
      <c r="Q3" s="198">
        <f>'SER_se-appl'!Q6</f>
        <v>277.6730281106224</v>
      </c>
      <c r="R3" s="198">
        <f>'SER_se-appl'!R6</f>
        <v>266.69686123608733</v>
      </c>
      <c r="S3" s="198">
        <f>'SER_se-appl'!S6</f>
        <v>263.42270314151637</v>
      </c>
      <c r="T3" s="198">
        <f>'SER_se-appl'!T6</f>
        <v>247.62011548550916</v>
      </c>
      <c r="U3" s="198">
        <f>'SER_se-appl'!U6</f>
        <v>229.98418120062939</v>
      </c>
      <c r="V3" s="198">
        <f>'SER_se-appl'!V6</f>
        <v>196.99278089256916</v>
      </c>
      <c r="W3" s="198">
        <f>'SER_se-appl'!W6</f>
        <v>179.59633690400869</v>
      </c>
      <c r="X3" s="198">
        <f>'SER_se-appl'!X6</f>
        <v>178.99809823839104</v>
      </c>
      <c r="Y3" s="198">
        <f>'SER_se-appl'!Y6</f>
        <v>171.45917280431379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1173.9160866868215</v>
      </c>
      <c r="C5" s="59">
        <f>'SER_se-appl'!C14</f>
        <v>1209.5999810736407</v>
      </c>
      <c r="D5" s="59">
        <f>'SER_se-appl'!D14</f>
        <v>1220.5482041704811</v>
      </c>
      <c r="E5" s="59">
        <f>'SER_se-appl'!E14</f>
        <v>1228.1056000740989</v>
      </c>
      <c r="F5" s="59">
        <f>'SER_se-appl'!F14</f>
        <v>1241.4466973305559</v>
      </c>
      <c r="G5" s="59">
        <f>'SER_se-appl'!G14</f>
        <v>1251.5963668976963</v>
      </c>
      <c r="H5" s="59">
        <f>'SER_se-appl'!H14</f>
        <v>1264.1990151510081</v>
      </c>
      <c r="I5" s="59">
        <f>'SER_se-appl'!I14</f>
        <v>1277.9093447231749</v>
      </c>
      <c r="J5" s="59">
        <f>'SER_se-appl'!J14</f>
        <v>1291.633074413804</v>
      </c>
      <c r="K5" s="59">
        <f>'SER_se-appl'!K14</f>
        <v>1294.999253852151</v>
      </c>
      <c r="L5" s="59">
        <f>'SER_se-appl'!L14</f>
        <v>1300.3298651692387</v>
      </c>
      <c r="M5" s="59">
        <f>'SER_se-appl'!M14</f>
        <v>1313.3909226027572</v>
      </c>
      <c r="N5" s="59">
        <f>'SER_se-appl'!N14</f>
        <v>1324.7615996000955</v>
      </c>
      <c r="O5" s="59">
        <f>'SER_se-appl'!O14</f>
        <v>1332.5104995090715</v>
      </c>
      <c r="P5" s="59">
        <f>'SER_se-appl'!P14</f>
        <v>1337.5293179509458</v>
      </c>
      <c r="Q5" s="59">
        <f>'SER_se-appl'!Q14</f>
        <v>1344.9259972870436</v>
      </c>
      <c r="R5" s="59">
        <f>'SER_se-appl'!R14</f>
        <v>1309.92382956249</v>
      </c>
      <c r="S5" s="59">
        <f>'SER_se-appl'!S14</f>
        <v>1267.8098486132194</v>
      </c>
      <c r="T5" s="59">
        <f>'SER_se-appl'!T14</f>
        <v>1208.6376051365739</v>
      </c>
      <c r="U5" s="59">
        <f>'SER_se-appl'!U14</f>
        <v>1133.6961220979415</v>
      </c>
      <c r="V5" s="59">
        <f>'SER_se-appl'!V14</f>
        <v>1061.8246348500754</v>
      </c>
      <c r="W5" s="59">
        <f>'SER_se-appl'!W14</f>
        <v>989.28245508873385</v>
      </c>
      <c r="X5" s="59">
        <f>'SER_se-appl'!X14</f>
        <v>926.45299654219571</v>
      </c>
      <c r="Y5" s="59">
        <f>'SER_se-appl'!Y14</f>
        <v>861.42667698449509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161.66647842160086</v>
      </c>
      <c r="C6" s="201">
        <f>'SER_se-appl'!C70</f>
        <v>163.00613554481797</v>
      </c>
      <c r="D6" s="201">
        <f>'SER_se-appl'!D70</f>
        <v>164.91013777728082</v>
      </c>
      <c r="E6" s="201">
        <f>'SER_se-appl'!E70</f>
        <v>167.79371197159907</v>
      </c>
      <c r="F6" s="201">
        <f>'SER_se-appl'!F70</f>
        <v>171.04974714055083</v>
      </c>
      <c r="G6" s="201">
        <f>'SER_se-appl'!G70</f>
        <v>174.43809483142681</v>
      </c>
      <c r="H6" s="201">
        <f>'SER_se-appl'!H70</f>
        <v>177.86949744173012</v>
      </c>
      <c r="I6" s="201">
        <f>'SER_se-appl'!I70</f>
        <v>181.2019417148467</v>
      </c>
      <c r="J6" s="201">
        <f>'SER_se-appl'!J70</f>
        <v>185.37409105594864</v>
      </c>
      <c r="K6" s="201">
        <f>'SER_se-appl'!K70</f>
        <v>189.81444936855735</v>
      </c>
      <c r="L6" s="201">
        <f>'SER_se-appl'!L70</f>
        <v>195.13574119853553</v>
      </c>
      <c r="M6" s="201">
        <f>'SER_se-appl'!M70</f>
        <v>202.01117995457349</v>
      </c>
      <c r="N6" s="201">
        <f>'SER_se-appl'!N70</f>
        <v>211.12158285895282</v>
      </c>
      <c r="O6" s="201">
        <f>'SER_se-appl'!O70</f>
        <v>221.13816967942518</v>
      </c>
      <c r="P6" s="201">
        <f>'SER_se-appl'!P70</f>
        <v>231.88561963070219</v>
      </c>
      <c r="Q6" s="201">
        <f>'SER_se-appl'!Q70</f>
        <v>245.21881540810875</v>
      </c>
      <c r="R6" s="201">
        <f>'SER_se-appl'!R70</f>
        <v>252.39640039624666</v>
      </c>
      <c r="S6" s="201">
        <f>'SER_se-appl'!S70</f>
        <v>259.68439765674867</v>
      </c>
      <c r="T6" s="201">
        <f>'SER_se-appl'!T70</f>
        <v>266.60956948955828</v>
      </c>
      <c r="U6" s="201">
        <f>'SER_se-appl'!U70</f>
        <v>272.88250620965846</v>
      </c>
      <c r="V6" s="201">
        <f>'SER_se-appl'!V70</f>
        <v>277.96385745626122</v>
      </c>
      <c r="W6" s="201">
        <f>'SER_se-appl'!W70</f>
        <v>280.869280087037</v>
      </c>
      <c r="X6" s="201">
        <f>'SER_se-appl'!X70</f>
        <v>282.33336001023577</v>
      </c>
      <c r="Y6" s="201">
        <f>'SER_se-appl'!Y70</f>
        <v>283.06825940443014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25.968910238086892</v>
      </c>
      <c r="C8" s="34">
        <f>'SER_se-appl'!C22</f>
        <v>27.102564025926338</v>
      </c>
      <c r="D8" s="34">
        <f>'SER_se-appl'!D22</f>
        <v>27.831270011967305</v>
      </c>
      <c r="E8" s="34">
        <f>'SER_se-appl'!E22</f>
        <v>28.595964058604018</v>
      </c>
      <c r="F8" s="34">
        <f>'SER_se-appl'!F22</f>
        <v>29.655242825477401</v>
      </c>
      <c r="G8" s="34">
        <f>'SER_se-appl'!G22</f>
        <v>30.833717040459064</v>
      </c>
      <c r="H8" s="34">
        <f>'SER_se-appl'!H22</f>
        <v>32.195813619910716</v>
      </c>
      <c r="I8" s="34">
        <f>'SER_se-appl'!I22</f>
        <v>33.459306095434513</v>
      </c>
      <c r="J8" s="34">
        <f>'SER_se-appl'!J22</f>
        <v>34.615788460179289</v>
      </c>
      <c r="K8" s="34">
        <f>'SER_se-appl'!K22</f>
        <v>35.607372051088589</v>
      </c>
      <c r="L8" s="34">
        <f>'SER_se-appl'!L22</f>
        <v>36.752401960542656</v>
      </c>
      <c r="M8" s="34">
        <f>'SER_se-appl'!M22</f>
        <v>38.202301521772164</v>
      </c>
      <c r="N8" s="34">
        <f>'SER_se-appl'!N22</f>
        <v>39.972355147275266</v>
      </c>
      <c r="O8" s="34">
        <f>'SER_se-appl'!O22</f>
        <v>42.057098530433933</v>
      </c>
      <c r="P8" s="34">
        <f>'SER_se-appl'!P22</f>
        <v>44.421171703409563</v>
      </c>
      <c r="Q8" s="34">
        <f>'SER_se-appl'!Q22</f>
        <v>47.288401830265762</v>
      </c>
      <c r="R8" s="34">
        <f>'SER_se-appl'!R22</f>
        <v>48.96794078221339</v>
      </c>
      <c r="S8" s="34">
        <f>'SER_se-appl'!S22</f>
        <v>50.818605290654453</v>
      </c>
      <c r="T8" s="34">
        <f>'SER_se-appl'!T22</f>
        <v>52.591771281768892</v>
      </c>
      <c r="U8" s="34">
        <f>'SER_se-appl'!U22</f>
        <v>54.220471628286241</v>
      </c>
      <c r="V8" s="34">
        <f>'SER_se-appl'!V22</f>
        <v>55.580463869341543</v>
      </c>
      <c r="W8" s="34">
        <f>'SER_se-appl'!W22</f>
        <v>56.46801488106388</v>
      </c>
      <c r="X8" s="34">
        <f>'SER_se-appl'!X22</f>
        <v>57.045236896676087</v>
      </c>
      <c r="Y8" s="34">
        <f>'SER_se-appl'!Y22</f>
        <v>57.4629819377922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5.1891171493253943</v>
      </c>
      <c r="D9" s="36">
        <f>'SER_se-appl'!D30</f>
        <v>4.8895236026000397</v>
      </c>
      <c r="E9" s="36">
        <f>'SER_se-appl'!E30</f>
        <v>5.0336028482008679</v>
      </c>
      <c r="F9" s="36">
        <f>'SER_se-appl'!F30</f>
        <v>5.439086784303985</v>
      </c>
      <c r="G9" s="36">
        <f>'SER_se-appl'!G30</f>
        <v>5.672062427154458</v>
      </c>
      <c r="H9" s="36">
        <f>'SER_se-appl'!H30</f>
        <v>5.9724208083259711</v>
      </c>
      <c r="I9" s="36">
        <f>'SER_se-appl'!I30</f>
        <v>6.4526096248491918</v>
      </c>
      <c r="J9" s="36">
        <f>'SER_se-appl'!J30</f>
        <v>6.046005967344815</v>
      </c>
      <c r="K9" s="36">
        <f>'SER_se-appl'!K30</f>
        <v>6.0251864391101684</v>
      </c>
      <c r="L9" s="36">
        <f>'SER_se-appl'!L30</f>
        <v>6.5841166937580518</v>
      </c>
      <c r="M9" s="36">
        <f>'SER_se-appl'!M30</f>
        <v>7.1219619883839655</v>
      </c>
      <c r="N9" s="36">
        <f>'SER_se-appl'!N30</f>
        <v>7.7424744338290736</v>
      </c>
      <c r="O9" s="36">
        <f>'SER_se-appl'!O30</f>
        <v>8.5373530080078552</v>
      </c>
      <c r="P9" s="36">
        <f>'SER_se-appl'!P30</f>
        <v>8.4100791403204411</v>
      </c>
      <c r="Q9" s="36">
        <f>'SER_se-appl'!Q30</f>
        <v>8.8924165659663643</v>
      </c>
      <c r="R9" s="36">
        <f>'SER_se-appl'!R30</f>
        <v>8.2636556457056827</v>
      </c>
      <c r="S9" s="36">
        <f>'SER_se-appl'!S30</f>
        <v>8.9726264968250291</v>
      </c>
      <c r="T9" s="36">
        <f>'SER_se-appl'!T30</f>
        <v>9.5156404249435127</v>
      </c>
      <c r="U9" s="36">
        <f>'SER_se-appl'!U30</f>
        <v>10.166053354525204</v>
      </c>
      <c r="V9" s="36">
        <f>'SER_se-appl'!V30</f>
        <v>9.7700713813757432</v>
      </c>
      <c r="W9" s="36">
        <f>'SER_se-appl'!W30</f>
        <v>9.7799675776887014</v>
      </c>
      <c r="X9" s="36">
        <f>'SER_se-appl'!X30</f>
        <v>8.8408776613178901</v>
      </c>
      <c r="Y9" s="36">
        <f>'SER_se-appl'!Y30</f>
        <v>9.3903715379411423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4.0554633614859483</v>
      </c>
      <c r="D10" s="38">
        <f>'SER_se-appl'!D38</f>
        <v>4.160817616559072</v>
      </c>
      <c r="E10" s="38">
        <f>'SER_se-appl'!E38</f>
        <v>4.2689088015641588</v>
      </c>
      <c r="F10" s="38">
        <f>'SER_se-appl'!F38</f>
        <v>4.3798080174306051</v>
      </c>
      <c r="G10" s="38">
        <f>'SER_se-appl'!G38</f>
        <v>4.4935882121727957</v>
      </c>
      <c r="H10" s="38">
        <f>'SER_se-appl'!H38</f>
        <v>4.6103242288743189</v>
      </c>
      <c r="I10" s="38">
        <f>'SER_se-appl'!I38</f>
        <v>5.1891171493253978</v>
      </c>
      <c r="J10" s="38">
        <f>'SER_se-appl'!J38</f>
        <v>4.8895236026000362</v>
      </c>
      <c r="K10" s="38">
        <f>'SER_se-appl'!K38</f>
        <v>5.0336028482008714</v>
      </c>
      <c r="L10" s="38">
        <f>'SER_se-appl'!L38</f>
        <v>5.4390867843039814</v>
      </c>
      <c r="M10" s="38">
        <f>'SER_se-appl'!M38</f>
        <v>5.672062427154458</v>
      </c>
      <c r="N10" s="38">
        <f>'SER_se-appl'!N38</f>
        <v>5.9724208083259711</v>
      </c>
      <c r="O10" s="38">
        <f>'SER_se-appl'!O38</f>
        <v>6.4526096248491882</v>
      </c>
      <c r="P10" s="38">
        <f>'SER_se-appl'!P38</f>
        <v>6.0460059673448114</v>
      </c>
      <c r="Q10" s="38">
        <f>'SER_se-appl'!Q38</f>
        <v>6.0251864391101648</v>
      </c>
      <c r="R10" s="38">
        <f>'SER_se-appl'!R38</f>
        <v>6.5841166937580553</v>
      </c>
      <c r="S10" s="38">
        <f>'SER_se-appl'!S38</f>
        <v>7.1219619883839655</v>
      </c>
      <c r="T10" s="38">
        <f>'SER_se-appl'!T38</f>
        <v>7.7424744338290736</v>
      </c>
      <c r="U10" s="38">
        <f>'SER_se-appl'!U38</f>
        <v>8.5373530080078552</v>
      </c>
      <c r="V10" s="38">
        <f>'SER_se-appl'!V38</f>
        <v>8.4100791403204411</v>
      </c>
      <c r="W10" s="38">
        <f>'SER_se-appl'!W38</f>
        <v>8.8924165659663572</v>
      </c>
      <c r="X10" s="38">
        <f>'SER_se-appl'!X38</f>
        <v>8.2636556457056827</v>
      </c>
      <c r="Y10" s="38">
        <f>'SER_se-appl'!Y38</f>
        <v>8.972626496825022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2270.345842976159</v>
      </c>
      <c r="C12" s="204">
        <f>'SER_se-appl'!C46</f>
        <v>2286.225929437267</v>
      </c>
      <c r="D12" s="204">
        <f>'SER_se-appl'!D46</f>
        <v>2297.7776619491201</v>
      </c>
      <c r="E12" s="204">
        <f>'SER_se-appl'!E46</f>
        <v>2305.1020866355857</v>
      </c>
      <c r="F12" s="204">
        <f>'SER_se-appl'!F46</f>
        <v>2317.5638219778575</v>
      </c>
      <c r="G12" s="204">
        <f>'SER_se-appl'!G46</f>
        <v>2328.6922334778296</v>
      </c>
      <c r="H12" s="204">
        <f>'SER_se-appl'!H46</f>
        <v>2340.8234532846586</v>
      </c>
      <c r="I12" s="204">
        <f>'SER_se-appl'!I46</f>
        <v>2351.4870124371737</v>
      </c>
      <c r="J12" s="204">
        <f>'SER_se-appl'!J46</f>
        <v>2359.511782344825</v>
      </c>
      <c r="K12" s="204">
        <f>'SER_se-appl'!K46</f>
        <v>2364.8452131607646</v>
      </c>
      <c r="L12" s="204">
        <f>'SER_se-appl'!L46</f>
        <v>2370.2107639860665</v>
      </c>
      <c r="M12" s="204">
        <f>'SER_se-appl'!M46</f>
        <v>2373.9098403347912</v>
      </c>
      <c r="N12" s="204">
        <f>'SER_se-appl'!N46</f>
        <v>2378.2613285749148</v>
      </c>
      <c r="O12" s="204">
        <f>'SER_se-appl'!O46</f>
        <v>2385.2973051139525</v>
      </c>
      <c r="P12" s="204">
        <f>'SER_se-appl'!P46</f>
        <v>2394.9569764798557</v>
      </c>
      <c r="Q12" s="204">
        <f>'SER_se-appl'!Q46</f>
        <v>2401.1263991035116</v>
      </c>
      <c r="R12" s="204">
        <f>'SER_se-appl'!R46</f>
        <v>2367.8357673756095</v>
      </c>
      <c r="S12" s="204">
        <f>'SER_se-appl'!S46</f>
        <v>2416.4554652158045</v>
      </c>
      <c r="T12" s="204">
        <f>'SER_se-appl'!T46</f>
        <v>2382.7009277698726</v>
      </c>
      <c r="U12" s="204">
        <f>'SER_se-appl'!U46</f>
        <v>2359.2883271168566</v>
      </c>
      <c r="V12" s="204">
        <f>'SER_se-appl'!V46</f>
        <v>2157.6312760007318</v>
      </c>
      <c r="W12" s="204">
        <f>'SER_se-appl'!W46</f>
        <v>2111.33371207546</v>
      </c>
      <c r="X12" s="204">
        <f>'SER_se-appl'!X46</f>
        <v>2247.0086343097855</v>
      </c>
      <c r="Y12" s="204">
        <f>'SER_se-appl'!Y46</f>
        <v>2314.8460954269485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45.204672661431744</v>
      </c>
      <c r="C14" s="59">
        <f>'SER_se-appl'!C54</f>
        <v>44.630463004036677</v>
      </c>
      <c r="D14" s="59">
        <f>'SER_se-appl'!D54</f>
        <v>43.855282336941556</v>
      </c>
      <c r="E14" s="59">
        <f>'SER_se-appl'!E54</f>
        <v>42.946815765932669</v>
      </c>
      <c r="F14" s="59">
        <f>'SER_se-appl'!F54</f>
        <v>41.862638071673608</v>
      </c>
      <c r="G14" s="59">
        <f>'SER_se-appl'!G54</f>
        <v>40.591809455064713</v>
      </c>
      <c r="H14" s="59">
        <f>'SER_se-appl'!H54</f>
        <v>39.265944016062853</v>
      </c>
      <c r="I14" s="59">
        <f>'SER_se-appl'!I54</f>
        <v>38.192942228934754</v>
      </c>
      <c r="J14" s="59">
        <f>'SER_se-appl'!J54</f>
        <v>37.313409050313865</v>
      </c>
      <c r="K14" s="59">
        <f>'SER_se-appl'!K54</f>
        <v>36.368852270089398</v>
      </c>
      <c r="L14" s="59">
        <f>'SER_se-appl'!L54</f>
        <v>35.38081311162388</v>
      </c>
      <c r="M14" s="59">
        <f>'SER_se-appl'!M54</f>
        <v>34.379889961714284</v>
      </c>
      <c r="N14" s="59">
        <f>'SER_se-appl'!N54</f>
        <v>33.141945094781299</v>
      </c>
      <c r="O14" s="59">
        <f>'SER_se-appl'!O54</f>
        <v>31.68336728090793</v>
      </c>
      <c r="P14" s="59">
        <f>'SER_se-appl'!P54</f>
        <v>30.110176446522757</v>
      </c>
      <c r="Q14" s="59">
        <f>'SER_se-appl'!Q54</f>
        <v>28.440927272493639</v>
      </c>
      <c r="R14" s="59">
        <f>'SER_se-appl'!R54</f>
        <v>26.75064151438227</v>
      </c>
      <c r="S14" s="59">
        <f>'SER_se-appl'!S54</f>
        <v>24.947749773179424</v>
      </c>
      <c r="T14" s="59">
        <f>'SER_se-appl'!T54</f>
        <v>22.981496452384217</v>
      </c>
      <c r="U14" s="59">
        <f>'SER_se-appl'!U54</f>
        <v>20.909005179263406</v>
      </c>
      <c r="V14" s="59">
        <f>'SER_se-appl'!V54</f>
        <v>19.104278030968057</v>
      </c>
      <c r="W14" s="59">
        <f>'SER_se-appl'!W54</f>
        <v>17.519341828686848</v>
      </c>
      <c r="X14" s="59">
        <f>'SER_se-appl'!X54</f>
        <v>16.240672261914618</v>
      </c>
      <c r="Y14" s="59">
        <f>'SER_se-appl'!Y54</f>
        <v>14.990984594517759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42.205597181727384</v>
      </c>
      <c r="D15" s="63">
        <f>'SER_se-appl'!D62</f>
        <v>40.706751339020535</v>
      </c>
      <c r="E15" s="63">
        <f>'SER_se-appl'!E62</f>
        <v>39.838665653073043</v>
      </c>
      <c r="F15" s="63">
        <f>'SER_se-appl'!F62</f>
        <v>38.853743906820981</v>
      </c>
      <c r="G15" s="63">
        <f>'SER_se-appl'!G62</f>
        <v>37.601993368870239</v>
      </c>
      <c r="H15" s="63">
        <f>'SER_se-appl'!H62</f>
        <v>37.005236733242</v>
      </c>
      <c r="I15" s="63">
        <f>'SER_se-appl'!I62</f>
        <v>36.066046334056239</v>
      </c>
      <c r="J15" s="63">
        <f>'SER_se-appl'!J62</f>
        <v>35.190231749205076</v>
      </c>
      <c r="K15" s="63">
        <f>'SER_se-appl'!K62</f>
        <v>33.840977768696249</v>
      </c>
      <c r="L15" s="63">
        <f>'SER_se-appl'!L62</f>
        <v>32.906387659685521</v>
      </c>
      <c r="M15" s="63">
        <f>'SER_se-appl'!M62</f>
        <v>31.780836738017609</v>
      </c>
      <c r="N15" s="63">
        <f>'SER_se-appl'!N62</f>
        <v>30.013857309575457</v>
      </c>
      <c r="O15" s="63">
        <f>'SER_se-appl'!O62</f>
        <v>28.166694921576902</v>
      </c>
      <c r="P15" s="63">
        <f>'SER_se-appl'!P62</f>
        <v>25.895020243711706</v>
      </c>
      <c r="Q15" s="63">
        <f>'SER_se-appl'!Q62</f>
        <v>23.761243988833861</v>
      </c>
      <c r="R15" s="63">
        <f>'SER_se-appl'!R62</f>
        <v>21.982683740126145</v>
      </c>
      <c r="S15" s="63">
        <f>'SER_se-appl'!S62</f>
        <v>20.532218779319141</v>
      </c>
      <c r="T15" s="63">
        <f>'SER_se-appl'!T62</f>
        <v>18.202587704901099</v>
      </c>
      <c r="U15" s="63">
        <f>'SER_se-appl'!U62</f>
        <v>16.282379090805254</v>
      </c>
      <c r="V15" s="63">
        <f>'SER_se-appl'!V62</f>
        <v>14.934147013509703</v>
      </c>
      <c r="W15" s="63">
        <f>'SER_se-appl'!W62</f>
        <v>14.187439662834217</v>
      </c>
      <c r="X15" s="63">
        <f>'SER_se-appl'!X62</f>
        <v>13.440732312158731</v>
      </c>
      <c r="Y15" s="63">
        <f>'SER_se-appl'!Y62</f>
        <v>12.694024961483246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108.93933845057953</v>
      </c>
      <c r="C3" s="198">
        <f>'SER_se-appl'!C7</f>
        <v>113.76512892349052</v>
      </c>
      <c r="D3" s="198">
        <f>'SER_se-appl'!D7</f>
        <v>118.93377681959007</v>
      </c>
      <c r="E3" s="198">
        <f>'SER_se-appl'!E7</f>
        <v>123.25795281651448</v>
      </c>
      <c r="F3" s="198">
        <f>'SER_se-appl'!F7</f>
        <v>128.18025505705666</v>
      </c>
      <c r="G3" s="198">
        <f>'SER_se-appl'!G7</f>
        <v>132.50205497885563</v>
      </c>
      <c r="H3" s="198">
        <f>'SER_se-appl'!H7</f>
        <v>136.06494476637863</v>
      </c>
      <c r="I3" s="198">
        <f>'SER_se-appl'!I7</f>
        <v>137.68859150213126</v>
      </c>
      <c r="J3" s="198">
        <f>'SER_se-appl'!J7</f>
        <v>138.38150536594324</v>
      </c>
      <c r="K3" s="198">
        <f>'SER_se-appl'!K7</f>
        <v>138.62929890357941</v>
      </c>
      <c r="L3" s="198">
        <f>'SER_se-appl'!L7</f>
        <v>138.72619928215542</v>
      </c>
      <c r="M3" s="198">
        <f>'SER_se-appl'!M7</f>
        <v>138.44207071242104</v>
      </c>
      <c r="N3" s="198">
        <f>'SER_se-appl'!N7</f>
        <v>138.16008634656509</v>
      </c>
      <c r="O3" s="198">
        <f>'SER_se-appl'!O7</f>
        <v>137.89813400666881</v>
      </c>
      <c r="P3" s="198">
        <f>'SER_se-appl'!P7</f>
        <v>137.99830582646678</v>
      </c>
      <c r="Q3" s="198">
        <f>'SER_se-appl'!Q7</f>
        <v>138.92448851846206</v>
      </c>
      <c r="R3" s="198">
        <f>'SER_se-appl'!R7</f>
        <v>137.8769641844425</v>
      </c>
      <c r="S3" s="198">
        <f>'SER_se-appl'!S7</f>
        <v>137.09391530454045</v>
      </c>
      <c r="T3" s="198">
        <f>'SER_se-appl'!T7</f>
        <v>136.35565519471669</v>
      </c>
      <c r="U3" s="198">
        <f>'SER_se-appl'!U7</f>
        <v>135.45673328234446</v>
      </c>
      <c r="V3" s="198">
        <f>'SER_se-appl'!V7</f>
        <v>134.3178978066347</v>
      </c>
      <c r="W3" s="198">
        <f>'SER_se-appl'!W7</f>
        <v>132.57146861680528</v>
      </c>
      <c r="X3" s="198">
        <f>'SER_se-appl'!X7</f>
        <v>130.61875801963754</v>
      </c>
      <c r="Y3" s="198">
        <f>'SER_se-appl'!Y7</f>
        <v>129.41464088531947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144.63065139043837</v>
      </c>
      <c r="C5" s="59">
        <f>'SER_se-appl'!C15</f>
        <v>151.03749422148351</v>
      </c>
      <c r="D5" s="59">
        <f>'SER_se-appl'!D15</f>
        <v>157.89952333468412</v>
      </c>
      <c r="E5" s="59">
        <f>'SER_se-appl'!E15</f>
        <v>163.64040996073786</v>
      </c>
      <c r="F5" s="59">
        <f>'SER_se-appl'!F15</f>
        <v>170.17538428237086</v>
      </c>
      <c r="G5" s="59">
        <f>'SER_se-appl'!G15</f>
        <v>175.91311637033007</v>
      </c>
      <c r="H5" s="59">
        <f>'SER_se-appl'!H15</f>
        <v>180.6432999581032</v>
      </c>
      <c r="I5" s="59">
        <f>'SER_se-appl'!I15</f>
        <v>182.79889488239584</v>
      </c>
      <c r="J5" s="59">
        <f>'SER_se-appl'!J15</f>
        <v>183.71882504633797</v>
      </c>
      <c r="K5" s="59">
        <f>'SER_se-appl'!K15</f>
        <v>184.04780208317678</v>
      </c>
      <c r="L5" s="59">
        <f>'SER_se-appl'!L15</f>
        <v>184.17644950359221</v>
      </c>
      <c r="M5" s="59">
        <f>'SER_se-appl'!M15</f>
        <v>183.79923314902473</v>
      </c>
      <c r="N5" s="59">
        <f>'SER_se-appl'!N15</f>
        <v>183.42486349435532</v>
      </c>
      <c r="O5" s="59">
        <f>'SER_se-appl'!O15</f>
        <v>183.07708886958437</v>
      </c>
      <c r="P5" s="59">
        <f>'SER_se-appl'!P15</f>
        <v>183.2100795390192</v>
      </c>
      <c r="Q5" s="59">
        <f>'SER_se-appl'!Q15</f>
        <v>184.43970336412258</v>
      </c>
      <c r="R5" s="59">
        <f>'SER_se-appl'!R15</f>
        <v>183.04898327226783</v>
      </c>
      <c r="S5" s="59">
        <f>'SER_se-appl'!S15</f>
        <v>182.0093875561422</v>
      </c>
      <c r="T5" s="59">
        <f>'SER_se-appl'!T15</f>
        <v>181.0292545564561</v>
      </c>
      <c r="U5" s="59">
        <f>'SER_se-appl'!U15</f>
        <v>179.83582283945958</v>
      </c>
      <c r="V5" s="59">
        <f>'SER_se-appl'!V15</f>
        <v>178.32387574100019</v>
      </c>
      <c r="W5" s="59">
        <f>'SER_se-appl'!W15</f>
        <v>176.00527169103256</v>
      </c>
      <c r="X5" s="59">
        <f>'SER_se-appl'!X15</f>
        <v>173.41280316990694</v>
      </c>
      <c r="Y5" s="59">
        <f>'SER_se-appl'!Y15</f>
        <v>171.81418647217643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2.0783107976113803E-2</v>
      </c>
      <c r="C6" s="201">
        <f>'SER_se-appl'!C71</f>
        <v>2.1803980621493434E-2</v>
      </c>
      <c r="D6" s="201">
        <f>'SER_se-appl'!D71</f>
        <v>2.3026235810873902E-2</v>
      </c>
      <c r="E6" s="201">
        <f>'SER_se-appl'!E71</f>
        <v>2.4166111738659707E-2</v>
      </c>
      <c r="F6" s="201">
        <f>'SER_se-appl'!F71</f>
        <v>2.5528761885180159E-2</v>
      </c>
      <c r="G6" s="201">
        <f>'SER_se-appl'!G71</f>
        <v>2.6814839393426066E-2</v>
      </c>
      <c r="H6" s="201">
        <f>'SER_se-appl'!H71</f>
        <v>2.7987944912997359E-2</v>
      </c>
      <c r="I6" s="201">
        <f>'SER_se-appl'!I71</f>
        <v>2.8765176894164052E-2</v>
      </c>
      <c r="J6" s="201">
        <f>'SER_se-appl'!J71</f>
        <v>2.9389567668410076E-2</v>
      </c>
      <c r="K6" s="201">
        <f>'SER_se-appl'!K71</f>
        <v>3.0001694142854453E-2</v>
      </c>
      <c r="L6" s="201">
        <f>'SER_se-appl'!L71</f>
        <v>3.0639136793450279E-2</v>
      </c>
      <c r="M6" s="201">
        <f>'SER_se-appl'!M71</f>
        <v>3.1218195491090412E-2</v>
      </c>
      <c r="N6" s="201">
        <f>'SER_se-appl'!N71</f>
        <v>3.1838722113463079E-2</v>
      </c>
      <c r="O6" s="201">
        <f>'SER_se-appl'!O71</f>
        <v>3.2573626898794492E-2</v>
      </c>
      <c r="P6" s="201">
        <f>'SER_se-appl'!P71</f>
        <v>3.3540830651309486E-2</v>
      </c>
      <c r="Q6" s="201">
        <f>'SER_se-appl'!Q71</f>
        <v>3.4722773527060727E-2</v>
      </c>
      <c r="R6" s="201">
        <f>'SER_se-appl'!R71</f>
        <v>3.5281356168156863E-2</v>
      </c>
      <c r="S6" s="201">
        <f>'SER_se-appl'!S71</f>
        <v>3.583849856769257E-2</v>
      </c>
      <c r="T6" s="201">
        <f>'SER_se-appl'!T71</f>
        <v>3.632799855554552E-2</v>
      </c>
      <c r="U6" s="201">
        <f>'SER_se-appl'!U71</f>
        <v>3.6746710454440869E-2</v>
      </c>
      <c r="V6" s="201">
        <f>'SER_se-appl'!V71</f>
        <v>3.6949558367726919E-2</v>
      </c>
      <c r="W6" s="201">
        <f>'SER_se-appl'!W71</f>
        <v>3.714804546191755E-2</v>
      </c>
      <c r="X6" s="201">
        <f>'SER_se-appl'!X71</f>
        <v>3.7287620500922054E-2</v>
      </c>
      <c r="Y6" s="201">
        <f>'SER_se-appl'!Y71</f>
        <v>3.7385634941246575E-2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213.00653087556583</v>
      </c>
      <c r="C8" s="34">
        <f>'SER_se-appl'!C23</f>
        <v>225.2519961010282</v>
      </c>
      <c r="D8" s="34">
        <f>'SER_se-appl'!D23</f>
        <v>239.35009956998081</v>
      </c>
      <c r="E8" s="34">
        <f>'SER_se-appl'!E23</f>
        <v>252.40517733671126</v>
      </c>
      <c r="F8" s="34">
        <f>'SER_se-appl'!F23</f>
        <v>267.36399966158609</v>
      </c>
      <c r="G8" s="34">
        <f>'SER_se-appl'!G23</f>
        <v>281.41294416668552</v>
      </c>
      <c r="H8" s="34">
        <f>'SER_se-appl'!H23</f>
        <v>294.20894107008928</v>
      </c>
      <c r="I8" s="34">
        <f>'SER_se-appl'!I23</f>
        <v>302.97175697334956</v>
      </c>
      <c r="J8" s="34">
        <f>'SER_se-appl'!J23</f>
        <v>310.15807066817109</v>
      </c>
      <c r="K8" s="34">
        <f>'SER_se-appl'!K23</f>
        <v>316.90831525468963</v>
      </c>
      <c r="L8" s="34">
        <f>'SER_se-appl'!L23</f>
        <v>323.96226946367386</v>
      </c>
      <c r="M8" s="34">
        <f>'SER_se-appl'!M23</f>
        <v>330.06127105075689</v>
      </c>
      <c r="N8" s="34">
        <f>'SER_se-appl'!N23</f>
        <v>336.18347485995099</v>
      </c>
      <c r="O8" s="34">
        <f>'SER_se-appl'!O23</f>
        <v>342.14976127235161</v>
      </c>
      <c r="P8" s="34">
        <f>'SER_se-appl'!P23</f>
        <v>350.30352107869618</v>
      </c>
      <c r="Q8" s="34">
        <f>'SER_se-appl'!Q23</f>
        <v>360.947432269393</v>
      </c>
      <c r="R8" s="34">
        <f>'SER_se-appl'!R23</f>
        <v>365.81664662276751</v>
      </c>
      <c r="S8" s="34">
        <f>'SER_se-appl'!S23</f>
        <v>370.73055998652734</v>
      </c>
      <c r="T8" s="34">
        <f>'SER_se-appl'!T23</f>
        <v>375.47783763045072</v>
      </c>
      <c r="U8" s="34">
        <f>'SER_se-appl'!U23</f>
        <v>379.72198549412292</v>
      </c>
      <c r="V8" s="34">
        <f>'SER_se-appl'!V23</f>
        <v>383.36626314072208</v>
      </c>
      <c r="W8" s="34">
        <f>'SER_se-appl'!W23</f>
        <v>386.12781750067319</v>
      </c>
      <c r="X8" s="34">
        <f>'SER_se-appl'!X23</f>
        <v>388.57865589170734</v>
      </c>
      <c r="Y8" s="34">
        <f>'SER_se-appl'!Y23</f>
        <v>393.17055352144746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31.604159578794309</v>
      </c>
      <c r="D9" s="36">
        <f>'SER_se-appl'!D31</f>
        <v>33.86457294525232</v>
      </c>
      <c r="E9" s="36">
        <f>'SER_se-appl'!E31</f>
        <v>33.237911816705491</v>
      </c>
      <c r="F9" s="36">
        <f>'SER_se-appl'!F31</f>
        <v>35.566791329013256</v>
      </c>
      <c r="G9" s="36">
        <f>'SER_se-appl'!G31</f>
        <v>35.09100358480805</v>
      </c>
      <c r="H9" s="36">
        <f>'SER_se-appl'!H31</f>
        <v>34.281289812425143</v>
      </c>
      <c r="I9" s="36">
        <f>'SER_se-appl'!I31</f>
        <v>30.700679001059257</v>
      </c>
      <c r="J9" s="36">
        <f>'SER_se-appl'!J31</f>
        <v>29.586280003667639</v>
      </c>
      <c r="K9" s="36">
        <f>'SER_se-appl'!K31</f>
        <v>29.622047934027876</v>
      </c>
      <c r="L9" s="36">
        <f>'SER_se-appl'!L31</f>
        <v>30.407533457920522</v>
      </c>
      <c r="M9" s="36">
        <f>'SER_se-appl'!M31</f>
        <v>37.703161165877304</v>
      </c>
      <c r="N9" s="36">
        <f>'SER_se-appl'!N31</f>
        <v>39.986776754446453</v>
      </c>
      <c r="O9" s="36">
        <f>'SER_se-appl'!O31</f>
        <v>39.204198229106112</v>
      </c>
      <c r="P9" s="36">
        <f>'SER_se-appl'!P31</f>
        <v>43.720551135357823</v>
      </c>
      <c r="Q9" s="36">
        <f>'SER_se-appl'!Q31</f>
        <v>45.734914775504876</v>
      </c>
      <c r="R9" s="36">
        <f>'SER_se-appl'!R31</f>
        <v>39.150504165799646</v>
      </c>
      <c r="S9" s="36">
        <f>'SER_se-appl'!S31</f>
        <v>35.614592364819089</v>
      </c>
      <c r="T9" s="36">
        <f>'SER_se-appl'!T31</f>
        <v>34.333557647591022</v>
      </c>
      <c r="U9" s="36">
        <f>'SER_se-appl'!U31</f>
        <v>33.866195797700072</v>
      </c>
      <c r="V9" s="36">
        <f>'SER_se-appl'!V31</f>
        <v>34.051811104519686</v>
      </c>
      <c r="W9" s="36">
        <f>'SER_se-appl'!W31</f>
        <v>40.46471552582841</v>
      </c>
      <c r="X9" s="36">
        <f>'SER_se-appl'!X31</f>
        <v>42.437615145480606</v>
      </c>
      <c r="Y9" s="36">
        <f>'SER_se-appl'!Y31</f>
        <v>43.796095858846229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19.358694353331941</v>
      </c>
      <c r="D10" s="38">
        <f>'SER_se-appl'!D39</f>
        <v>19.766469476299704</v>
      </c>
      <c r="E10" s="38">
        <f>'SER_se-appl'!E39</f>
        <v>20.182834049975014</v>
      </c>
      <c r="F10" s="38">
        <f>'SER_se-appl'!F39</f>
        <v>20.607969004138397</v>
      </c>
      <c r="G10" s="38">
        <f>'SER_se-appl'!G39</f>
        <v>21.042059079708622</v>
      </c>
      <c r="H10" s="38">
        <f>'SER_se-appl'!H39</f>
        <v>21.485292909021382</v>
      </c>
      <c r="I10" s="38">
        <f>'SER_se-appl'!I39</f>
        <v>21.937863097798981</v>
      </c>
      <c r="J10" s="38">
        <f>'SER_se-appl'!J39</f>
        <v>22.399966308846103</v>
      </c>
      <c r="K10" s="38">
        <f>'SER_se-appl'!K39</f>
        <v>22.871803347509342</v>
      </c>
      <c r="L10" s="38">
        <f>'SER_se-appl'!L39</f>
        <v>23.353579248936285</v>
      </c>
      <c r="M10" s="38">
        <f>'SER_se-appl'!M39</f>
        <v>31.604159578794281</v>
      </c>
      <c r="N10" s="38">
        <f>'SER_se-appl'!N39</f>
        <v>33.864572945252348</v>
      </c>
      <c r="O10" s="38">
        <f>'SER_se-appl'!O39</f>
        <v>33.237911816705491</v>
      </c>
      <c r="P10" s="38">
        <f>'SER_se-appl'!P39</f>
        <v>35.566791329013256</v>
      </c>
      <c r="Q10" s="38">
        <f>'SER_se-appl'!Q39</f>
        <v>35.09100358480805</v>
      </c>
      <c r="R10" s="38">
        <f>'SER_se-appl'!R39</f>
        <v>34.281289812425143</v>
      </c>
      <c r="S10" s="38">
        <f>'SER_se-appl'!S39</f>
        <v>30.700679001059257</v>
      </c>
      <c r="T10" s="38">
        <f>'SER_se-appl'!T39</f>
        <v>29.586280003667639</v>
      </c>
      <c r="U10" s="38">
        <f>'SER_se-appl'!U39</f>
        <v>29.622047934027876</v>
      </c>
      <c r="V10" s="38">
        <f>'SER_se-appl'!V39</f>
        <v>30.407533457920522</v>
      </c>
      <c r="W10" s="38">
        <f>'SER_se-appl'!W39</f>
        <v>37.703161165877304</v>
      </c>
      <c r="X10" s="38">
        <f>'SER_se-appl'!X39</f>
        <v>39.986776754446453</v>
      </c>
      <c r="Y10" s="38">
        <f>'SER_se-appl'!Y39</f>
        <v>39.204198229106112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8759.9999999999945</v>
      </c>
      <c r="D12" s="204">
        <f>'SER_se-appl'!D47</f>
        <v>8759.9999999999982</v>
      </c>
      <c r="E12" s="204">
        <f>'SER_se-appl'!E47</f>
        <v>8759.9999999999982</v>
      </c>
      <c r="F12" s="204">
        <f>'SER_se-appl'!F47</f>
        <v>8760.0000000000018</v>
      </c>
      <c r="G12" s="204">
        <f>'SER_se-appl'!G47</f>
        <v>8759.9999999999982</v>
      </c>
      <c r="H12" s="204">
        <f>'SER_se-appl'!H47</f>
        <v>8759.9999999999964</v>
      </c>
      <c r="I12" s="204">
        <f>'SER_se-appl'!I47</f>
        <v>8759.9999999999945</v>
      </c>
      <c r="J12" s="204">
        <f>'SER_se-appl'!J47</f>
        <v>8759.9999999999964</v>
      </c>
      <c r="K12" s="204">
        <f>'SER_se-appl'!K47</f>
        <v>8760</v>
      </c>
      <c r="L12" s="204">
        <f>'SER_se-appl'!L47</f>
        <v>8759.9999999999982</v>
      </c>
      <c r="M12" s="204">
        <f>'SER_se-appl'!M47</f>
        <v>8760</v>
      </c>
      <c r="N12" s="204">
        <f>'SER_se-appl'!N47</f>
        <v>8759.9999999999964</v>
      </c>
      <c r="O12" s="204">
        <f>'SER_se-appl'!O47</f>
        <v>8759.9999999999964</v>
      </c>
      <c r="P12" s="204">
        <f>'SER_se-appl'!P47</f>
        <v>8760.0000000000018</v>
      </c>
      <c r="Q12" s="204">
        <f>'SER_se-appl'!Q47</f>
        <v>8760</v>
      </c>
      <c r="R12" s="204">
        <f>'SER_se-appl'!R47</f>
        <v>8760</v>
      </c>
      <c r="S12" s="204">
        <f>'SER_se-appl'!S47</f>
        <v>8759.9999999999982</v>
      </c>
      <c r="T12" s="204">
        <f>'SER_se-appl'!T47</f>
        <v>8759.9999999999982</v>
      </c>
      <c r="U12" s="204">
        <f>'SER_se-appl'!U47</f>
        <v>8760</v>
      </c>
      <c r="V12" s="204">
        <f>'SER_se-appl'!V47</f>
        <v>8760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678.99632370863185</v>
      </c>
      <c r="C14" s="59">
        <f>'SER_se-appl'!C55</f>
        <v>670.52677372830647</v>
      </c>
      <c r="D14" s="59">
        <f>'SER_se-appl'!D55</f>
        <v>659.70109733970548</v>
      </c>
      <c r="E14" s="59">
        <f>'SER_se-appl'!E55</f>
        <v>648.3243001883427</v>
      </c>
      <c r="F14" s="59">
        <f>'SER_se-appl'!F55</f>
        <v>636.4932619865391</v>
      </c>
      <c r="G14" s="59">
        <f>'SER_se-appl'!G55</f>
        <v>625.10669824105116</v>
      </c>
      <c r="H14" s="59">
        <f>'SER_se-appl'!H55</f>
        <v>613.99663552396464</v>
      </c>
      <c r="I14" s="59">
        <f>'SER_se-appl'!I55</f>
        <v>603.35292209588852</v>
      </c>
      <c r="J14" s="59">
        <f>'SER_se-appl'!J55</f>
        <v>592.33933410326529</v>
      </c>
      <c r="K14" s="59">
        <f>'SER_se-appl'!K55</f>
        <v>580.76040679230243</v>
      </c>
      <c r="L14" s="59">
        <f>'SER_se-appl'!L55</f>
        <v>568.51203631984697</v>
      </c>
      <c r="M14" s="59">
        <f>'SER_se-appl'!M55</f>
        <v>556.86398032673162</v>
      </c>
      <c r="N14" s="59">
        <f>'SER_se-appl'!N55</f>
        <v>545.60939847137752</v>
      </c>
      <c r="O14" s="59">
        <f>'SER_se-appl'!O55</f>
        <v>535.07881516203895</v>
      </c>
      <c r="P14" s="59">
        <f>'SER_se-appl'!P55</f>
        <v>523.00381958724529</v>
      </c>
      <c r="Q14" s="59">
        <f>'SER_se-appl'!Q55</f>
        <v>510.98771420672153</v>
      </c>
      <c r="R14" s="59">
        <f>'SER_se-appl'!R55</f>
        <v>500.38450945899439</v>
      </c>
      <c r="S14" s="59">
        <f>'SER_se-appl'!S55</f>
        <v>490.94789370144338</v>
      </c>
      <c r="T14" s="59">
        <f>'SER_se-appl'!T55</f>
        <v>482.13033210931349</v>
      </c>
      <c r="U14" s="59">
        <f>'SER_se-appl'!U55</f>
        <v>473.59865825373168</v>
      </c>
      <c r="V14" s="59">
        <f>'SER_se-appl'!V55</f>
        <v>465.15276091350518</v>
      </c>
      <c r="W14" s="59">
        <f>'SER_se-appl'!W55</f>
        <v>455.82126879715349</v>
      </c>
      <c r="X14" s="59">
        <f>'SER_se-appl'!X55</f>
        <v>446.27464875022673</v>
      </c>
      <c r="Y14" s="59">
        <f>'SER_se-appl'!Y55</f>
        <v>436.99657803290694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618.63138869464194</v>
      </c>
      <c r="D15" s="63">
        <f>'SER_se-appl'!D63</f>
        <v>598.95600198763532</v>
      </c>
      <c r="E15" s="63">
        <f>'SER_se-appl'!E63</f>
        <v>585.02341709189818</v>
      </c>
      <c r="F15" s="63">
        <f>'SER_se-appl'!F63</f>
        <v>577.15944417508274</v>
      </c>
      <c r="G15" s="63">
        <f>'SER_se-appl'!G63</f>
        <v>570.66515062597716</v>
      </c>
      <c r="H15" s="63">
        <f>'SER_se-appl'!H63</f>
        <v>563.53242811184498</v>
      </c>
      <c r="I15" s="63">
        <f>'SER_se-appl'!I63</f>
        <v>555.40541357841175</v>
      </c>
      <c r="J15" s="63">
        <f>'SER_se-appl'!J63</f>
        <v>545.16569629052333</v>
      </c>
      <c r="K15" s="63">
        <f>'SER_se-appl'!K63</f>
        <v>535.37309309957618</v>
      </c>
      <c r="L15" s="63">
        <f>'SER_se-appl'!L63</f>
        <v>525.71320518328457</v>
      </c>
      <c r="M15" s="63">
        <f>'SER_se-appl'!M63</f>
        <v>508.55440714457444</v>
      </c>
      <c r="N15" s="63">
        <f>'SER_se-appl'!N63</f>
        <v>497.89008221133338</v>
      </c>
      <c r="O15" s="63">
        <f>'SER_se-appl'!O63</f>
        <v>487.12084383501252</v>
      </c>
      <c r="P15" s="63">
        <f>'SER_se-appl'!P63</f>
        <v>472.56266555319019</v>
      </c>
      <c r="Q15" s="63">
        <f>'SER_se-appl'!Q63</f>
        <v>464.73983335874578</v>
      </c>
      <c r="R15" s="63">
        <f>'SER_se-appl'!R63</f>
        <v>457.92254217273063</v>
      </c>
      <c r="S15" s="63">
        <f>'SER_se-appl'!S63</f>
        <v>449.58334599422579</v>
      </c>
      <c r="T15" s="63">
        <f>'SER_se-appl'!T63</f>
        <v>441.23862999157171</v>
      </c>
      <c r="U15" s="63">
        <f>'SER_se-appl'!U63</f>
        <v>433.03994924590415</v>
      </c>
      <c r="V15" s="63">
        <f>'SER_se-appl'!V63</f>
        <v>425.04919145110961</v>
      </c>
      <c r="W15" s="63">
        <f>'SER_se-appl'!W63</f>
        <v>416.54820762208743</v>
      </c>
      <c r="X15" s="63">
        <f>'SER_se-appl'!X63</f>
        <v>408.0472237930652</v>
      </c>
      <c r="Y15" s="63">
        <f>'SER_se-appl'!Y63</f>
        <v>399.54623996404302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70.471116054656278</v>
      </c>
      <c r="C3" s="198">
        <f>'SER_se-appl'!C8</f>
        <v>75.138764198870874</v>
      </c>
      <c r="D3" s="198">
        <f>'SER_se-appl'!D8</f>
        <v>78.897684222406227</v>
      </c>
      <c r="E3" s="198">
        <f>'SER_se-appl'!E8</f>
        <v>82.304882048085659</v>
      </c>
      <c r="F3" s="198">
        <f>'SER_se-appl'!F8</f>
        <v>86.224711568194053</v>
      </c>
      <c r="G3" s="198">
        <f>'SER_se-appl'!G8</f>
        <v>90.994734410452494</v>
      </c>
      <c r="H3" s="198">
        <f>'SER_se-appl'!H8</f>
        <v>96.319341634521265</v>
      </c>
      <c r="I3" s="198">
        <f>'SER_se-appl'!I8</f>
        <v>100.85604610860671</v>
      </c>
      <c r="J3" s="198">
        <f>'SER_se-appl'!J8</f>
        <v>103.71381480564341</v>
      </c>
      <c r="K3" s="198">
        <f>'SER_se-appl'!K8</f>
        <v>106.09076968617087</v>
      </c>
      <c r="L3" s="198">
        <f>'SER_se-appl'!L8</f>
        <v>107.64103031047915</v>
      </c>
      <c r="M3" s="198">
        <f>'SER_se-appl'!M8</f>
        <v>108.86112169340312</v>
      </c>
      <c r="N3" s="198">
        <f>'SER_se-appl'!N8</f>
        <v>109.35672607678563</v>
      </c>
      <c r="O3" s="198">
        <f>'SER_se-appl'!O8</f>
        <v>109.4348659870451</v>
      </c>
      <c r="P3" s="198">
        <f>'SER_se-appl'!P8</f>
        <v>108.87143888999634</v>
      </c>
      <c r="Q3" s="198">
        <f>'SER_se-appl'!Q8</f>
        <v>107.94829444720067</v>
      </c>
      <c r="R3" s="198">
        <f>'SER_se-appl'!R8</f>
        <v>107.38619915119048</v>
      </c>
      <c r="S3" s="198">
        <f>'SER_se-appl'!S8</f>
        <v>109.57525794709841</v>
      </c>
      <c r="T3" s="198">
        <f>'SER_se-appl'!T8</f>
        <v>110.1553671741308</v>
      </c>
      <c r="U3" s="198">
        <f>'SER_se-appl'!U8</f>
        <v>110.08746819007823</v>
      </c>
      <c r="V3" s="198">
        <f>'SER_se-appl'!V8</f>
        <v>100.76137581144614</v>
      </c>
      <c r="W3" s="198">
        <f>'SER_se-appl'!W8</f>
        <v>98.259046839688679</v>
      </c>
      <c r="X3" s="198">
        <f>'SER_se-appl'!X8</f>
        <v>103.97758862522416</v>
      </c>
      <c r="Y3" s="198">
        <f>'SER_se-appl'!Y8</f>
        <v>106.6654790320636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883.98710825557112</v>
      </c>
      <c r="C5" s="59">
        <f>'SER_se-appl'!C16</f>
        <v>938.05692891077615</v>
      </c>
      <c r="D5" s="59">
        <f>'SER_se-appl'!D16</f>
        <v>980.70858212803739</v>
      </c>
      <c r="E5" s="59">
        <f>'SER_se-appl'!E16</f>
        <v>1018.9742544945123</v>
      </c>
      <c r="F5" s="59">
        <f>'SER_se-appl'!F16</f>
        <v>1063.5554330152784</v>
      </c>
      <c r="G5" s="59">
        <f>'SER_se-appl'!G16</f>
        <v>1118.5270227052499</v>
      </c>
      <c r="H5" s="59">
        <f>'SER_se-appl'!H16</f>
        <v>1180.1637977511698</v>
      </c>
      <c r="I5" s="59">
        <f>'SER_se-appl'!I16</f>
        <v>1232.0101172867273</v>
      </c>
      <c r="J5" s="59">
        <f>'SER_se-appl'!J16</f>
        <v>1263.3036924182115</v>
      </c>
      <c r="K5" s="59">
        <f>'SER_se-appl'!K16</f>
        <v>1288.7678756408109</v>
      </c>
      <c r="L5" s="59">
        <f>'SER_se-appl'!L16</f>
        <v>1304.2508494517865</v>
      </c>
      <c r="M5" s="59">
        <f>'SER_se-appl'!M16</f>
        <v>1316.8908409890776</v>
      </c>
      <c r="N5" s="59">
        <f>'SER_se-appl'!N16</f>
        <v>1320.8363909411751</v>
      </c>
      <c r="O5" s="59">
        <f>'SER_se-appl'!O16</f>
        <v>1319.8231182292709</v>
      </c>
      <c r="P5" s="59">
        <f>'SER_se-appl'!P16</f>
        <v>1311.1665770266143</v>
      </c>
      <c r="Q5" s="59">
        <f>'SER_se-appl'!Q16</f>
        <v>1298.2810958370258</v>
      </c>
      <c r="R5" s="59">
        <f>'SER_se-appl'!R16</f>
        <v>1307.0311568526222</v>
      </c>
      <c r="S5" s="59">
        <f>'SER_se-appl'!S16</f>
        <v>1320.5303609328682</v>
      </c>
      <c r="T5" s="59">
        <f>'SER_se-appl'!T16</f>
        <v>1332.7634828480918</v>
      </c>
      <c r="U5" s="59">
        <f>'SER_se-appl'!U16</f>
        <v>1340.5120310414768</v>
      </c>
      <c r="V5" s="59">
        <f>'SER_se-appl'!V16</f>
        <v>1341.6236680432614</v>
      </c>
      <c r="W5" s="59">
        <f>'SER_se-appl'!W16</f>
        <v>1336.9941775348982</v>
      </c>
      <c r="X5" s="59">
        <f>'SER_se-appl'!X16</f>
        <v>1330.2389969400808</v>
      </c>
      <c r="Y5" s="59">
        <f>'SER_se-appl'!Y16</f>
        <v>1325.0265158919544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110.51624946224645</v>
      </c>
      <c r="C6" s="201">
        <f>'SER_se-appl'!C72</f>
        <v>113.88506321445755</v>
      </c>
      <c r="D6" s="201">
        <f>'SER_se-appl'!D72</f>
        <v>117.87240966637987</v>
      </c>
      <c r="E6" s="201">
        <f>'SER_se-appl'!E72</f>
        <v>121.89010870939428</v>
      </c>
      <c r="F6" s="201">
        <f>'SER_se-appl'!F72</f>
        <v>125.83604204094463</v>
      </c>
      <c r="G6" s="201">
        <f>'SER_se-appl'!G72</f>
        <v>130.78779607155349</v>
      </c>
      <c r="H6" s="201">
        <f>'SER_se-appl'!H72</f>
        <v>135.93761940450818</v>
      </c>
      <c r="I6" s="201">
        <f>'SER_se-appl'!I72</f>
        <v>140.36933487712238</v>
      </c>
      <c r="J6" s="201">
        <f>'SER_se-appl'!J72</f>
        <v>143.60000532184114</v>
      </c>
      <c r="K6" s="201">
        <f>'SER_se-appl'!K72</f>
        <v>147.29568503250977</v>
      </c>
      <c r="L6" s="201">
        <f>'SER_se-appl'!L72</f>
        <v>150.11122993302379</v>
      </c>
      <c r="M6" s="201">
        <f>'SER_se-appl'!M72</f>
        <v>152.96896779165684</v>
      </c>
      <c r="N6" s="201">
        <f>'SER_se-appl'!N72</f>
        <v>155.66393574187214</v>
      </c>
      <c r="O6" s="201">
        <f>'SER_se-appl'!O72</f>
        <v>157.79571522009508</v>
      </c>
      <c r="P6" s="201">
        <f>'SER_se-appl'!P72</f>
        <v>159.17750649147678</v>
      </c>
      <c r="Q6" s="201">
        <f>'SER_se-appl'!Q72</f>
        <v>160.99064604335805</v>
      </c>
      <c r="R6" s="201">
        <f>'SER_se-appl'!R72</f>
        <v>164.30059981430867</v>
      </c>
      <c r="S6" s="201">
        <f>'SER_se-appl'!S72</f>
        <v>167.62558491753077</v>
      </c>
      <c r="T6" s="201">
        <f>'SER_se-appl'!T72</f>
        <v>170.88610474859539</v>
      </c>
      <c r="U6" s="201">
        <f>'SER_se-appl'!U72</f>
        <v>174.03394351659534</v>
      </c>
      <c r="V6" s="201">
        <f>'SER_se-appl'!V72</f>
        <v>176.97935435651414</v>
      </c>
      <c r="W6" s="201">
        <f>'SER_se-appl'!W72</f>
        <v>179.63070757803754</v>
      </c>
      <c r="X6" s="201">
        <f>'SER_se-appl'!X72</f>
        <v>181.78036033960203</v>
      </c>
      <c r="Y6" s="201">
        <f>'SER_se-appl'!Y72</f>
        <v>183.51858985289923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17.752514869845939</v>
      </c>
      <c r="C8" s="34">
        <f>'SER_se-appl'!C24</f>
        <v>18.935343795803689</v>
      </c>
      <c r="D8" s="34">
        <f>'SER_se-appl'!D24</f>
        <v>19.892887754522228</v>
      </c>
      <c r="E8" s="34">
        <f>'SER_se-appl'!E24</f>
        <v>20.772918882342541</v>
      </c>
      <c r="F8" s="34">
        <f>'SER_se-appl'!F24</f>
        <v>21.816450741987218</v>
      </c>
      <c r="G8" s="34">
        <f>'SER_se-appl'!G24</f>
        <v>23.118080372940511</v>
      </c>
      <c r="H8" s="34">
        <f>'SER_se-appl'!H24</f>
        <v>24.605805499145131</v>
      </c>
      <c r="I8" s="34">
        <f>'SER_se-appl'!I24</f>
        <v>25.919482416238203</v>
      </c>
      <c r="J8" s="34">
        <f>'SER_se-appl'!J24</f>
        <v>26.815114122939672</v>
      </c>
      <c r="K8" s="34">
        <f>'SER_se-appl'!K24</f>
        <v>27.631259242487026</v>
      </c>
      <c r="L8" s="34">
        <f>'SER_se-appl'!L24</f>
        <v>28.272361728325642</v>
      </c>
      <c r="M8" s="34">
        <f>'SER_se-appl'!M24</f>
        <v>28.927936722933968</v>
      </c>
      <c r="N8" s="34">
        <f>'SER_se-appl'!N24</f>
        <v>29.472373401319867</v>
      </c>
      <c r="O8" s="34">
        <f>'SER_se-appl'!O24</f>
        <v>30.010332238493195</v>
      </c>
      <c r="P8" s="34">
        <f>'SER_se-appl'!P24</f>
        <v>30.492841075869297</v>
      </c>
      <c r="Q8" s="34">
        <f>'SER_se-appl'!Q24</f>
        <v>31.045702379494731</v>
      </c>
      <c r="R8" s="34">
        <f>'SER_se-appl'!R24</f>
        <v>31.876294707683357</v>
      </c>
      <c r="S8" s="34">
        <f>'SER_se-appl'!S24</f>
        <v>32.803273948706163</v>
      </c>
      <c r="T8" s="34">
        <f>'SER_se-appl'!T24</f>
        <v>33.709228642381916</v>
      </c>
      <c r="U8" s="34">
        <f>'SER_se-appl'!U24</f>
        <v>34.579726739794729</v>
      </c>
      <c r="V8" s="34">
        <f>'SER_se-appl'!V24</f>
        <v>35.388034618779379</v>
      </c>
      <c r="W8" s="34">
        <f>'SER_se-appl'!W24</f>
        <v>36.114271612293734</v>
      </c>
      <c r="X8" s="34">
        <f>'SER_se-appl'!X24</f>
        <v>36.72858112962561</v>
      </c>
      <c r="Y8" s="34">
        <f>'SER_se-appl'!Y24</f>
        <v>37.254354960721535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1.688464123797722</v>
      </c>
      <c r="D9" s="36">
        <f>'SER_se-appl'!D32</f>
        <v>1.5200790317377795</v>
      </c>
      <c r="E9" s="36">
        <f>'SER_se-appl'!E32</f>
        <v>1.5058691029624569</v>
      </c>
      <c r="F9" s="36">
        <f>'SER_se-appl'!F32</f>
        <v>1.7397963059268022</v>
      </c>
      <c r="G9" s="36">
        <f>'SER_se-appl'!G32</f>
        <v>2.0762457431290464</v>
      </c>
      <c r="H9" s="36">
        <f>'SER_se-appl'!H32</f>
        <v>2.3495099328916318</v>
      </c>
      <c r="I9" s="36">
        <f>'SER_se-appl'!I32</f>
        <v>2.2724396401541007</v>
      </c>
      <c r="J9" s="36">
        <f>'SER_se-appl'!J32</f>
        <v>1.9622854142148434</v>
      </c>
      <c r="K9" s="36">
        <f>'SER_se-appl'!K32</f>
        <v>2.0028309432509985</v>
      </c>
      <c r="L9" s="36">
        <f>'SER_se-appl'!L32</f>
        <v>1.9613278169464046</v>
      </c>
      <c r="M9" s="36">
        <f>'SER_se-appl'!M32</f>
        <v>2.1243672310056496</v>
      </c>
      <c r="N9" s="36">
        <f>'SER_se-appl'!N32</f>
        <v>2.1785142732240743</v>
      </c>
      <c r="O9" s="36">
        <f>'SER_se-appl'!O32</f>
        <v>2.3559215958148378</v>
      </c>
      <c r="P9" s="36">
        <f>'SER_se-appl'!P32</f>
        <v>2.505049628735982</v>
      </c>
      <c r="Q9" s="36">
        <f>'SER_se-appl'!Q32</f>
        <v>2.8030015957024013</v>
      </c>
      <c r="R9" s="36">
        <f>'SER_se-appl'!R32</f>
        <v>2.5190564519863479</v>
      </c>
      <c r="S9" s="36">
        <f>'SER_se-appl'!S32</f>
        <v>2.4470582727605859</v>
      </c>
      <c r="T9" s="36">
        <f>'SER_se-appl'!T32</f>
        <v>2.4118237966382097</v>
      </c>
      <c r="U9" s="36">
        <f>'SER_se-appl'!U32</f>
        <v>2.6102944033396156</v>
      </c>
      <c r="V9" s="36">
        <f>'SER_se-appl'!V32</f>
        <v>2.8845536221136925</v>
      </c>
      <c r="W9" s="36">
        <f>'SER_se-appl'!W32</f>
        <v>3.0757469264059836</v>
      </c>
      <c r="X9" s="36">
        <f>'SER_se-appl'!X32</f>
        <v>2.8867491574859798</v>
      </c>
      <c r="Y9" s="36">
        <f>'SER_se-appl'!Y32</f>
        <v>2.4880592453107724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0.5056351978399718</v>
      </c>
      <c r="D10" s="38">
        <f>'SER_se-appl'!D40</f>
        <v>0.56253507301924088</v>
      </c>
      <c r="E10" s="38">
        <f>'SER_se-appl'!E40</f>
        <v>0.62583797514214368</v>
      </c>
      <c r="F10" s="38">
        <f>'SER_se-appl'!F40</f>
        <v>0.69626444628212525</v>
      </c>
      <c r="G10" s="38">
        <f>'SER_se-appl'!G40</f>
        <v>0.7746161121757531</v>
      </c>
      <c r="H10" s="38">
        <f>'SER_se-appl'!H40</f>
        <v>0.86178480668701241</v>
      </c>
      <c r="I10" s="38">
        <f>'SER_se-appl'!I40</f>
        <v>0.95876272306102805</v>
      </c>
      <c r="J10" s="38">
        <f>'SER_se-appl'!J40</f>
        <v>1.0666537075133746</v>
      </c>
      <c r="K10" s="38">
        <f>'SER_se-appl'!K40</f>
        <v>1.1866858237036446</v>
      </c>
      <c r="L10" s="38">
        <f>'SER_se-appl'!L40</f>
        <v>1.3202253311077889</v>
      </c>
      <c r="M10" s="38">
        <f>'SER_se-appl'!M40</f>
        <v>1.4687922363973236</v>
      </c>
      <c r="N10" s="38">
        <f>'SER_se-appl'!N40</f>
        <v>1.6340775948381747</v>
      </c>
      <c r="O10" s="38">
        <f>'SER_se-appl'!O40</f>
        <v>1.8179627586415101</v>
      </c>
      <c r="P10" s="38">
        <f>'SER_se-appl'!P40</f>
        <v>2.0225407913598836</v>
      </c>
      <c r="Q10" s="38">
        <f>'SER_se-appl'!Q40</f>
        <v>2.2501402920769671</v>
      </c>
      <c r="R10" s="38">
        <f>'SER_se-appl'!R40</f>
        <v>1.688464123797722</v>
      </c>
      <c r="S10" s="38">
        <f>'SER_se-appl'!S40</f>
        <v>1.5200790317377795</v>
      </c>
      <c r="T10" s="38">
        <f>'SER_se-appl'!T40</f>
        <v>1.5058691029624569</v>
      </c>
      <c r="U10" s="38">
        <f>'SER_se-appl'!U40</f>
        <v>1.7397963059268022</v>
      </c>
      <c r="V10" s="38">
        <f>'SER_se-appl'!V40</f>
        <v>2.0762457431290429</v>
      </c>
      <c r="W10" s="38">
        <f>'SER_se-appl'!W40</f>
        <v>2.3495099328916282</v>
      </c>
      <c r="X10" s="38">
        <f>'SER_se-appl'!X40</f>
        <v>2.2724396401541043</v>
      </c>
      <c r="Y10" s="38">
        <f>'SER_se-appl'!Y40</f>
        <v>1.9622854142148469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927.13917664815369</v>
      </c>
      <c r="C12" s="204">
        <f>'SER_se-appl'!C48</f>
        <v>931.56801117343093</v>
      </c>
      <c r="D12" s="204">
        <f>'SER_se-appl'!D48</f>
        <v>935.62969084611188</v>
      </c>
      <c r="E12" s="204">
        <f>'SER_se-appl'!E48</f>
        <v>939.38171057529053</v>
      </c>
      <c r="F12" s="204">
        <f>'SER_se-appl'!F48</f>
        <v>942.86895107581233</v>
      </c>
      <c r="G12" s="204">
        <f>'SER_se-appl'!G48</f>
        <v>946.12712944033501</v>
      </c>
      <c r="H12" s="204">
        <f>'SER_se-appl'!H48</f>
        <v>949.1851430657664</v>
      </c>
      <c r="I12" s="204">
        <f>'SER_se-appl'!I48</f>
        <v>952.06670772015468</v>
      </c>
      <c r="J12" s="204">
        <f>'SER_se-appl'!J48</f>
        <v>954.79153067362995</v>
      </c>
      <c r="K12" s="204">
        <f>'SER_se-appl'!K48</f>
        <v>957.37616895258975</v>
      </c>
      <c r="L12" s="204">
        <f>'SER_se-appl'!L48</f>
        <v>959.83466910300808</v>
      </c>
      <c r="M12" s="204">
        <f>'SER_se-appl'!M48</f>
        <v>961.39695553154752</v>
      </c>
      <c r="N12" s="204">
        <f>'SER_se-appl'!N48</f>
        <v>962.88891871518604</v>
      </c>
      <c r="O12" s="204">
        <f>'SER_se-appl'!O48</f>
        <v>964.31671324023955</v>
      </c>
      <c r="P12" s="204">
        <f>'SER_se-appl'!P48</f>
        <v>965.68571566399567</v>
      </c>
      <c r="Q12" s="204">
        <f>'SER_se-appl'!Q48</f>
        <v>967.00065066536251</v>
      </c>
      <c r="R12" s="204">
        <f>'SER_se-appl'!R48</f>
        <v>955.525420783193</v>
      </c>
      <c r="S12" s="204">
        <f>'SER_se-appl'!S48</f>
        <v>965.03669103412551</v>
      </c>
      <c r="T12" s="204">
        <f>'SER_se-appl'!T48</f>
        <v>961.24101291959062</v>
      </c>
      <c r="U12" s="204">
        <f>'SER_se-appl'!U48</f>
        <v>955.09568389020717</v>
      </c>
      <c r="V12" s="204">
        <f>'SER_se-appl'!V48</f>
        <v>873.46014281057796</v>
      </c>
      <c r="W12" s="204">
        <f>'SER_se-appl'!W48</f>
        <v>854.71779454757655</v>
      </c>
      <c r="X12" s="204">
        <f>'SER_se-appl'!X48</f>
        <v>909.05420641928959</v>
      </c>
      <c r="Y12" s="204">
        <f>'SER_se-appl'!Y48</f>
        <v>936.22241235514605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49.795035505481742</v>
      </c>
      <c r="C14" s="59">
        <f>'SER_se-appl'!C56</f>
        <v>49.539999855648851</v>
      </c>
      <c r="D14" s="59">
        <f>'SER_se-appl'!D56</f>
        <v>49.299457888163772</v>
      </c>
      <c r="E14" s="59">
        <f>'SER_se-appl'!E56</f>
        <v>49.053012735762607</v>
      </c>
      <c r="F14" s="59">
        <f>'SER_se-appl'!F56</f>
        <v>48.750158565820001</v>
      </c>
      <c r="G14" s="59">
        <f>'SER_se-appl'!G56</f>
        <v>48.383213686482158</v>
      </c>
      <c r="H14" s="59">
        <f>'SER_se-appl'!H56</f>
        <v>47.962819091298265</v>
      </c>
      <c r="I14" s="59">
        <f>'SER_se-appl'!I56</f>
        <v>47.532203672203337</v>
      </c>
      <c r="J14" s="59">
        <f>'SER_se-appl'!J56</f>
        <v>47.111628413227088</v>
      </c>
      <c r="K14" s="59">
        <f>'SER_se-appl'!K56</f>
        <v>46.641662775149435</v>
      </c>
      <c r="L14" s="59">
        <f>'SER_se-appl'!L56</f>
        <v>46.131655430295297</v>
      </c>
      <c r="M14" s="59">
        <f>'SER_se-appl'!M56</f>
        <v>45.523151326069204</v>
      </c>
      <c r="N14" s="59">
        <f>'SER_se-appl'!N56</f>
        <v>44.816084980859529</v>
      </c>
      <c r="O14" s="59">
        <f>'SER_se-appl'!O56</f>
        <v>43.978957238480028</v>
      </c>
      <c r="P14" s="59">
        <f>'SER_se-appl'!P56</f>
        <v>42.999160811690132</v>
      </c>
      <c r="Q14" s="59">
        <f>'SER_se-appl'!Q56</f>
        <v>41.818383748164862</v>
      </c>
      <c r="R14" s="59">
        <f>'SER_se-appl'!R56</f>
        <v>41.003233557681334</v>
      </c>
      <c r="S14" s="59">
        <f>'SER_se-appl'!S56</f>
        <v>40.25605380114667</v>
      </c>
      <c r="T14" s="59">
        <f>'SER_se-appl'!T56</f>
        <v>39.537050728370446</v>
      </c>
      <c r="U14" s="59">
        <f>'SER_se-appl'!U56</f>
        <v>38.765836443085618</v>
      </c>
      <c r="V14" s="59">
        <f>'SER_se-appl'!V56</f>
        <v>37.911788051979059</v>
      </c>
      <c r="W14" s="59">
        <f>'SER_se-appl'!W56</f>
        <v>37.021213992303508</v>
      </c>
      <c r="X14" s="59">
        <f>'SER_se-appl'!X56</f>
        <v>36.218088366803201</v>
      </c>
      <c r="Y14" s="59">
        <f>'SER_se-appl'!Y56</f>
        <v>35.567023433608568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46.934928712741559</v>
      </c>
      <c r="D15" s="63">
        <f>'SER_se-appl'!D64</f>
        <v>46.486469240056529</v>
      </c>
      <c r="E15" s="63">
        <f>'SER_se-appl'!E64</f>
        <v>46.105797922787623</v>
      </c>
      <c r="F15" s="63">
        <f>'SER_se-appl'!F64</f>
        <v>45.552281651943915</v>
      </c>
      <c r="G15" s="63">
        <f>'SER_se-appl'!G64</f>
        <v>45.05421711685478</v>
      </c>
      <c r="H15" s="63">
        <f>'SER_se-appl'!H64</f>
        <v>44.498377567747298</v>
      </c>
      <c r="I15" s="63">
        <f>'SER_se-appl'!I64</f>
        <v>43.824241406456231</v>
      </c>
      <c r="J15" s="63">
        <f>'SER_se-appl'!J64</f>
        <v>43.014962939496669</v>
      </c>
      <c r="K15" s="63">
        <f>'SER_se-appl'!K64</f>
        <v>42.217864784195953</v>
      </c>
      <c r="L15" s="63">
        <f>'SER_se-appl'!L64</f>
        <v>41.412577921411227</v>
      </c>
      <c r="M15" s="63">
        <f>'SER_se-appl'!M64</f>
        <v>40.378401552666176</v>
      </c>
      <c r="N15" s="63">
        <f>'SER_se-appl'!N64</f>
        <v>39.161782346055567</v>
      </c>
      <c r="O15" s="63">
        <f>'SER_se-appl'!O64</f>
        <v>37.99457824118884</v>
      </c>
      <c r="P15" s="63">
        <f>'SER_se-appl'!P64</f>
        <v>36.748153912161833</v>
      </c>
      <c r="Q15" s="63">
        <f>'SER_se-appl'!Q64</f>
        <v>35.376481661206668</v>
      </c>
      <c r="R15" s="63">
        <f>'SER_se-appl'!R64</f>
        <v>34.93292269439825</v>
      </c>
      <c r="S15" s="63">
        <f>'SER_se-appl'!S64</f>
        <v>34.393259927003456</v>
      </c>
      <c r="T15" s="63">
        <f>'SER_se-appl'!T64</f>
        <v>33.859197586659327</v>
      </c>
      <c r="U15" s="63">
        <f>'SER_se-appl'!U64</f>
        <v>33.329665583570105</v>
      </c>
      <c r="V15" s="63">
        <f>'SER_se-appl'!V64</f>
        <v>32.814527272093628</v>
      </c>
      <c r="W15" s="63">
        <f>'SER_se-appl'!W64</f>
        <v>32.486381999372689</v>
      </c>
      <c r="X15" s="63">
        <f>'SER_se-appl'!X64</f>
        <v>32.158236726651758</v>
      </c>
      <c r="Y15" s="63">
        <f>'SER_se-appl'!Y64</f>
        <v>31.83009145393082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61.418865956516719</v>
      </c>
      <c r="C3" s="198">
        <f>'SER_se-appl'!C9</f>
        <v>66.519044694004421</v>
      </c>
      <c r="D3" s="198">
        <f>'SER_se-appl'!D9</f>
        <v>71.143958072723379</v>
      </c>
      <c r="E3" s="198">
        <f>'SER_se-appl'!E9</f>
        <v>75.579993413705921</v>
      </c>
      <c r="F3" s="198">
        <f>'SER_se-appl'!F9</f>
        <v>80.314578660893432</v>
      </c>
      <c r="G3" s="198">
        <f>'SER_se-appl'!G9</f>
        <v>85.482080986969152</v>
      </c>
      <c r="H3" s="198">
        <f>'SER_se-appl'!H9</f>
        <v>90.233388385501115</v>
      </c>
      <c r="I3" s="198">
        <f>'SER_se-appl'!I9</f>
        <v>94.611551139823035</v>
      </c>
      <c r="J3" s="198">
        <f>'SER_se-appl'!J9</f>
        <v>98.977787620925611</v>
      </c>
      <c r="K3" s="198">
        <f>'SER_se-appl'!K9</f>
        <v>102.18784068064986</v>
      </c>
      <c r="L3" s="198">
        <f>'SER_se-appl'!L9</f>
        <v>105.74792097601407</v>
      </c>
      <c r="M3" s="198">
        <f>'SER_se-appl'!M9</f>
        <v>107.00789815088892</v>
      </c>
      <c r="N3" s="198">
        <f>'SER_se-appl'!N9</f>
        <v>109.56923918211631</v>
      </c>
      <c r="O3" s="198">
        <f>'SER_se-appl'!O9</f>
        <v>112.52351951276478</v>
      </c>
      <c r="P3" s="198">
        <f>'SER_se-appl'!P9</f>
        <v>117.93999076195989</v>
      </c>
      <c r="Q3" s="198">
        <f>'SER_se-appl'!Q9</f>
        <v>128.11296648267924</v>
      </c>
      <c r="R3" s="198">
        <f>'SER_se-appl'!R9</f>
        <v>131.21411700884406</v>
      </c>
      <c r="S3" s="198">
        <f>'SER_se-appl'!S9</f>
        <v>136.48526396090395</v>
      </c>
      <c r="T3" s="198">
        <f>'SER_se-appl'!T9</f>
        <v>140.06068752648579</v>
      </c>
      <c r="U3" s="198">
        <f>'SER_se-appl'!U9</f>
        <v>142.98107394453524</v>
      </c>
      <c r="V3" s="198">
        <f>'SER_se-appl'!V9</f>
        <v>138.75745370192519</v>
      </c>
      <c r="W3" s="198">
        <f>'SER_se-appl'!W9</f>
        <v>138.6250284615279</v>
      </c>
      <c r="X3" s="198">
        <f>'SER_se-appl'!X9</f>
        <v>142.3744150934541</v>
      </c>
      <c r="Y3" s="198">
        <f>'SER_se-appl'!Y9</f>
        <v>144.61878056198398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370.82048723334168</v>
      </c>
      <c r="C5" s="59">
        <f>'SER_se-appl'!C17</f>
        <v>389.54958860679363</v>
      </c>
      <c r="D5" s="59">
        <f>'SER_se-appl'!D17</f>
        <v>401.6230341587974</v>
      </c>
      <c r="E5" s="59">
        <f>'SER_se-appl'!E17</f>
        <v>413.03889811721029</v>
      </c>
      <c r="F5" s="59">
        <f>'SER_se-appl'!F17</f>
        <v>426.51507728421581</v>
      </c>
      <c r="G5" s="59">
        <f>'SER_se-appl'!G17</f>
        <v>443.93742011729967</v>
      </c>
      <c r="H5" s="59">
        <f>'SER_se-appl'!H17</f>
        <v>459.59230794899048</v>
      </c>
      <c r="I5" s="59">
        <f>'SER_se-appl'!I17</f>
        <v>474.93682292959426</v>
      </c>
      <c r="J5" s="59">
        <f>'SER_se-appl'!J17</f>
        <v>490.58874738820464</v>
      </c>
      <c r="K5" s="59">
        <f>'SER_se-appl'!K17</f>
        <v>500.4205946575662</v>
      </c>
      <c r="L5" s="59">
        <f>'SER_se-appl'!L17</f>
        <v>510.48123709704316</v>
      </c>
      <c r="M5" s="59">
        <f>'SER_se-appl'!M17</f>
        <v>509.46395001834651</v>
      </c>
      <c r="N5" s="59">
        <f>'SER_se-appl'!N17</f>
        <v>517.01210890852531</v>
      </c>
      <c r="O5" s="59">
        <f>'SER_se-appl'!O17</f>
        <v>528.39819095340135</v>
      </c>
      <c r="P5" s="59">
        <f>'SER_se-appl'!P17</f>
        <v>553.37575187736627</v>
      </c>
      <c r="Q5" s="59">
        <f>'SER_se-appl'!Q17</f>
        <v>605.72324330366007</v>
      </c>
      <c r="R5" s="59">
        <f>'SER_se-appl'!R17</f>
        <v>623.83810896497835</v>
      </c>
      <c r="S5" s="59">
        <f>'SER_se-appl'!S17</f>
        <v>641.69946867817453</v>
      </c>
      <c r="T5" s="59">
        <f>'SER_se-appl'!T17</f>
        <v>659.02078114612254</v>
      </c>
      <c r="U5" s="59">
        <f>'SER_se-appl'!U17</f>
        <v>671.83364189000088</v>
      </c>
      <c r="V5" s="59">
        <f>'SER_se-appl'!V17</f>
        <v>675.76972665182143</v>
      </c>
      <c r="W5" s="59">
        <f>'SER_se-appl'!W17</f>
        <v>679.84241718273563</v>
      </c>
      <c r="X5" s="59">
        <f>'SER_se-appl'!X17</f>
        <v>681.32748692053099</v>
      </c>
      <c r="Y5" s="59">
        <f>'SER_se-appl'!Y17</f>
        <v>683.81544363436228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9.4987403617420973E-2</v>
      </c>
      <c r="C6" s="201">
        <f>'SER_se-appl'!C73</f>
        <v>0.10119228294964826</v>
      </c>
      <c r="D6" s="201">
        <f>'SER_se-appl'!D73</f>
        <v>0.10657205409408835</v>
      </c>
      <c r="E6" s="201">
        <f>'SER_se-appl'!E73</f>
        <v>0.11292164406472076</v>
      </c>
      <c r="F6" s="201">
        <f>'SER_se-appl'!F73</f>
        <v>0.12136553428874464</v>
      </c>
      <c r="G6" s="201">
        <f>'SER_se-appl'!G73</f>
        <v>0.1323361839472216</v>
      </c>
      <c r="H6" s="201">
        <f>'SER_se-appl'!H73</f>
        <v>0.14370623820133191</v>
      </c>
      <c r="I6" s="201">
        <f>'SER_se-appl'!I73</f>
        <v>0.15552959473790318</v>
      </c>
      <c r="J6" s="201">
        <f>'SER_se-appl'!J73</f>
        <v>0.16868006423101023</v>
      </c>
      <c r="K6" s="201">
        <f>'SER_se-appl'!K73</f>
        <v>0.18175080373882885</v>
      </c>
      <c r="L6" s="201">
        <f>'SER_se-appl'!L73</f>
        <v>0.19733773795297238</v>
      </c>
      <c r="M6" s="201">
        <f>'SER_se-appl'!M73</f>
        <v>0.21212253182897903</v>
      </c>
      <c r="N6" s="201">
        <f>'SER_se-appl'!N73</f>
        <v>0.2299774753560852</v>
      </c>
      <c r="O6" s="201">
        <f>'SER_se-appl'!O73</f>
        <v>0.25063132335718658</v>
      </c>
      <c r="P6" s="201">
        <f>'SER_se-appl'!P73</f>
        <v>0.27570540990657094</v>
      </c>
      <c r="Q6" s="201">
        <f>'SER_se-appl'!Q73</f>
        <v>0.31238567809585577</v>
      </c>
      <c r="R6" s="201">
        <f>'SER_se-appl'!R73</f>
        <v>0.32813588238369762</v>
      </c>
      <c r="S6" s="201">
        <f>'SER_se-appl'!S73</f>
        <v>0.34396758642902336</v>
      </c>
      <c r="T6" s="201">
        <f>'SER_se-appl'!T73</f>
        <v>0.35885024987106556</v>
      </c>
      <c r="U6" s="201">
        <f>'SER_se-appl'!U73</f>
        <v>0.37283954351346948</v>
      </c>
      <c r="V6" s="201">
        <f>'SER_se-appl'!V73</f>
        <v>0.38416697377208769</v>
      </c>
      <c r="W6" s="201">
        <f>'SER_se-appl'!W73</f>
        <v>0.39503503934670214</v>
      </c>
      <c r="X6" s="201">
        <f>'SER_se-appl'!X73</f>
        <v>0.40371388696100818</v>
      </c>
      <c r="Y6" s="201">
        <f>'SER_se-appl'!Y73</f>
        <v>0.41005938085336285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973.52798939782701</v>
      </c>
      <c r="C8" s="34">
        <f>'SER_se-appl'!C25</f>
        <v>1045.3946056968696</v>
      </c>
      <c r="D8" s="34">
        <f>'SER_se-appl'!D25</f>
        <v>1107.7812269581434</v>
      </c>
      <c r="E8" s="34">
        <f>'SER_se-appl'!E25</f>
        <v>1179.4205002252299</v>
      </c>
      <c r="F8" s="34">
        <f>'SER_se-appl'!F25</f>
        <v>1271.0673088827371</v>
      </c>
      <c r="G8" s="34">
        <f>'SER_se-appl'!G25</f>
        <v>1388.824844257756</v>
      </c>
      <c r="H8" s="34">
        <f>'SER_se-appl'!H25</f>
        <v>1510.6382514975426</v>
      </c>
      <c r="I8" s="34">
        <f>'SER_se-appl'!I25</f>
        <v>1638.1291431813022</v>
      </c>
      <c r="J8" s="34">
        <f>'SER_se-appl'!J25</f>
        <v>1780.1379003716254</v>
      </c>
      <c r="K8" s="34">
        <f>'SER_se-appl'!K25</f>
        <v>1919.8362844045016</v>
      </c>
      <c r="L8" s="34">
        <f>'SER_se-appl'!L25</f>
        <v>2086.5464281532563</v>
      </c>
      <c r="M8" s="34">
        <f>'SER_se-appl'!M25</f>
        <v>2242.7123468414147</v>
      </c>
      <c r="N8" s="34">
        <f>'SER_se-appl'!N25</f>
        <v>2428.3206634111357</v>
      </c>
      <c r="O8" s="34">
        <f>'SER_se-appl'!O25</f>
        <v>2632.603600466995</v>
      </c>
      <c r="P8" s="34">
        <f>'SER_se-appl'!P25</f>
        <v>2879.4926659619387</v>
      </c>
      <c r="Q8" s="34">
        <f>'SER_se-appl'!Q25</f>
        <v>3247.28692247347</v>
      </c>
      <c r="R8" s="34">
        <f>'SER_se-appl'!R25</f>
        <v>3402.2946158330174</v>
      </c>
      <c r="S8" s="34">
        <f>'SER_se-appl'!S25</f>
        <v>3558.1651305281312</v>
      </c>
      <c r="T8" s="34">
        <f>'SER_se-appl'!T25</f>
        <v>3708.9936471098636</v>
      </c>
      <c r="U8" s="34">
        <f>'SER_se-appl'!U25</f>
        <v>3852.7359315382628</v>
      </c>
      <c r="V8" s="34">
        <f>'SER_se-appl'!V25</f>
        <v>3985.8840988400498</v>
      </c>
      <c r="W8" s="34">
        <f>'SER_se-appl'!W25</f>
        <v>4106.1115243763079</v>
      </c>
      <c r="X8" s="34">
        <f>'SER_se-appl'!X25</f>
        <v>4207.1496505454406</v>
      </c>
      <c r="Y8" s="34">
        <f>'SER_se-appl'!Y25</f>
        <v>4312.4390959294733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266.57221417860796</v>
      </c>
      <c r="D9" s="36">
        <f>'SER_se-appl'!D33</f>
        <v>257.09221914083923</v>
      </c>
      <c r="E9" s="36">
        <f>'SER_se-appl'!E33</f>
        <v>266.34487114665194</v>
      </c>
      <c r="F9" s="36">
        <f>'SER_se-appl'!F33</f>
        <v>286.35240653707251</v>
      </c>
      <c r="G9" s="36">
        <f>'SER_se-appl'!G33</f>
        <v>312.46313325458436</v>
      </c>
      <c r="H9" s="36">
        <f>'SER_se-appl'!H33</f>
        <v>388.38562141839452</v>
      </c>
      <c r="I9" s="36">
        <f>'SER_se-appl'!I33</f>
        <v>384.58311082459886</v>
      </c>
      <c r="J9" s="36">
        <f>'SER_se-appl'!J33</f>
        <v>408.35362833697513</v>
      </c>
      <c r="K9" s="36">
        <f>'SER_se-appl'!K33</f>
        <v>426.05079056994873</v>
      </c>
      <c r="L9" s="36">
        <f>'SER_se-appl'!L33</f>
        <v>479.17327700333908</v>
      </c>
      <c r="M9" s="36">
        <f>'SER_se-appl'!M33</f>
        <v>544.55154010655292</v>
      </c>
      <c r="N9" s="36">
        <f>'SER_se-appl'!N33</f>
        <v>570.19142739431982</v>
      </c>
      <c r="O9" s="36">
        <f>'SER_se-appl'!O33</f>
        <v>612.63656539283443</v>
      </c>
      <c r="P9" s="36">
        <f>'SER_se-appl'!P33</f>
        <v>672.93985606489241</v>
      </c>
      <c r="Q9" s="36">
        <f>'SER_se-appl'!Q33</f>
        <v>846.96753351487041</v>
      </c>
      <c r="R9" s="36">
        <f>'SER_se-appl'!R33</f>
        <v>699.55923346610007</v>
      </c>
      <c r="S9" s="36">
        <f>'SER_se-appl'!S33</f>
        <v>726.06194208943361</v>
      </c>
      <c r="T9" s="36">
        <f>'SER_se-appl'!T33</f>
        <v>763.4650819745666</v>
      </c>
      <c r="U9" s="36">
        <f>'SER_se-appl'!U33</f>
        <v>816.68214049329163</v>
      </c>
      <c r="V9" s="36">
        <f>'SER_se-appl'!V33</f>
        <v>980.11570081665741</v>
      </c>
      <c r="W9" s="36">
        <f>'SER_se-appl'!W33</f>
        <v>819.78665900235819</v>
      </c>
      <c r="X9" s="36">
        <f>'SER_se-appl'!X33</f>
        <v>827.10006825856635</v>
      </c>
      <c r="Y9" s="36">
        <f>'SER_se-appl'!Y33</f>
        <v>868.75452735859926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194.7055978795654</v>
      </c>
      <c r="D10" s="38">
        <f>'SER_se-appl'!D41</f>
        <v>194.7055978795654</v>
      </c>
      <c r="E10" s="38">
        <f>'SER_se-appl'!E41</f>
        <v>194.7055978795654</v>
      </c>
      <c r="F10" s="38">
        <f>'SER_se-appl'!F41</f>
        <v>194.7055978795654</v>
      </c>
      <c r="G10" s="38">
        <f>'SER_se-appl'!G41</f>
        <v>194.7055978795654</v>
      </c>
      <c r="H10" s="38">
        <f>'SER_se-appl'!H41</f>
        <v>266.57221417860796</v>
      </c>
      <c r="I10" s="38">
        <f>'SER_se-appl'!I41</f>
        <v>257.09221914083923</v>
      </c>
      <c r="J10" s="38">
        <f>'SER_se-appl'!J41</f>
        <v>266.34487114665194</v>
      </c>
      <c r="K10" s="38">
        <f>'SER_se-appl'!K41</f>
        <v>286.35240653707274</v>
      </c>
      <c r="L10" s="38">
        <f>'SER_se-appl'!L41</f>
        <v>312.46313325458459</v>
      </c>
      <c r="M10" s="38">
        <f>'SER_se-appl'!M41</f>
        <v>388.38562141839429</v>
      </c>
      <c r="N10" s="38">
        <f>'SER_se-appl'!N41</f>
        <v>384.58311082459886</v>
      </c>
      <c r="O10" s="38">
        <f>'SER_se-appl'!O41</f>
        <v>408.35362833697491</v>
      </c>
      <c r="P10" s="38">
        <f>'SER_se-appl'!P41</f>
        <v>426.05079056994873</v>
      </c>
      <c r="Q10" s="38">
        <f>'SER_se-appl'!Q41</f>
        <v>479.17327700333908</v>
      </c>
      <c r="R10" s="38">
        <f>'SER_se-appl'!R41</f>
        <v>544.55154010655269</v>
      </c>
      <c r="S10" s="38">
        <f>'SER_se-appl'!S41</f>
        <v>570.19142739431936</v>
      </c>
      <c r="T10" s="38">
        <f>'SER_se-appl'!T41</f>
        <v>612.6365653928342</v>
      </c>
      <c r="U10" s="38">
        <f>'SER_se-appl'!U41</f>
        <v>672.93985606489241</v>
      </c>
      <c r="V10" s="38">
        <f>'SER_se-appl'!V41</f>
        <v>846.96753351487041</v>
      </c>
      <c r="W10" s="38">
        <f>'SER_se-appl'!W41</f>
        <v>699.55923346610052</v>
      </c>
      <c r="X10" s="38">
        <f>'SER_se-appl'!X41</f>
        <v>726.06194208943361</v>
      </c>
      <c r="Y10" s="38">
        <f>'SER_se-appl'!Y41</f>
        <v>763.4650819745666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1926.2727806751675</v>
      </c>
      <c r="C12" s="204">
        <f>'SER_se-appl'!C49</f>
        <v>1985.9255725518169</v>
      </c>
      <c r="D12" s="204">
        <f>'SER_se-appl'!D49</f>
        <v>2060.151340967725</v>
      </c>
      <c r="E12" s="204">
        <f>'SER_se-appl'!E49</f>
        <v>2128.1175390700432</v>
      </c>
      <c r="F12" s="204">
        <f>'SER_se-appl'!F49</f>
        <v>2189.9777981442007</v>
      </c>
      <c r="G12" s="204">
        <f>'SER_se-appl'!G49</f>
        <v>2239.4070804298713</v>
      </c>
      <c r="H12" s="204">
        <f>'SER_se-appl'!H49</f>
        <v>2283.35916152855</v>
      </c>
      <c r="I12" s="204">
        <f>'SER_se-appl'!I49</f>
        <v>2316.7972804653596</v>
      </c>
      <c r="J12" s="204">
        <f>'SER_se-appl'!J49</f>
        <v>2346.3882450619803</v>
      </c>
      <c r="K12" s="204">
        <f>'SER_se-appl'!K49</f>
        <v>2374.8914409272084</v>
      </c>
      <c r="L12" s="204">
        <f>'SER_se-appl'!L49</f>
        <v>2409.1939753649513</v>
      </c>
      <c r="M12" s="204">
        <f>'SER_se-appl'!M49</f>
        <v>2442.7672565448879</v>
      </c>
      <c r="N12" s="204">
        <f>'SER_se-appl'!N49</f>
        <v>2464.7203222729008</v>
      </c>
      <c r="O12" s="204">
        <f>'SER_se-appl'!O49</f>
        <v>2476.6332556366797</v>
      </c>
      <c r="P12" s="204">
        <f>'SER_se-appl'!P49</f>
        <v>2478.6812358658667</v>
      </c>
      <c r="Q12" s="204">
        <f>'SER_se-appl'!Q49</f>
        <v>2459.7930105294286</v>
      </c>
      <c r="R12" s="204">
        <f>'SER_se-appl'!R49</f>
        <v>2446.1798003086178</v>
      </c>
      <c r="S12" s="204">
        <f>'SER_se-appl'!S49</f>
        <v>2473.6246441578219</v>
      </c>
      <c r="T12" s="204">
        <f>'SER_se-appl'!T49</f>
        <v>2471.70626865537</v>
      </c>
      <c r="U12" s="204">
        <f>'SER_se-appl'!U49</f>
        <v>2475.1214977817472</v>
      </c>
      <c r="V12" s="204">
        <f>'SER_se-appl'!V49</f>
        <v>2388.0163950949614</v>
      </c>
      <c r="W12" s="204">
        <f>'SER_se-appl'!W49</f>
        <v>2371.4452647549674</v>
      </c>
      <c r="X12" s="204">
        <f>'SER_se-appl'!X49</f>
        <v>2430.2768922780929</v>
      </c>
      <c r="Y12" s="204">
        <f>'SER_se-appl'!Y49</f>
        <v>2459.6057804672782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380.90377603083772</v>
      </c>
      <c r="C14" s="59">
        <f>'SER_se-appl'!C57</f>
        <v>372.63401445152505</v>
      </c>
      <c r="D14" s="59">
        <f>'SER_se-appl'!D57</f>
        <v>362.547247042283</v>
      </c>
      <c r="E14" s="59">
        <f>'SER_se-appl'!E57</f>
        <v>350.20495068411452</v>
      </c>
      <c r="F14" s="59">
        <f>'SER_se-appl'!F57</f>
        <v>335.5566414961304</v>
      </c>
      <c r="G14" s="59">
        <f>'SER_se-appl'!G57</f>
        <v>319.64968221356793</v>
      </c>
      <c r="H14" s="59">
        <f>'SER_se-appl'!H57</f>
        <v>304.237170939755</v>
      </c>
      <c r="I14" s="59">
        <f>'SER_se-appl'!I57</f>
        <v>289.92636197610824</v>
      </c>
      <c r="J14" s="59">
        <f>'SER_se-appl'!J57</f>
        <v>275.59030527117494</v>
      </c>
      <c r="K14" s="59">
        <f>'SER_se-appl'!K57</f>
        <v>260.65795230700496</v>
      </c>
      <c r="L14" s="59">
        <f>'SER_se-appl'!L57</f>
        <v>244.65366799858643</v>
      </c>
      <c r="M14" s="59">
        <f>'SER_se-appl'!M57</f>
        <v>227.16419728810249</v>
      </c>
      <c r="N14" s="59">
        <f>'SER_se-appl'!N57</f>
        <v>212.90932317903301</v>
      </c>
      <c r="O14" s="59">
        <f>'SER_se-appl'!O57</f>
        <v>200.71316124450692</v>
      </c>
      <c r="P14" s="59">
        <f>'SER_se-appl'!P57</f>
        <v>192.17821195335551</v>
      </c>
      <c r="Q14" s="59">
        <f>'SER_se-appl'!Q57</f>
        <v>186.53209826074701</v>
      </c>
      <c r="R14" s="59">
        <f>'SER_se-appl'!R57</f>
        <v>183.3580507878028</v>
      </c>
      <c r="S14" s="59">
        <f>'SER_se-appl'!S57</f>
        <v>180.34561217312825</v>
      </c>
      <c r="T14" s="59">
        <f>'SER_se-appl'!T57</f>
        <v>177.68183066575139</v>
      </c>
      <c r="U14" s="59">
        <f>'SER_se-appl'!U57</f>
        <v>174.37832590352519</v>
      </c>
      <c r="V14" s="59">
        <f>'SER_se-appl'!V57</f>
        <v>169.54073673353429</v>
      </c>
      <c r="W14" s="59">
        <f>'SER_se-appl'!W57</f>
        <v>165.56842480940637</v>
      </c>
      <c r="X14" s="59">
        <f>'SER_se-appl'!X57</f>
        <v>161.94515135257896</v>
      </c>
      <c r="Y14" s="59">
        <f>'SER_se-appl'!Y57</f>
        <v>158.56813938075513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348.47292358040067</v>
      </c>
      <c r="D15" s="63">
        <f>'SER_se-appl'!D65</f>
        <v>335.43427835686384</v>
      </c>
      <c r="E15" s="63">
        <f>'SER_se-appl'!E65</f>
        <v>321.31259384364176</v>
      </c>
      <c r="F15" s="63">
        <f>'SER_se-appl'!F65</f>
        <v>306.05741252021733</v>
      </c>
      <c r="G15" s="63">
        <f>'SER_se-appl'!G65</f>
        <v>293.11118827298782</v>
      </c>
      <c r="H15" s="63">
        <f>'SER_se-appl'!H65</f>
        <v>279.48533793653462</v>
      </c>
      <c r="I15" s="63">
        <f>'SER_se-appl'!I65</f>
        <v>264.13551484741532</v>
      </c>
      <c r="J15" s="63">
        <f>'SER_se-appl'!J65</f>
        <v>247.90250126087938</v>
      </c>
      <c r="K15" s="63">
        <f>'SER_se-appl'!K65</f>
        <v>228.7805257975044</v>
      </c>
      <c r="L15" s="63">
        <f>'SER_se-appl'!L65</f>
        <v>212.13011575877334</v>
      </c>
      <c r="M15" s="63">
        <f>'SER_se-appl'!M65</f>
        <v>197.46670728738312</v>
      </c>
      <c r="N15" s="63">
        <f>'SER_se-appl'!N65</f>
        <v>191.39224412433168</v>
      </c>
      <c r="O15" s="63">
        <f>'SER_se-appl'!O65</f>
        <v>183.82508369600004</v>
      </c>
      <c r="P15" s="63">
        <f>'SER_se-appl'!P65</f>
        <v>181.96230124195836</v>
      </c>
      <c r="Q15" s="63">
        <f>'SER_se-appl'!Q65</f>
        <v>181.81874517250219</v>
      </c>
      <c r="R15" s="63">
        <f>'SER_se-appl'!R65</f>
        <v>179.60689992167954</v>
      </c>
      <c r="S15" s="63">
        <f>'SER_se-appl'!S65</f>
        <v>174.90460416806783</v>
      </c>
      <c r="T15" s="63">
        <f>'SER_se-appl'!T65</f>
        <v>170.19675613775411</v>
      </c>
      <c r="U15" s="63">
        <f>'SER_se-appl'!U65</f>
        <v>165.62446862028526</v>
      </c>
      <c r="V15" s="63">
        <f>'SER_se-appl'!V65</f>
        <v>161.13470968351129</v>
      </c>
      <c r="W15" s="63">
        <f>'SER_se-appl'!W65</f>
        <v>158.23428490920807</v>
      </c>
      <c r="X15" s="63">
        <f>'SER_se-appl'!X65</f>
        <v>155.33386013490488</v>
      </c>
      <c r="Y15" s="63">
        <f>'SER_se-appl'!Y65</f>
        <v>152.43343536060166</v>
      </c>
      <c r="DA15" s="105" t="s">
        <v>957</v>
      </c>
    </row>
    <row r="17" spans="1:105" ht="12" customHeight="1" x14ac:dyDescent="0.25">
      <c r="A17" s="197" t="s">
        <v>184</v>
      </c>
      <c r="B17" s="198">
        <v>12.51166547054811</v>
      </c>
      <c r="C17" s="198">
        <v>15.124421141638491</v>
      </c>
      <c r="D17" s="198">
        <v>17.751968428980081</v>
      </c>
      <c r="E17" s="198">
        <v>20.316078520602062</v>
      </c>
      <c r="F17" s="198">
        <v>22.76930455927457</v>
      </c>
      <c r="G17" s="198">
        <v>25.023330941096219</v>
      </c>
      <c r="H17" s="198">
        <v>26.950253155574693</v>
      </c>
      <c r="I17" s="198">
        <v>28.679499775904429</v>
      </c>
      <c r="J17" s="198">
        <v>30.292289714891332</v>
      </c>
      <c r="K17" s="198">
        <v>31.834099568611453</v>
      </c>
      <c r="L17" s="198">
        <v>33.364441254794926</v>
      </c>
      <c r="M17" s="198">
        <v>34.296968542269447</v>
      </c>
      <c r="N17" s="198">
        <v>35.376219658045898</v>
      </c>
      <c r="O17" s="198">
        <v>35.995157313506773</v>
      </c>
      <c r="P17" s="198">
        <v>36.614094968967663</v>
      </c>
      <c r="Q17" s="198">
        <v>37.233032624428496</v>
      </c>
      <c r="R17" s="198">
        <v>37.851970279889379</v>
      </c>
      <c r="S17" s="198">
        <v>38.470907935350276</v>
      </c>
      <c r="T17" s="198">
        <v>39.089845590811152</v>
      </c>
      <c r="U17" s="198">
        <v>39.708783246272048</v>
      </c>
      <c r="V17" s="198">
        <v>40.327720901732889</v>
      </c>
      <c r="W17" s="198">
        <v>40.946658557193814</v>
      </c>
      <c r="X17" s="198">
        <v>41.565596212654697</v>
      </c>
      <c r="Y17" s="198">
        <v>41.981252174781247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6662.0231725707044</v>
      </c>
      <c r="C3" s="219">
        <v>6477.2886856091573</v>
      </c>
      <c r="D3" s="219">
        <v>6012.4015573377856</v>
      </c>
      <c r="E3" s="219">
        <v>5808.473662615067</v>
      </c>
      <c r="F3" s="219">
        <v>5795.9922845807623</v>
      </c>
      <c r="G3" s="219">
        <v>5200.2474609375013</v>
      </c>
      <c r="H3" s="219">
        <v>5191.2106901515244</v>
      </c>
      <c r="I3" s="219">
        <v>4714.1616613009828</v>
      </c>
      <c r="J3" s="219">
        <v>4637.9071161205329</v>
      </c>
      <c r="K3" s="219">
        <v>4412.0576936446914</v>
      </c>
      <c r="L3" s="219">
        <v>4493.7945366182385</v>
      </c>
      <c r="M3" s="219">
        <v>4234.9067728134423</v>
      </c>
      <c r="N3" s="219">
        <v>4281.9705382436259</v>
      </c>
      <c r="O3" s="219">
        <v>4504.1324130722169</v>
      </c>
      <c r="P3" s="219">
        <v>4398.7459056313483</v>
      </c>
      <c r="Q3" s="219">
        <v>4469.2081290000006</v>
      </c>
      <c r="R3" s="219">
        <v>4435.6984323156967</v>
      </c>
      <c r="S3" s="219">
        <v>4692.3390194501244</v>
      </c>
      <c r="T3" s="219">
        <v>4717.8544203967094</v>
      </c>
      <c r="U3" s="219">
        <v>5049.2942375539014</v>
      </c>
      <c r="V3" s="219">
        <v>4955.9000803469526</v>
      </c>
      <c r="W3" s="219">
        <v>5303.5878163604511</v>
      </c>
      <c r="X3" s="219">
        <v>4999.6355253844113</v>
      </c>
      <c r="Y3" s="219">
        <v>5664.3</v>
      </c>
      <c r="DA3" s="210" t="s">
        <v>974</v>
      </c>
    </row>
    <row r="5" spans="1:105" x14ac:dyDescent="0.25">
      <c r="A5" s="218" t="s">
        <v>120</v>
      </c>
      <c r="B5" s="219">
        <v>6195.6182629375871</v>
      </c>
      <c r="C5" s="219">
        <v>7551.8138936556061</v>
      </c>
      <c r="D5" s="219">
        <v>7146.6083290499309</v>
      </c>
      <c r="E5" s="219">
        <v>4917.4965169313409</v>
      </c>
      <c r="F5" s="219">
        <v>4914.0415632069135</v>
      </c>
      <c r="G5" s="219">
        <v>5582.1565719617647</v>
      </c>
      <c r="H5" s="219">
        <v>3451.3928733625571</v>
      </c>
      <c r="I5" s="219">
        <v>3896.6967388464709</v>
      </c>
      <c r="J5" s="219">
        <v>3105.0832131396028</v>
      </c>
      <c r="K5" s="219">
        <v>2692.451676549912</v>
      </c>
      <c r="L5" s="219">
        <v>3985.813244060023</v>
      </c>
      <c r="M5" s="219">
        <v>3690.6745526889881</v>
      </c>
      <c r="N5" s="219">
        <v>3509.2917566774449</v>
      </c>
      <c r="O5" s="219">
        <v>3579.4724841584812</v>
      </c>
      <c r="P5" s="219">
        <v>3744.0801185477781</v>
      </c>
      <c r="Q5" s="219">
        <v>3781.938976111725</v>
      </c>
      <c r="R5" s="219">
        <v>3680.3859707041988</v>
      </c>
      <c r="S5" s="219">
        <v>4207.9010972656324</v>
      </c>
      <c r="T5" s="219">
        <v>4052.223519045373</v>
      </c>
      <c r="U5" s="219">
        <v>4176.0164456588163</v>
      </c>
      <c r="V5" s="219">
        <v>4168.9129784023316</v>
      </c>
      <c r="W5" s="219">
        <v>4602.4664591914716</v>
      </c>
      <c r="X5" s="219">
        <v>4921.5371513260197</v>
      </c>
      <c r="Y5" s="219">
        <v>5006.4027565648375</v>
      </c>
      <c r="DA5" s="210" t="s">
        <v>975</v>
      </c>
    </row>
    <row r="6" spans="1:105" x14ac:dyDescent="0.25">
      <c r="A6" s="220" t="s">
        <v>119</v>
      </c>
      <c r="B6" s="221">
        <v>7744.5228286719839</v>
      </c>
      <c r="C6" s="221">
        <v>8131.7489701055829</v>
      </c>
      <c r="D6" s="221">
        <v>8131.7489701055829</v>
      </c>
      <c r="E6" s="221">
        <v>7744.5228286719839</v>
      </c>
      <c r="F6" s="221">
        <v>7357.2966872383849</v>
      </c>
      <c r="G6" s="221">
        <v>7357.2966872383849</v>
      </c>
      <c r="H6" s="221">
        <v>6970.070545804786</v>
      </c>
      <c r="I6" s="221">
        <v>6582.844404371187</v>
      </c>
      <c r="J6" s="221">
        <v>6195.618262937588</v>
      </c>
      <c r="K6" s="221">
        <v>6195.618262937588</v>
      </c>
      <c r="L6" s="221">
        <v>5808.3921215039891</v>
      </c>
      <c r="M6" s="221">
        <v>5421.1659800703901</v>
      </c>
      <c r="N6" s="221">
        <v>5421.1659800703901</v>
      </c>
      <c r="O6" s="221">
        <v>5033.9398386367911</v>
      </c>
      <c r="P6" s="221">
        <v>5033.9398386367911</v>
      </c>
      <c r="Q6" s="221">
        <v>4646.7136972031922</v>
      </c>
      <c r="R6" s="221">
        <v>4259.4875557695932</v>
      </c>
      <c r="S6" s="221">
        <v>4646.7136972031922</v>
      </c>
      <c r="T6" s="221">
        <v>4646.7136972031922</v>
      </c>
      <c r="U6" s="221">
        <v>4646.7136972031922</v>
      </c>
      <c r="V6" s="221">
        <v>4646.7136972031922</v>
      </c>
      <c r="W6" s="221">
        <v>5033.9398386367911</v>
      </c>
      <c r="X6" s="221">
        <v>5421.1659800703901</v>
      </c>
      <c r="Y6" s="221">
        <v>5421.1659800703901</v>
      </c>
      <c r="DA6" s="211" t="s">
        <v>976</v>
      </c>
    </row>
    <row r="7" spans="1:105" x14ac:dyDescent="0.25">
      <c r="A7" s="224" t="s">
        <v>118</v>
      </c>
      <c r="B7" s="225"/>
      <c r="C7" s="225">
        <v>774.45228286719839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0</v>
      </c>
      <c r="M7" s="225">
        <v>0</v>
      </c>
      <c r="N7" s="225">
        <v>0</v>
      </c>
      <c r="O7" s="225">
        <v>0</v>
      </c>
      <c r="P7" s="225">
        <v>0</v>
      </c>
      <c r="Q7" s="225">
        <v>0</v>
      </c>
      <c r="R7" s="225">
        <v>0</v>
      </c>
      <c r="S7" s="225">
        <v>387.2261414335992</v>
      </c>
      <c r="T7" s="225">
        <v>387.2261414335992</v>
      </c>
      <c r="U7" s="225">
        <v>387.2261414335992</v>
      </c>
      <c r="V7" s="225">
        <v>387.2261414335992</v>
      </c>
      <c r="W7" s="225">
        <v>387.2261414335992</v>
      </c>
      <c r="X7" s="225">
        <v>774.45228286719839</v>
      </c>
      <c r="Y7" s="225">
        <v>387.2261414335992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387.22614143359988</v>
      </c>
      <c r="D8" s="227">
        <f t="shared" ref="D8" si="1">IF(C6=0,0,C6+D7-D6)</f>
        <v>0</v>
      </c>
      <c r="E8" s="227">
        <f t="shared" ref="E8" si="2">IF(D6=0,0,D6+E7-E6)</f>
        <v>387.22614143359897</v>
      </c>
      <c r="F8" s="227">
        <f t="shared" ref="F8" si="3">IF(E6=0,0,E6+F7-F6)</f>
        <v>387.22614143359897</v>
      </c>
      <c r="G8" s="227">
        <f t="shared" ref="G8" si="4">IF(F6=0,0,F6+G7-G6)</f>
        <v>0</v>
      </c>
      <c r="H8" s="227">
        <f t="shared" ref="H8" si="5">IF(G6=0,0,G6+H7-H6)</f>
        <v>387.22614143359897</v>
      </c>
      <c r="I8" s="227">
        <f t="shared" ref="I8" si="6">IF(H6=0,0,H6+I7-I6)</f>
        <v>387.22614143359897</v>
      </c>
      <c r="J8" s="227">
        <f t="shared" ref="J8" si="7">IF(I6=0,0,I6+J7-J6)</f>
        <v>387.22614143359897</v>
      </c>
      <c r="K8" s="227">
        <f t="shared" ref="K8" si="8">IF(J6=0,0,J6+K7-K6)</f>
        <v>0</v>
      </c>
      <c r="L8" s="227">
        <f t="shared" ref="L8" si="9">IF(K6=0,0,K6+L7-L6)</f>
        <v>387.22614143359897</v>
      </c>
      <c r="M8" s="227">
        <f t="shared" ref="M8" si="10">IF(L6=0,0,L6+M7-M6)</f>
        <v>387.22614143359897</v>
      </c>
      <c r="N8" s="227">
        <f t="shared" ref="N8" si="11">IF(M6=0,0,M6+N7-N6)</f>
        <v>0</v>
      </c>
      <c r="O8" s="227">
        <f t="shared" ref="O8" si="12">IF(N6=0,0,N6+O7-O6)</f>
        <v>387.22614143359897</v>
      </c>
      <c r="P8" s="227">
        <f t="shared" ref="P8" si="13">IF(O6=0,0,O6+P7-P6)</f>
        <v>0</v>
      </c>
      <c r="Q8" s="227">
        <f t="shared" ref="Q8" si="14">IF(P6=0,0,P6+Q7-Q6)</f>
        <v>387.22614143359897</v>
      </c>
      <c r="R8" s="227">
        <f t="shared" ref="R8" si="15">IF(Q6=0,0,Q6+R7-R6)</f>
        <v>387.22614143359897</v>
      </c>
      <c r="S8" s="227">
        <f t="shared" ref="S8" si="16">IF(R6=0,0,R6+S7-S6)</f>
        <v>0</v>
      </c>
      <c r="T8" s="227">
        <f t="shared" ref="T8" si="17">IF(S6=0,0,S6+T7-T6)</f>
        <v>387.22614143359897</v>
      </c>
      <c r="U8" s="227">
        <f t="shared" ref="U8" si="18">IF(T6=0,0,T6+U7-U6)</f>
        <v>387.22614143359897</v>
      </c>
      <c r="V8" s="227">
        <f t="shared" ref="V8" si="19">IF(U6=0,0,U6+V7-V6)</f>
        <v>387.22614143359897</v>
      </c>
      <c r="W8" s="227">
        <f t="shared" ref="W8" si="20">IF(V6=0,0,V6+W7-W6)</f>
        <v>0</v>
      </c>
      <c r="X8" s="227">
        <f t="shared" ref="X8" si="21">IF(W6=0,0,W6+X7-X6)</f>
        <v>387.22614143359988</v>
      </c>
      <c r="Y8" s="227">
        <f t="shared" ref="Y8" si="22">IF(X6=0,0,X6+Y7-Y6)</f>
        <v>387.22614143359897</v>
      </c>
      <c r="DA8" s="213" t="s">
        <v>978</v>
      </c>
    </row>
    <row r="9" spans="1:105" x14ac:dyDescent="0.25">
      <c r="A9" s="222" t="s">
        <v>116</v>
      </c>
      <c r="B9" s="223">
        <f>B6-B5</f>
        <v>1548.9045657343968</v>
      </c>
      <c r="C9" s="223">
        <f t="shared" ref="C9:W9" si="23">C6-C5</f>
        <v>579.9350764499768</v>
      </c>
      <c r="D9" s="223">
        <f t="shared" si="23"/>
        <v>985.14064105565194</v>
      </c>
      <c r="E9" s="223">
        <f t="shared" si="23"/>
        <v>2827.026311740643</v>
      </c>
      <c r="F9" s="223">
        <f t="shared" si="23"/>
        <v>2443.2551240314715</v>
      </c>
      <c r="G9" s="223">
        <f t="shared" si="23"/>
        <v>1775.1401152766202</v>
      </c>
      <c r="H9" s="223">
        <f t="shared" si="23"/>
        <v>3518.6776724422289</v>
      </c>
      <c r="I9" s="223">
        <f t="shared" si="23"/>
        <v>2686.1476655247161</v>
      </c>
      <c r="J9" s="223">
        <f t="shared" si="23"/>
        <v>3090.5350497979853</v>
      </c>
      <c r="K9" s="223">
        <f t="shared" si="23"/>
        <v>3503.166586387676</v>
      </c>
      <c r="L9" s="223">
        <f t="shared" si="23"/>
        <v>1822.5788774439661</v>
      </c>
      <c r="M9" s="223">
        <f t="shared" si="23"/>
        <v>1730.491427381402</v>
      </c>
      <c r="N9" s="223">
        <f t="shared" si="23"/>
        <v>1911.8742233929452</v>
      </c>
      <c r="O9" s="223">
        <f t="shared" si="23"/>
        <v>1454.46735447831</v>
      </c>
      <c r="P9" s="223">
        <f t="shared" si="23"/>
        <v>1289.8597200890131</v>
      </c>
      <c r="Q9" s="223">
        <f t="shared" si="23"/>
        <v>864.7747210914672</v>
      </c>
      <c r="R9" s="223">
        <f t="shared" si="23"/>
        <v>579.10158506539437</v>
      </c>
      <c r="S9" s="223">
        <f t="shared" si="23"/>
        <v>438.81259993755975</v>
      </c>
      <c r="T9" s="223">
        <f t="shared" si="23"/>
        <v>594.49017815781917</v>
      </c>
      <c r="U9" s="223">
        <f t="shared" si="23"/>
        <v>470.69725154437583</v>
      </c>
      <c r="V9" s="223">
        <f t="shared" si="23"/>
        <v>477.80071880086052</v>
      </c>
      <c r="W9" s="223">
        <f t="shared" si="23"/>
        <v>431.47337944531955</v>
      </c>
      <c r="X9" s="223">
        <f t="shared" ref="X9:Y9" si="24">X6-X5</f>
        <v>499.62882874437037</v>
      </c>
      <c r="Y9" s="223">
        <f t="shared" si="24"/>
        <v>414.76322350555256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696.83179303196255</v>
      </c>
      <c r="C12" s="229">
        <f t="shared" ref="C12:W12" si="25">SUM(C13,C14,C18,C19,C26,C27)</f>
        <v>829.33585448979989</v>
      </c>
      <c r="D12" s="229">
        <f t="shared" si="25"/>
        <v>813.34881995161152</v>
      </c>
      <c r="E12" s="229">
        <f t="shared" si="25"/>
        <v>587.82706525953165</v>
      </c>
      <c r="F12" s="229">
        <f t="shared" si="25"/>
        <v>576.44734885444143</v>
      </c>
      <c r="G12" s="229">
        <f t="shared" si="25"/>
        <v>749.65032516341091</v>
      </c>
      <c r="H12" s="229">
        <f t="shared" si="25"/>
        <v>448.87858985382621</v>
      </c>
      <c r="I12" s="229">
        <f t="shared" si="25"/>
        <v>459.08813413585546</v>
      </c>
      <c r="J12" s="229">
        <f t="shared" si="25"/>
        <v>383.46595012897671</v>
      </c>
      <c r="K12" s="229">
        <f t="shared" si="25"/>
        <v>371.11031814273429</v>
      </c>
      <c r="L12" s="229">
        <f t="shared" si="25"/>
        <v>512.08202923473766</v>
      </c>
      <c r="M12" s="229">
        <f t="shared" si="25"/>
        <v>428.19690455717966</v>
      </c>
      <c r="N12" s="229">
        <f t="shared" si="25"/>
        <v>415.19191745485813</v>
      </c>
      <c r="O12" s="229">
        <f t="shared" si="25"/>
        <v>422.00128976784185</v>
      </c>
      <c r="P12" s="229">
        <f t="shared" si="25"/>
        <v>427.62132416165082</v>
      </c>
      <c r="Q12" s="229">
        <f t="shared" si="25"/>
        <v>441.26638005159072</v>
      </c>
      <c r="R12" s="229">
        <f t="shared" si="25"/>
        <v>435.80369733447969</v>
      </c>
      <c r="S12" s="229">
        <f t="shared" si="25"/>
        <v>459.75468615649174</v>
      </c>
      <c r="T12" s="229">
        <f t="shared" si="25"/>
        <v>466.16586414445391</v>
      </c>
      <c r="U12" s="229">
        <f t="shared" si="25"/>
        <v>477.36268271711094</v>
      </c>
      <c r="V12" s="229">
        <f t="shared" si="25"/>
        <v>504.53344797936381</v>
      </c>
      <c r="W12" s="229">
        <f t="shared" si="25"/>
        <v>532.10464316423031</v>
      </c>
      <c r="X12" s="229">
        <f t="shared" ref="X12:Y12" si="26">SUM(X13,X14,X18,X19,X26,X27)</f>
        <v>486.8705073086843</v>
      </c>
      <c r="Y12" s="229">
        <f t="shared" si="26"/>
        <v>507.54368013757517</v>
      </c>
      <c r="DA12" s="210" t="s">
        <v>980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633.43256689266764</v>
      </c>
      <c r="C14" s="55">
        <f t="shared" ref="C14:W14" si="27">SUM(C15:C17)</f>
        <v>758.69002473915509</v>
      </c>
      <c r="D14" s="55">
        <f t="shared" si="27"/>
        <v>735.77409940131054</v>
      </c>
      <c r="E14" s="55">
        <f t="shared" si="27"/>
        <v>507.51511341086439</v>
      </c>
      <c r="F14" s="55">
        <f t="shared" si="27"/>
        <v>488.35620526028845</v>
      </c>
      <c r="G14" s="55">
        <f t="shared" si="27"/>
        <v>656.9160173388193</v>
      </c>
      <c r="H14" s="55">
        <f t="shared" si="27"/>
        <v>361.18392089423895</v>
      </c>
      <c r="I14" s="55">
        <f t="shared" si="27"/>
        <v>359.06182287188301</v>
      </c>
      <c r="J14" s="55">
        <f t="shared" si="27"/>
        <v>287.81289767841781</v>
      </c>
      <c r="K14" s="55">
        <f t="shared" si="27"/>
        <v>272.65090283748918</v>
      </c>
      <c r="L14" s="55">
        <f t="shared" si="27"/>
        <v>415.96319862424758</v>
      </c>
      <c r="M14" s="55">
        <f t="shared" si="27"/>
        <v>336.36061908856408</v>
      </c>
      <c r="N14" s="55">
        <f t="shared" si="27"/>
        <v>315.53336199484096</v>
      </c>
      <c r="O14" s="55">
        <f t="shared" si="27"/>
        <v>327.80997420464325</v>
      </c>
      <c r="P14" s="55">
        <f t="shared" si="27"/>
        <v>345.10240756663796</v>
      </c>
      <c r="Q14" s="55">
        <f t="shared" si="27"/>
        <v>355.46835769561477</v>
      </c>
      <c r="R14" s="55">
        <f t="shared" si="27"/>
        <v>350.30928632846076</v>
      </c>
      <c r="S14" s="55">
        <f t="shared" si="27"/>
        <v>359.56818572656914</v>
      </c>
      <c r="T14" s="55">
        <f t="shared" si="27"/>
        <v>361.48374892519337</v>
      </c>
      <c r="U14" s="55">
        <f t="shared" si="27"/>
        <v>376.74574376612208</v>
      </c>
      <c r="V14" s="55">
        <f t="shared" si="27"/>
        <v>399.62674118658651</v>
      </c>
      <c r="W14" s="55">
        <f t="shared" si="27"/>
        <v>411.27987962166793</v>
      </c>
      <c r="X14" s="55">
        <f t="shared" ref="X14:Y14" si="28">SUM(X15:X17)</f>
        <v>390.7375752364573</v>
      </c>
      <c r="Y14" s="55">
        <f t="shared" si="28"/>
        <v>408.35485812553736</v>
      </c>
      <c r="DA14" s="10"/>
    </row>
    <row r="15" spans="1:105" x14ac:dyDescent="0.25">
      <c r="A15" s="61" t="s">
        <v>52</v>
      </c>
      <c r="B15" s="55">
        <v>11.297420464316421</v>
      </c>
      <c r="C15" s="55">
        <v>11.297420464316421</v>
      </c>
      <c r="D15" s="55">
        <v>15.816337059329321</v>
      </c>
      <c r="E15" s="55">
        <v>13.556921754084261</v>
      </c>
      <c r="F15" s="55">
        <v>14.689681857265692</v>
      </c>
      <c r="G15" s="55">
        <v>12.429750644883921</v>
      </c>
      <c r="H15" s="55">
        <v>11.29982803095443</v>
      </c>
      <c r="I15" s="55">
        <v>5.4934651762682716</v>
      </c>
      <c r="J15" s="55">
        <v>8.7895098882201186</v>
      </c>
      <c r="K15" s="55">
        <v>6.592175408426483</v>
      </c>
      <c r="L15" s="55">
        <v>7.690799656061909</v>
      </c>
      <c r="M15" s="55">
        <v>6.592175408426483</v>
      </c>
      <c r="N15" s="55">
        <v>6.592175408426483</v>
      </c>
      <c r="O15" s="55">
        <v>5.4934651762682716</v>
      </c>
      <c r="P15" s="55">
        <v>4.3947549441100593</v>
      </c>
      <c r="Q15" s="55">
        <v>5.4934651762682716</v>
      </c>
      <c r="R15" s="55">
        <v>4.3947549441100593</v>
      </c>
      <c r="S15" s="55">
        <v>4.1157351676698193</v>
      </c>
      <c r="T15" s="55">
        <v>4.9144453998280309</v>
      </c>
      <c r="U15" s="55">
        <v>4.5957867583834906</v>
      </c>
      <c r="V15" s="55">
        <v>4.3584694754944104</v>
      </c>
      <c r="W15" s="55">
        <v>4.5661220980223556</v>
      </c>
      <c r="X15" s="55">
        <v>4.2310404127257089</v>
      </c>
      <c r="Y15" s="55">
        <v>3.8915735167669818</v>
      </c>
      <c r="DA15" s="10" t="s">
        <v>982</v>
      </c>
    </row>
    <row r="16" spans="1:105" x14ac:dyDescent="0.25">
      <c r="A16" s="61" t="s">
        <v>165</v>
      </c>
      <c r="B16" s="55">
        <v>622.13514642835116</v>
      </c>
      <c r="C16" s="55">
        <v>747.39260427483862</v>
      </c>
      <c r="D16" s="55">
        <v>719.95776234198127</v>
      </c>
      <c r="E16" s="55">
        <v>493.95819165678012</v>
      </c>
      <c r="F16" s="55">
        <v>473.66652340302278</v>
      </c>
      <c r="G16" s="55">
        <v>639.68669661654928</v>
      </c>
      <c r="H16" s="55">
        <v>345.08452278589846</v>
      </c>
      <c r="I16" s="55">
        <v>351.65760963026651</v>
      </c>
      <c r="J16" s="55">
        <v>276.06766981943247</v>
      </c>
      <c r="K16" s="55">
        <v>260.04582975064483</v>
      </c>
      <c r="L16" s="55">
        <v>390.89045571797067</v>
      </c>
      <c r="M16" s="55">
        <v>313.2463456577816</v>
      </c>
      <c r="N16" s="55">
        <v>305.0300945829751</v>
      </c>
      <c r="O16" s="55">
        <v>317.35451418744634</v>
      </c>
      <c r="P16" s="55">
        <v>335.84118658641444</v>
      </c>
      <c r="Q16" s="55">
        <v>344.05752364574374</v>
      </c>
      <c r="R16" s="55">
        <v>342.00343938091135</v>
      </c>
      <c r="S16" s="55">
        <v>350.74247635425615</v>
      </c>
      <c r="T16" s="55">
        <v>352.06947549441094</v>
      </c>
      <c r="U16" s="55">
        <v>367.33430782459152</v>
      </c>
      <c r="V16" s="55">
        <v>394.16053310404135</v>
      </c>
      <c r="W16" s="55">
        <v>402.72906276870151</v>
      </c>
      <c r="X16" s="55">
        <v>383.05313843508156</v>
      </c>
      <c r="Y16" s="55">
        <v>401.26758383490966</v>
      </c>
      <c r="DA16" s="10" t="s">
        <v>983</v>
      </c>
    </row>
    <row r="17" spans="1:105" x14ac:dyDescent="0.25">
      <c r="A17" s="61" t="s">
        <v>113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4.7995700773860701</v>
      </c>
      <c r="H17" s="55">
        <v>4.7995700773860701</v>
      </c>
      <c r="I17" s="55">
        <v>1.9107480653482369</v>
      </c>
      <c r="J17" s="55">
        <v>2.9557179707652619</v>
      </c>
      <c r="K17" s="55">
        <v>6.0128976784178843</v>
      </c>
      <c r="L17" s="55">
        <v>17.381943250214967</v>
      </c>
      <c r="M17" s="55">
        <v>16.522098022355976</v>
      </c>
      <c r="N17" s="55">
        <v>3.9110920034393803</v>
      </c>
      <c r="O17" s="55">
        <v>4.9619948409286323</v>
      </c>
      <c r="P17" s="55">
        <v>4.8664660361134997</v>
      </c>
      <c r="Q17" s="55">
        <v>5.9173688736027517</v>
      </c>
      <c r="R17" s="55">
        <v>3.9110920034393803</v>
      </c>
      <c r="S17" s="55">
        <v>4.7099742046431636</v>
      </c>
      <c r="T17" s="55">
        <v>4.4998280309544274</v>
      </c>
      <c r="U17" s="55">
        <v>4.8156491831470341</v>
      </c>
      <c r="V17" s="55">
        <v>1.1077386070507307</v>
      </c>
      <c r="W17" s="55">
        <v>3.9846947549441101</v>
      </c>
      <c r="X17" s="55">
        <v>3.4533963886500429</v>
      </c>
      <c r="Y17" s="55">
        <v>3.1957007738607044</v>
      </c>
      <c r="DA17" s="10" t="s">
        <v>984</v>
      </c>
    </row>
    <row r="18" spans="1:105" x14ac:dyDescent="0.25">
      <c r="A18" s="60" t="s">
        <v>149</v>
      </c>
      <c r="B18" s="55">
        <v>0.12897678417884781</v>
      </c>
      <c r="C18" s="55">
        <v>1.9776440240756661</v>
      </c>
      <c r="D18" s="55">
        <v>3.0739466895958731</v>
      </c>
      <c r="E18" s="55">
        <v>3.4178847807394672</v>
      </c>
      <c r="F18" s="55">
        <v>3.310404127257093</v>
      </c>
      <c r="G18" s="55">
        <v>3.8263112639724843</v>
      </c>
      <c r="H18" s="55">
        <v>4.1702493551160789</v>
      </c>
      <c r="I18" s="55">
        <v>5.0945829750644878</v>
      </c>
      <c r="J18" s="55">
        <v>6.1478933791917454</v>
      </c>
      <c r="K18" s="55">
        <v>5.4385210662080823</v>
      </c>
      <c r="L18" s="55">
        <v>3.9337919174548586</v>
      </c>
      <c r="M18" s="55">
        <v>5.2880481513327595</v>
      </c>
      <c r="N18" s="55">
        <v>5.6534823731728281</v>
      </c>
      <c r="O18" s="55">
        <v>7.2226999140154771</v>
      </c>
      <c r="P18" s="55">
        <v>4.7936371453138431</v>
      </c>
      <c r="Q18" s="55">
        <v>5.9852106620808252</v>
      </c>
      <c r="R18" s="55">
        <v>4.9626827171109191</v>
      </c>
      <c r="S18" s="55">
        <v>5.8257093723129838</v>
      </c>
      <c r="T18" s="55">
        <v>3.8862424763542558</v>
      </c>
      <c r="U18" s="55">
        <v>6.4706792777300084</v>
      </c>
      <c r="V18" s="55">
        <v>7.0832330180567498</v>
      </c>
      <c r="W18" s="55">
        <v>8.2747205503009447</v>
      </c>
      <c r="X18" s="55">
        <v>4.2641444539982798</v>
      </c>
      <c r="Y18" s="55">
        <v>3.9351676698194331</v>
      </c>
      <c r="DA18" s="10" t="s">
        <v>985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9">SUM(C20:C25)</f>
        <v>0</v>
      </c>
      <c r="D19" s="55">
        <f t="shared" si="29"/>
        <v>0</v>
      </c>
      <c r="E19" s="55">
        <f t="shared" si="29"/>
        <v>0</v>
      </c>
      <c r="F19" s="55">
        <f t="shared" si="29"/>
        <v>0</v>
      </c>
      <c r="G19" s="55">
        <f t="shared" si="29"/>
        <v>0</v>
      </c>
      <c r="H19" s="55">
        <f t="shared" si="29"/>
        <v>0</v>
      </c>
      <c r="I19" s="55">
        <f t="shared" si="29"/>
        <v>2.651246775580395</v>
      </c>
      <c r="J19" s="55">
        <f t="shared" si="29"/>
        <v>1.7674978503869301</v>
      </c>
      <c r="K19" s="55">
        <f t="shared" si="29"/>
        <v>3.5349097162510743</v>
      </c>
      <c r="L19" s="55">
        <f t="shared" si="29"/>
        <v>3.5349957007738602</v>
      </c>
      <c r="M19" s="55">
        <f t="shared" si="29"/>
        <v>1.7674978503869301</v>
      </c>
      <c r="N19" s="55">
        <f t="shared" si="29"/>
        <v>7.3326741186586402</v>
      </c>
      <c r="O19" s="55">
        <f t="shared" si="29"/>
        <v>5.7323301805674971</v>
      </c>
      <c r="P19" s="55">
        <f t="shared" si="29"/>
        <v>6.6160791057609618</v>
      </c>
      <c r="Q19" s="55">
        <f t="shared" si="29"/>
        <v>6.210060189165949</v>
      </c>
      <c r="R19" s="55">
        <f t="shared" si="29"/>
        <v>4.0843508168529663</v>
      </c>
      <c r="S19" s="55">
        <f t="shared" si="29"/>
        <v>3.726397248495271</v>
      </c>
      <c r="T19" s="55">
        <f t="shared" si="29"/>
        <v>5.4141874462596729</v>
      </c>
      <c r="U19" s="55">
        <f t="shared" si="29"/>
        <v>6.2210662080825445</v>
      </c>
      <c r="V19" s="55">
        <f t="shared" si="29"/>
        <v>6.4243336199484089</v>
      </c>
      <c r="W19" s="55">
        <f t="shared" si="29"/>
        <v>7.1046431642304384</v>
      </c>
      <c r="X19" s="55">
        <f t="shared" ref="X19:Y19" si="30">SUM(X20:X25)</f>
        <v>3.7250214961306956</v>
      </c>
      <c r="Y19" s="55">
        <f t="shared" si="30"/>
        <v>4.4769561478933788</v>
      </c>
      <c r="DA19" s="10"/>
    </row>
    <row r="20" spans="1:105" x14ac:dyDescent="0.25">
      <c r="A20" s="61" t="s">
        <v>164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3.79767841788478</v>
      </c>
      <c r="O20" s="55">
        <v>3.0810834049871021</v>
      </c>
      <c r="P20" s="55">
        <v>3.0810834049871021</v>
      </c>
      <c r="Q20" s="55">
        <v>2.6750644883920889</v>
      </c>
      <c r="R20" s="55">
        <v>1.4331040412725711</v>
      </c>
      <c r="S20" s="55">
        <v>1.4331040412725711</v>
      </c>
      <c r="T20" s="55">
        <v>4.4049871023215816</v>
      </c>
      <c r="U20" s="55">
        <v>5.1269991401547719</v>
      </c>
      <c r="V20" s="55">
        <v>5.1269991401547719</v>
      </c>
      <c r="W20" s="55">
        <v>5.3920034393809111</v>
      </c>
      <c r="X20" s="55">
        <v>2.2630266552020628</v>
      </c>
      <c r="Y20" s="55">
        <v>2.496044711951849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2.651246775580395</v>
      </c>
      <c r="J22" s="55">
        <v>1.7674978503869301</v>
      </c>
      <c r="K22" s="55">
        <v>3.5349097162510743</v>
      </c>
      <c r="L22" s="55">
        <v>3.5349957007738602</v>
      </c>
      <c r="M22" s="55">
        <v>1.7674978503869301</v>
      </c>
      <c r="N22" s="55">
        <v>3.5349957007738602</v>
      </c>
      <c r="O22" s="55">
        <v>2.651246775580395</v>
      </c>
      <c r="P22" s="55">
        <v>3.5349957007738602</v>
      </c>
      <c r="Q22" s="55">
        <v>3.5349957007738602</v>
      </c>
      <c r="R22" s="55">
        <v>2.651246775580395</v>
      </c>
      <c r="S22" s="55">
        <v>2.2932932072227001</v>
      </c>
      <c r="T22" s="55">
        <v>1.009200343938091</v>
      </c>
      <c r="U22" s="55">
        <v>1.0940670679277729</v>
      </c>
      <c r="V22" s="55">
        <v>1.297334479793637</v>
      </c>
      <c r="W22" s="55">
        <v>1.7126397248495269</v>
      </c>
      <c r="X22" s="55">
        <v>1.4619948409286327</v>
      </c>
      <c r="Y22" s="55">
        <v>1.9809114359415301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1.791315563198624</v>
      </c>
      <c r="C26" s="55">
        <v>1.6002579535683581</v>
      </c>
      <c r="D26" s="55">
        <v>1.671883061049011</v>
      </c>
      <c r="E26" s="55">
        <v>0.45382631126397238</v>
      </c>
      <c r="F26" s="55">
        <v>0.42992261392949271</v>
      </c>
      <c r="G26" s="55">
        <v>0.42992261392949271</v>
      </c>
      <c r="H26" s="55">
        <v>0.5493551160791057</v>
      </c>
      <c r="I26" s="55">
        <v>0.62098022355975924</v>
      </c>
      <c r="J26" s="55">
        <v>0.5493551160791057</v>
      </c>
      <c r="K26" s="55">
        <v>0.40601891659501288</v>
      </c>
      <c r="L26" s="55">
        <v>0.42992261392949271</v>
      </c>
      <c r="M26" s="55">
        <v>0.42992261392949271</v>
      </c>
      <c r="N26" s="55">
        <v>0.42992261392949271</v>
      </c>
      <c r="O26" s="55">
        <v>0.23886500429922611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DA26" s="10" t="s">
        <v>992</v>
      </c>
    </row>
    <row r="27" spans="1:105" x14ac:dyDescent="0.25">
      <c r="A27" s="62" t="s">
        <v>24</v>
      </c>
      <c r="B27" s="63">
        <v>61.478933791917449</v>
      </c>
      <c r="C27" s="63">
        <v>67.067927773000861</v>
      </c>
      <c r="D27" s="63">
        <v>72.828890799656051</v>
      </c>
      <c r="E27" s="63">
        <v>76.440240756663798</v>
      </c>
      <c r="F27" s="63">
        <v>84.35081685296646</v>
      </c>
      <c r="G27" s="63">
        <v>88.478073946689591</v>
      </c>
      <c r="H27" s="63">
        <v>82.975064488392078</v>
      </c>
      <c r="I27" s="63">
        <v>91.659501289767832</v>
      </c>
      <c r="J27" s="63">
        <v>87.188306104901116</v>
      </c>
      <c r="K27" s="63">
        <v>89.079965606190882</v>
      </c>
      <c r="L27" s="63">
        <v>88.220120378331899</v>
      </c>
      <c r="M27" s="63">
        <v>84.35081685296646</v>
      </c>
      <c r="N27" s="63">
        <v>86.242476354256226</v>
      </c>
      <c r="O27" s="63">
        <v>80.99742046431642</v>
      </c>
      <c r="P27" s="63">
        <v>71.109200343938085</v>
      </c>
      <c r="Q27" s="63">
        <v>73.602751504729142</v>
      </c>
      <c r="R27" s="63">
        <v>76.447377472055024</v>
      </c>
      <c r="S27" s="63">
        <v>90.634393809114357</v>
      </c>
      <c r="T27" s="63">
        <v>95.381685296646609</v>
      </c>
      <c r="U27" s="63">
        <v>87.925193465176264</v>
      </c>
      <c r="V27" s="63">
        <v>91.399140154772127</v>
      </c>
      <c r="W27" s="63">
        <v>105.44539982803094</v>
      </c>
      <c r="X27" s="63">
        <v>88.143766122098015</v>
      </c>
      <c r="Y27" s="63">
        <v>90.776698194325022</v>
      </c>
      <c r="DA27" s="11" t="s">
        <v>993</v>
      </c>
    </row>
    <row r="29" spans="1:105" x14ac:dyDescent="0.25">
      <c r="A29" s="218" t="s">
        <v>84</v>
      </c>
      <c r="B29" s="219">
        <v>1960.2730396600696</v>
      </c>
      <c r="C29" s="219">
        <v>2353.21627172322</v>
      </c>
      <c r="D29" s="219">
        <v>2282.6152861356945</v>
      </c>
      <c r="E29" s="219">
        <v>1576.308725929998</v>
      </c>
      <c r="F29" s="219">
        <v>1516.0956286961778</v>
      </c>
      <c r="G29" s="219">
        <v>2041.9544551330787</v>
      </c>
      <c r="H29" s="219">
        <v>1125.7978629599997</v>
      </c>
      <c r="I29" s="219">
        <v>1123.6602725999999</v>
      </c>
      <c r="J29" s="219">
        <v>903.47603903999982</v>
      </c>
      <c r="K29" s="219">
        <v>855.49259555999981</v>
      </c>
      <c r="L29" s="219">
        <v>1297.9942779599999</v>
      </c>
      <c r="M29" s="219">
        <v>1054.2453843600001</v>
      </c>
      <c r="N29" s="219">
        <v>989.45923536000032</v>
      </c>
      <c r="O29" s="219">
        <v>1031.5270105200002</v>
      </c>
      <c r="P29" s="219">
        <v>1080.3192145200001</v>
      </c>
      <c r="Q29" s="219">
        <v>1114.5602898</v>
      </c>
      <c r="R29" s="219">
        <v>1096.7381877599998</v>
      </c>
      <c r="S29" s="219">
        <v>1127.8443787199999</v>
      </c>
      <c r="T29" s="219">
        <v>1128.5415431999998</v>
      </c>
      <c r="U29" s="219">
        <v>1182.3905181599998</v>
      </c>
      <c r="V29" s="219">
        <v>1254.3383631600002</v>
      </c>
      <c r="W29" s="219">
        <v>1293.4646449199997</v>
      </c>
      <c r="X29" s="219">
        <v>1220.5223186399999</v>
      </c>
      <c r="Y29" s="219">
        <v>1274.6512296000001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104.59762372202512</v>
      </c>
      <c r="C31" s="59">
        <f t="shared" si="31"/>
        <v>128.03750068024101</v>
      </c>
      <c r="D31" s="59">
        <f t="shared" si="31"/>
        <v>135.27852592596159</v>
      </c>
      <c r="E31" s="59">
        <f t="shared" si="31"/>
        <v>101.20164081020944</v>
      </c>
      <c r="F31" s="59">
        <f t="shared" si="31"/>
        <v>99.45619672199706</v>
      </c>
      <c r="G31" s="59">
        <f t="shared" si="31"/>
        <v>144.15666385004374</v>
      </c>
      <c r="H31" s="59">
        <f t="shared" si="31"/>
        <v>86.468960064636491</v>
      </c>
      <c r="I31" s="59">
        <f t="shared" si="31"/>
        <v>97.384894095710621</v>
      </c>
      <c r="J31" s="59">
        <f t="shared" si="31"/>
        <v>82.680817128941172</v>
      </c>
      <c r="K31" s="59">
        <f t="shared" si="31"/>
        <v>84.112752804048043</v>
      </c>
      <c r="L31" s="59">
        <f t="shared" si="31"/>
        <v>113.95314695898402</v>
      </c>
      <c r="M31" s="59">
        <f t="shared" si="31"/>
        <v>101.11129418622571</v>
      </c>
      <c r="N31" s="59">
        <f t="shared" si="31"/>
        <v>96.962815074659787</v>
      </c>
      <c r="O31" s="59">
        <f t="shared" si="31"/>
        <v>93.692025692468405</v>
      </c>
      <c r="P31" s="59">
        <f t="shared" si="31"/>
        <v>97.214372763428514</v>
      </c>
      <c r="Q31" s="59">
        <f t="shared" si="31"/>
        <v>98.734802075625296</v>
      </c>
      <c r="R31" s="59">
        <f t="shared" si="31"/>
        <v>98.249171801105604</v>
      </c>
      <c r="S31" s="59">
        <f t="shared" si="31"/>
        <v>97.979852745245267</v>
      </c>
      <c r="T31" s="59">
        <f t="shared" si="31"/>
        <v>98.808870008595036</v>
      </c>
      <c r="U31" s="59">
        <f t="shared" si="31"/>
        <v>94.540476402968793</v>
      </c>
      <c r="V31" s="59">
        <f t="shared" si="31"/>
        <v>101.80460457226218</v>
      </c>
      <c r="W31" s="59">
        <f t="shared" si="31"/>
        <v>100.32918499488207</v>
      </c>
      <c r="X31" s="59">
        <f t="shared" si="31"/>
        <v>97.381200056828106</v>
      </c>
      <c r="Y31" s="59">
        <f t="shared" si="31"/>
        <v>89.603954617088633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112.47171201628667</v>
      </c>
      <c r="C32" s="55">
        <f t="shared" si="32"/>
        <v>109.81942433546166</v>
      </c>
      <c r="D32" s="55">
        <f t="shared" si="32"/>
        <v>113.80906613357639</v>
      </c>
      <c r="E32" s="55">
        <f t="shared" si="32"/>
        <v>119.53787119840253</v>
      </c>
      <c r="F32" s="55">
        <f t="shared" si="32"/>
        <v>117.30616060932353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117.81469406104159</v>
      </c>
      <c r="J32" s="55">
        <f t="shared" si="32"/>
        <v>123.49619118298853</v>
      </c>
      <c r="K32" s="55">
        <f t="shared" si="32"/>
        <v>137.83360398812147</v>
      </c>
      <c r="L32" s="55">
        <f t="shared" si="32"/>
        <v>128.47617233393541</v>
      </c>
      <c r="M32" s="55">
        <f t="shared" si="32"/>
        <v>116.02131221383358</v>
      </c>
      <c r="N32" s="55">
        <f t="shared" si="32"/>
        <v>118.31216844961241</v>
      </c>
      <c r="O32" s="55">
        <f t="shared" si="32"/>
        <v>117.89482713876835</v>
      </c>
      <c r="P32" s="55">
        <f t="shared" si="32"/>
        <v>114.21265320772915</v>
      </c>
      <c r="Q32" s="55">
        <f t="shared" si="32"/>
        <v>116.67728719019789</v>
      </c>
      <c r="R32" s="55">
        <f t="shared" si="32"/>
        <v>118.41249825520168</v>
      </c>
      <c r="S32" s="55">
        <f t="shared" si="32"/>
        <v>109.25986032686185</v>
      </c>
      <c r="T32" s="55">
        <f t="shared" si="32"/>
        <v>115.03952384499109</v>
      </c>
      <c r="U32" s="55">
        <f t="shared" si="32"/>
        <v>114.31053707016743</v>
      </c>
      <c r="V32" s="55">
        <f t="shared" si="32"/>
        <v>121.02278233994657</v>
      </c>
      <c r="W32" s="55">
        <f t="shared" si="32"/>
        <v>115.6129323010225</v>
      </c>
      <c r="X32" s="55">
        <f t="shared" si="32"/>
        <v>98.926512660278462</v>
      </c>
      <c r="Y32" s="55">
        <f t="shared" si="32"/>
        <v>101.37891512464495</v>
      </c>
      <c r="DA32" s="216"/>
    </row>
    <row r="33" spans="1:105" x14ac:dyDescent="0.25">
      <c r="A33" s="35" t="s">
        <v>111</v>
      </c>
      <c r="B33" s="55">
        <f>IF(AGR_ued!B$5=0,"",AGR_ued!B$5/B$5*1000)</f>
        <v>42.064248009010662</v>
      </c>
      <c r="C33" s="55">
        <f>IF(AGR_ued!C$5=0,"",AGR_ued!C$5/C$5*1000)</f>
        <v>40.951858332935274</v>
      </c>
      <c r="D33" s="55">
        <f>IF(AGR_ued!D$5=0,"",AGR_ued!D$5/D$5*1000)</f>
        <v>42.58871466982778</v>
      </c>
      <c r="E33" s="55">
        <f>IF(AGR_ued!E$5=0,"",AGR_ued!E$5/E$5*1000)</f>
        <v>45.535517848326322</v>
      </c>
      <c r="F33" s="55">
        <f>IF(AGR_ued!F$5=0,"",AGR_ued!F$5/F$5*1000)</f>
        <v>45.047238221874558</v>
      </c>
      <c r="G33" s="55">
        <f>IF(AGR_ued!G$5=0,"",AGR_ued!G$5/G$5*1000)</f>
        <v>50.828778960672409</v>
      </c>
      <c r="H33" s="55">
        <f>IF(AGR_ued!H$5=0,"",AGR_ued!H$5/H$5*1000)</f>
        <v>50.971475754189541</v>
      </c>
      <c r="I33" s="55">
        <f>IF(AGR_ued!I$5=0,"",AGR_ued!I$5/I$5*1000)</f>
        <v>46.631714646311025</v>
      </c>
      <c r="J33" s="55">
        <f>IF(AGR_ued!J$5=0,"",AGR_ued!J$5/J$5*1000)</f>
        <v>49.695481090185332</v>
      </c>
      <c r="K33" s="55">
        <f>IF(AGR_ued!K$5=0,"",AGR_ued!K$5/K$5*1000)</f>
        <v>55.846042101696973</v>
      </c>
      <c r="L33" s="55">
        <f>IF(AGR_ued!L$5=0,"",AGR_ued!L$5/L$5*1000)</f>
        <v>49.864428676370615</v>
      </c>
      <c r="M33" s="55">
        <f>IF(AGR_ued!M$5=0,"",AGR_ued!M$5/M$5*1000)</f>
        <v>45.675995430711737</v>
      </c>
      <c r="N33" s="55">
        <f>IF(AGR_ued!N$5=0,"",AGR_ued!N$5/N$5*1000)</f>
        <v>46.964561652494559</v>
      </c>
      <c r="O33" s="55">
        <f>IF(AGR_ued!O$5=0,"",AGR_ued!O$5/O$5*1000)</f>
        <v>46.378031590144005</v>
      </c>
      <c r="P33" s="55">
        <f>IF(AGR_ued!P$5=0,"",AGR_ued!P$5/P$5*1000)</f>
        <v>44.25288199375575</v>
      </c>
      <c r="Q33" s="55">
        <f>IF(AGR_ued!Q$5=0,"",AGR_ued!Q$5/Q$5*1000)</f>
        <v>45.22611966223527</v>
      </c>
      <c r="R33" s="55">
        <f>IF(AGR_ued!R$5=0,"",AGR_ued!R$5/R$5*1000)</f>
        <v>46.152751793323226</v>
      </c>
      <c r="S33" s="55">
        <f>IF(AGR_ued!S$5=0,"",AGR_ued!S$5/S$5*1000)</f>
        <v>43.118533721228019</v>
      </c>
      <c r="T33" s="55">
        <f>IF(AGR_ued!T$5=0,"",AGR_ued!T$5/T$5*1000)</f>
        <v>45.538101439130394</v>
      </c>
      <c r="U33" s="55">
        <f>IF(AGR_ued!U$5=0,"",AGR_ued!U$5/U$5*1000)</f>
        <v>44.72969843537976</v>
      </c>
      <c r="V33" s="55">
        <f>IF(AGR_ued!V$5=0,"",AGR_ued!V$5/V$5*1000)</f>
        <v>47.323235574842805</v>
      </c>
      <c r="W33" s="55">
        <f>IF(AGR_ued!W$5=0,"",AGR_ued!W$5/W$5*1000)</f>
        <v>45.63352301235367</v>
      </c>
      <c r="X33" s="55">
        <f>IF(AGR_ued!X$5=0,"",AGR_ued!X$5/X$5*1000)</f>
        <v>38.67060232516377</v>
      </c>
      <c r="Y33" s="55">
        <f>IF(AGR_ued!Y$5=0,"",AGR_ued!Y$5/Y$5*1000)</f>
        <v>39.579418432355382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2.8131222760815606</v>
      </c>
      <c r="C34" s="217">
        <f t="shared" si="33"/>
        <v>2.8374708014654666</v>
      </c>
      <c r="D34" s="217">
        <f t="shared" si="33"/>
        <v>2.8064407670395268</v>
      </c>
      <c r="E34" s="217">
        <f t="shared" si="33"/>
        <v>2.6815858253039804</v>
      </c>
      <c r="F34" s="217">
        <f t="shared" si="33"/>
        <v>2.6300678313623518</v>
      </c>
      <c r="G34" s="217">
        <f t="shared" si="33"/>
        <v>2.7238759013250178</v>
      </c>
      <c r="H34" s="217">
        <f t="shared" si="33"/>
        <v>2.5080230788610502</v>
      </c>
      <c r="I34" s="217">
        <f t="shared" si="33"/>
        <v>2.4475916257671804</v>
      </c>
      <c r="J34" s="217">
        <f t="shared" si="33"/>
        <v>2.3560789132284641</v>
      </c>
      <c r="K34" s="217">
        <f t="shared" si="33"/>
        <v>2.3052244945422542</v>
      </c>
      <c r="L34" s="217">
        <f t="shared" si="33"/>
        <v>2.5347389751203342</v>
      </c>
      <c r="M34" s="217">
        <f t="shared" si="33"/>
        <v>2.4620574626765444</v>
      </c>
      <c r="N34" s="217">
        <f t="shared" si="33"/>
        <v>2.3831370355796477</v>
      </c>
      <c r="O34" s="217">
        <f t="shared" si="33"/>
        <v>2.4443693314005759</v>
      </c>
      <c r="P34" s="217">
        <f t="shared" si="33"/>
        <v>2.5263455152475376</v>
      </c>
      <c r="Q34" s="217">
        <f t="shared" si="33"/>
        <v>2.5258219075509243</v>
      </c>
      <c r="R34" s="217">
        <f t="shared" si="33"/>
        <v>2.5165876160941618</v>
      </c>
      <c r="S34" s="217">
        <f t="shared" si="33"/>
        <v>2.4531438453595298</v>
      </c>
      <c r="T34" s="217">
        <f t="shared" si="33"/>
        <v>2.4209012928717817</v>
      </c>
      <c r="U34" s="217">
        <f t="shared" si="33"/>
        <v>2.4769228114563244</v>
      </c>
      <c r="V34" s="217">
        <f t="shared" si="33"/>
        <v>2.4861351971481276</v>
      </c>
      <c r="W34" s="217">
        <f t="shared" si="33"/>
        <v>2.4308463786901799</v>
      </c>
      <c r="X34" s="217">
        <f t="shared" si="33"/>
        <v>2.5068725673830303</v>
      </c>
      <c r="Y34" s="217">
        <f t="shared" si="33"/>
        <v>2.5114118833171011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696.83179303196243</v>
      </c>
      <c r="C5" s="80">
        <f t="shared" ref="C5:W5" si="1">SUM(C6:C9,C16:C17,C25:C27)</f>
        <v>829.33585448979966</v>
      </c>
      <c r="D5" s="80">
        <f t="shared" si="1"/>
        <v>813.3488199516114</v>
      </c>
      <c r="E5" s="80">
        <f t="shared" si="1"/>
        <v>587.82706525953165</v>
      </c>
      <c r="F5" s="80">
        <f t="shared" si="1"/>
        <v>576.44734885444154</v>
      </c>
      <c r="G5" s="80">
        <f t="shared" si="1"/>
        <v>749.65032516341125</v>
      </c>
      <c r="H5" s="80">
        <f t="shared" si="1"/>
        <v>448.87858985382616</v>
      </c>
      <c r="I5" s="80">
        <f t="shared" si="1"/>
        <v>459.0881341358554</v>
      </c>
      <c r="J5" s="80">
        <f t="shared" si="1"/>
        <v>383.46595012897654</v>
      </c>
      <c r="K5" s="80">
        <f t="shared" si="1"/>
        <v>371.11031814273412</v>
      </c>
      <c r="L5" s="80">
        <f t="shared" si="1"/>
        <v>512.08202923473755</v>
      </c>
      <c r="M5" s="80">
        <f t="shared" si="1"/>
        <v>428.19690455717949</v>
      </c>
      <c r="N5" s="80">
        <f t="shared" si="1"/>
        <v>415.19191745485813</v>
      </c>
      <c r="O5" s="80">
        <f t="shared" si="1"/>
        <v>422.0012897678418</v>
      </c>
      <c r="P5" s="80">
        <f t="shared" si="1"/>
        <v>427.62132416165065</v>
      </c>
      <c r="Q5" s="80">
        <f t="shared" si="1"/>
        <v>441.26638005159066</v>
      </c>
      <c r="R5" s="80">
        <f t="shared" si="1"/>
        <v>435.80369733447969</v>
      </c>
      <c r="S5" s="80">
        <f t="shared" si="1"/>
        <v>459.75468615649174</v>
      </c>
      <c r="T5" s="80">
        <f t="shared" si="1"/>
        <v>466.16586414445379</v>
      </c>
      <c r="U5" s="80">
        <f t="shared" si="1"/>
        <v>477.36268271711089</v>
      </c>
      <c r="V5" s="80">
        <f t="shared" si="1"/>
        <v>504.53344797936364</v>
      </c>
      <c r="W5" s="80">
        <f t="shared" si="1"/>
        <v>532.10464316423008</v>
      </c>
      <c r="X5" s="80">
        <f t="shared" ref="X5:Y5" si="2">SUM(X6:X9,X16:X17,X25:X27)</f>
        <v>486.87050730868441</v>
      </c>
      <c r="Y5" s="80">
        <f t="shared" si="2"/>
        <v>507.54368013757517</v>
      </c>
      <c r="DA5" s="103"/>
    </row>
    <row r="6" spans="1:105" x14ac:dyDescent="0.25">
      <c r="A6" s="238" t="s">
        <v>125</v>
      </c>
      <c r="B6" s="239">
        <v>11.5453128890153</v>
      </c>
      <c r="C6" s="239">
        <v>12.71928282187136</v>
      </c>
      <c r="D6" s="239">
        <v>13.648319097478581</v>
      </c>
      <c r="E6" s="239">
        <v>13.43412907569753</v>
      </c>
      <c r="F6" s="239">
        <v>14.40004841622418</v>
      </c>
      <c r="G6" s="239">
        <v>15.86756931240423</v>
      </c>
      <c r="H6" s="239">
        <v>13.177607246405991</v>
      </c>
      <c r="I6" s="239">
        <v>14.236995265482861</v>
      </c>
      <c r="J6" s="239">
        <v>12.84802476522089</v>
      </c>
      <c r="K6" s="239">
        <v>12.82931811426759</v>
      </c>
      <c r="L6" s="239">
        <v>14.29581604969016</v>
      </c>
      <c r="M6" s="239">
        <v>13.042960520416431</v>
      </c>
      <c r="N6" s="239">
        <v>13.14315528329344</v>
      </c>
      <c r="O6" s="239">
        <v>12.708705137734279</v>
      </c>
      <c r="P6" s="239">
        <v>11.69927572290052</v>
      </c>
      <c r="Q6" s="239">
        <v>12.091230648799749</v>
      </c>
      <c r="R6" s="239">
        <v>12.38602055220489</v>
      </c>
      <c r="S6" s="239">
        <v>14.115755949522461</v>
      </c>
      <c r="T6" s="239">
        <v>14.62836200224192</v>
      </c>
      <c r="U6" s="239">
        <v>13.99442418813803</v>
      </c>
      <c r="V6" s="239">
        <v>14.65925032378361</v>
      </c>
      <c r="W6" s="239">
        <v>16.377773964053169</v>
      </c>
      <c r="X6" s="239">
        <v>14.140264643268321</v>
      </c>
      <c r="Y6" s="239">
        <v>14.62542996545214</v>
      </c>
      <c r="DA6" s="267" t="s">
        <v>995</v>
      </c>
    </row>
    <row r="7" spans="1:105" x14ac:dyDescent="0.25">
      <c r="A7" s="240" t="s">
        <v>124</v>
      </c>
      <c r="B7" s="241">
        <v>7.5044533778599396</v>
      </c>
      <c r="C7" s="241">
        <v>8.2675338342163815</v>
      </c>
      <c r="D7" s="241">
        <v>8.871407413361073</v>
      </c>
      <c r="E7" s="241">
        <v>8.7321838992033918</v>
      </c>
      <c r="F7" s="241">
        <v>9.3600314705457137</v>
      </c>
      <c r="G7" s="241">
        <v>10.31392005306274</v>
      </c>
      <c r="H7" s="241">
        <v>8.5654447101638933</v>
      </c>
      <c r="I7" s="241">
        <v>9.2540469225638553</v>
      </c>
      <c r="J7" s="241">
        <v>8.3512160973935767</v>
      </c>
      <c r="K7" s="241">
        <v>8.3390567742739332</v>
      </c>
      <c r="L7" s="241">
        <v>9.2922804322986003</v>
      </c>
      <c r="M7" s="241">
        <v>8.4779243382706753</v>
      </c>
      <c r="N7" s="241">
        <v>8.5430509341407355</v>
      </c>
      <c r="O7" s="241">
        <v>8.2606583395272821</v>
      </c>
      <c r="P7" s="241">
        <v>7.6045292198853307</v>
      </c>
      <c r="Q7" s="241">
        <v>7.8592999217198329</v>
      </c>
      <c r="R7" s="241">
        <v>8.0509133589331761</v>
      </c>
      <c r="S7" s="241">
        <v>9.1752413671895958</v>
      </c>
      <c r="T7" s="241">
        <v>9.5084353014572454</v>
      </c>
      <c r="U7" s="241">
        <v>9.0963757222897161</v>
      </c>
      <c r="V7" s="241">
        <v>9.5285127104593474</v>
      </c>
      <c r="W7" s="241">
        <v>10.64555307663456</v>
      </c>
      <c r="X7" s="241">
        <v>9.1911720181244032</v>
      </c>
      <c r="Y7" s="241">
        <v>9.5065294775438893</v>
      </c>
      <c r="DA7" s="268" t="s">
        <v>996</v>
      </c>
    </row>
    <row r="8" spans="1:105" x14ac:dyDescent="0.25">
      <c r="A8" s="240" t="s">
        <v>123</v>
      </c>
      <c r="B8" s="241">
        <v>10.390781600113771</v>
      </c>
      <c r="C8" s="241">
        <v>11.44735453968422</v>
      </c>
      <c r="D8" s="241">
        <v>12.28348718773071</v>
      </c>
      <c r="E8" s="241">
        <v>12.09071616812777</v>
      </c>
      <c r="F8" s="241">
        <v>12.960043574601761</v>
      </c>
      <c r="G8" s="241">
        <v>14.280812381163811</v>
      </c>
      <c r="H8" s="241">
        <v>11.859846521765389</v>
      </c>
      <c r="I8" s="241">
        <v>12.813295738934571</v>
      </c>
      <c r="J8" s="241">
        <v>11.5632222886988</v>
      </c>
      <c r="K8" s="241">
        <v>11.54638630284084</v>
      </c>
      <c r="L8" s="241">
        <v>12.866234444721149</v>
      </c>
      <c r="M8" s="241">
        <v>11.738664468374781</v>
      </c>
      <c r="N8" s="241">
        <v>11.8288397549641</v>
      </c>
      <c r="O8" s="241">
        <v>11.43783462396085</v>
      </c>
      <c r="P8" s="241">
        <v>10.52934815061046</v>
      </c>
      <c r="Q8" s="241">
        <v>10.882107583919771</v>
      </c>
      <c r="R8" s="241">
        <v>11.1474184969844</v>
      </c>
      <c r="S8" s="241">
        <v>12.704180354570211</v>
      </c>
      <c r="T8" s="241">
        <v>13.165525802017729</v>
      </c>
      <c r="U8" s="241">
        <v>12.594981769324219</v>
      </c>
      <c r="V8" s="241">
        <v>13.19332529140525</v>
      </c>
      <c r="W8" s="241">
        <v>14.73999656764785</v>
      </c>
      <c r="X8" s="241">
        <v>12.72623817894149</v>
      </c>
      <c r="Y8" s="241">
        <v>13.162886968906919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142.75487698162021</v>
      </c>
      <c r="C9" s="243">
        <f t="shared" ref="C9:W9" si="4">SUM(C10:C15)</f>
        <v>171.212542337662</v>
      </c>
      <c r="D9" s="243">
        <f t="shared" si="4"/>
        <v>166.1670763147284</v>
      </c>
      <c r="E9" s="243">
        <f t="shared" si="4"/>
        <v>116.13204984565098</v>
      </c>
      <c r="F9" s="243">
        <f t="shared" si="4"/>
        <v>112.97153943452223</v>
      </c>
      <c r="G9" s="243">
        <f t="shared" si="4"/>
        <v>149.11684453973848</v>
      </c>
      <c r="H9" s="243">
        <f t="shared" si="4"/>
        <v>87.312381845145936</v>
      </c>
      <c r="I9" s="243">
        <f t="shared" si="4"/>
        <v>90.023052213362277</v>
      </c>
      <c r="J9" s="243">
        <f t="shared" si="4"/>
        <v>75.605594835939911</v>
      </c>
      <c r="K9" s="243">
        <f t="shared" si="4"/>
        <v>73.501911341193704</v>
      </c>
      <c r="L9" s="243">
        <f t="shared" si="4"/>
        <v>99.09549150821644</v>
      </c>
      <c r="M9" s="243">
        <f t="shared" si="4"/>
        <v>82.953472673609269</v>
      </c>
      <c r="N9" s="243">
        <f t="shared" si="4"/>
        <v>81.126569937453525</v>
      </c>
      <c r="O9" s="243">
        <f t="shared" si="4"/>
        <v>82.227084049052408</v>
      </c>
      <c r="P9" s="243">
        <f t="shared" si="4"/>
        <v>83.268267106821185</v>
      </c>
      <c r="Q9" s="243">
        <f t="shared" si="4"/>
        <v>85.861465341974977</v>
      </c>
      <c r="R9" s="243">
        <f t="shared" si="4"/>
        <v>84.967632088165232</v>
      </c>
      <c r="S9" s="243">
        <f t="shared" si="4"/>
        <v>89.76926553738619</v>
      </c>
      <c r="T9" s="243">
        <f t="shared" si="4"/>
        <v>90.916087090003884</v>
      </c>
      <c r="U9" s="243">
        <f t="shared" si="4"/>
        <v>92.865956966036578</v>
      </c>
      <c r="V9" s="243">
        <f t="shared" si="4"/>
        <v>98.430881168583568</v>
      </c>
      <c r="W9" s="243">
        <f t="shared" si="4"/>
        <v>103.8361751241149</v>
      </c>
      <c r="X9" s="243">
        <f t="shared" ref="X9:Y9" si="5">SUM(X10:X15)</f>
        <v>94.937783508658299</v>
      </c>
      <c r="Y9" s="243">
        <f t="shared" si="5"/>
        <v>99.003677011671968</v>
      </c>
      <c r="DA9" s="269"/>
    </row>
    <row r="10" spans="1:105" x14ac:dyDescent="0.25">
      <c r="A10" s="253" t="s">
        <v>166</v>
      </c>
      <c r="B10" s="254">
        <v>137.1657857451811</v>
      </c>
      <c r="C10" s="254">
        <v>165.4426601248195</v>
      </c>
      <c r="D10" s="254">
        <v>158.82131828995651</v>
      </c>
      <c r="E10" s="254">
        <v>105.2304794242213</v>
      </c>
      <c r="F10" s="254">
        <v>99.065241694058827</v>
      </c>
      <c r="G10" s="254">
        <v>138.21299239413281</v>
      </c>
      <c r="H10" s="254">
        <v>68.30769098960549</v>
      </c>
      <c r="I10" s="254">
        <v>67.333224909936973</v>
      </c>
      <c r="J10" s="254">
        <v>50.2362089203449</v>
      </c>
      <c r="K10" s="254">
        <v>46.536119677589298</v>
      </c>
      <c r="L10" s="254">
        <v>80.588260263628626</v>
      </c>
      <c r="M10" s="254">
        <v>61.641216582396368</v>
      </c>
      <c r="N10" s="254">
        <v>58.380043618466367</v>
      </c>
      <c r="O10" s="254">
        <v>62.19598987494858</v>
      </c>
      <c r="P10" s="254">
        <v>69.0532328512069</v>
      </c>
      <c r="Q10" s="254">
        <v>70.707863056321244</v>
      </c>
      <c r="R10" s="254">
        <v>68.824430568487372</v>
      </c>
      <c r="S10" s="254">
        <v>67.862982554273415</v>
      </c>
      <c r="T10" s="254">
        <v>67.444396944969711</v>
      </c>
      <c r="U10" s="254">
        <v>72.796366266290491</v>
      </c>
      <c r="V10" s="254">
        <v>78.029091571365797</v>
      </c>
      <c r="W10" s="254">
        <v>77.641908584299728</v>
      </c>
      <c r="X10" s="254">
        <v>76.11225269484477</v>
      </c>
      <c r="Y10" s="254">
        <v>80.076435541228037</v>
      </c>
      <c r="DA10" s="270" t="s">
        <v>998</v>
      </c>
    </row>
    <row r="11" spans="1:105" x14ac:dyDescent="0.25">
      <c r="A11" s="253" t="s">
        <v>169</v>
      </c>
      <c r="B11" s="255">
        <v>4.5406325592673977E-2</v>
      </c>
      <c r="C11" s="255">
        <v>0.69811059496505001</v>
      </c>
      <c r="D11" s="255">
        <v>1.086579650589411</v>
      </c>
      <c r="E11" s="255">
        <v>1.1781487314175101</v>
      </c>
      <c r="F11" s="255">
        <v>1.125800353691337</v>
      </c>
      <c r="G11" s="255">
        <v>1.333702146306641</v>
      </c>
      <c r="H11" s="255">
        <v>1.368307483585347</v>
      </c>
      <c r="I11" s="255">
        <v>1.5943221183421989</v>
      </c>
      <c r="J11" s="255">
        <v>1.87184852167029</v>
      </c>
      <c r="K11" s="255">
        <v>1.6263977131357821</v>
      </c>
      <c r="L11" s="255">
        <v>1.336268500183128</v>
      </c>
      <c r="M11" s="255">
        <v>1.74631922687061</v>
      </c>
      <c r="N11" s="255">
        <v>1.7899037680712471</v>
      </c>
      <c r="O11" s="255">
        <v>2.3383343945719588</v>
      </c>
      <c r="P11" s="255">
        <v>1.6022125252927</v>
      </c>
      <c r="Q11" s="255">
        <v>2.0070040240516822</v>
      </c>
      <c r="R11" s="255">
        <v>1.62592680789334</v>
      </c>
      <c r="S11" s="255">
        <v>1.8506689223041131</v>
      </c>
      <c r="T11" s="255">
        <v>1.2318148604426851</v>
      </c>
      <c r="U11" s="255">
        <v>2.1165181757924789</v>
      </c>
      <c r="V11" s="255">
        <v>2.298901060869766</v>
      </c>
      <c r="W11" s="255">
        <v>2.6377365328646092</v>
      </c>
      <c r="X11" s="255">
        <v>1.383087907544946</v>
      </c>
      <c r="Y11" s="255">
        <v>1.277693102943871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1.7913155631969211</v>
      </c>
      <c r="C14" s="254">
        <v>1.6002579535672521</v>
      </c>
      <c r="D14" s="254">
        <v>1.671883061047559</v>
      </c>
      <c r="E14" s="254">
        <v>0.45382631126375078</v>
      </c>
      <c r="F14" s="254">
        <v>0.42992261392924058</v>
      </c>
      <c r="G14" s="254">
        <v>0.42992261392924891</v>
      </c>
      <c r="H14" s="254">
        <v>0.54935511607903653</v>
      </c>
      <c r="I14" s="254">
        <v>0.62098022355948845</v>
      </c>
      <c r="J14" s="254">
        <v>0.54935511607828691</v>
      </c>
      <c r="K14" s="254">
        <v>0.40601891659420891</v>
      </c>
      <c r="L14" s="254">
        <v>0.42992261392949138</v>
      </c>
      <c r="M14" s="254">
        <v>0.42992261392934611</v>
      </c>
      <c r="N14" s="254">
        <v>0.42992261392917452</v>
      </c>
      <c r="O14" s="254">
        <v>0.23886500429918231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1002</v>
      </c>
    </row>
    <row r="15" spans="1:105" x14ac:dyDescent="0.25">
      <c r="A15" s="253" t="s">
        <v>24</v>
      </c>
      <c r="B15" s="255">
        <v>3.7523693476495219</v>
      </c>
      <c r="C15" s="255">
        <v>3.4715136643102089</v>
      </c>
      <c r="D15" s="255">
        <v>4.5872953131349092</v>
      </c>
      <c r="E15" s="255">
        <v>9.2695953787484218</v>
      </c>
      <c r="F15" s="255">
        <v>12.35057477284283</v>
      </c>
      <c r="G15" s="255">
        <v>9.1402273853697604</v>
      </c>
      <c r="H15" s="255">
        <v>17.08702825587606</v>
      </c>
      <c r="I15" s="255">
        <v>20.47452496152361</v>
      </c>
      <c r="J15" s="255">
        <v>22.948182277846438</v>
      </c>
      <c r="K15" s="255">
        <v>24.93337503387442</v>
      </c>
      <c r="L15" s="255">
        <v>16.741040130475199</v>
      </c>
      <c r="M15" s="255">
        <v>19.136014250412941</v>
      </c>
      <c r="N15" s="255">
        <v>20.526699936986731</v>
      </c>
      <c r="O15" s="255">
        <v>17.45389477523268</v>
      </c>
      <c r="P15" s="255">
        <v>12.612821730321579</v>
      </c>
      <c r="Q15" s="255">
        <v>13.146598261602049</v>
      </c>
      <c r="R15" s="255">
        <v>14.51727471178452</v>
      </c>
      <c r="S15" s="255">
        <v>20.055614060808661</v>
      </c>
      <c r="T15" s="255">
        <v>22.239875284591491</v>
      </c>
      <c r="U15" s="255">
        <v>17.953072523953612</v>
      </c>
      <c r="V15" s="255">
        <v>18.102888536348011</v>
      </c>
      <c r="W15" s="255">
        <v>23.55653000695057</v>
      </c>
      <c r="X15" s="255">
        <v>17.442442906268589</v>
      </c>
      <c r="Y15" s="255">
        <v>17.64954836750006</v>
      </c>
      <c r="DA15" s="271" t="s">
        <v>1003</v>
      </c>
    </row>
    <row r="16" spans="1:105" x14ac:dyDescent="0.25">
      <c r="A16" s="256" t="s">
        <v>168</v>
      </c>
      <c r="B16" s="257">
        <v>195.03733188523529</v>
      </c>
      <c r="C16" s="257">
        <v>233.79279322151891</v>
      </c>
      <c r="D16" s="257">
        <v>227.02552658084559</v>
      </c>
      <c r="E16" s="257">
        <v>158.26575954956999</v>
      </c>
      <c r="F16" s="257">
        <v>152.97147577777471</v>
      </c>
      <c r="G16" s="257">
        <v>203.96781629311559</v>
      </c>
      <c r="H16" s="257">
        <v>114.8339459862883</v>
      </c>
      <c r="I16" s="257">
        <v>116.71992741553819</v>
      </c>
      <c r="J16" s="257">
        <v>94.651455588874924</v>
      </c>
      <c r="K16" s="257">
        <v>90.565428058763032</v>
      </c>
      <c r="L16" s="257">
        <v>131.84878038802151</v>
      </c>
      <c r="M16" s="257">
        <v>107.6680880383573</v>
      </c>
      <c r="N16" s="257">
        <v>104.1551216409211</v>
      </c>
      <c r="O16" s="257">
        <v>107.2788603523872</v>
      </c>
      <c r="P16" s="257">
        <v>111.3751263367004</v>
      </c>
      <c r="Q16" s="257">
        <v>114.69133739162039</v>
      </c>
      <c r="R16" s="257">
        <v>112.8940103459543</v>
      </c>
      <c r="S16" s="257">
        <v>116.939418393003</v>
      </c>
      <c r="T16" s="257">
        <v>117.684793948543</v>
      </c>
      <c r="U16" s="257">
        <v>122.36064558249009</v>
      </c>
      <c r="V16" s="257">
        <v>130.04934806464999</v>
      </c>
      <c r="W16" s="257">
        <v>134.94422594471399</v>
      </c>
      <c r="X16" s="257">
        <v>125.701769187591</v>
      </c>
      <c r="Y16" s="257">
        <v>131.37603812333739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263.83497101075329</v>
      </c>
      <c r="C17" s="257">
        <f t="shared" ref="C17:W17" si="7">SUM(C18:C24)</f>
        <v>315.80887123885287</v>
      </c>
      <c r="D17" s="257">
        <f t="shared" si="7"/>
        <v>308.28977466778122</v>
      </c>
      <c r="E17" s="257">
        <f t="shared" si="7"/>
        <v>215.84652584502311</v>
      </c>
      <c r="F17" s="257">
        <f t="shared" si="7"/>
        <v>209.10934766808043</v>
      </c>
      <c r="G17" s="257">
        <f t="shared" si="7"/>
        <v>278.03370205608149</v>
      </c>
      <c r="H17" s="257">
        <f t="shared" si="7"/>
        <v>158.77792607454626</v>
      </c>
      <c r="I17" s="257">
        <f t="shared" si="7"/>
        <v>158.73147141484364</v>
      </c>
      <c r="J17" s="257">
        <f t="shared" si="7"/>
        <v>130.78070988743352</v>
      </c>
      <c r="K17" s="257">
        <f t="shared" si="7"/>
        <v>125.49348642255731</v>
      </c>
      <c r="L17" s="257">
        <f t="shared" si="7"/>
        <v>184.32283514698568</v>
      </c>
      <c r="M17" s="257">
        <f t="shared" si="7"/>
        <v>151.67122085030101</v>
      </c>
      <c r="N17" s="257">
        <f t="shared" si="7"/>
        <v>144.18017483655052</v>
      </c>
      <c r="O17" s="257">
        <f t="shared" si="7"/>
        <v>148.33729262847675</v>
      </c>
      <c r="P17" s="257">
        <f t="shared" si="7"/>
        <v>153.07989340833163</v>
      </c>
      <c r="Q17" s="257">
        <f t="shared" si="7"/>
        <v>158.21852778810705</v>
      </c>
      <c r="R17" s="257">
        <f t="shared" si="7"/>
        <v>154.31842722370072</v>
      </c>
      <c r="S17" s="257">
        <f t="shared" si="7"/>
        <v>159.99633869329588</v>
      </c>
      <c r="T17" s="257">
        <f t="shared" si="7"/>
        <v>161.80905918475085</v>
      </c>
      <c r="U17" s="257">
        <f t="shared" si="7"/>
        <v>168.65134145922207</v>
      </c>
      <c r="V17" s="257">
        <f t="shared" si="7"/>
        <v>177.76690110105923</v>
      </c>
      <c r="W17" s="257">
        <f t="shared" si="7"/>
        <v>185.50471467176112</v>
      </c>
      <c r="X17" s="257">
        <f t="shared" ref="X17:Y17" si="8">SUM(X18:X24)</f>
        <v>171.37498888269533</v>
      </c>
      <c r="Y17" s="257">
        <f t="shared" si="8"/>
        <v>178.79181459810511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11.297420464301</v>
      </c>
      <c r="C19" s="55">
        <v>11.297420464305951</v>
      </c>
      <c r="D19" s="55">
        <v>15.8163370593093</v>
      </c>
      <c r="E19" s="55">
        <v>13.556921754066749</v>
      </c>
      <c r="F19" s="55">
        <v>14.68968185723028</v>
      </c>
      <c r="G19" s="55">
        <v>12.42975064486904</v>
      </c>
      <c r="H19" s="55">
        <v>11.29982803097357</v>
      </c>
      <c r="I19" s="55">
        <v>5.4934651762842037</v>
      </c>
      <c r="J19" s="55">
        <v>8.7895098882576264</v>
      </c>
      <c r="K19" s="55">
        <v>6.592175408457229</v>
      </c>
      <c r="L19" s="55">
        <v>7.6907996560483154</v>
      </c>
      <c r="M19" s="55">
        <v>6.5921754084383339</v>
      </c>
      <c r="N19" s="55">
        <v>6.5921754084475497</v>
      </c>
      <c r="O19" s="55">
        <v>5.4934651762767874</v>
      </c>
      <c r="P19" s="55">
        <v>4.3947549440966016</v>
      </c>
      <c r="Q19" s="55">
        <v>5.4934651762521884</v>
      </c>
      <c r="R19" s="55">
        <v>4.3947549440985787</v>
      </c>
      <c r="S19" s="55">
        <v>4.1157351676797367</v>
      </c>
      <c r="T19" s="55">
        <v>4.9144453998426121</v>
      </c>
      <c r="U19" s="55">
        <v>4.595786758391454</v>
      </c>
      <c r="V19" s="55">
        <v>4.3584694754878717</v>
      </c>
      <c r="W19" s="55">
        <v>4.5661220980335733</v>
      </c>
      <c r="X19" s="55">
        <v>4.2310404127188894</v>
      </c>
      <c r="Y19" s="55">
        <v>3.891573516761897</v>
      </c>
      <c r="DA19" s="101" t="s">
        <v>1006</v>
      </c>
    </row>
    <row r="20" spans="1:105" x14ac:dyDescent="0.25">
      <c r="A20" s="61" t="s">
        <v>166</v>
      </c>
      <c r="B20" s="55">
        <v>252.45398008786631</v>
      </c>
      <c r="C20" s="55">
        <v>303.23191734543798</v>
      </c>
      <c r="D20" s="55">
        <v>290.48607056946889</v>
      </c>
      <c r="E20" s="55">
        <v>200.04986804163789</v>
      </c>
      <c r="F20" s="55">
        <v>192.23506203729031</v>
      </c>
      <c r="G20" s="55">
        <v>258.31177221617003</v>
      </c>
      <c r="H20" s="55">
        <v>139.87658609464319</v>
      </c>
      <c r="I20" s="55">
        <v>147.82699731647389</v>
      </c>
      <c r="J20" s="55">
        <v>114.7594371708611</v>
      </c>
      <c r="K20" s="55">
        <v>109.0762899825673</v>
      </c>
      <c r="L20" s="55">
        <v>156.65256882348601</v>
      </c>
      <c r="M20" s="55">
        <v>125.01521849500909</v>
      </c>
      <c r="N20" s="55">
        <v>126.01565040164159</v>
      </c>
      <c r="O20" s="55">
        <v>129.91638368682109</v>
      </c>
      <c r="P20" s="55">
        <v>137.5461644031478</v>
      </c>
      <c r="Q20" s="55">
        <v>140.15442261186811</v>
      </c>
      <c r="R20" s="55">
        <v>141.24272032569539</v>
      </c>
      <c r="S20" s="55">
        <v>145.76248482966781</v>
      </c>
      <c r="T20" s="55">
        <v>145.3353710356871</v>
      </c>
      <c r="U20" s="55">
        <v>149.7587452755667</v>
      </c>
      <c r="V20" s="55">
        <v>162.3893619211953</v>
      </c>
      <c r="W20" s="55">
        <v>165.9249103619303</v>
      </c>
      <c r="X20" s="55">
        <v>158.5464688796848</v>
      </c>
      <c r="Y20" s="55">
        <v>166.55102102866601</v>
      </c>
      <c r="DA20" s="101" t="s">
        <v>1007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4.7995700773803236</v>
      </c>
      <c r="H21" s="55">
        <v>4.7995700773941987</v>
      </c>
      <c r="I21" s="55">
        <v>1.9107480653537781</v>
      </c>
      <c r="J21" s="55">
        <v>2.9557179707778749</v>
      </c>
      <c r="K21" s="55">
        <v>6.0128976784459258</v>
      </c>
      <c r="L21" s="55">
        <v>17.38194325018425</v>
      </c>
      <c r="M21" s="55">
        <v>16.522098022385681</v>
      </c>
      <c r="N21" s="55">
        <v>3.9110920034518779</v>
      </c>
      <c r="O21" s="55">
        <v>4.9619948409363213</v>
      </c>
      <c r="P21" s="55">
        <v>4.866466036098597</v>
      </c>
      <c r="Q21" s="55">
        <v>5.9173688735854304</v>
      </c>
      <c r="R21" s="55">
        <v>3.9110920034291632</v>
      </c>
      <c r="S21" s="55">
        <v>4.7099742046545137</v>
      </c>
      <c r="T21" s="55">
        <v>4.4998280309677794</v>
      </c>
      <c r="U21" s="55">
        <v>4.8156491831553776</v>
      </c>
      <c r="V21" s="55">
        <v>1.1077386070490689</v>
      </c>
      <c r="W21" s="55">
        <v>3.9846947549538991</v>
      </c>
      <c r="X21" s="55">
        <v>3.4533963886444772</v>
      </c>
      <c r="Y21" s="55">
        <v>3.1957007738565282</v>
      </c>
      <c r="DA21" s="101" t="s">
        <v>1008</v>
      </c>
    </row>
    <row r="22" spans="1:105" x14ac:dyDescent="0.25">
      <c r="A22" s="61" t="s">
        <v>169</v>
      </c>
      <c r="B22" s="55">
        <v>8.3570458586016624E-2</v>
      </c>
      <c r="C22" s="55">
        <v>1.279533429108948</v>
      </c>
      <c r="D22" s="55">
        <v>1.9873670390030029</v>
      </c>
      <c r="E22" s="55">
        <v>2.239736049318489</v>
      </c>
      <c r="F22" s="55">
        <v>2.18460377355983</v>
      </c>
      <c r="G22" s="55">
        <v>2.4926091176621021</v>
      </c>
      <c r="H22" s="55">
        <v>2.8019418715353042</v>
      </c>
      <c r="I22" s="55">
        <v>3.500260856731745</v>
      </c>
      <c r="J22" s="55">
        <v>4.2760448575369141</v>
      </c>
      <c r="K22" s="55">
        <v>3.8121233530868581</v>
      </c>
      <c r="L22" s="55">
        <v>2.5975234172671349</v>
      </c>
      <c r="M22" s="55">
        <v>3.54172892446792</v>
      </c>
      <c r="N22" s="55">
        <v>3.8635786051126031</v>
      </c>
      <c r="O22" s="55">
        <v>4.8843655194506583</v>
      </c>
      <c r="P22" s="55">
        <v>3.191424620010975</v>
      </c>
      <c r="Q22" s="55">
        <v>3.9782066380170731</v>
      </c>
      <c r="R22" s="55">
        <v>3.3367559092087808</v>
      </c>
      <c r="S22" s="55">
        <v>3.975040450017826</v>
      </c>
      <c r="T22" s="55">
        <v>2.654427615918705</v>
      </c>
      <c r="U22" s="55">
        <v>4.3541611019448592</v>
      </c>
      <c r="V22" s="55">
        <v>4.7843319571798801</v>
      </c>
      <c r="W22" s="55">
        <v>5.6369840174491959</v>
      </c>
      <c r="X22" s="55">
        <v>2.881056546448737</v>
      </c>
      <c r="Y22" s="55">
        <v>2.6574745668720929</v>
      </c>
      <c r="DA22" s="101" t="s">
        <v>1009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3.7976784178969161</v>
      </c>
      <c r="O23" s="55">
        <v>3.0810834049918761</v>
      </c>
      <c r="P23" s="55">
        <v>3.081083404977667</v>
      </c>
      <c r="Q23" s="55">
        <v>2.6750644883842569</v>
      </c>
      <c r="R23" s="55">
        <v>1.433104041268827</v>
      </c>
      <c r="S23" s="55">
        <v>1.4331040412760241</v>
      </c>
      <c r="T23" s="55">
        <v>4.4049871023346512</v>
      </c>
      <c r="U23" s="55">
        <v>5.1269991401636554</v>
      </c>
      <c r="V23" s="55">
        <v>5.1269991401470811</v>
      </c>
      <c r="W23" s="55">
        <v>5.3920034393941574</v>
      </c>
      <c r="X23" s="55">
        <v>2.2630266551984151</v>
      </c>
      <c r="Y23" s="55">
        <v>2.4960447119485871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37.478048709277239</v>
      </c>
      <c r="C25" s="257">
        <v>44.925233582409213</v>
      </c>
      <c r="D25" s="257">
        <v>43.624846900863261</v>
      </c>
      <c r="E25" s="257">
        <v>30.412084640799829</v>
      </c>
      <c r="F25" s="257">
        <v>29.394743892943229</v>
      </c>
      <c r="G25" s="257">
        <v>39.194115712454447</v>
      </c>
      <c r="H25" s="257">
        <v>22.06629971581572</v>
      </c>
      <c r="I25" s="257">
        <v>22.428706764697051</v>
      </c>
      <c r="J25" s="257">
        <v>18.188065990623748</v>
      </c>
      <c r="K25" s="257">
        <v>17.402901748882119</v>
      </c>
      <c r="L25" s="257">
        <v>25.335841943063109</v>
      </c>
      <c r="M25" s="257">
        <v>20.689320392829771</v>
      </c>
      <c r="N25" s="257">
        <v>20.01427462346577</v>
      </c>
      <c r="O25" s="257">
        <v>20.614527049254011</v>
      </c>
      <c r="P25" s="257">
        <v>21.401658695294891</v>
      </c>
      <c r="Q25" s="257">
        <v>22.038896285889439</v>
      </c>
      <c r="R25" s="257">
        <v>21.693524915634988</v>
      </c>
      <c r="S25" s="257">
        <v>22.47088378519441</v>
      </c>
      <c r="T25" s="257">
        <v>22.614113909946489</v>
      </c>
      <c r="U25" s="257">
        <v>23.512617768672051</v>
      </c>
      <c r="V25" s="257">
        <v>24.990066026152771</v>
      </c>
      <c r="W25" s="257">
        <v>25.93065760337425</v>
      </c>
      <c r="X25" s="257">
        <v>24.154642513398208</v>
      </c>
      <c r="Y25" s="257">
        <v>25.245000577199939</v>
      </c>
      <c r="DA25" s="272" t="s">
        <v>1012</v>
      </c>
    </row>
    <row r="26" spans="1:105" x14ac:dyDescent="0.25">
      <c r="A26" s="256" t="s">
        <v>170</v>
      </c>
      <c r="B26" s="257">
        <v>11.5453128890153</v>
      </c>
      <c r="C26" s="257">
        <v>12.71928282187136</v>
      </c>
      <c r="D26" s="257">
        <v>13.648319097478581</v>
      </c>
      <c r="E26" s="257">
        <v>13.43412907569753</v>
      </c>
      <c r="F26" s="257">
        <v>14.40004841622418</v>
      </c>
      <c r="G26" s="257">
        <v>15.86756931240423</v>
      </c>
      <c r="H26" s="257">
        <v>13.177607246405991</v>
      </c>
      <c r="I26" s="257">
        <v>14.236995265482861</v>
      </c>
      <c r="J26" s="257">
        <v>12.84802476522089</v>
      </c>
      <c r="K26" s="257">
        <v>12.82931811426759</v>
      </c>
      <c r="L26" s="257">
        <v>14.29581604969016</v>
      </c>
      <c r="M26" s="257">
        <v>13.042960520416431</v>
      </c>
      <c r="N26" s="257">
        <v>13.14315528329344</v>
      </c>
      <c r="O26" s="257">
        <v>12.708705137734279</v>
      </c>
      <c r="P26" s="257">
        <v>11.69927572290052</v>
      </c>
      <c r="Q26" s="257">
        <v>12.091230648799749</v>
      </c>
      <c r="R26" s="257">
        <v>12.38602055220489</v>
      </c>
      <c r="S26" s="257">
        <v>14.115755949522461</v>
      </c>
      <c r="T26" s="257">
        <v>14.62836200224192</v>
      </c>
      <c r="U26" s="257">
        <v>13.99442418813803</v>
      </c>
      <c r="V26" s="257">
        <v>14.65925032378361</v>
      </c>
      <c r="W26" s="257">
        <v>16.377773964053169</v>
      </c>
      <c r="X26" s="257">
        <v>14.140264643268321</v>
      </c>
      <c r="Y26" s="257">
        <v>14.62542996545214</v>
      </c>
      <c r="DA26" s="272" t="s">
        <v>1013</v>
      </c>
    </row>
    <row r="27" spans="1:105" x14ac:dyDescent="0.25">
      <c r="A27" s="128" t="s">
        <v>33</v>
      </c>
      <c r="B27" s="258">
        <v>16.74070368907217</v>
      </c>
      <c r="C27" s="258">
        <v>18.44296009171347</v>
      </c>
      <c r="D27" s="258">
        <v>19.790062691343941</v>
      </c>
      <c r="E27" s="258">
        <v>19.479487159761419</v>
      </c>
      <c r="F27" s="258">
        <v>20.880070203525062</v>
      </c>
      <c r="G27" s="258">
        <v>23.007975502986131</v>
      </c>
      <c r="H27" s="258">
        <v>19.107530507288679</v>
      </c>
      <c r="I27" s="258">
        <v>20.64364313495015</v>
      </c>
      <c r="J27" s="258">
        <v>18.62963590957029</v>
      </c>
      <c r="K27" s="258">
        <v>18.602511265688019</v>
      </c>
      <c r="L27" s="258">
        <v>20.728933272050739</v>
      </c>
      <c r="M27" s="258">
        <v>18.912292754603811</v>
      </c>
      <c r="N27" s="258">
        <v>19.057575160775489</v>
      </c>
      <c r="O27" s="258">
        <v>18.427622449714711</v>
      </c>
      <c r="P27" s="258">
        <v>16.963949798205739</v>
      </c>
      <c r="Q27" s="258">
        <v>17.532284440759639</v>
      </c>
      <c r="R27" s="258">
        <v>17.95972980069709</v>
      </c>
      <c r="S27" s="258">
        <v>20.467846126807569</v>
      </c>
      <c r="T27" s="258">
        <v>21.211124903250781</v>
      </c>
      <c r="U27" s="258">
        <v>20.291915072800141</v>
      </c>
      <c r="V27" s="258">
        <v>21.255912969486239</v>
      </c>
      <c r="W27" s="258">
        <v>23.747772247877091</v>
      </c>
      <c r="X27" s="258">
        <v>20.50338373273906</v>
      </c>
      <c r="Y27" s="258">
        <v>21.206873449905601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1.0000000000000002</v>
      </c>
      <c r="D31" s="235">
        <f t="shared" si="9"/>
        <v>1</v>
      </c>
      <c r="E31" s="235">
        <f t="shared" si="9"/>
        <v>0.99999999999999967</v>
      </c>
      <c r="F31" s="235">
        <f t="shared" si="9"/>
        <v>0.99999999999999989</v>
      </c>
      <c r="G31" s="235">
        <f t="shared" si="9"/>
        <v>0.99999999999999989</v>
      </c>
      <c r="H31" s="235">
        <f t="shared" si="9"/>
        <v>1</v>
      </c>
      <c r="I31" s="235">
        <f t="shared" si="9"/>
        <v>1</v>
      </c>
      <c r="J31" s="235">
        <f t="shared" si="9"/>
        <v>1.0000000000000002</v>
      </c>
      <c r="K31" s="235">
        <f t="shared" si="9"/>
        <v>1.0000000000000002</v>
      </c>
      <c r="L31" s="235">
        <f t="shared" si="9"/>
        <v>0.99999999999999989</v>
      </c>
      <c r="M31" s="235">
        <f t="shared" si="9"/>
        <v>1</v>
      </c>
      <c r="N31" s="235">
        <f t="shared" si="9"/>
        <v>1</v>
      </c>
      <c r="O31" s="235">
        <f t="shared" si="9"/>
        <v>1</v>
      </c>
      <c r="P31" s="235">
        <f t="shared" si="9"/>
        <v>1</v>
      </c>
      <c r="Q31" s="235">
        <f t="shared" si="9"/>
        <v>0.99999999999999989</v>
      </c>
      <c r="R31" s="235">
        <f t="shared" ref="R31:W31" si="10">SUM(R32:R40)</f>
        <v>1.0000000000000002</v>
      </c>
      <c r="S31" s="235">
        <f t="shared" si="10"/>
        <v>1</v>
      </c>
      <c r="T31" s="235">
        <f t="shared" si="10"/>
        <v>1.0000000000000002</v>
      </c>
      <c r="U31" s="235">
        <f t="shared" si="10"/>
        <v>1.0000000000000002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1.0000000000000002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1.6568292383418472E-2</v>
      </c>
      <c r="C32" s="244">
        <f t="shared" si="12"/>
        <v>1.5336709190869548E-2</v>
      </c>
      <c r="D32" s="244">
        <f t="shared" si="12"/>
        <v>1.6780400687481861E-2</v>
      </c>
      <c r="E32" s="244">
        <f t="shared" si="12"/>
        <v>2.2853879771198057E-2</v>
      </c>
      <c r="F32" s="244">
        <f t="shared" si="12"/>
        <v>2.4980682875619106E-2</v>
      </c>
      <c r="G32" s="244">
        <f t="shared" si="12"/>
        <v>2.1166627665965949E-2</v>
      </c>
      <c r="H32" s="244">
        <f t="shared" si="12"/>
        <v>2.9356729289978338E-2</v>
      </c>
      <c r="I32" s="244">
        <f t="shared" si="12"/>
        <v>3.1011464263351635E-2</v>
      </c>
      <c r="J32" s="244">
        <f t="shared" si="12"/>
        <v>3.3504995061229115E-2</v>
      </c>
      <c r="K32" s="244">
        <f t="shared" si="12"/>
        <v>3.4570092738120145E-2</v>
      </c>
      <c r="L32" s="244">
        <f t="shared" si="12"/>
        <v>2.7917043039088922E-2</v>
      </c>
      <c r="M32" s="244">
        <f t="shared" si="12"/>
        <v>3.046019338674302E-2</v>
      </c>
      <c r="N32" s="244">
        <f t="shared" si="12"/>
        <v>3.1655614501990961E-2</v>
      </c>
      <c r="O32" s="244">
        <f t="shared" si="12"/>
        <v>3.0115322976206539E-2</v>
      </c>
      <c r="P32" s="244">
        <f t="shared" si="12"/>
        <v>2.7358962385322781E-2</v>
      </c>
      <c r="Q32" s="244">
        <f t="shared" si="12"/>
        <v>2.7401205247918736E-2</v>
      </c>
      <c r="R32" s="244">
        <f t="shared" si="12"/>
        <v>2.8421100206266973E-2</v>
      </c>
      <c r="S32" s="244">
        <f t="shared" si="12"/>
        <v>3.0702799502771629E-2</v>
      </c>
      <c r="T32" s="244">
        <f t="shared" si="12"/>
        <v>3.1380165574948528E-2</v>
      </c>
      <c r="U32" s="244">
        <f t="shared" si="12"/>
        <v>2.9316125233088745E-2</v>
      </c>
      <c r="V32" s="244">
        <f t="shared" si="12"/>
        <v>2.9055061428520396E-2</v>
      </c>
      <c r="W32" s="244">
        <f t="shared" si="12"/>
        <v>3.0779235202047076E-2</v>
      </c>
      <c r="X32" s="244">
        <f t="shared" si="12"/>
        <v>2.9043173556419891E-2</v>
      </c>
      <c r="Y32" s="244">
        <f t="shared" si="12"/>
        <v>2.8816101032895849E-2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1.0769390049221998E-2</v>
      </c>
      <c r="C33" s="245">
        <f t="shared" si="13"/>
        <v>9.968860974065203E-3</v>
      </c>
      <c r="D33" s="245">
        <f t="shared" si="13"/>
        <v>1.0907260446863205E-2</v>
      </c>
      <c r="E33" s="245">
        <f t="shared" si="13"/>
        <v>1.4855021851278731E-2</v>
      </c>
      <c r="F33" s="245">
        <f t="shared" si="13"/>
        <v>1.6237443869152414E-2</v>
      </c>
      <c r="G33" s="245">
        <f t="shared" si="13"/>
        <v>1.3758307982877853E-2</v>
      </c>
      <c r="H33" s="245">
        <f t="shared" si="13"/>
        <v>1.9081874038485918E-2</v>
      </c>
      <c r="I33" s="245">
        <f t="shared" si="13"/>
        <v>2.0157451771178551E-2</v>
      </c>
      <c r="J33" s="245">
        <f t="shared" si="13"/>
        <v>2.1778246789798922E-2</v>
      </c>
      <c r="K33" s="245">
        <f t="shared" si="13"/>
        <v>2.2470560279778094E-2</v>
      </c>
      <c r="L33" s="245">
        <f t="shared" si="13"/>
        <v>1.8146077975407793E-2</v>
      </c>
      <c r="M33" s="245">
        <f t="shared" si="13"/>
        <v>1.9799125701382952E-2</v>
      </c>
      <c r="N33" s="245">
        <f t="shared" si="13"/>
        <v>2.0576149426294123E-2</v>
      </c>
      <c r="O33" s="245">
        <f t="shared" si="13"/>
        <v>1.9574959934534251E-2</v>
      </c>
      <c r="P33" s="245">
        <f t="shared" si="13"/>
        <v>1.7783325550459791E-2</v>
      </c>
      <c r="Q33" s="245">
        <f t="shared" si="13"/>
        <v>1.7810783411147169E-2</v>
      </c>
      <c r="R33" s="245">
        <f t="shared" si="13"/>
        <v>1.8473715134073525E-2</v>
      </c>
      <c r="S33" s="245">
        <f t="shared" si="13"/>
        <v>1.9956819676801549E-2</v>
      </c>
      <c r="T33" s="245">
        <f t="shared" si="13"/>
        <v>2.0397107623716534E-2</v>
      </c>
      <c r="U33" s="245">
        <f t="shared" si="13"/>
        <v>1.9055481401507677E-2</v>
      </c>
      <c r="V33" s="245">
        <f t="shared" si="13"/>
        <v>1.888578992853826E-2</v>
      </c>
      <c r="W33" s="245">
        <f t="shared" si="13"/>
        <v>2.0006502881330601E-2</v>
      </c>
      <c r="X33" s="245">
        <f t="shared" si="13"/>
        <v>1.8878062811672917E-2</v>
      </c>
      <c r="Y33" s="245">
        <f t="shared" si="13"/>
        <v>1.8730465671382299E-2</v>
      </c>
      <c r="DA33" s="276"/>
    </row>
    <row r="34" spans="1:105" x14ac:dyDescent="0.25">
      <c r="A34" s="240" t="s">
        <v>123</v>
      </c>
      <c r="B34" s="245">
        <f t="shared" ref="B34:Y34" si="14">IF(B$8=0,0,B$8/B$5)</f>
        <v>1.4911463145076626E-2</v>
      </c>
      <c r="C34" s="245">
        <f t="shared" si="14"/>
        <v>1.3803038271782588E-2</v>
      </c>
      <c r="D34" s="245">
        <f t="shared" si="14"/>
        <v>1.510236061873366E-2</v>
      </c>
      <c r="E34" s="245">
        <f t="shared" si="14"/>
        <v>2.0568491794078238E-2</v>
      </c>
      <c r="F34" s="245">
        <f t="shared" si="14"/>
        <v>2.2482614588057191E-2</v>
      </c>
      <c r="G34" s="245">
        <f t="shared" si="14"/>
        <v>1.9049964899369359E-2</v>
      </c>
      <c r="H34" s="245">
        <f t="shared" si="14"/>
        <v>2.6421056360980497E-2</v>
      </c>
      <c r="I34" s="245">
        <f t="shared" si="14"/>
        <v>2.791031783701646E-2</v>
      </c>
      <c r="J34" s="245">
        <f t="shared" si="14"/>
        <v>3.01544955551062E-2</v>
      </c>
      <c r="K34" s="245">
        <f t="shared" si="14"/>
        <v>3.1113083464308158E-2</v>
      </c>
      <c r="L34" s="245">
        <f t="shared" si="14"/>
        <v>2.5125338735180039E-2</v>
      </c>
      <c r="M34" s="245">
        <f t="shared" si="14"/>
        <v>2.7414174048068701E-2</v>
      </c>
      <c r="N34" s="245">
        <f t="shared" si="14"/>
        <v>2.8490053051791874E-2</v>
      </c>
      <c r="O34" s="245">
        <f t="shared" si="14"/>
        <v>2.7103790678585881E-2</v>
      </c>
      <c r="P34" s="245">
        <f t="shared" si="14"/>
        <v>2.4623066146790485E-2</v>
      </c>
      <c r="Q34" s="245">
        <f t="shared" si="14"/>
        <v>2.4661084723126853E-2</v>
      </c>
      <c r="R34" s="245">
        <f t="shared" si="14"/>
        <v>2.5578990185640273E-2</v>
      </c>
      <c r="S34" s="245">
        <f t="shared" si="14"/>
        <v>2.7632519552494458E-2</v>
      </c>
      <c r="T34" s="245">
        <f t="shared" si="14"/>
        <v>2.8242149017453675E-2</v>
      </c>
      <c r="U34" s="245">
        <f t="shared" si="14"/>
        <v>2.6384512709779852E-2</v>
      </c>
      <c r="V34" s="245">
        <f t="shared" si="14"/>
        <v>2.6149555285668358E-2</v>
      </c>
      <c r="W34" s="245">
        <f t="shared" si="14"/>
        <v>2.7701311681842367E-2</v>
      </c>
      <c r="X34" s="245">
        <f t="shared" si="14"/>
        <v>2.6138856200777903E-2</v>
      </c>
      <c r="Y34" s="245">
        <f t="shared" si="14"/>
        <v>2.5934490929606251E-2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0.20486274938817595</v>
      </c>
      <c r="C35" s="246">
        <f t="shared" si="15"/>
        <v>0.20644536397499719</v>
      </c>
      <c r="D35" s="246">
        <f t="shared" si="15"/>
        <v>0.20429989229542891</v>
      </c>
      <c r="E35" s="246">
        <f t="shared" si="15"/>
        <v>0.19756159031972695</v>
      </c>
      <c r="F35" s="246">
        <f t="shared" si="15"/>
        <v>0.1959789383350059</v>
      </c>
      <c r="G35" s="246">
        <f t="shared" si="15"/>
        <v>0.19891520023983647</v>
      </c>
      <c r="H35" s="246">
        <f t="shared" si="15"/>
        <v>0.19451224410943399</v>
      </c>
      <c r="I35" s="246">
        <f t="shared" si="15"/>
        <v>0.196091001965915</v>
      </c>
      <c r="J35" s="246">
        <f t="shared" si="15"/>
        <v>0.19716377636791588</v>
      </c>
      <c r="K35" s="246">
        <f t="shared" si="15"/>
        <v>0.19805946573795843</v>
      </c>
      <c r="L35" s="246">
        <f t="shared" si="15"/>
        <v>0.19351487818525112</v>
      </c>
      <c r="M35" s="246">
        <f t="shared" si="15"/>
        <v>0.19372739921928145</v>
      </c>
      <c r="N35" s="246">
        <f t="shared" si="15"/>
        <v>0.19539534978128287</v>
      </c>
      <c r="O35" s="246">
        <f t="shared" si="15"/>
        <v>0.194850314543561</v>
      </c>
      <c r="P35" s="246">
        <f t="shared" si="15"/>
        <v>0.19472430957475795</v>
      </c>
      <c r="Q35" s="246">
        <f t="shared" si="15"/>
        <v>0.19457966712065505</v>
      </c>
      <c r="R35" s="246">
        <f t="shared" si="15"/>
        <v>0.19496767147193914</v>
      </c>
      <c r="S35" s="246">
        <f t="shared" si="15"/>
        <v>0.19525470482497798</v>
      </c>
      <c r="T35" s="246">
        <f t="shared" si="15"/>
        <v>0.19502948217124524</v>
      </c>
      <c r="U35" s="246">
        <f t="shared" si="15"/>
        <v>0.19453962433228095</v>
      </c>
      <c r="V35" s="246">
        <f t="shared" si="15"/>
        <v>0.19509287553242569</v>
      </c>
      <c r="W35" s="246">
        <f t="shared" si="15"/>
        <v>0.19514239625243535</v>
      </c>
      <c r="X35" s="246">
        <f t="shared" si="15"/>
        <v>0.19499596316370441</v>
      </c>
      <c r="Y35" s="246">
        <f t="shared" si="15"/>
        <v>0.19506434792929736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0.27989155178556741</v>
      </c>
      <c r="C36" s="259">
        <f t="shared" si="16"/>
        <v>0.28190363645298588</v>
      </c>
      <c r="D36" s="259">
        <f t="shared" si="16"/>
        <v>0.27912443100901285</v>
      </c>
      <c r="E36" s="259">
        <f t="shared" si="16"/>
        <v>0.26923863990456792</v>
      </c>
      <c r="F36" s="259">
        <f t="shared" si="16"/>
        <v>0.26536938036365482</v>
      </c>
      <c r="G36" s="259">
        <f t="shared" si="16"/>
        <v>0.27208394293519983</v>
      </c>
      <c r="H36" s="259">
        <f t="shared" si="16"/>
        <v>0.25582406597668889</v>
      </c>
      <c r="I36" s="259">
        <f t="shared" si="16"/>
        <v>0.25424296281419007</v>
      </c>
      <c r="J36" s="259">
        <f t="shared" si="16"/>
        <v>0.24683144763450174</v>
      </c>
      <c r="K36" s="259">
        <f t="shared" si="16"/>
        <v>0.24403910004984106</v>
      </c>
      <c r="L36" s="259">
        <f t="shared" si="16"/>
        <v>0.25747589811940508</v>
      </c>
      <c r="M36" s="259">
        <f t="shared" si="16"/>
        <v>0.25144527410748663</v>
      </c>
      <c r="N36" s="259">
        <f t="shared" si="16"/>
        <v>0.25086018600601828</v>
      </c>
      <c r="O36" s="259">
        <f t="shared" si="16"/>
        <v>0.25421453193047155</v>
      </c>
      <c r="P36" s="259">
        <f t="shared" si="16"/>
        <v>0.26045269504520324</v>
      </c>
      <c r="Q36" s="259">
        <f t="shared" si="16"/>
        <v>0.25991406229092562</v>
      </c>
      <c r="R36" s="259">
        <f t="shared" si="16"/>
        <v>0.25904784892017119</v>
      </c>
      <c r="S36" s="259">
        <f t="shared" si="16"/>
        <v>0.25435177044220281</v>
      </c>
      <c r="T36" s="259">
        <f t="shared" si="16"/>
        <v>0.25245262040910671</v>
      </c>
      <c r="U36" s="259">
        <f t="shared" si="16"/>
        <v>0.25632637408107167</v>
      </c>
      <c r="V36" s="259">
        <f t="shared" si="16"/>
        <v>0.25776159853324382</v>
      </c>
      <c r="W36" s="259">
        <f t="shared" si="16"/>
        <v>0.25360467659566066</v>
      </c>
      <c r="X36" s="259">
        <f t="shared" si="16"/>
        <v>0.25818316636685057</v>
      </c>
      <c r="Y36" s="259">
        <f t="shared" si="16"/>
        <v>0.25884676189392508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0.37862074269428697</v>
      </c>
      <c r="C37" s="259">
        <f t="shared" si="17"/>
        <v>0.38079732056578669</v>
      </c>
      <c r="D37" s="259">
        <f t="shared" si="17"/>
        <v>0.37903758769346013</v>
      </c>
      <c r="E37" s="259">
        <f t="shared" si="17"/>
        <v>0.36719392250121158</v>
      </c>
      <c r="F37" s="259">
        <f t="shared" si="17"/>
        <v>0.36275532897087281</v>
      </c>
      <c r="G37" s="259">
        <f t="shared" si="17"/>
        <v>0.3708845213873212</v>
      </c>
      <c r="H37" s="259">
        <f t="shared" si="17"/>
        <v>0.35372131721909716</v>
      </c>
      <c r="I37" s="259">
        <f t="shared" si="17"/>
        <v>0.34575380980740206</v>
      </c>
      <c r="J37" s="259">
        <f t="shared" si="17"/>
        <v>0.34104908100301001</v>
      </c>
      <c r="K37" s="259">
        <f t="shared" si="17"/>
        <v>0.33815682369222294</v>
      </c>
      <c r="L37" s="259">
        <f t="shared" si="17"/>
        <v>0.35994786894287284</v>
      </c>
      <c r="M37" s="259">
        <f t="shared" si="17"/>
        <v>0.35420905484394394</v>
      </c>
      <c r="N37" s="259">
        <f t="shared" si="17"/>
        <v>0.34726151636183178</v>
      </c>
      <c r="O37" s="259">
        <f t="shared" si="17"/>
        <v>0.35150909778044154</v>
      </c>
      <c r="P37" s="259">
        <f t="shared" si="17"/>
        <v>0.35798002755929897</v>
      </c>
      <c r="Q37" s="259">
        <f t="shared" si="17"/>
        <v>0.35855559122725128</v>
      </c>
      <c r="R37" s="259">
        <f t="shared" si="17"/>
        <v>0.35410077557295527</v>
      </c>
      <c r="S37" s="259">
        <f t="shared" si="17"/>
        <v>0.34800371483073078</v>
      </c>
      <c r="T37" s="259">
        <f t="shared" si="17"/>
        <v>0.34710619466252907</v>
      </c>
      <c r="U37" s="259">
        <f t="shared" si="17"/>
        <v>0.35329812648796066</v>
      </c>
      <c r="V37" s="259">
        <f t="shared" si="17"/>
        <v>0.35233917951923421</v>
      </c>
      <c r="W37" s="259">
        <f t="shared" si="17"/>
        <v>0.34862449906212617</v>
      </c>
      <c r="X37" s="259">
        <f t="shared" si="17"/>
        <v>0.35199295564239341</v>
      </c>
      <c r="Y37" s="259">
        <f t="shared" si="17"/>
        <v>0.35226882255659586</v>
      </c>
      <c r="DA37" s="278"/>
    </row>
    <row r="38" spans="1:105" x14ac:dyDescent="0.25">
      <c r="A38" s="127" t="s">
        <v>167</v>
      </c>
      <c r="B38" s="259">
        <f t="shared" ref="B38:Y38" si="18">IF(B$25=0,0,B$25/B$5)</f>
        <v>5.3783494214877457E-2</v>
      </c>
      <c r="C38" s="259">
        <f t="shared" si="18"/>
        <v>5.4170133051882619E-2</v>
      </c>
      <c r="D38" s="259">
        <f t="shared" si="18"/>
        <v>5.3636085564688761E-2</v>
      </c>
      <c r="E38" s="259">
        <f t="shared" si="18"/>
        <v>5.1736448418503125E-2</v>
      </c>
      <c r="F38" s="259">
        <f t="shared" si="18"/>
        <v>5.0992937952370879E-2</v>
      </c>
      <c r="G38" s="259">
        <f t="shared" si="18"/>
        <v>5.228319710781261E-2</v>
      </c>
      <c r="H38" s="259">
        <f t="shared" si="18"/>
        <v>4.9158726244888269E-2</v>
      </c>
      <c r="I38" s="259">
        <f t="shared" si="18"/>
        <v>4.8854904095734807E-2</v>
      </c>
      <c r="J38" s="259">
        <f t="shared" si="18"/>
        <v>4.7430719688426826E-2</v>
      </c>
      <c r="K38" s="259">
        <f t="shared" si="18"/>
        <v>4.6894146829376822E-2</v>
      </c>
      <c r="L38" s="259">
        <f t="shared" si="18"/>
        <v>4.9476139557026323E-2</v>
      </c>
      <c r="M38" s="259">
        <f t="shared" si="18"/>
        <v>4.8317304895572899E-2</v>
      </c>
      <c r="N38" s="259">
        <f t="shared" si="18"/>
        <v>4.8204875340912265E-2</v>
      </c>
      <c r="O38" s="259">
        <f t="shared" si="18"/>
        <v>4.8849440864493117E-2</v>
      </c>
      <c r="P38" s="259">
        <f t="shared" si="18"/>
        <v>5.0048155894126027E-2</v>
      </c>
      <c r="Q38" s="259">
        <f t="shared" si="18"/>
        <v>4.9944653121574235E-2</v>
      </c>
      <c r="R38" s="259">
        <f t="shared" si="18"/>
        <v>4.9778203003599551E-2</v>
      </c>
      <c r="S38" s="259">
        <f t="shared" si="18"/>
        <v>4.8875812388230334E-2</v>
      </c>
      <c r="T38" s="259">
        <f t="shared" si="18"/>
        <v>4.8510874882376438E-2</v>
      </c>
      <c r="U38" s="259">
        <f t="shared" si="18"/>
        <v>4.9255248933243123E-2</v>
      </c>
      <c r="V38" s="259">
        <f t="shared" si="18"/>
        <v>4.95310392724942E-2</v>
      </c>
      <c r="W38" s="259">
        <f t="shared" si="18"/>
        <v>4.873225207954246E-2</v>
      </c>
      <c r="X38" s="259">
        <f t="shared" si="18"/>
        <v>4.9612047044952229E-2</v>
      </c>
      <c r="Y38" s="259">
        <f t="shared" si="18"/>
        <v>4.9739562455702352E-2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1.6568292383418472E-2</v>
      </c>
      <c r="C39" s="259">
        <f t="shared" si="19"/>
        <v>1.5336709190869548E-2</v>
      </c>
      <c r="D39" s="259">
        <f t="shared" si="19"/>
        <v>1.6780400687481861E-2</v>
      </c>
      <c r="E39" s="259">
        <f t="shared" si="19"/>
        <v>2.2853879771198057E-2</v>
      </c>
      <c r="F39" s="259">
        <f t="shared" si="19"/>
        <v>2.4980682875619106E-2</v>
      </c>
      <c r="G39" s="259">
        <f t="shared" si="19"/>
        <v>2.1166627665965949E-2</v>
      </c>
      <c r="H39" s="259">
        <f t="shared" si="19"/>
        <v>2.9356729289978338E-2</v>
      </c>
      <c r="I39" s="259">
        <f t="shared" si="19"/>
        <v>3.1011464263351635E-2</v>
      </c>
      <c r="J39" s="259">
        <f t="shared" si="19"/>
        <v>3.3504995061229115E-2</v>
      </c>
      <c r="K39" s="259">
        <f t="shared" si="19"/>
        <v>3.4570092738120145E-2</v>
      </c>
      <c r="L39" s="259">
        <f t="shared" si="19"/>
        <v>2.7917043039088922E-2</v>
      </c>
      <c r="M39" s="259">
        <f t="shared" si="19"/>
        <v>3.046019338674302E-2</v>
      </c>
      <c r="N39" s="259">
        <f t="shared" si="19"/>
        <v>3.1655614501990961E-2</v>
      </c>
      <c r="O39" s="259">
        <f t="shared" si="19"/>
        <v>3.0115322976206539E-2</v>
      </c>
      <c r="P39" s="259">
        <f t="shared" si="19"/>
        <v>2.7358962385322781E-2</v>
      </c>
      <c r="Q39" s="259">
        <f t="shared" si="19"/>
        <v>2.7401205247918736E-2</v>
      </c>
      <c r="R39" s="259">
        <f t="shared" si="19"/>
        <v>2.8421100206266973E-2</v>
      </c>
      <c r="S39" s="259">
        <f t="shared" si="19"/>
        <v>3.0702799502771629E-2</v>
      </c>
      <c r="T39" s="259">
        <f t="shared" si="19"/>
        <v>3.1380165574948528E-2</v>
      </c>
      <c r="U39" s="259">
        <f t="shared" si="19"/>
        <v>2.9316125233088745E-2</v>
      </c>
      <c r="V39" s="259">
        <f t="shared" si="19"/>
        <v>2.9055061428520396E-2</v>
      </c>
      <c r="W39" s="259">
        <f t="shared" si="19"/>
        <v>3.0779235202047076E-2</v>
      </c>
      <c r="X39" s="259">
        <f t="shared" si="19"/>
        <v>2.9043173556419891E-2</v>
      </c>
      <c r="Y39" s="259">
        <f t="shared" si="19"/>
        <v>2.8816101032895849E-2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2.4024023955956764E-2</v>
      </c>
      <c r="C40" s="261">
        <f t="shared" si="20"/>
        <v>2.2238228326760843E-2</v>
      </c>
      <c r="D40" s="261">
        <f t="shared" si="20"/>
        <v>2.4331580996848699E-2</v>
      </c>
      <c r="E40" s="261">
        <f t="shared" si="20"/>
        <v>3.3138125668237185E-2</v>
      </c>
      <c r="F40" s="261">
        <f t="shared" si="20"/>
        <v>3.6221990169647701E-2</v>
      </c>
      <c r="G40" s="261">
        <f t="shared" si="20"/>
        <v>3.0691610115650622E-2</v>
      </c>
      <c r="H40" s="261">
        <f t="shared" si="20"/>
        <v>4.2567257470468571E-2</v>
      </c>
      <c r="I40" s="261">
        <f t="shared" si="20"/>
        <v>4.4966623181859872E-2</v>
      </c>
      <c r="J40" s="261">
        <f t="shared" si="20"/>
        <v>4.8582242838782215E-2</v>
      </c>
      <c r="K40" s="261">
        <f t="shared" si="20"/>
        <v>5.0126634470274246E-2</v>
      </c>
      <c r="L40" s="261">
        <f t="shared" si="20"/>
        <v>4.0479712406678948E-2</v>
      </c>
      <c r="M40" s="261">
        <f t="shared" si="20"/>
        <v>4.4167280410777346E-2</v>
      </c>
      <c r="N40" s="261">
        <f t="shared" si="20"/>
        <v>4.5900641027886893E-2</v>
      </c>
      <c r="O40" s="261">
        <f t="shared" si="20"/>
        <v>4.3667218315499495E-2</v>
      </c>
      <c r="P40" s="261">
        <f t="shared" si="20"/>
        <v>3.9670495458718001E-2</v>
      </c>
      <c r="Q40" s="261">
        <f t="shared" si="20"/>
        <v>3.9731747609482171E-2</v>
      </c>
      <c r="R40" s="261">
        <f t="shared" si="20"/>
        <v>4.1210595299087112E-2</v>
      </c>
      <c r="S40" s="261">
        <f t="shared" si="20"/>
        <v>4.4519059279018863E-2</v>
      </c>
      <c r="T40" s="261">
        <f t="shared" si="20"/>
        <v>4.5501240083675357E-2</v>
      </c>
      <c r="U40" s="261">
        <f t="shared" si="20"/>
        <v>4.2508381587978671E-2</v>
      </c>
      <c r="V40" s="261">
        <f t="shared" si="20"/>
        <v>4.2129839071354584E-2</v>
      </c>
      <c r="W40" s="261">
        <f t="shared" si="20"/>
        <v>4.4629891042968252E-2</v>
      </c>
      <c r="X40" s="261">
        <f t="shared" si="20"/>
        <v>4.2112601656808836E-2</v>
      </c>
      <c r="Y40" s="261">
        <f t="shared" si="20"/>
        <v>4.1783346497698978E-2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112.47171201628667</v>
      </c>
      <c r="C44" s="236">
        <f t="shared" si="21"/>
        <v>109.81942433546162</v>
      </c>
      <c r="D44" s="236">
        <f t="shared" si="21"/>
        <v>113.80906613357639</v>
      </c>
      <c r="E44" s="236">
        <f t="shared" si="21"/>
        <v>119.5378711984025</v>
      </c>
      <c r="F44" s="236">
        <f t="shared" si="21"/>
        <v>117.30616060932354</v>
      </c>
      <c r="G44" s="236">
        <f t="shared" si="21"/>
        <v>134.29403412451364</v>
      </c>
      <c r="H44" s="236">
        <f t="shared" si="21"/>
        <v>130.05722800154632</v>
      </c>
      <c r="I44" s="236">
        <f t="shared" si="21"/>
        <v>117.81469406104159</v>
      </c>
      <c r="J44" s="236">
        <f t="shared" si="21"/>
        <v>123.49619118298845</v>
      </c>
      <c r="K44" s="236">
        <f t="shared" si="21"/>
        <v>137.83360398812144</v>
      </c>
      <c r="L44" s="236">
        <f t="shared" si="21"/>
        <v>128.47617233393538</v>
      </c>
      <c r="M44" s="236">
        <f t="shared" si="21"/>
        <v>116.02131221383353</v>
      </c>
      <c r="N44" s="236">
        <f t="shared" si="21"/>
        <v>118.31216844961243</v>
      </c>
      <c r="O44" s="236">
        <f t="shared" si="21"/>
        <v>117.89482713876832</v>
      </c>
      <c r="P44" s="236">
        <f t="shared" si="21"/>
        <v>114.21265320772912</v>
      </c>
      <c r="Q44" s="236">
        <f t="shared" si="21"/>
        <v>116.67728719019786</v>
      </c>
      <c r="R44" s="236">
        <f t="shared" si="21"/>
        <v>118.41249825520168</v>
      </c>
      <c r="S44" s="236">
        <f t="shared" si="21"/>
        <v>109.25986032686185</v>
      </c>
      <c r="T44" s="236">
        <f t="shared" si="21"/>
        <v>115.03952384499108</v>
      </c>
      <c r="U44" s="236">
        <f t="shared" si="21"/>
        <v>114.31053707016743</v>
      </c>
      <c r="V44" s="236">
        <f t="shared" si="21"/>
        <v>121.02278233994654</v>
      </c>
      <c r="W44" s="236">
        <f t="shared" si="21"/>
        <v>115.61293230102245</v>
      </c>
      <c r="X44" s="236">
        <f t="shared" si="21"/>
        <v>98.92651266027849</v>
      </c>
      <c r="Y44" s="236">
        <f t="shared" si="21"/>
        <v>101.37891512464493</v>
      </c>
      <c r="DA44" s="280"/>
    </row>
    <row r="45" spans="1:105" x14ac:dyDescent="0.25">
      <c r="A45" s="238" t="s">
        <v>125</v>
      </c>
      <c r="B45" s="247">
        <f>IF(B$6=0,0,B$6/AGR!B$5*1000)</f>
        <v>1.8634642095494778</v>
      </c>
      <c r="C45" s="247">
        <f>IF(C$6=0,0,C$6/AGR!C$5*1000)</f>
        <v>1.684268574541677</v>
      </c>
      <c r="D45" s="247">
        <f>IF(D$6=0,0,D$6/AGR!D$5*1000)</f>
        <v>1.9097617315895339</v>
      </c>
      <c r="E45" s="247">
        <f>IF(E$6=0,0,E$6/AGR!E$5*1000)</f>
        <v>2.7319041364732501</v>
      </c>
      <c r="F45" s="247">
        <f>IF(F$6=0,0,F$6/AGR!F$5*1000)</f>
        <v>2.9303879975379532</v>
      </c>
      <c r="G45" s="247">
        <f>IF(G$6=0,0,G$6/AGR!G$5*1000)</f>
        <v>2.8425518180741056</v>
      </c>
      <c r="H45" s="247">
        <f>IF(H$6=0,0,H$6/AGR!H$5*1000)</f>
        <v>3.8180548346463854</v>
      </c>
      <c r="I45" s="247">
        <f>IF(I$6=0,0,I$6/AGR!I$5*1000)</f>
        <v>3.6536061745716966</v>
      </c>
      <c r="J45" s="247">
        <f>IF(J$6=0,0,J$6/AGR!J$5*1000)</f>
        <v>4.137739275666636</v>
      </c>
      <c r="K45" s="247">
        <f>IF(K$6=0,0,K$6/AGR!K$5*1000)</f>
        <v>4.7649204722986838</v>
      </c>
      <c r="L45" s="247">
        <f>IF(L$6=0,0,L$6/AGR!L$5*1000)</f>
        <v>3.5866748325438795</v>
      </c>
      <c r="M45" s="247">
        <f>IF(M$6=0,0,M$6/AGR!M$5*1000)</f>
        <v>3.534031607017059</v>
      </c>
      <c r="N45" s="247">
        <f>IF(N$6=0,0,N$6/AGR!N$5*1000)</f>
        <v>3.7452443953355483</v>
      </c>
      <c r="O45" s="247">
        <f>IF(O$6=0,0,O$6/AGR!O$5*1000)</f>
        <v>3.550440796508048</v>
      </c>
      <c r="P45" s="247">
        <f>IF(P$6=0,0,P$6/AGR!P$5*1000)</f>
        <v>3.1247396830381762</v>
      </c>
      <c r="Q45" s="247">
        <f>IF(Q$6=0,0,Q$6/AGR!Q$5*1000)</f>
        <v>3.1970982940689718</v>
      </c>
      <c r="R45" s="247">
        <f>IF(R$6=0,0,R$6/AGR!R$5*1000)</f>
        <v>3.3654134785854999</v>
      </c>
      <c r="S45" s="247">
        <f>IF(S$6=0,0,S$6/AGR!S$5*1000)</f>
        <v>3.354583585316472</v>
      </c>
      <c r="T45" s="247">
        <f>IF(T$6=0,0,T$6/AGR!T$5*1000)</f>
        <v>3.6099593059190584</v>
      </c>
      <c r="U45" s="247">
        <f>IF(U$6=0,0,U$6/AGR!U$5*1000)</f>
        <v>3.351142020210661</v>
      </c>
      <c r="V45" s="247">
        <f>IF(V$6=0,0,V$6/AGR!V$5*1000)</f>
        <v>3.5163243751376001</v>
      </c>
      <c r="W45" s="247">
        <f>IF(W$6=0,0,W$6/AGR!W$5*1000)</f>
        <v>3.5584776356915153</v>
      </c>
      <c r="X45" s="247">
        <f>IF(X$6=0,0,X$6/AGR!X$5*1000)</f>
        <v>2.8731398765238376</v>
      </c>
      <c r="Y45" s="247">
        <f>IF(Y$6=0,0,Y$6/AGR!Y$5*1000)</f>
        <v>2.9213450608371421</v>
      </c>
      <c r="DA45" s="281"/>
    </row>
    <row r="46" spans="1:105" x14ac:dyDescent="0.25">
      <c r="A46" s="240" t="s">
        <v>124</v>
      </c>
      <c r="B46" s="248">
        <f>IF(B$7=0,0,B$7/AGR!B$5*1000)</f>
        <v>1.2112517362071598</v>
      </c>
      <c r="C46" s="248">
        <f>IF(C$7=0,0,C$7/AGR!C$5*1000)</f>
        <v>1.0947745734520897</v>
      </c>
      <c r="D46" s="248">
        <f>IF(D$7=0,0,D$7/AGR!D$5*1000)</f>
        <v>1.2413451255331962</v>
      </c>
      <c r="E46" s="248">
        <f>IF(E$7=0,0,E$7/AGR!E$5*1000)</f>
        <v>1.7757376887076122</v>
      </c>
      <c r="F46" s="248">
        <f>IF(F$7=0,0,F$7/AGR!F$5*1000)</f>
        <v>1.9047521983996689</v>
      </c>
      <c r="G46" s="248">
        <f>IF(G$7=0,0,G$7/AGR!G$5*1000)</f>
        <v>1.8476586817481666</v>
      </c>
      <c r="H46" s="248">
        <f>IF(H$7=0,0,H$7/AGR!H$5*1000)</f>
        <v>2.4817356425201504</v>
      </c>
      <c r="I46" s="248">
        <f>IF(I$7=0,0,I$7/AGR!I$5*1000)</f>
        <v>2.374844013471602</v>
      </c>
      <c r="J46" s="248">
        <f>IF(J$7=0,0,J$7/AGR!J$5*1000)</f>
        <v>2.6895305291833127</v>
      </c>
      <c r="K46" s="248">
        <f>IF(K$7=0,0,K$7/AGR!K$5*1000)</f>
        <v>3.0971983069941444</v>
      </c>
      <c r="L46" s="248">
        <f>IF(L$7=0,0,L$7/AGR!L$5*1000)</f>
        <v>2.3313386411535211</v>
      </c>
      <c r="M46" s="248">
        <f>IF(M$7=0,0,M$7/AGR!M$5*1000)</f>
        <v>2.2971205445610874</v>
      </c>
      <c r="N46" s="248">
        <f>IF(N$7=0,0,N$7/AGR!N$5*1000)</f>
        <v>2.4344088569681062</v>
      </c>
      <c r="O46" s="248">
        <f>IF(O$7=0,0,O$7/AGR!O$5*1000)</f>
        <v>2.3077865177302317</v>
      </c>
      <c r="P46" s="248">
        <f>IF(P$7=0,0,P$7/AGR!P$5*1000)</f>
        <v>2.0310807939748123</v>
      </c>
      <c r="Q46" s="248">
        <f>IF(Q$7=0,0,Q$7/AGR!Q$5*1000)</f>
        <v>2.0781138911448305</v>
      </c>
      <c r="R46" s="248">
        <f>IF(R$7=0,0,R$7/AGR!R$5*1000)</f>
        <v>2.1875187610805744</v>
      </c>
      <c r="S46" s="248">
        <f>IF(S$7=0,0,S$7/AGR!S$5*1000)</f>
        <v>2.1804793304557055</v>
      </c>
      <c r="T46" s="248">
        <f>IF(T$7=0,0,T$7/AGR!T$5*1000)</f>
        <v>2.3464735488473876</v>
      </c>
      <c r="U46" s="248">
        <f>IF(U$7=0,0,U$7/AGR!U$5*1000)</f>
        <v>2.1782423131369293</v>
      </c>
      <c r="V46" s="248">
        <f>IF(V$7=0,0,V$7/AGR!V$5*1000)</f>
        <v>2.2856108438394402</v>
      </c>
      <c r="W46" s="248">
        <f>IF(W$7=0,0,W$7/AGR!W$5*1000)</f>
        <v>2.3130104631994852</v>
      </c>
      <c r="X46" s="248">
        <f>IF(X$7=0,0,X$7/AGR!X$5*1000)</f>
        <v>1.8675409197404933</v>
      </c>
      <c r="Y46" s="248">
        <f>IF(Y$7=0,0,Y$7/AGR!Y$5*1000)</f>
        <v>1.8988742895441419</v>
      </c>
      <c r="DA46" s="282"/>
    </row>
    <row r="47" spans="1:105" x14ac:dyDescent="0.25">
      <c r="A47" s="240" t="s">
        <v>123</v>
      </c>
      <c r="B47" s="248">
        <f>IF(B$8=0,0,B$8/AGR!B$5*1000)</f>
        <v>1.6771177885945303</v>
      </c>
      <c r="C47" s="248">
        <f>IF(C$8=0,0,C$8/AGR!C$5*1000)</f>
        <v>1.5158417170875089</v>
      </c>
      <c r="D47" s="248">
        <f>IF(D$8=0,0,D$8/AGR!D$5*1000)</f>
        <v>1.7187855584305787</v>
      </c>
      <c r="E47" s="248">
        <f>IF(E$8=0,0,E$8/AGR!E$5*1000)</f>
        <v>2.4587137228259235</v>
      </c>
      <c r="F47" s="248">
        <f>IF(F$8=0,0,F$8/AGR!F$5*1000)</f>
        <v>2.6373491977841574</v>
      </c>
      <c r="G47" s="248">
        <f>IF(G$8=0,0,G$8/AGR!G$5*1000)</f>
        <v>2.5582966362666952</v>
      </c>
      <c r="H47" s="248">
        <f>IF(H$8=0,0,H$8/AGR!H$5*1000)</f>
        <v>3.436249351181746</v>
      </c>
      <c r="I47" s="248">
        <f>IF(I$8=0,0,I$8/AGR!I$5*1000)</f>
        <v>3.2882455571145259</v>
      </c>
      <c r="J47" s="248">
        <f>IF(J$8=0,0,J$8/AGR!J$5*1000)</f>
        <v>3.7239653480999717</v>
      </c>
      <c r="K47" s="248">
        <f>IF(K$8=0,0,K$8/AGR!K$5*1000)</f>
        <v>4.2884284250688189</v>
      </c>
      <c r="L47" s="248">
        <f>IF(L$8=0,0,L$8/AGR!L$5*1000)</f>
        <v>3.2280073492894927</v>
      </c>
      <c r="M47" s="248">
        <f>IF(M$8=0,0,M$8/AGR!M$5*1000)</f>
        <v>3.1806284463153514</v>
      </c>
      <c r="N47" s="248">
        <f>IF(N$8=0,0,N$8/AGR!N$5*1000)</f>
        <v>3.3707199558019942</v>
      </c>
      <c r="O47" s="248">
        <f>IF(O$8=0,0,O$8/AGR!O$5*1000)</f>
        <v>3.195396716857243</v>
      </c>
      <c r="P47" s="248">
        <f>IF(P$8=0,0,P$8/AGR!P$5*1000)</f>
        <v>2.8122657147343562</v>
      </c>
      <c r="Q47" s="248">
        <f>IF(Q$8=0,0,Q$8/AGR!Q$5*1000)</f>
        <v>2.8773884646620735</v>
      </c>
      <c r="R47" s="248">
        <f>IF(R$8=0,0,R$8/AGR!R$5*1000)</f>
        <v>3.0288721307269499</v>
      </c>
      <c r="S47" s="248">
        <f>IF(S$8=0,0,S$8/AGR!S$5*1000)</f>
        <v>3.0191252267848236</v>
      </c>
      <c r="T47" s="248">
        <f>IF(T$8=0,0,T$8/AGR!T$5*1000)</f>
        <v>3.2489633753271532</v>
      </c>
      <c r="U47" s="248">
        <f>IF(U$8=0,0,U$8/AGR!U$5*1000)</f>
        <v>3.0160278181895932</v>
      </c>
      <c r="V47" s="248">
        <f>IF(V$8=0,0,V$8/AGR!V$5*1000)</f>
        <v>3.1646919376238403</v>
      </c>
      <c r="W47" s="248">
        <f>IF(W$8=0,0,W$8/AGR!W$5*1000)</f>
        <v>3.2026298721223636</v>
      </c>
      <c r="X47" s="248">
        <f>IF(X$8=0,0,X$8/AGR!X$5*1000)</f>
        <v>2.585825888871454</v>
      </c>
      <c r="Y47" s="248">
        <f>IF(Y$8=0,0,Y$8/AGR!Y$5*1000)</f>
        <v>2.6292105547534264</v>
      </c>
      <c r="DA47" s="282"/>
    </row>
    <row r="48" spans="1:105" x14ac:dyDescent="0.25">
      <c r="A48" s="242" t="s">
        <v>122</v>
      </c>
      <c r="B48" s="249">
        <f>IF(B$9=0,0,B$9/AGR!B$5*1000)</f>
        <v>23.041264152051632</v>
      </c>
      <c r="C48" s="249">
        <f>IF(C$9=0,0,C$9/AGR!C$5*1000)</f>
        <v>22.671711028459036</v>
      </c>
      <c r="D48" s="249">
        <f>IF(D$9=0,0,D$9/AGR!D$5*1000)</f>
        <v>23.251179953333001</v>
      </c>
      <c r="E48" s="249">
        <f>IF(E$9=0,0,E$9/AGR!E$5*1000)</f>
        <v>23.616091937391083</v>
      </c>
      <c r="F48" s="249">
        <f>IF(F$9=0,0,F$9/AGR!F$5*1000)</f>
        <v>22.989536816370915</v>
      </c>
      <c r="G48" s="249">
        <f>IF(G$9=0,0,G$9/AGR!G$5*1000)</f>
        <v>26.71312468889306</v>
      </c>
      <c r="H48" s="249">
        <f>IF(H$9=0,0,H$9/AGR!H$5*1000)</f>
        <v>25.29772328123309</v>
      </c>
      <c r="I48" s="249">
        <f>IF(I$9=0,0,I$9/AGR!I$5*1000)</f>
        <v>23.102401404737382</v>
      </c>
      <c r="J48" s="249">
        <f>IF(J$9=0,0,J$9/AGR!J$5*1000)</f>
        <v>24.348975420692124</v>
      </c>
      <c r="K48" s="249">
        <f>IF(K$9=0,0,K$9/AGR!K$5*1000)</f>
        <v>27.299249966624664</v>
      </c>
      <c r="L48" s="249">
        <f>IF(L$9=0,0,L$9/AGR!L$5*1000)</f>
        <v>24.862050838908836</v>
      </c>
      <c r="M48" s="249">
        <f>IF(M$9=0,0,M$9/AGR!M$5*1000)</f>
        <v>22.476507069194223</v>
      </c>
      <c r="N48" s="249">
        <f>IF(N$9=0,0,N$9/AGR!N$5*1000)</f>
        <v>23.117647537594074</v>
      </c>
      <c r="O48" s="249">
        <f>IF(O$9=0,0,O$9/AGR!O$5*1000)</f>
        <v>22.971844151047762</v>
      </c>
      <c r="P48" s="249">
        <f>IF(P$9=0,0,P$9/AGR!P$5*1000)</f>
        <v>22.239980040576313</v>
      </c>
      <c r="Q48" s="249">
        <f>IF(Q$9=0,0,Q$9/AGR!Q$5*1000)</f>
        <v>22.703027702009773</v>
      </c>
      <c r="R48" s="249">
        <f>IF(R$9=0,0,R$9/AGR!R$5*1000)</f>
        <v>23.086609057991726</v>
      </c>
      <c r="S48" s="249">
        <f>IF(S$9=0,0,S$9/AGR!S$5*1000)</f>
        <v>21.333501777339734</v>
      </c>
      <c r="T48" s="249">
        <f>IF(T$9=0,0,T$9/AGR!T$5*1000)</f>
        <v>22.436098764715226</v>
      </c>
      <c r="U48" s="249">
        <f>IF(U$9=0,0,U$9/AGR!U$5*1000)</f>
        <v>22.237928938851642</v>
      </c>
      <c r="V48" s="249">
        <f>IF(V$9=0,0,V$9/AGR!V$5*1000)</f>
        <v>23.610682611635038</v>
      </c>
      <c r="W48" s="249">
        <f>IF(W$9=0,0,W$9/AGR!W$5*1000)</f>
        <v>22.560984646992104</v>
      </c>
      <c r="X48" s="249">
        <f>IF(X$9=0,0,X$9/AGR!X$5*1000)</f>
        <v>19.290270618617402</v>
      </c>
      <c r="Y48" s="249">
        <f>IF(Y$9=0,0,Y$9/AGR!Y$5*1000)</f>
        <v>19.775411972568449</v>
      </c>
      <c r="DA48" s="283"/>
    </row>
    <row r="49" spans="1:105" x14ac:dyDescent="0.25">
      <c r="A49" s="127" t="s">
        <v>168</v>
      </c>
      <c r="B49" s="262">
        <f>IF(B$16=0,0,B$16/AGR!B$5*1000)</f>
        <v>31.479882008217913</v>
      </c>
      <c r="C49" s="262">
        <f>IF(C$16=0,0,C$16/AGR!C$5*1000)</f>
        <v>30.958495073340167</v>
      </c>
      <c r="D49" s="262">
        <f>IF(D$16=0,0,D$16/AGR!D$5*1000)</f>
        <v>31.766890828201625</v>
      </c>
      <c r="E49" s="262">
        <f>IF(E$16=0,0,E$16/AGR!E$5*1000)</f>
        <v>32.184213858545313</v>
      </c>
      <c r="F49" s="262">
        <f>IF(F$16=0,0,F$16/AGR!F$5*1000)</f>
        <v>31.129463153735561</v>
      </c>
      <c r="G49" s="262">
        <f>IF(G$16=0,0,G$16/AGR!G$5*1000)</f>
        <v>36.53925031727195</v>
      </c>
      <c r="H49" s="262">
        <f>IF(H$16=0,0,H$16/AGR!H$5*1000)</f>
        <v>33.27176887701286</v>
      </c>
      <c r="I49" s="262">
        <f>IF(I$16=0,0,I$16/AGR!I$5*1000)</f>
        <v>29.953556881126573</v>
      </c>
      <c r="J49" s="262">
        <f>IF(J$16=0,0,J$16/AGR!J$5*1000)</f>
        <v>30.482743647044234</v>
      </c>
      <c r="K49" s="262">
        <f>IF(K$16=0,0,K$16/AGR!K$5*1000)</f>
        <v>33.636788673887331</v>
      </c>
      <c r="L49" s="262">
        <f>IF(L$16=0,0,L$16/AGR!L$5*1000)</f>
        <v>33.079517858623483</v>
      </c>
      <c r="M49" s="262">
        <f>IF(M$16=0,0,M$16/AGR!M$5*1000)</f>
        <v>29.173010651917661</v>
      </c>
      <c r="N49" s="262">
        <f>IF(N$16=0,0,N$16/AGR!N$5*1000)</f>
        <v>29.679812584045138</v>
      </c>
      <c r="O49" s="262">
        <f>IF(O$16=0,0,O$16/AGR!O$5*1000)</f>
        <v>29.970578298105846</v>
      </c>
      <c r="P49" s="262">
        <f>IF(P$16=0,0,P$16/AGR!P$5*1000)</f>
        <v>29.746993336216224</v>
      </c>
      <c r="Q49" s="262">
        <f>IF(Q$16=0,0,Q$16/AGR!Q$5*1000)</f>
        <v>30.32606769068931</v>
      </c>
      <c r="R49" s="262">
        <f>IF(R$16=0,0,R$16/AGR!R$5*1000)</f>
        <v>30.674502958273518</v>
      </c>
      <c r="S49" s="262">
        <f>IF(S$16=0,0,S$16/AGR!S$5*1000)</f>
        <v>27.790438912405111</v>
      </c>
      <c r="T49" s="262">
        <f>IF(T$16=0,0,T$16/AGR!T$5*1000)</f>
        <v>29.04202924528391</v>
      </c>
      <c r="U49" s="262">
        <f>IF(U$16=0,0,U$16/AGR!U$5*1000)</f>
        <v>29.300805486455943</v>
      </c>
      <c r="V49" s="262">
        <f>IF(V$16=0,0,V$16/AGR!V$5*1000)</f>
        <v>31.195025834885449</v>
      </c>
      <c r="W49" s="262">
        <f>IF(W$16=0,0,W$16/AGR!W$5*1000)</f>
        <v>29.319980306476808</v>
      </c>
      <c r="X49" s="262">
        <f>IF(X$16=0,0,X$16/AGR!X$5*1000)</f>
        <v>25.541160276261028</v>
      </c>
      <c r="Y49" s="262">
        <f>IF(Y$16=0,0,Y$16/AGR!Y$5*1000)</f>
        <v>26.241603904333413</v>
      </c>
      <c r="DA49" s="284"/>
    </row>
    <row r="50" spans="1:105" x14ac:dyDescent="0.25">
      <c r="A50" s="127" t="s">
        <v>121</v>
      </c>
      <c r="B50" s="262">
        <f>IF(B$17=0,0,B$17/AGR!B$5*1000)</f>
        <v>42.584123135704417</v>
      </c>
      <c r="C50" s="262">
        <f>IF(C$17=0,0,C$17/AGR!C$5*1000)</f>
        <v>41.818942533020937</v>
      </c>
      <c r="D50" s="262">
        <f>IF(D$17=0,0,D$17/AGR!D$5*1000)</f>
        <v>43.137913884916259</v>
      </c>
      <c r="E50" s="262">
        <f>IF(E$17=0,0,E$17/AGR!E$5*1000)</f>
        <v>43.893579812786029</v>
      </c>
      <c r="F50" s="262">
        <f>IF(F$17=0,0,F$17/AGR!F$5*1000)</f>
        <v>42.553434882145204</v>
      </c>
      <c r="G50" s="262">
        <f>IF(G$17=0,0,G$17/AGR!G$5*1000)</f>
        <v>49.807578571442825</v>
      </c>
      <c r="H50" s="262">
        <f>IF(H$17=0,0,H$17/AGR!H$5*1000)</f>
        <v>46.004014002571409</v>
      </c>
      <c r="I50" s="262">
        <f>IF(I$17=0,0,I$17/AGR!I$5*1000)</f>
        <v>40.734879322898635</v>
      </c>
      <c r="J50" s="262">
        <f>IF(J$17=0,0,J$17/AGR!J$5*1000)</f>
        <v>42.118262510330247</v>
      </c>
      <c r="K50" s="262">
        <f>IF(K$17=0,0,K$17/AGR!K$5*1000)</f>
        <v>46.609373722674846</v>
      </c>
      <c r="L50" s="262">
        <f>IF(L$17=0,0,L$17/AGR!L$5*1000)</f>
        <v>46.244724441537315</v>
      </c>
      <c r="M50" s="262">
        <f>IF(M$17=0,0,M$17/AGR!M$5*1000)</f>
        <v>41.095799341016097</v>
      </c>
      <c r="N50" s="262">
        <f>IF(N$17=0,0,N$17/AGR!N$5*1000)</f>
        <v>41.085263019868883</v>
      </c>
      <c r="O50" s="262">
        <f>IF(O$17=0,0,O$17/AGR!O$5*1000)</f>
        <v>41.441104320529568</v>
      </c>
      <c r="P50" s="262">
        <f>IF(P$17=0,0,P$17/AGR!P$5*1000)</f>
        <v>40.885848742923521</v>
      </c>
      <c r="Q50" s="262">
        <f>IF(Q$17=0,0,Q$17/AGR!Q$5*1000)</f>
        <v>41.835293691273193</v>
      </c>
      <c r="R50" s="262">
        <f>IF(R$17=0,0,R$17/AGR!R$5*1000)</f>
        <v>41.929957469698131</v>
      </c>
      <c r="S50" s="262">
        <f>IF(S$17=0,0,S$17/AGR!S$5*1000)</f>
        <v>38.022837275634707</v>
      </c>
      <c r="T50" s="262">
        <f>IF(T$17=0,0,T$17/AGR!T$5*1000)</f>
        <v>39.930931357624118</v>
      </c>
      <c r="U50" s="262">
        <f>IF(U$17=0,0,U$17/AGR!U$5*1000)</f>
        <v>40.385698584722718</v>
      </c>
      <c r="V50" s="262">
        <f>IF(V$17=0,0,V$17/AGR!V$5*1000)</f>
        <v>42.641067832791634</v>
      </c>
      <c r="W50" s="262">
        <f>IF(W$17=0,0,W$17/AGR!W$5*1000)</f>
        <v>40.305500608547455</v>
      </c>
      <c r="X50" s="262">
        <f>IF(X$17=0,0,X$17/AGR!X$5*1000)</f>
        <v>34.821435582686078</v>
      </c>
      <c r="Y50" s="262">
        <f>IF(Y$17=0,0,Y$17/AGR!Y$5*1000)</f>
        <v>35.712631063023743</v>
      </c>
      <c r="DA50" s="284"/>
    </row>
    <row r="51" spans="1:105" x14ac:dyDescent="0.25">
      <c r="A51" s="127" t="s">
        <v>167</v>
      </c>
      <c r="B51" s="262">
        <f>IF(B$25=0,0,B$25/AGR!B$5*1000)</f>
        <v>6.0491216725653167</v>
      </c>
      <c r="C51" s="262">
        <f>IF(C$25=0,0,C$25/AGR!C$5*1000)</f>
        <v>5.9489328279331124</v>
      </c>
      <c r="D51" s="262">
        <f>IF(D$25=0,0,D$25/AGR!D$5*1000)</f>
        <v>6.1042728091778242</v>
      </c>
      <c r="E51" s="262">
        <f>IF(E$25=0,0,E$25/AGR!E$5*1000)</f>
        <v>6.1844649073138216</v>
      </c>
      <c r="F51" s="262">
        <f>IF(F$25=0,0,F$25/AGR!F$5*1000)</f>
        <v>5.9817857693820882</v>
      </c>
      <c r="G51" s="262">
        <f>IF(G$25=0,0,G$25/AGR!G$5*1000)</f>
        <v>7.0213214565352589</v>
      </c>
      <c r="H51" s="262">
        <f>IF(H$25=0,0,H$25/AGR!H$5*1000)</f>
        <v>6.3934476674970329</v>
      </c>
      <c r="I51" s="262">
        <f>IF(I$25=0,0,I$25/AGR!I$5*1000)</f>
        <v>5.7558255794205229</v>
      </c>
      <c r="J51" s="262">
        <f>IF(J$25=0,0,J$25/AGR!J$5*1000)</f>
        <v>5.8575132265886953</v>
      </c>
      <c r="K51" s="262">
        <f>IF(K$25=0,0,K$25/AGR!K$5*1000)</f>
        <v>6.4635892634411443</v>
      </c>
      <c r="L51" s="262">
        <f>IF(L$25=0,0,L$25/AGR!L$5*1000)</f>
        <v>6.3565050321463508</v>
      </c>
      <c r="M51" s="262">
        <f>IF(M$25=0,0,M$25/AGR!M$5*1000)</f>
        <v>5.6058371166202505</v>
      </c>
      <c r="N51" s="262">
        <f>IF(N$25=0,0,N$25/AGR!N$5*1000)</f>
        <v>5.703223331426579</v>
      </c>
      <c r="O51" s="262">
        <f>IF(O$25=0,0,O$25/AGR!O$5*1000)</f>
        <v>5.7590963865449023</v>
      </c>
      <c r="P51" s="262">
        <f>IF(P$25=0,0,P$25/AGR!P$5*1000)</f>
        <v>5.7161326728221784</v>
      </c>
      <c r="Q51" s="262">
        <f>IF(Q$25=0,0,Q$25/AGR!Q$5*1000)</f>
        <v>5.8274066358807302</v>
      </c>
      <c r="R51" s="262">
        <f>IF(R$25=0,0,R$25/AGR!R$5*1000)</f>
        <v>5.8943613763108074</v>
      </c>
      <c r="S51" s="262">
        <f>IF(S$25=0,0,S$25/AGR!S$5*1000)</f>
        <v>5.3401644348999504</v>
      </c>
      <c r="T51" s="262">
        <f>IF(T$25=0,0,T$25/AGR!T$5*1000)</f>
        <v>5.5806679477725218</v>
      </c>
      <c r="U51" s="262">
        <f>IF(U$25=0,0,U$25/AGR!U$5*1000)</f>
        <v>5.6303939590838112</v>
      </c>
      <c r="V51" s="262">
        <f>IF(V$25=0,0,V$25/AGR!V$5*1000)</f>
        <v>5.9943841849464103</v>
      </c>
      <c r="W51" s="262">
        <f>IF(W$25=0,0,W$25/AGR!W$5*1000)</f>
        <v>5.6340785605485024</v>
      </c>
      <c r="X51" s="262">
        <f>IF(X$25=0,0,X$25/AGR!X$5*1000)</f>
        <v>4.9079468000947983</v>
      </c>
      <c r="Y51" s="262">
        <f>IF(Y$25=0,0,Y$25/AGR!Y$5*1000)</f>
        <v>5.0425428805336256</v>
      </c>
      <c r="DA51" s="284"/>
    </row>
    <row r="52" spans="1:105" x14ac:dyDescent="0.25">
      <c r="A52" s="127" t="s">
        <v>170</v>
      </c>
      <c r="B52" s="262">
        <f>IF(B$26=0,0,B$26/AGR!B$5*1000)</f>
        <v>1.8634642095494778</v>
      </c>
      <c r="C52" s="262">
        <f>IF(C$26=0,0,C$26/AGR!C$5*1000)</f>
        <v>1.684268574541677</v>
      </c>
      <c r="D52" s="262">
        <f>IF(D$26=0,0,D$26/AGR!D$5*1000)</f>
        <v>1.9097617315895339</v>
      </c>
      <c r="E52" s="262">
        <f>IF(E$26=0,0,E$26/AGR!E$5*1000)</f>
        <v>2.7319041364732501</v>
      </c>
      <c r="F52" s="262">
        <f>IF(F$26=0,0,F$26/AGR!F$5*1000)</f>
        <v>2.9303879975379532</v>
      </c>
      <c r="G52" s="262">
        <f>IF(G$26=0,0,G$26/AGR!G$5*1000)</f>
        <v>2.8425518180741056</v>
      </c>
      <c r="H52" s="262">
        <f>IF(H$26=0,0,H$26/AGR!H$5*1000)</f>
        <v>3.8180548346463854</v>
      </c>
      <c r="I52" s="262">
        <f>IF(I$26=0,0,I$26/AGR!I$5*1000)</f>
        <v>3.6536061745716966</v>
      </c>
      <c r="J52" s="262">
        <f>IF(J$26=0,0,J$26/AGR!J$5*1000)</f>
        <v>4.137739275666636</v>
      </c>
      <c r="K52" s="262">
        <f>IF(K$26=0,0,K$26/AGR!K$5*1000)</f>
        <v>4.7649204722986838</v>
      </c>
      <c r="L52" s="262">
        <f>IF(L$26=0,0,L$26/AGR!L$5*1000)</f>
        <v>3.5866748325438795</v>
      </c>
      <c r="M52" s="262">
        <f>IF(M$26=0,0,M$26/AGR!M$5*1000)</f>
        <v>3.534031607017059</v>
      </c>
      <c r="N52" s="262">
        <f>IF(N$26=0,0,N$26/AGR!N$5*1000)</f>
        <v>3.7452443953355483</v>
      </c>
      <c r="O52" s="262">
        <f>IF(O$26=0,0,O$26/AGR!O$5*1000)</f>
        <v>3.550440796508048</v>
      </c>
      <c r="P52" s="262">
        <f>IF(P$26=0,0,P$26/AGR!P$5*1000)</f>
        <v>3.1247396830381762</v>
      </c>
      <c r="Q52" s="262">
        <f>IF(Q$26=0,0,Q$26/AGR!Q$5*1000)</f>
        <v>3.1970982940689718</v>
      </c>
      <c r="R52" s="262">
        <f>IF(R$26=0,0,R$26/AGR!R$5*1000)</f>
        <v>3.3654134785854999</v>
      </c>
      <c r="S52" s="262">
        <f>IF(S$26=0,0,S$26/AGR!S$5*1000)</f>
        <v>3.354583585316472</v>
      </c>
      <c r="T52" s="262">
        <f>IF(T$26=0,0,T$26/AGR!T$5*1000)</f>
        <v>3.6099593059190584</v>
      </c>
      <c r="U52" s="262">
        <f>IF(U$26=0,0,U$26/AGR!U$5*1000)</f>
        <v>3.351142020210661</v>
      </c>
      <c r="V52" s="262">
        <f>IF(V$26=0,0,V$26/AGR!V$5*1000)</f>
        <v>3.5163243751376001</v>
      </c>
      <c r="W52" s="262">
        <f>IF(W$26=0,0,W$26/AGR!W$5*1000)</f>
        <v>3.5584776356915153</v>
      </c>
      <c r="X52" s="262">
        <f>IF(X$26=0,0,X$26/AGR!X$5*1000)</f>
        <v>2.8731398765238376</v>
      </c>
      <c r="Y52" s="262">
        <f>IF(Y$26=0,0,Y$26/AGR!Y$5*1000)</f>
        <v>2.9213450608371421</v>
      </c>
      <c r="DA52" s="284"/>
    </row>
    <row r="53" spans="1:105" x14ac:dyDescent="0.25">
      <c r="A53" s="260" t="s">
        <v>33</v>
      </c>
      <c r="B53" s="263">
        <f>IF(B$27=0,0,B$27/AGR!B$5*1000)</f>
        <v>2.7020231038467406</v>
      </c>
      <c r="C53" s="263">
        <f>IF(C$27=0,0,C$27/AGR!C$5*1000)</f>
        <v>2.4421894330854315</v>
      </c>
      <c r="D53" s="263">
        <f>IF(D$27=0,0,D$27/AGR!D$5*1000)</f>
        <v>2.7691545108048241</v>
      </c>
      <c r="E53" s="263">
        <f>IF(E$27=0,0,E$27/AGR!E$5*1000)</f>
        <v>3.9612609978862121</v>
      </c>
      <c r="F53" s="263">
        <f>IF(F$27=0,0,F$27/AGR!F$5*1000)</f>
        <v>4.2490625964300319</v>
      </c>
      <c r="G53" s="263">
        <f>IF(G$27=0,0,G$27/AGR!G$5*1000)</f>
        <v>4.1217001362074521</v>
      </c>
      <c r="H53" s="263">
        <f>IF(H$27=0,0,H$27/AGR!H$5*1000)</f>
        <v>5.5361795102372566</v>
      </c>
      <c r="I53" s="263">
        <f>IF(I$27=0,0,I$27/AGR!I$5*1000)</f>
        <v>5.2977289531289609</v>
      </c>
      <c r="J53" s="263">
        <f>IF(J$27=0,0,J$27/AGR!J$5*1000)</f>
        <v>5.9997219497166219</v>
      </c>
      <c r="K53" s="263">
        <f>IF(K$27=0,0,K$27/AGR!K$5*1000)</f>
        <v>6.9091346848330968</v>
      </c>
      <c r="L53" s="263">
        <f>IF(L$27=0,0,L$27/AGR!L$5*1000)</f>
        <v>5.200678507188627</v>
      </c>
      <c r="M53" s="263">
        <f>IF(M$27=0,0,M$27/AGR!M$5*1000)</f>
        <v>5.1243458301747324</v>
      </c>
      <c r="N53" s="263">
        <f>IF(N$27=0,0,N$27/AGR!N$5*1000)</f>
        <v>5.4306043732365445</v>
      </c>
      <c r="O53" s="263">
        <f>IF(O$27=0,0,O$27/AGR!O$5*1000)</f>
        <v>5.1481391549366711</v>
      </c>
      <c r="P53" s="263">
        <f>IF(P$27=0,0,P$27/AGR!P$5*1000)</f>
        <v>4.5308725404053511</v>
      </c>
      <c r="Q53" s="263">
        <f>IF(Q$27=0,0,Q$27/AGR!Q$5*1000)</f>
        <v>4.6357925264000093</v>
      </c>
      <c r="R53" s="263">
        <f>IF(R$27=0,0,R$27/AGR!R$5*1000)</f>
        <v>4.8798495439489749</v>
      </c>
      <c r="S53" s="263">
        <f>IF(S$27=0,0,S$27/AGR!S$5*1000)</f>
        <v>4.8641461987088839</v>
      </c>
      <c r="T53" s="263">
        <f>IF(T$27=0,0,T$27/AGR!T$5*1000)</f>
        <v>5.2344409935826341</v>
      </c>
      <c r="U53" s="263">
        <f>IF(U$27=0,0,U$27/AGR!U$5*1000)</f>
        <v>4.8591559293054578</v>
      </c>
      <c r="V53" s="263">
        <f>IF(V$27=0,0,V$27/AGR!V$5*1000)</f>
        <v>5.0986703439495216</v>
      </c>
      <c r="W53" s="263">
        <f>IF(W$27=0,0,W$27/AGR!W$5*1000)</f>
        <v>5.1597925717526962</v>
      </c>
      <c r="X53" s="263">
        <f>IF(X$27=0,0,X$27/AGR!X$5*1000)</f>
        <v>4.166052820959564</v>
      </c>
      <c r="Y53" s="263">
        <f>IF(Y$27=0,0,Y$27/AGR!Y$5*1000)</f>
        <v>4.235950338213855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260.61402318136248</v>
      </c>
      <c r="C5" s="80">
        <f t="shared" ref="C5:W5" si="1">SUM(C6:C9,C16:C17,C25:C27)</f>
        <v>309.26081272967667</v>
      </c>
      <c r="D5" s="80">
        <f t="shared" si="1"/>
        <v>304.3648629829222</v>
      </c>
      <c r="E5" s="80">
        <f t="shared" si="1"/>
        <v>223.92075041580961</v>
      </c>
      <c r="F5" s="80">
        <f t="shared" si="1"/>
        <v>221.36400092997468</v>
      </c>
      <c r="G5" s="80">
        <f t="shared" si="1"/>
        <v>283.73420252010936</v>
      </c>
      <c r="H5" s="80">
        <f t="shared" si="1"/>
        <v>175.92258816278215</v>
      </c>
      <c r="I5" s="80">
        <f t="shared" si="1"/>
        <v>181.70965038909938</v>
      </c>
      <c r="J5" s="80">
        <f t="shared" si="1"/>
        <v>154.30860410203104</v>
      </c>
      <c r="K5" s="80">
        <f t="shared" si="1"/>
        <v>150.36276968539099</v>
      </c>
      <c r="L5" s="80">
        <f t="shared" si="1"/>
        <v>198.75030022576439</v>
      </c>
      <c r="M5" s="80">
        <f t="shared" si="1"/>
        <v>168.5752340048663</v>
      </c>
      <c r="N5" s="80">
        <f t="shared" si="1"/>
        <v>164.81234906306881</v>
      </c>
      <c r="O5" s="80">
        <f t="shared" si="1"/>
        <v>166.00888794635327</v>
      </c>
      <c r="P5" s="80">
        <f t="shared" si="1"/>
        <v>165.68633566126186</v>
      </c>
      <c r="Q5" s="80">
        <f t="shared" si="1"/>
        <v>171.04242468890041</v>
      </c>
      <c r="R5" s="80">
        <f t="shared" si="1"/>
        <v>169.85994020953984</v>
      </c>
      <c r="S5" s="80">
        <f t="shared" si="1"/>
        <v>181.43852535804055</v>
      </c>
      <c r="T5" s="80">
        <f t="shared" si="1"/>
        <v>184.53056566431815</v>
      </c>
      <c r="U5" s="80">
        <f t="shared" si="1"/>
        <v>186.7919562755053</v>
      </c>
      <c r="V5" s="80">
        <f t="shared" si="1"/>
        <v>197.2864509679531</v>
      </c>
      <c r="W5" s="80">
        <f t="shared" si="1"/>
        <v>210.02675907909992</v>
      </c>
      <c r="X5" s="80">
        <f t="shared" ref="X5:Y5" si="2">SUM(X6:X9,X16:X17,X25:X27)</f>
        <v>190.31880600744785</v>
      </c>
      <c r="Y5" s="80">
        <f t="shared" si="2"/>
        <v>198.15050954297712</v>
      </c>
      <c r="DA5" s="103"/>
    </row>
    <row r="6" spans="1:105" x14ac:dyDescent="0.25">
      <c r="A6" s="238" t="s">
        <v>125</v>
      </c>
      <c r="B6" s="239">
        <v>5.3770984792017726</v>
      </c>
      <c r="C6" s="239">
        <v>5.9238616549832592</v>
      </c>
      <c r="D6" s="239">
        <v>6.3565497590400852</v>
      </c>
      <c r="E6" s="239">
        <v>6.2567931867019828</v>
      </c>
      <c r="F6" s="239">
        <v>6.7066591597514504</v>
      </c>
      <c r="G6" s="239">
        <v>7.3901403659259826</v>
      </c>
      <c r="H6" s="239">
        <v>6.137321055333592</v>
      </c>
      <c r="I6" s="239">
        <v>6.6307190048757514</v>
      </c>
      <c r="J6" s="239">
        <v>5.9838217543282388</v>
      </c>
      <c r="K6" s="239">
        <v>5.975109343901698</v>
      </c>
      <c r="L6" s="239">
        <v>6.6581141177104577</v>
      </c>
      <c r="M6" s="239">
        <v>6.0746108704726156</v>
      </c>
      <c r="N6" s="239">
        <v>6.1212754444230182</v>
      </c>
      <c r="O6" s="239">
        <v>5.9189352186160757</v>
      </c>
      <c r="P6" s="239">
        <v>5.4488049221449932</v>
      </c>
      <c r="Q6" s="239">
        <v>5.6313534815672019</v>
      </c>
      <c r="R6" s="239">
        <v>5.7686485342454166</v>
      </c>
      <c r="S6" s="239">
        <v>6.5742531691087223</v>
      </c>
      <c r="T6" s="239">
        <v>6.8129936218798131</v>
      </c>
      <c r="U6" s="239">
        <v>6.517744277934379</v>
      </c>
      <c r="V6" s="239">
        <v>6.8273795071636121</v>
      </c>
      <c r="W6" s="239">
        <v>7.6277623933959697</v>
      </c>
      <c r="X6" s="239">
        <v>6.5856678151330366</v>
      </c>
      <c r="Y6" s="239">
        <v>6.8116280590133211</v>
      </c>
      <c r="DA6" s="267" t="s">
        <v>1016</v>
      </c>
    </row>
    <row r="7" spans="1:105" x14ac:dyDescent="0.25">
      <c r="A7" s="240" t="s">
        <v>124</v>
      </c>
      <c r="B7" s="241">
        <v>3.4658526155863729</v>
      </c>
      <c r="C7" s="241">
        <v>3.8182732733478608</v>
      </c>
      <c r="D7" s="241">
        <v>4.0971659146076282</v>
      </c>
      <c r="E7" s="241">
        <v>4.0328670034946468</v>
      </c>
      <c r="F7" s="241">
        <v>4.322831780109313</v>
      </c>
      <c r="G7" s="241">
        <v>4.7633751577853323</v>
      </c>
      <c r="H7" s="241">
        <v>3.955860268246183</v>
      </c>
      <c r="I7" s="241">
        <v>4.273883934831419</v>
      </c>
      <c r="J7" s="241">
        <v>3.856921043692672</v>
      </c>
      <c r="K7" s="241">
        <v>3.8513053885988171</v>
      </c>
      <c r="L7" s="241">
        <v>4.2915416779134343</v>
      </c>
      <c r="M7" s="241">
        <v>3.9154399078854789</v>
      </c>
      <c r="N7" s="241">
        <v>3.9455179390591311</v>
      </c>
      <c r="O7" s="241">
        <v>3.8150978986667461</v>
      </c>
      <c r="P7" s="241">
        <v>3.5120715873590549</v>
      </c>
      <c r="Q7" s="241">
        <v>3.629734748000836</v>
      </c>
      <c r="R7" s="241">
        <v>3.7182293923285141</v>
      </c>
      <c r="S7" s="241">
        <v>4.2374884205328804</v>
      </c>
      <c r="T7" s="241">
        <v>4.3913705236566081</v>
      </c>
      <c r="U7" s="241">
        <v>4.2010651545209194</v>
      </c>
      <c r="V7" s="241">
        <v>4.4006430631741997</v>
      </c>
      <c r="W7" s="241">
        <v>4.9165363707728336</v>
      </c>
      <c r="X7" s="241">
        <v>4.2448458235881503</v>
      </c>
      <c r="Y7" s="241">
        <v>4.3904903389899346</v>
      </c>
      <c r="DA7" s="268" t="s">
        <v>1017</v>
      </c>
    </row>
    <row r="8" spans="1:105" x14ac:dyDescent="0.25">
      <c r="A8" s="240" t="s">
        <v>123</v>
      </c>
      <c r="B8" s="241">
        <v>6.8874540305618721</v>
      </c>
      <c r="C8" s="241">
        <v>7.58779572104139</v>
      </c>
      <c r="D8" s="241">
        <v>8.1420201671416841</v>
      </c>
      <c r="E8" s="241">
        <v>8.0142432984675054</v>
      </c>
      <c r="F8" s="241">
        <v>8.5904706488269458</v>
      </c>
      <c r="G8" s="241">
        <v>9.4659326487304529</v>
      </c>
      <c r="H8" s="241">
        <v>7.8612130320671811</v>
      </c>
      <c r="I8" s="241">
        <v>8.493199912982476</v>
      </c>
      <c r="J8" s="241">
        <v>7.6645978159823374</v>
      </c>
      <c r="K8" s="241">
        <v>7.653438205173595</v>
      </c>
      <c r="L8" s="241">
        <v>8.5282899491871174</v>
      </c>
      <c r="M8" s="241">
        <v>7.7808883891117624</v>
      </c>
      <c r="N8" s="241">
        <v>7.8406604221482228</v>
      </c>
      <c r="O8" s="241">
        <v>7.5814855141250206</v>
      </c>
      <c r="P8" s="241">
        <v>6.9793018610185422</v>
      </c>
      <c r="Q8" s="241">
        <v>7.2131258864160452</v>
      </c>
      <c r="R8" s="241">
        <v>7.3889852960218638</v>
      </c>
      <c r="S8" s="241">
        <v>8.4208735738523774</v>
      </c>
      <c r="T8" s="241">
        <v>8.726673049174714</v>
      </c>
      <c r="U8" s="241">
        <v>8.3484920856228602</v>
      </c>
      <c r="V8" s="241">
        <v>8.7450997385805973</v>
      </c>
      <c r="W8" s="241">
        <v>9.7702995479380306</v>
      </c>
      <c r="X8" s="241">
        <v>8.4354944423508282</v>
      </c>
      <c r="Y8" s="241">
        <v>8.724923917834607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86.223426454666154</v>
      </c>
      <c r="C9" s="243">
        <f t="shared" ref="C9:W9" si="4">SUM(C10:C15)</f>
        <v>103.17325643369658</v>
      </c>
      <c r="D9" s="243">
        <f t="shared" si="4"/>
        <v>100.44747280121635</v>
      </c>
      <c r="E9" s="243">
        <f t="shared" si="4"/>
        <v>71.553138325474833</v>
      </c>
      <c r="F9" s="243">
        <f t="shared" si="4"/>
        <v>70.364309853722048</v>
      </c>
      <c r="G9" s="243">
        <f t="shared" si="4"/>
        <v>91.221389928949378</v>
      </c>
      <c r="H9" s="243">
        <f t="shared" si="4"/>
        <v>56.154413876203343</v>
      </c>
      <c r="I9" s="243">
        <f t="shared" si="4"/>
        <v>58.566374393806854</v>
      </c>
      <c r="J9" s="243">
        <f t="shared" si="4"/>
        <v>50.536891340104347</v>
      </c>
      <c r="K9" s="243">
        <f t="shared" si="4"/>
        <v>49.706245610357158</v>
      </c>
      <c r="L9" s="243">
        <f t="shared" si="4"/>
        <v>63.097085945448114</v>
      </c>
      <c r="M9" s="243">
        <f t="shared" si="4"/>
        <v>54.034830962461449</v>
      </c>
      <c r="N9" s="243">
        <f t="shared" si="4"/>
        <v>53.264547870200019</v>
      </c>
      <c r="O9" s="243">
        <f t="shared" si="4"/>
        <v>53.240044215012929</v>
      </c>
      <c r="P9" s="243">
        <f t="shared" si="4"/>
        <v>52.688656501475855</v>
      </c>
      <c r="Q9" s="243">
        <f t="shared" si="4"/>
        <v>54.384879503634529</v>
      </c>
      <c r="R9" s="243">
        <f t="shared" si="4"/>
        <v>54.139270012000338</v>
      </c>
      <c r="S9" s="243">
        <f t="shared" si="4"/>
        <v>58.284230513748696</v>
      </c>
      <c r="T9" s="243">
        <f t="shared" si="4"/>
        <v>59.426907120416246</v>
      </c>
      <c r="U9" s="243">
        <f t="shared" si="4"/>
        <v>59.670228684763607</v>
      </c>
      <c r="V9" s="243">
        <f t="shared" si="4"/>
        <v>63.038204077124355</v>
      </c>
      <c r="W9" s="243">
        <f t="shared" si="4"/>
        <v>67.531628570707994</v>
      </c>
      <c r="X9" s="243">
        <f t="shared" ref="X9:Y9" si="5">SUM(X10:X15)</f>
        <v>60.742516576156618</v>
      </c>
      <c r="Y9" s="243">
        <f t="shared" si="5"/>
        <v>63.209954987224215</v>
      </c>
      <c r="DA9" s="269"/>
    </row>
    <row r="10" spans="1:105" x14ac:dyDescent="0.25">
      <c r="A10" s="253" t="s">
        <v>166</v>
      </c>
      <c r="B10" s="254">
        <v>81.878363423041307</v>
      </c>
      <c r="C10" s="254">
        <v>98.757676178372918</v>
      </c>
      <c r="D10" s="254">
        <v>94.805199034325781</v>
      </c>
      <c r="E10" s="254">
        <v>62.815223130670262</v>
      </c>
      <c r="F10" s="254">
        <v>59.135008179709573</v>
      </c>
      <c r="G10" s="254">
        <v>82.503472418816528</v>
      </c>
      <c r="H10" s="254">
        <v>40.774905469691547</v>
      </c>
      <c r="I10" s="254">
        <v>40.19321749713292</v>
      </c>
      <c r="J10" s="254">
        <v>29.987496871976589</v>
      </c>
      <c r="K10" s="254">
        <v>27.778802844744131</v>
      </c>
      <c r="L10" s="254">
        <v>48.10554487512087</v>
      </c>
      <c r="M10" s="254">
        <v>36.795487342215473</v>
      </c>
      <c r="N10" s="254">
        <v>34.84879558030547</v>
      </c>
      <c r="O10" s="254">
        <v>37.126648127087677</v>
      </c>
      <c r="P10" s="254">
        <v>41.219941723883203</v>
      </c>
      <c r="Q10" s="254">
        <v>42.207640022909303</v>
      </c>
      <c r="R10" s="254">
        <v>41.083362792375212</v>
      </c>
      <c r="S10" s="254">
        <v>40.509445692768338</v>
      </c>
      <c r="T10" s="254">
        <v>40.25957941266045</v>
      </c>
      <c r="U10" s="254">
        <v>43.4543301060597</v>
      </c>
      <c r="V10" s="254">
        <v>46.577900476719378</v>
      </c>
      <c r="W10" s="254">
        <v>46.346779361829192</v>
      </c>
      <c r="X10" s="254">
        <v>45.433681972793252</v>
      </c>
      <c r="Y10" s="254">
        <v>47.800021377391879</v>
      </c>
      <c r="DA10" s="270" t="s">
        <v>1019</v>
      </c>
    </row>
    <row r="11" spans="1:105" x14ac:dyDescent="0.25">
      <c r="A11" s="253" t="s">
        <v>169</v>
      </c>
      <c r="B11" s="255">
        <v>3.0070099837867081E-2</v>
      </c>
      <c r="C11" s="255">
        <v>0.46232006255663233</v>
      </c>
      <c r="D11" s="255">
        <v>0.71958164745860853</v>
      </c>
      <c r="E11" s="255">
        <v>0.78022278867896144</v>
      </c>
      <c r="F11" s="255">
        <v>0.74555535139946494</v>
      </c>
      <c r="G11" s="255">
        <v>0.88323721794147836</v>
      </c>
      <c r="H11" s="255">
        <v>0.90615442018833137</v>
      </c>
      <c r="I11" s="255">
        <v>1.055831420986082</v>
      </c>
      <c r="J11" s="255">
        <v>1.239621819059304</v>
      </c>
      <c r="K11" s="255">
        <v>1.0770733146036009</v>
      </c>
      <c r="L11" s="255">
        <v>0.88493677227180556</v>
      </c>
      <c r="M11" s="255">
        <v>1.1564907051025199</v>
      </c>
      <c r="N11" s="255">
        <v>1.185354337827345</v>
      </c>
      <c r="O11" s="255">
        <v>1.548549630063923</v>
      </c>
      <c r="P11" s="255">
        <v>1.061056801407555</v>
      </c>
      <c r="Q11" s="255">
        <v>1.3291278382581191</v>
      </c>
      <c r="R11" s="255">
        <v>1.0767614600884079</v>
      </c>
      <c r="S11" s="255">
        <v>1.225595740992997</v>
      </c>
      <c r="T11" s="255">
        <v>0.81576289981183048</v>
      </c>
      <c r="U11" s="255">
        <v>1.401653008122038</v>
      </c>
      <c r="V11" s="255">
        <v>1.5224351126285769</v>
      </c>
      <c r="W11" s="255">
        <v>1.746827118334928</v>
      </c>
      <c r="X11" s="255">
        <v>0.91594267806451657</v>
      </c>
      <c r="Y11" s="255">
        <v>0.84614552413541377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1.2186693964458151</v>
      </c>
      <c r="C14" s="254">
        <v>1.088688913611048</v>
      </c>
      <c r="D14" s="254">
        <v>1.1374169704072561</v>
      </c>
      <c r="E14" s="254">
        <v>0.30874751953362389</v>
      </c>
      <c r="F14" s="254">
        <v>0.29248533491246081</v>
      </c>
      <c r="G14" s="254">
        <v>0.29248533491246642</v>
      </c>
      <c r="H14" s="254">
        <v>0.37373776095131439</v>
      </c>
      <c r="I14" s="254">
        <v>0.42246581774762187</v>
      </c>
      <c r="J14" s="254">
        <v>0.37373776095080452</v>
      </c>
      <c r="K14" s="254">
        <v>0.27622315029094302</v>
      </c>
      <c r="L14" s="254">
        <v>0.29248533491263151</v>
      </c>
      <c r="M14" s="254">
        <v>0.29248533491253248</v>
      </c>
      <c r="N14" s="254">
        <v>0.2924853349124158</v>
      </c>
      <c r="O14" s="254">
        <v>0.16250485207742871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1023</v>
      </c>
    </row>
    <row r="15" spans="1:105" x14ac:dyDescent="0.25">
      <c r="A15" s="253" t="s">
        <v>24</v>
      </c>
      <c r="B15" s="255">
        <v>3.0963235353411509</v>
      </c>
      <c r="C15" s="255">
        <v>2.8645712791559852</v>
      </c>
      <c r="D15" s="255">
        <v>3.7852751490247041</v>
      </c>
      <c r="E15" s="255">
        <v>7.6489448865919831</v>
      </c>
      <c r="F15" s="255">
        <v>10.19126098770055</v>
      </c>
      <c r="G15" s="255">
        <v>7.5421949572788893</v>
      </c>
      <c r="H15" s="255">
        <v>14.09961622537215</v>
      </c>
      <c r="I15" s="255">
        <v>16.894859657940231</v>
      </c>
      <c r="J15" s="255">
        <v>18.93603488811765</v>
      </c>
      <c r="K15" s="255">
        <v>20.574146300718478</v>
      </c>
      <c r="L15" s="255">
        <v>13.8141189631428</v>
      </c>
      <c r="M15" s="255">
        <v>15.790367580230919</v>
      </c>
      <c r="N15" s="255">
        <v>16.93791261715479</v>
      </c>
      <c r="O15" s="255">
        <v>14.402341605783899</v>
      </c>
      <c r="P15" s="255">
        <v>10.407657976185099</v>
      </c>
      <c r="Q15" s="255">
        <v>10.84811164246711</v>
      </c>
      <c r="R15" s="255">
        <v>11.979145759536721</v>
      </c>
      <c r="S15" s="255">
        <v>16.549189079987361</v>
      </c>
      <c r="T15" s="255">
        <v>18.351564807943969</v>
      </c>
      <c r="U15" s="255">
        <v>14.814245570581869</v>
      </c>
      <c r="V15" s="255">
        <v>14.937868487776401</v>
      </c>
      <c r="W15" s="255">
        <v>19.438022090543871</v>
      </c>
      <c r="X15" s="255">
        <v>14.39289192529885</v>
      </c>
      <c r="Y15" s="255">
        <v>14.56378808569692</v>
      </c>
      <c r="DA15" s="271" t="s">
        <v>1024</v>
      </c>
    </row>
    <row r="16" spans="1:105" x14ac:dyDescent="0.25">
      <c r="A16" s="256" t="s">
        <v>168</v>
      </c>
      <c r="B16" s="257">
        <v>65.000702196286298</v>
      </c>
      <c r="C16" s="257">
        <v>77.916856126661912</v>
      </c>
      <c r="D16" s="257">
        <v>75.661507987198547</v>
      </c>
      <c r="E16" s="257">
        <v>52.745725164062428</v>
      </c>
      <c r="F16" s="257">
        <v>50.981282636743657</v>
      </c>
      <c r="G16" s="257">
        <v>67.976992693362931</v>
      </c>
      <c r="H16" s="257">
        <v>38.271068686846689</v>
      </c>
      <c r="I16" s="257">
        <v>38.899615622171503</v>
      </c>
      <c r="J16" s="257">
        <v>31.544786927241741</v>
      </c>
      <c r="K16" s="257">
        <v>30.183023740248821</v>
      </c>
      <c r="L16" s="257">
        <v>43.941655815863442</v>
      </c>
      <c r="M16" s="257">
        <v>35.882880774552888</v>
      </c>
      <c r="N16" s="257">
        <v>34.712103465316133</v>
      </c>
      <c r="O16" s="257">
        <v>35.753161645103432</v>
      </c>
      <c r="P16" s="257">
        <v>37.118337033781309</v>
      </c>
      <c r="Q16" s="257">
        <v>38.223541074040263</v>
      </c>
      <c r="R16" s="257">
        <v>37.624540262680618</v>
      </c>
      <c r="S16" s="257">
        <v>38.972766067386587</v>
      </c>
      <c r="T16" s="257">
        <v>39.221179712311539</v>
      </c>
      <c r="U16" s="257">
        <v>40.779515424938339</v>
      </c>
      <c r="V16" s="257">
        <v>43.341953372012007</v>
      </c>
      <c r="W16" s="257">
        <v>44.973284647382641</v>
      </c>
      <c r="X16" s="257">
        <v>41.893022148789228</v>
      </c>
      <c r="Y16" s="257">
        <v>43.784103521308843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71.457673212639421</v>
      </c>
      <c r="C17" s="257">
        <f t="shared" ref="C17:W17" si="7">SUM(C18:C24)</f>
        <v>85.533079066239409</v>
      </c>
      <c r="D17" s="257">
        <f t="shared" si="7"/>
        <v>83.572835297656084</v>
      </c>
      <c r="E17" s="257">
        <f t="shared" si="7"/>
        <v>58.562777454797974</v>
      </c>
      <c r="F17" s="257">
        <f t="shared" si="7"/>
        <v>56.754593086326906</v>
      </c>
      <c r="G17" s="257">
        <f t="shared" si="7"/>
        <v>75.275703126003222</v>
      </c>
      <c r="H17" s="257">
        <f t="shared" si="7"/>
        <v>43.033534117658895</v>
      </c>
      <c r="I17" s="257">
        <f t="shared" si="7"/>
        <v>43.017191981719783</v>
      </c>
      <c r="J17" s="257">
        <f t="shared" si="7"/>
        <v>35.501364336119892</v>
      </c>
      <c r="K17" s="257">
        <f t="shared" si="7"/>
        <v>33.978404994103784</v>
      </c>
      <c r="L17" s="257">
        <f t="shared" si="7"/>
        <v>49.658170017774445</v>
      </c>
      <c r="M17" s="257">
        <f t="shared" si="7"/>
        <v>40.8556025157893</v>
      </c>
      <c r="N17" s="257">
        <f t="shared" si="7"/>
        <v>38.937947264253971</v>
      </c>
      <c r="O17" s="257">
        <f t="shared" si="7"/>
        <v>40.076277234270833</v>
      </c>
      <c r="P17" s="257">
        <f t="shared" si="7"/>
        <v>41.308351317305998</v>
      </c>
      <c r="Q17" s="257">
        <f t="shared" si="7"/>
        <v>42.723408815719459</v>
      </c>
      <c r="R17" s="257">
        <f t="shared" si="7"/>
        <v>41.720817304772432</v>
      </c>
      <c r="S17" s="257">
        <f t="shared" si="7"/>
        <v>43.251738754483597</v>
      </c>
      <c r="T17" s="257">
        <f t="shared" si="7"/>
        <v>43.623301079295615</v>
      </c>
      <c r="U17" s="257">
        <f t="shared" si="7"/>
        <v>45.476146398544053</v>
      </c>
      <c r="V17" s="257">
        <f t="shared" si="7"/>
        <v>48.014735044353905</v>
      </c>
      <c r="W17" s="257">
        <f t="shared" si="7"/>
        <v>50.066074866346717</v>
      </c>
      <c r="X17" s="257">
        <f t="shared" ref="X17:Y17" si="8">SUM(X18:X24)</f>
        <v>46.298708167733125</v>
      </c>
      <c r="Y17" s="257">
        <f t="shared" si="8"/>
        <v>48.290923388231427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3.194528685007473</v>
      </c>
      <c r="C19" s="55">
        <v>3.1945286850088719</v>
      </c>
      <c r="D19" s="55">
        <v>4.4723255709007086</v>
      </c>
      <c r="E19" s="55">
        <v>3.8334392847126502</v>
      </c>
      <c r="F19" s="55">
        <v>4.1537455576554434</v>
      </c>
      <c r="G19" s="55">
        <v>3.514713390370487</v>
      </c>
      <c r="H19" s="55">
        <v>3.195209463493224</v>
      </c>
      <c r="I19" s="55">
        <v>1.5533662875683121</v>
      </c>
      <c r="J19" s="55">
        <v>2.4853763347058968</v>
      </c>
      <c r="K19" s="55">
        <v>1.8640444077886631</v>
      </c>
      <c r="L19" s="55">
        <v>2.1746982144752871</v>
      </c>
      <c r="M19" s="55">
        <v>1.8640444077833189</v>
      </c>
      <c r="N19" s="55">
        <v>1.8640444077859251</v>
      </c>
      <c r="O19" s="55">
        <v>1.5533662875662151</v>
      </c>
      <c r="P19" s="55">
        <v>1.2426881673438399</v>
      </c>
      <c r="Q19" s="55">
        <v>1.55336628755926</v>
      </c>
      <c r="R19" s="55">
        <v>1.242688167344399</v>
      </c>
      <c r="S19" s="55">
        <v>1.163790804687949</v>
      </c>
      <c r="T19" s="55">
        <v>1.3896390640951151</v>
      </c>
      <c r="U19" s="55">
        <v>1.2995331700940971</v>
      </c>
      <c r="V19" s="55">
        <v>1.2324278631721219</v>
      </c>
      <c r="W19" s="55">
        <v>1.291145006730283</v>
      </c>
      <c r="X19" s="55">
        <v>1.196395230979183</v>
      </c>
      <c r="Y19" s="55">
        <v>1.1004054658667139</v>
      </c>
      <c r="DA19" s="101" t="s">
        <v>1027</v>
      </c>
    </row>
    <row r="20" spans="1:105" x14ac:dyDescent="0.25">
      <c r="A20" s="61" t="s">
        <v>166</v>
      </c>
      <c r="B20" s="55">
        <v>68.238683730792673</v>
      </c>
      <c r="C20" s="55">
        <v>81.964035178274202</v>
      </c>
      <c r="D20" s="55">
        <v>78.518813967169592</v>
      </c>
      <c r="E20" s="55">
        <v>54.073774835828978</v>
      </c>
      <c r="F20" s="55">
        <v>51.961421229193157</v>
      </c>
      <c r="G20" s="55">
        <v>69.822053595925794</v>
      </c>
      <c r="H20" s="55">
        <v>37.808847840438979</v>
      </c>
      <c r="I20" s="55">
        <v>39.957855737670087</v>
      </c>
      <c r="J20" s="55">
        <v>31.019645384479912</v>
      </c>
      <c r="K20" s="55">
        <v>29.483482304608689</v>
      </c>
      <c r="L20" s="55">
        <v>42.343420752730978</v>
      </c>
      <c r="M20" s="55">
        <v>33.791798225750732</v>
      </c>
      <c r="N20" s="55">
        <v>34.062216447904042</v>
      </c>
      <c r="O20" s="55">
        <v>35.116590416866202</v>
      </c>
      <c r="P20" s="55">
        <v>37.178931414839418</v>
      </c>
      <c r="Q20" s="55">
        <v>37.88394746145179</v>
      </c>
      <c r="R20" s="55">
        <v>38.178115941081067</v>
      </c>
      <c r="S20" s="55">
        <v>39.399814962886502</v>
      </c>
      <c r="T20" s="55">
        <v>39.284365473461293</v>
      </c>
      <c r="U20" s="55">
        <v>40.480010064499318</v>
      </c>
      <c r="V20" s="55">
        <v>43.894084401160413</v>
      </c>
      <c r="W20" s="55">
        <v>44.849748367235513</v>
      </c>
      <c r="X20" s="55">
        <v>42.855344735500843</v>
      </c>
      <c r="Y20" s="55">
        <v>45.01898700531514</v>
      </c>
      <c r="DA20" s="101" t="s">
        <v>1028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1.20935769466223</v>
      </c>
      <c r="H21" s="55">
        <v>1.209357694665725</v>
      </c>
      <c r="I21" s="55">
        <v>0.48145517997266468</v>
      </c>
      <c r="J21" s="55">
        <v>0.74475842910552514</v>
      </c>
      <c r="K21" s="55">
        <v>1.515082383923491</v>
      </c>
      <c r="L21" s="55">
        <v>4.3797645370074649</v>
      </c>
      <c r="M21" s="55">
        <v>4.1631075394656429</v>
      </c>
      <c r="N21" s="55">
        <v>0.98548601909113032</v>
      </c>
      <c r="O21" s="55">
        <v>1.2502842015041411</v>
      </c>
      <c r="P21" s="55">
        <v>1.226213609069861</v>
      </c>
      <c r="Q21" s="55">
        <v>1.4910117914834731</v>
      </c>
      <c r="R21" s="55">
        <v>0.98548601908540656</v>
      </c>
      <c r="S21" s="55">
        <v>1.186782035521093</v>
      </c>
      <c r="T21" s="55">
        <v>1.133831065318655</v>
      </c>
      <c r="U21" s="55">
        <v>1.2134091805200971</v>
      </c>
      <c r="V21" s="55">
        <v>0.27911920995232398</v>
      </c>
      <c r="W21" s="55">
        <v>1.004031858081331</v>
      </c>
      <c r="X21" s="55">
        <v>0.87015949928696301</v>
      </c>
      <c r="Y21" s="55">
        <v>0.80522739711946623</v>
      </c>
      <c r="DA21" s="101" t="s">
        <v>1029</v>
      </c>
    </row>
    <row r="22" spans="1:105" x14ac:dyDescent="0.25">
      <c r="A22" s="61" t="s">
        <v>169</v>
      </c>
      <c r="B22" s="55">
        <v>2.4460796839275691E-2</v>
      </c>
      <c r="C22" s="55">
        <v>0.37451520295633189</v>
      </c>
      <c r="D22" s="55">
        <v>0.58169575958578512</v>
      </c>
      <c r="E22" s="55">
        <v>0.65556333425635294</v>
      </c>
      <c r="F22" s="55">
        <v>0.63942629947831053</v>
      </c>
      <c r="G22" s="55">
        <v>0.7295784450447047</v>
      </c>
      <c r="H22" s="55">
        <v>0.82011911906096657</v>
      </c>
      <c r="I22" s="55">
        <v>1.024514776508723</v>
      </c>
      <c r="J22" s="55">
        <v>1.251584187828561</v>
      </c>
      <c r="K22" s="55">
        <v>1.1157958977829361</v>
      </c>
      <c r="L22" s="55">
        <v>0.76028651356071297</v>
      </c>
      <c r="M22" s="55">
        <v>1.036652342789609</v>
      </c>
      <c r="N22" s="55">
        <v>1.13085667987521</v>
      </c>
      <c r="O22" s="55">
        <v>1.4296376336989129</v>
      </c>
      <c r="P22" s="55">
        <v>0.93411943142086828</v>
      </c>
      <c r="Q22" s="55">
        <v>1.1644079260021669</v>
      </c>
      <c r="R22" s="55">
        <v>0.9766574191213736</v>
      </c>
      <c r="S22" s="55">
        <v>1.163481193246179</v>
      </c>
      <c r="T22" s="55">
        <v>0.77694218430930861</v>
      </c>
      <c r="U22" s="55">
        <v>1.2744485542163939</v>
      </c>
      <c r="V22" s="55">
        <v>1.400358140858796</v>
      </c>
      <c r="W22" s="55">
        <v>1.649926578961485</v>
      </c>
      <c r="X22" s="55">
        <v>0.84327572275569207</v>
      </c>
      <c r="Y22" s="55">
        <v>0.77783401677632003</v>
      </c>
      <c r="DA22" s="101" t="s">
        <v>1030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0.89534370959765786</v>
      </c>
      <c r="O23" s="55">
        <v>0.72639869463536266</v>
      </c>
      <c r="P23" s="55">
        <v>0.72639869463201256</v>
      </c>
      <c r="Q23" s="55">
        <v>0.63067534922277191</v>
      </c>
      <c r="R23" s="55">
        <v>0.33786975814018372</v>
      </c>
      <c r="S23" s="55">
        <v>0.33786975814188053</v>
      </c>
      <c r="T23" s="55">
        <v>1.0385232921112491</v>
      </c>
      <c r="U23" s="55">
        <v>1.208745429214152</v>
      </c>
      <c r="V23" s="55">
        <v>1.208745429210244</v>
      </c>
      <c r="W23" s="55">
        <v>1.2712230553381041</v>
      </c>
      <c r="X23" s="55">
        <v>0.53353297921043907</v>
      </c>
      <c r="Y23" s="55">
        <v>0.58846950315378888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8.7432986375048021</v>
      </c>
      <c r="C25" s="257">
        <v>10.48066126968429</v>
      </c>
      <c r="D25" s="257">
        <v>10.17729251136962</v>
      </c>
      <c r="E25" s="257">
        <v>7.0948714610578163</v>
      </c>
      <c r="F25" s="257">
        <v>6.8575348258553843</v>
      </c>
      <c r="G25" s="257">
        <v>9.1436419533250852</v>
      </c>
      <c r="H25" s="257">
        <v>5.1478733521232138</v>
      </c>
      <c r="I25" s="257">
        <v>5.232419724355287</v>
      </c>
      <c r="J25" s="257">
        <v>4.2431155855588498</v>
      </c>
      <c r="K25" s="257">
        <v>4.0599436841002303</v>
      </c>
      <c r="L25" s="257">
        <v>5.910628753892043</v>
      </c>
      <c r="M25" s="257">
        <v>4.8266362052288736</v>
      </c>
      <c r="N25" s="257">
        <v>4.6691539733945202</v>
      </c>
      <c r="O25" s="257">
        <v>4.8091875769917669</v>
      </c>
      <c r="P25" s="257">
        <v>4.9928184565434686</v>
      </c>
      <c r="Q25" s="257">
        <v>5.1414803733052397</v>
      </c>
      <c r="R25" s="257">
        <v>5.0609082748376011</v>
      </c>
      <c r="S25" s="257">
        <v>5.2422592517199353</v>
      </c>
      <c r="T25" s="257">
        <v>5.2756735781783064</v>
      </c>
      <c r="U25" s="257">
        <v>5.4852866139243037</v>
      </c>
      <c r="V25" s="257">
        <v>5.8299622782530447</v>
      </c>
      <c r="W25" s="257">
        <v>6.0493940079933752</v>
      </c>
      <c r="X25" s="257">
        <v>5.6350653315772066</v>
      </c>
      <c r="Y25" s="257">
        <v>5.8894362634147059</v>
      </c>
      <c r="DA25" s="272" t="s">
        <v>1033</v>
      </c>
    </row>
    <row r="26" spans="1:105" x14ac:dyDescent="0.25">
      <c r="A26" s="256" t="s">
        <v>170</v>
      </c>
      <c r="B26" s="257">
        <v>5.332080947055962</v>
      </c>
      <c r="C26" s="257">
        <v>5.874266574381326</v>
      </c>
      <c r="D26" s="257">
        <v>6.3033321763194303</v>
      </c>
      <c r="E26" s="257">
        <v>6.2044107746071511</v>
      </c>
      <c r="F26" s="257">
        <v>6.6505104309374063</v>
      </c>
      <c r="G26" s="257">
        <v>7.3282694735158982</v>
      </c>
      <c r="H26" s="257">
        <v>6.0859388742248957</v>
      </c>
      <c r="I26" s="257">
        <v>6.5752060535868004</v>
      </c>
      <c r="J26" s="257">
        <v>5.9337246826041108</v>
      </c>
      <c r="K26" s="257">
        <v>5.9250852132289502</v>
      </c>
      <c r="L26" s="257">
        <v>6.6023718121745176</v>
      </c>
      <c r="M26" s="257">
        <v>6.0237537044392004</v>
      </c>
      <c r="N26" s="257">
        <v>6.0700275985525103</v>
      </c>
      <c r="O26" s="257">
        <v>5.8693813825642254</v>
      </c>
      <c r="P26" s="257">
        <v>5.4031870574754723</v>
      </c>
      <c r="Q26" s="257">
        <v>5.5842073046166716</v>
      </c>
      <c r="R26" s="257">
        <v>5.720352911274639</v>
      </c>
      <c r="S26" s="257">
        <v>6.5192129546659734</v>
      </c>
      <c r="T26" s="257">
        <v>6.7559546517793976</v>
      </c>
      <c r="U26" s="257">
        <v>6.4631771608014157</v>
      </c>
      <c r="V26" s="257">
        <v>6.7702200971910784</v>
      </c>
      <c r="W26" s="257">
        <v>7.5639021088812841</v>
      </c>
      <c r="X26" s="257">
        <v>6.5305320362894639</v>
      </c>
      <c r="Y26" s="257">
        <v>6.7546005215229794</v>
      </c>
      <c r="DA26" s="272" t="s">
        <v>1034</v>
      </c>
    </row>
    <row r="27" spans="1:105" x14ac:dyDescent="0.25">
      <c r="A27" s="128" t="s">
        <v>33</v>
      </c>
      <c r="B27" s="258">
        <v>8.1264366078598087</v>
      </c>
      <c r="C27" s="258">
        <v>8.9527626096406028</v>
      </c>
      <c r="D27" s="258">
        <v>9.6066863683728059</v>
      </c>
      <c r="E27" s="258">
        <v>9.4559237471452899</v>
      </c>
      <c r="F27" s="258">
        <v>10.13580850770157</v>
      </c>
      <c r="G27" s="258">
        <v>11.168757172511119</v>
      </c>
      <c r="H27" s="258">
        <v>9.2753649000781486</v>
      </c>
      <c r="I27" s="258">
        <v>10.02103976076949</v>
      </c>
      <c r="J27" s="258">
        <v>9.043380616398828</v>
      </c>
      <c r="K27" s="258">
        <v>9.0302135056779118</v>
      </c>
      <c r="L27" s="258">
        <v>10.062442135800829</v>
      </c>
      <c r="M27" s="258">
        <v>9.1805906749247423</v>
      </c>
      <c r="N27" s="258">
        <v>9.2511150857212936</v>
      </c>
      <c r="O27" s="258">
        <v>8.94531726100222</v>
      </c>
      <c r="P27" s="258">
        <v>8.2348069241571782</v>
      </c>
      <c r="Q27" s="258">
        <v>8.510693501600139</v>
      </c>
      <c r="R27" s="258">
        <v>8.7181882213784387</v>
      </c>
      <c r="S27" s="258">
        <v>9.9357026525417957</v>
      </c>
      <c r="T27" s="258">
        <v>10.2965123276259</v>
      </c>
      <c r="U27" s="258">
        <v>9.850300474455425</v>
      </c>
      <c r="V27" s="258">
        <v>10.3182537901003</v>
      </c>
      <c r="W27" s="258">
        <v>11.52787656568106</v>
      </c>
      <c r="X27" s="258">
        <v>9.9529536658301971</v>
      </c>
      <c r="Y27" s="258">
        <v>10.294448545437129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0.99999999999999989</v>
      </c>
      <c r="C31" s="235">
        <f t="shared" si="9"/>
        <v>0.99999999999999978</v>
      </c>
      <c r="D31" s="235">
        <f t="shared" si="9"/>
        <v>1.0000000000000002</v>
      </c>
      <c r="E31" s="235">
        <f t="shared" si="9"/>
        <v>1</v>
      </c>
      <c r="F31" s="235">
        <f t="shared" si="9"/>
        <v>0.99999999999999989</v>
      </c>
      <c r="G31" s="235">
        <f t="shared" si="9"/>
        <v>1.0000000000000002</v>
      </c>
      <c r="H31" s="235">
        <f t="shared" si="9"/>
        <v>1</v>
      </c>
      <c r="I31" s="235">
        <f t="shared" si="9"/>
        <v>0.99999999999999989</v>
      </c>
      <c r="J31" s="235">
        <f t="shared" si="9"/>
        <v>0.99999999999999978</v>
      </c>
      <c r="K31" s="235">
        <f t="shared" si="9"/>
        <v>0.99999999999999978</v>
      </c>
      <c r="L31" s="235">
        <f t="shared" si="9"/>
        <v>1.0000000000000002</v>
      </c>
      <c r="M31" s="235">
        <f t="shared" si="9"/>
        <v>1</v>
      </c>
      <c r="N31" s="235">
        <f t="shared" si="9"/>
        <v>1</v>
      </c>
      <c r="O31" s="235">
        <f t="shared" si="9"/>
        <v>1</v>
      </c>
      <c r="P31" s="235">
        <f t="shared" si="9"/>
        <v>1</v>
      </c>
      <c r="Q31" s="235">
        <f t="shared" si="9"/>
        <v>0.99999999999999978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1</v>
      </c>
      <c r="U31" s="235">
        <f t="shared" si="10"/>
        <v>1</v>
      </c>
      <c r="V31" s="235">
        <f t="shared" si="10"/>
        <v>1</v>
      </c>
      <c r="W31" s="235">
        <f t="shared" si="10"/>
        <v>0.99999999999999989</v>
      </c>
      <c r="X31" s="235">
        <f t="shared" ref="X31:Y31" si="11">SUM(X32:X40)</f>
        <v>1.0000000000000002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2.063242189949167E-2</v>
      </c>
      <c r="C32" s="244">
        <f t="shared" si="12"/>
        <v>1.9154905539749963E-2</v>
      </c>
      <c r="D32" s="244">
        <f t="shared" si="12"/>
        <v>2.0884637263128329E-2</v>
      </c>
      <c r="E32" s="244">
        <f t="shared" si="12"/>
        <v>2.7941998118010195E-2</v>
      </c>
      <c r="F32" s="244">
        <f t="shared" si="12"/>
        <v>3.0296973001825198E-2</v>
      </c>
      <c r="G32" s="244">
        <f t="shared" si="12"/>
        <v>2.6045997628369157E-2</v>
      </c>
      <c r="H32" s="244">
        <f t="shared" si="12"/>
        <v>3.4886486831666522E-2</v>
      </c>
      <c r="I32" s="244">
        <f t="shared" si="12"/>
        <v>3.649073668171849E-2</v>
      </c>
      <c r="J32" s="244">
        <f t="shared" si="12"/>
        <v>3.8778276747106405E-2</v>
      </c>
      <c r="K32" s="244">
        <f t="shared" si="12"/>
        <v>3.9737957450528598E-2</v>
      </c>
      <c r="L32" s="244">
        <f t="shared" si="12"/>
        <v>3.3499894642409968E-2</v>
      </c>
      <c r="M32" s="244">
        <f t="shared" si="12"/>
        <v>3.6035013721512958E-2</v>
      </c>
      <c r="N32" s="244">
        <f t="shared" si="12"/>
        <v>3.7140878576280636E-2</v>
      </c>
      <c r="O32" s="244">
        <f t="shared" si="12"/>
        <v>3.5654327258241823E-2</v>
      </c>
      <c r="P32" s="244">
        <f t="shared" si="12"/>
        <v>3.2886266090674042E-2</v>
      </c>
      <c r="Q32" s="244">
        <f t="shared" si="12"/>
        <v>3.2923723408445356E-2</v>
      </c>
      <c r="R32" s="244">
        <f t="shared" si="12"/>
        <v>3.3961206669030915E-2</v>
      </c>
      <c r="S32" s="244">
        <f t="shared" si="12"/>
        <v>3.6234053138028223E-2</v>
      </c>
      <c r="T32" s="244">
        <f t="shared" si="12"/>
        <v>3.6920678139975002E-2</v>
      </c>
      <c r="U32" s="244">
        <f t="shared" si="12"/>
        <v>3.4893067174269293E-2</v>
      </c>
      <c r="V32" s="244">
        <f t="shared" si="12"/>
        <v>3.4606428741893888E-2</v>
      </c>
      <c r="W32" s="244">
        <f t="shared" si="12"/>
        <v>3.6318050265791206E-2</v>
      </c>
      <c r="X32" s="244">
        <f t="shared" si="12"/>
        <v>3.4603347684281478E-2</v>
      </c>
      <c r="Y32" s="244">
        <f t="shared" si="12"/>
        <v>3.4376031001504631E-2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1.3298795564713225E-2</v>
      </c>
      <c r="C33" s="245">
        <f t="shared" si="13"/>
        <v>1.2346450362223533E-2</v>
      </c>
      <c r="D33" s="245">
        <f t="shared" si="13"/>
        <v>1.346136303137435E-2</v>
      </c>
      <c r="E33" s="245">
        <f t="shared" si="13"/>
        <v>1.8010242445176763E-2</v>
      </c>
      <c r="F33" s="245">
        <f t="shared" si="13"/>
        <v>1.9528160685335548E-2</v>
      </c>
      <c r="G33" s="245">
        <f t="shared" si="13"/>
        <v>1.6788159888646955E-2</v>
      </c>
      <c r="H33" s="245">
        <f t="shared" si="13"/>
        <v>2.2486369201127281E-2</v>
      </c>
      <c r="I33" s="245">
        <f t="shared" si="13"/>
        <v>2.3520401506907561E-2</v>
      </c>
      <c r="J33" s="245">
        <f t="shared" si="13"/>
        <v>2.4994854085663435E-2</v>
      </c>
      <c r="K33" s="245">
        <f t="shared" si="13"/>
        <v>2.5613424098645105E-2</v>
      </c>
      <c r="L33" s="245">
        <f t="shared" si="13"/>
        <v>2.1592629913205603E-2</v>
      </c>
      <c r="M33" s="245">
        <f t="shared" si="13"/>
        <v>2.3226661561522442E-2</v>
      </c>
      <c r="N33" s="245">
        <f t="shared" si="13"/>
        <v>2.3939455759770151E-2</v>
      </c>
      <c r="O33" s="245">
        <f t="shared" si="13"/>
        <v>2.2981287001329814E-2</v>
      </c>
      <c r="P33" s="245">
        <f t="shared" si="13"/>
        <v>2.1197110632824451E-2</v>
      </c>
      <c r="Q33" s="245">
        <f t="shared" si="13"/>
        <v>2.1221254052044454E-2</v>
      </c>
      <c r="R33" s="245">
        <f t="shared" si="13"/>
        <v>2.1889972336865848E-2</v>
      </c>
      <c r="S33" s="245">
        <f t="shared" si="13"/>
        <v>2.3354954038404246E-2</v>
      </c>
      <c r="T33" s="245">
        <f t="shared" si="13"/>
        <v>2.379752377524819E-2</v>
      </c>
      <c r="U33" s="245">
        <f t="shared" si="13"/>
        <v>2.2490610614541866E-2</v>
      </c>
      <c r="V33" s="245">
        <f t="shared" si="13"/>
        <v>2.2305855478585466E-2</v>
      </c>
      <c r="W33" s="245">
        <f t="shared" si="13"/>
        <v>2.3409095071172222E-2</v>
      </c>
      <c r="X33" s="245">
        <f t="shared" si="13"/>
        <v>2.2303869557809407E-2</v>
      </c>
      <c r="Y33" s="245">
        <f t="shared" si="13"/>
        <v>2.2157350738670069E-2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2.6427795198759745E-2</v>
      </c>
      <c r="C34" s="245">
        <f t="shared" si="14"/>
        <v>2.4535264115967528E-2</v>
      </c>
      <c r="D34" s="245">
        <f t="shared" si="14"/>
        <v>2.6750854508453985E-2</v>
      </c>
      <c r="E34" s="245">
        <f t="shared" si="14"/>
        <v>3.5790534301021491E-2</v>
      </c>
      <c r="F34" s="245">
        <f t="shared" si="14"/>
        <v>3.8806990354065825E-2</v>
      </c>
      <c r="G34" s="245">
        <f t="shared" si="14"/>
        <v>3.33619724539891E-2</v>
      </c>
      <c r="H34" s="245">
        <f t="shared" si="14"/>
        <v>4.4685637666910388E-2</v>
      </c>
      <c r="I34" s="245">
        <f t="shared" si="14"/>
        <v>4.6740499994335889E-2</v>
      </c>
      <c r="J34" s="245">
        <f t="shared" si="14"/>
        <v>4.9670579684036258E-2</v>
      </c>
      <c r="K34" s="245">
        <f t="shared" si="14"/>
        <v>5.0899821951851096E-2</v>
      </c>
      <c r="L34" s="245">
        <f t="shared" si="14"/>
        <v>4.2909570146559099E-2</v>
      </c>
      <c r="M34" s="245">
        <f t="shared" si="14"/>
        <v>4.6156770506912956E-2</v>
      </c>
      <c r="N34" s="245">
        <f t="shared" si="14"/>
        <v>4.7573258112763347E-2</v>
      </c>
      <c r="O34" s="245">
        <f t="shared" si="14"/>
        <v>4.5669154271878634E-2</v>
      </c>
      <c r="P34" s="245">
        <f t="shared" si="14"/>
        <v>4.2123581484036228E-2</v>
      </c>
      <c r="Q34" s="245">
        <f t="shared" si="14"/>
        <v>4.2171560064911386E-2</v>
      </c>
      <c r="R34" s="245">
        <f t="shared" si="14"/>
        <v>4.3500458594927002E-2</v>
      </c>
      <c r="S34" s="245">
        <f t="shared" si="14"/>
        <v>4.6411717452151356E-2</v>
      </c>
      <c r="T34" s="245">
        <f t="shared" si="14"/>
        <v>4.729120629830786E-2</v>
      </c>
      <c r="U34" s="245">
        <f t="shared" si="14"/>
        <v>4.469406634035894E-2</v>
      </c>
      <c r="V34" s="245">
        <f t="shared" si="14"/>
        <v>4.4326914979078508E-2</v>
      </c>
      <c r="W34" s="245">
        <f t="shared" si="14"/>
        <v>4.6519308257565208E-2</v>
      </c>
      <c r="X34" s="245">
        <f t="shared" si="14"/>
        <v>4.4322968493301272E-2</v>
      </c>
      <c r="Y34" s="245">
        <f t="shared" si="14"/>
        <v>4.4031801573249284E-2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0.33084722534160366</v>
      </c>
      <c r="C35" s="246">
        <f t="shared" si="15"/>
        <v>0.33361244679868252</v>
      </c>
      <c r="D35" s="246">
        <f t="shared" si="15"/>
        <v>0.33002322218400232</v>
      </c>
      <c r="E35" s="246">
        <f t="shared" si="15"/>
        <v>0.31954670655847767</v>
      </c>
      <c r="F35" s="246">
        <f t="shared" si="15"/>
        <v>0.31786699534754426</v>
      </c>
      <c r="G35" s="246">
        <f t="shared" si="15"/>
        <v>0.32150297397609001</v>
      </c>
      <c r="H35" s="246">
        <f t="shared" si="15"/>
        <v>0.31919956648343162</v>
      </c>
      <c r="I35" s="246">
        <f t="shared" si="15"/>
        <v>0.32230745185188142</v>
      </c>
      <c r="J35" s="246">
        <f t="shared" si="15"/>
        <v>0.32750533668679055</v>
      </c>
      <c r="K35" s="246">
        <f t="shared" si="15"/>
        <v>0.33057548563623285</v>
      </c>
      <c r="L35" s="246">
        <f t="shared" si="15"/>
        <v>0.31746913526054998</v>
      </c>
      <c r="M35" s="246">
        <f t="shared" si="15"/>
        <v>0.32053837137726654</v>
      </c>
      <c r="N35" s="246">
        <f t="shared" si="15"/>
        <v>0.32318299067394068</v>
      </c>
      <c r="O35" s="246">
        <f t="shared" si="15"/>
        <v>0.32070598673137163</v>
      </c>
      <c r="P35" s="246">
        <f t="shared" si="15"/>
        <v>0.31800242482998359</v>
      </c>
      <c r="Q35" s="246">
        <f t="shared" si="15"/>
        <v>0.31796134556997874</v>
      </c>
      <c r="R35" s="246">
        <f t="shared" si="15"/>
        <v>0.31872888890231527</v>
      </c>
      <c r="S35" s="246">
        <f t="shared" si="15"/>
        <v>0.3212340400074013</v>
      </c>
      <c r="T35" s="246">
        <f t="shared" si="15"/>
        <v>0.32204370536922577</v>
      </c>
      <c r="U35" s="246">
        <f t="shared" si="15"/>
        <v>0.3194475280121491</v>
      </c>
      <c r="V35" s="246">
        <f t="shared" si="15"/>
        <v>0.31952627140808659</v>
      </c>
      <c r="W35" s="246">
        <f t="shared" si="15"/>
        <v>0.3215382119250545</v>
      </c>
      <c r="X35" s="246">
        <f t="shared" si="15"/>
        <v>0.31916192545774774</v>
      </c>
      <c r="Y35" s="246">
        <f t="shared" si="15"/>
        <v>0.31899970952895546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0.24941367852278623</v>
      </c>
      <c r="C36" s="259">
        <f t="shared" si="16"/>
        <v>0.25194545483772185</v>
      </c>
      <c r="D36" s="259">
        <f t="shared" si="16"/>
        <v>0.24858818211037681</v>
      </c>
      <c r="E36" s="259">
        <f t="shared" si="16"/>
        <v>0.2355553251144267</v>
      </c>
      <c r="F36" s="259">
        <f t="shared" si="16"/>
        <v>0.2303052096211021</v>
      </c>
      <c r="G36" s="259">
        <f t="shared" si="16"/>
        <v>0.23957983242624806</v>
      </c>
      <c r="H36" s="259">
        <f t="shared" si="16"/>
        <v>0.21754493886500953</v>
      </c>
      <c r="I36" s="259">
        <f t="shared" si="16"/>
        <v>0.21407567258466895</v>
      </c>
      <c r="J36" s="259">
        <f t="shared" si="16"/>
        <v>0.20442662358855815</v>
      </c>
      <c r="K36" s="259">
        <f t="shared" si="16"/>
        <v>0.20073468853627638</v>
      </c>
      <c r="L36" s="259">
        <f t="shared" si="16"/>
        <v>0.22108975818375745</v>
      </c>
      <c r="M36" s="259">
        <f t="shared" si="16"/>
        <v>0.21285974174306677</v>
      </c>
      <c r="N36" s="259">
        <f t="shared" si="16"/>
        <v>0.21061591356866613</v>
      </c>
      <c r="O36" s="259">
        <f t="shared" si="16"/>
        <v>0.21536896058635893</v>
      </c>
      <c r="P36" s="259">
        <f t="shared" si="16"/>
        <v>0.2240277503008338</v>
      </c>
      <c r="Q36" s="259">
        <f t="shared" si="16"/>
        <v>0.22347403659392073</v>
      </c>
      <c r="R36" s="259">
        <f t="shared" si="16"/>
        <v>0.22150331747595606</v>
      </c>
      <c r="S36" s="259">
        <f t="shared" si="16"/>
        <v>0.21479873687509271</v>
      </c>
      <c r="T36" s="259">
        <f t="shared" si="16"/>
        <v>0.21254570792168531</v>
      </c>
      <c r="U36" s="259">
        <f t="shared" si="16"/>
        <v>0.21831515787966457</v>
      </c>
      <c r="V36" s="259">
        <f t="shared" si="16"/>
        <v>0.21969047118726062</v>
      </c>
      <c r="W36" s="259">
        <f t="shared" si="16"/>
        <v>0.21413121282533756</v>
      </c>
      <c r="X36" s="259">
        <f t="shared" si="16"/>
        <v>0.22012024469694186</v>
      </c>
      <c r="Y36" s="259">
        <f t="shared" si="16"/>
        <v>0.22096387045531393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0.2741896707642309</v>
      </c>
      <c r="C37" s="259">
        <f t="shared" si="17"/>
        <v>0.27657263883931987</v>
      </c>
      <c r="D37" s="259">
        <f t="shared" si="17"/>
        <v>0.27458108823272853</v>
      </c>
      <c r="E37" s="259">
        <f t="shared" si="17"/>
        <v>0.26153349944589699</v>
      </c>
      <c r="F37" s="259">
        <f t="shared" si="17"/>
        <v>0.25638582989056297</v>
      </c>
      <c r="G37" s="259">
        <f t="shared" si="17"/>
        <v>0.2653035920851598</v>
      </c>
      <c r="H37" s="259">
        <f t="shared" si="17"/>
        <v>0.24461630861091999</v>
      </c>
      <c r="I37" s="259">
        <f t="shared" si="17"/>
        <v>0.23673586895140683</v>
      </c>
      <c r="J37" s="259">
        <f t="shared" si="17"/>
        <v>0.23006730274512679</v>
      </c>
      <c r="K37" s="259">
        <f t="shared" si="17"/>
        <v>0.22597618456482232</v>
      </c>
      <c r="L37" s="259">
        <f t="shared" si="17"/>
        <v>0.24985205034340452</v>
      </c>
      <c r="M37" s="259">
        <f t="shared" si="17"/>
        <v>0.24235827259542711</v>
      </c>
      <c r="N37" s="259">
        <f t="shared" si="17"/>
        <v>0.23625624830669437</v>
      </c>
      <c r="O37" s="259">
        <f t="shared" si="17"/>
        <v>0.24141043127294312</v>
      </c>
      <c r="P37" s="259">
        <f t="shared" si="17"/>
        <v>0.249316584571941</v>
      </c>
      <c r="Q37" s="259">
        <f t="shared" si="17"/>
        <v>0.24978252555426936</v>
      </c>
      <c r="R37" s="259">
        <f t="shared" si="17"/>
        <v>0.24561893318286512</v>
      </c>
      <c r="S37" s="259">
        <f t="shared" si="17"/>
        <v>0.23838233180705726</v>
      </c>
      <c r="T37" s="259">
        <f t="shared" si="17"/>
        <v>0.23640149219859494</v>
      </c>
      <c r="U37" s="259">
        <f t="shared" si="17"/>
        <v>0.24345880467930783</v>
      </c>
      <c r="V37" s="259">
        <f t="shared" si="17"/>
        <v>0.24337573517480601</v>
      </c>
      <c r="W37" s="259">
        <f t="shared" si="17"/>
        <v>0.23837950500150754</v>
      </c>
      <c r="X37" s="259">
        <f t="shared" si="17"/>
        <v>0.2432692235675401</v>
      </c>
      <c r="Y37" s="259">
        <f t="shared" si="17"/>
        <v>0.24370829779651687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3.3548841811249355E-2</v>
      </c>
      <c r="C38" s="259">
        <f t="shared" si="18"/>
        <v>3.388939315387942E-2</v>
      </c>
      <c r="D38" s="259">
        <f t="shared" si="18"/>
        <v>3.3437803600676018E-2</v>
      </c>
      <c r="E38" s="259">
        <f t="shared" si="18"/>
        <v>3.1684743141861552E-2</v>
      </c>
      <c r="F38" s="259">
        <f t="shared" si="18"/>
        <v>3.0978545730318035E-2</v>
      </c>
      <c r="G38" s="259">
        <f t="shared" si="18"/>
        <v>3.2226082975234681E-2</v>
      </c>
      <c r="H38" s="259">
        <f t="shared" si="18"/>
        <v>2.9262151073856747E-2</v>
      </c>
      <c r="I38" s="259">
        <f t="shared" si="18"/>
        <v>2.8795497174481249E-2</v>
      </c>
      <c r="J38" s="259">
        <f t="shared" si="18"/>
        <v>2.7497595550493359E-2</v>
      </c>
      <c r="K38" s="259">
        <f t="shared" si="18"/>
        <v>2.7000990288985668E-2</v>
      </c>
      <c r="L38" s="259">
        <f t="shared" si="18"/>
        <v>2.9738967675410014E-2</v>
      </c>
      <c r="M38" s="259">
        <f t="shared" si="18"/>
        <v>2.8631941303368096E-2</v>
      </c>
      <c r="N38" s="259">
        <f t="shared" si="18"/>
        <v>2.8330122105157139E-2</v>
      </c>
      <c r="O38" s="259">
        <f t="shared" si="18"/>
        <v>2.8969458421683324E-2</v>
      </c>
      <c r="P38" s="259">
        <f t="shared" si="18"/>
        <v>3.0134159444210641E-2</v>
      </c>
      <c r="Q38" s="259">
        <f t="shared" si="18"/>
        <v>3.0059678951913794E-2</v>
      </c>
      <c r="R38" s="259">
        <f t="shared" si="18"/>
        <v>2.9794595880549859E-2</v>
      </c>
      <c r="S38" s="259">
        <f t="shared" si="18"/>
        <v>2.8892757154938054E-2</v>
      </c>
      <c r="T38" s="259">
        <f t="shared" si="18"/>
        <v>2.8589700352273074E-2</v>
      </c>
      <c r="U38" s="259">
        <f t="shared" si="18"/>
        <v>2.9365753875578469E-2</v>
      </c>
      <c r="V38" s="259">
        <f t="shared" si="18"/>
        <v>2.9550748415054891E-2</v>
      </c>
      <c r="W38" s="259">
        <f t="shared" si="18"/>
        <v>2.8802967938552356E-2</v>
      </c>
      <c r="X38" s="259">
        <f t="shared" si="18"/>
        <v>2.9608557608104616E-2</v>
      </c>
      <c r="Y38" s="259">
        <f t="shared" si="18"/>
        <v>2.9722034412116103E-2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2.0459685484174206E-2</v>
      </c>
      <c r="C39" s="259">
        <f t="shared" si="19"/>
        <v>1.8994539018805441E-2</v>
      </c>
      <c r="D39" s="259">
        <f t="shared" si="19"/>
        <v>2.0709789279037469E-2</v>
      </c>
      <c r="E39" s="259">
        <f t="shared" si="19"/>
        <v>2.7708065300271954E-2</v>
      </c>
      <c r="F39" s="259">
        <f t="shared" si="19"/>
        <v>3.0043324131285465E-2</v>
      </c>
      <c r="G39" s="259">
        <f t="shared" si="19"/>
        <v>2.5827938290226095E-2</v>
      </c>
      <c r="H39" s="259">
        <f t="shared" si="19"/>
        <v>3.459441415558042E-2</v>
      </c>
      <c r="I39" s="259">
        <f t="shared" si="19"/>
        <v>3.6185233087550103E-2</v>
      </c>
      <c r="J39" s="259">
        <f t="shared" si="19"/>
        <v>3.8453621670251438E-2</v>
      </c>
      <c r="K39" s="259">
        <f t="shared" si="19"/>
        <v>3.9405267844069398E-2</v>
      </c>
      <c r="L39" s="259">
        <f t="shared" si="19"/>
        <v>3.3219430635700944E-2</v>
      </c>
      <c r="M39" s="259">
        <f t="shared" si="19"/>
        <v>3.5733325479265304E-2</v>
      </c>
      <c r="N39" s="259">
        <f t="shared" si="19"/>
        <v>3.6829931938107928E-2</v>
      </c>
      <c r="O39" s="259">
        <f t="shared" si="19"/>
        <v>3.5355826155892028E-2</v>
      </c>
      <c r="P39" s="259">
        <f t="shared" si="19"/>
        <v>3.2610939435114561E-2</v>
      </c>
      <c r="Q39" s="259">
        <f t="shared" si="19"/>
        <v>3.264808315699147E-2</v>
      </c>
      <c r="R39" s="259">
        <f t="shared" si="19"/>
        <v>3.367688051825516E-2</v>
      </c>
      <c r="S39" s="259">
        <f t="shared" si="19"/>
        <v>3.5930698520621938E-2</v>
      </c>
      <c r="T39" s="259">
        <f t="shared" si="19"/>
        <v>3.6611575038843366E-2</v>
      </c>
      <c r="U39" s="259">
        <f t="shared" si="19"/>
        <v>3.460093940698749E-2</v>
      </c>
      <c r="V39" s="259">
        <f t="shared" si="19"/>
        <v>3.4316700736285344E-2</v>
      </c>
      <c r="W39" s="259">
        <f t="shared" si="19"/>
        <v>3.6013992417188043E-2</v>
      </c>
      <c r="X39" s="259">
        <f t="shared" si="19"/>
        <v>3.4313645473552944E-2</v>
      </c>
      <c r="Y39" s="259">
        <f t="shared" si="19"/>
        <v>3.4088231905646277E-2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3.1181885412990936E-2</v>
      </c>
      <c r="C40" s="261">
        <f t="shared" si="20"/>
        <v>2.8948907333649698E-2</v>
      </c>
      <c r="D40" s="261">
        <f t="shared" si="20"/>
        <v>3.156305979022235E-2</v>
      </c>
      <c r="E40" s="261">
        <f t="shared" si="20"/>
        <v>4.2228885574856788E-2</v>
      </c>
      <c r="F40" s="261">
        <f t="shared" si="20"/>
        <v>4.5787971237960627E-2</v>
      </c>
      <c r="G40" s="261">
        <f t="shared" si="20"/>
        <v>3.936345027603623E-2</v>
      </c>
      <c r="H40" s="261">
        <f t="shared" si="20"/>
        <v>5.2724127111497487E-2</v>
      </c>
      <c r="I40" s="261">
        <f t="shared" si="20"/>
        <v>5.5148638167049409E-2</v>
      </c>
      <c r="J40" s="261">
        <f t="shared" si="20"/>
        <v>5.8605809241973415E-2</v>
      </c>
      <c r="K40" s="261">
        <f t="shared" si="20"/>
        <v>6.0056179628588426E-2</v>
      </c>
      <c r="L40" s="261">
        <f t="shared" si="20"/>
        <v>5.0628563199002476E-2</v>
      </c>
      <c r="M40" s="261">
        <f t="shared" si="20"/>
        <v>5.4459901711657856E-2</v>
      </c>
      <c r="N40" s="261">
        <f t="shared" si="20"/>
        <v>5.6131200958619704E-2</v>
      </c>
      <c r="O40" s="261">
        <f t="shared" si="20"/>
        <v>5.3884568300300591E-2</v>
      </c>
      <c r="P40" s="261">
        <f t="shared" si="20"/>
        <v>4.9701183210381722E-2</v>
      </c>
      <c r="Q40" s="261">
        <f t="shared" si="20"/>
        <v>4.9757792647524543E-2</v>
      </c>
      <c r="R40" s="261">
        <f t="shared" si="20"/>
        <v>5.1325746439234876E-2</v>
      </c>
      <c r="S40" s="261">
        <f t="shared" si="20"/>
        <v>5.4760711006304974E-2</v>
      </c>
      <c r="T40" s="261">
        <f t="shared" si="20"/>
        <v>5.5798410905846425E-2</v>
      </c>
      <c r="U40" s="261">
        <f t="shared" si="20"/>
        <v>5.2734072017142475E-2</v>
      </c>
      <c r="V40" s="261">
        <f t="shared" si="20"/>
        <v>5.2300873878948641E-2</v>
      </c>
      <c r="W40" s="261">
        <f t="shared" si="20"/>
        <v>5.4887656297831322E-2</v>
      </c>
      <c r="X40" s="261">
        <f t="shared" si="20"/>
        <v>5.2296217460720634E-2</v>
      </c>
      <c r="Y40" s="261">
        <f t="shared" si="20"/>
        <v>5.1952672588027604E-2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0.37399846819189059</v>
      </c>
      <c r="C44" s="237">
        <f>IF(C$5=0,0,C$5/AGR_fec!C$5)</f>
        <v>0.37290177562615001</v>
      </c>
      <c r="D44" s="237">
        <f>IF(D$5=0,0,D$5/AGR_fec!D$5)</f>
        <v>0.37421196848976779</v>
      </c>
      <c r="E44" s="237">
        <f>IF(E$5=0,0,E$5/AGR_fec!E$5)</f>
        <v>0.38092963670692215</v>
      </c>
      <c r="F44" s="237">
        <f>IF(F$5=0,0,F$5/AGR_fec!F$5)</f>
        <v>0.38401425797149635</v>
      </c>
      <c r="G44" s="237">
        <f>IF(G$5=0,0,G$5/AGR_fec!G$5)</f>
        <v>0.37848873400843258</v>
      </c>
      <c r="H44" s="237">
        <f>IF(H$5=0,0,H$5/AGR_fec!H$5)</f>
        <v>0.3919157476859611</v>
      </c>
      <c r="I44" s="237">
        <f>IF(I$5=0,0,I$5/AGR_fec!I$5)</f>
        <v>0.39580559129704507</v>
      </c>
      <c r="J44" s="237">
        <f>IF(J$5=0,0,J$5/AGR_fec!J$5)</f>
        <v>0.4024049698548991</v>
      </c>
      <c r="K44" s="237">
        <f>IF(K$5=0,0,K$5/AGR_fec!K$5)</f>
        <v>0.40517000561423194</v>
      </c>
      <c r="L44" s="237">
        <f>IF(L$5=0,0,L$5/AGR_fec!L$5)</f>
        <v>0.38812199780331985</v>
      </c>
      <c r="M44" s="237">
        <f>IF(M$5=0,0,M$5/AGR_fec!M$5)</f>
        <v>0.39368625090645776</v>
      </c>
      <c r="N44" s="237">
        <f>IF(N$5=0,0,N$5/AGR_fec!N$5)</f>
        <v>0.39695461817603439</v>
      </c>
      <c r="O44" s="237">
        <f>IF(O$5=0,0,O$5/AGR_fec!O$5)</f>
        <v>0.39338478808365912</v>
      </c>
      <c r="P44" s="237">
        <f>IF(P$5=0,0,P$5/AGR_fec!P$5)</f>
        <v>0.38746041485674049</v>
      </c>
      <c r="Q44" s="237">
        <f>IF(Q$5=0,0,Q$5/AGR_fec!Q$5)</f>
        <v>0.38761716827124465</v>
      </c>
      <c r="R44" s="237">
        <f>IF(R$5=0,0,R$5/AGR_fec!R$5)</f>
        <v>0.38976250373381344</v>
      </c>
      <c r="S44" s="237">
        <f>IF(S$5=0,0,S$5/AGR_fec!S$5)</f>
        <v>0.3946420358971226</v>
      </c>
      <c r="T44" s="237">
        <f>IF(T$5=0,0,T$5/AGR_fec!T$5)</f>
        <v>0.39584744370543717</v>
      </c>
      <c r="U44" s="237">
        <f>IF(U$5=0,0,U$5/AGR_fec!U$5)</f>
        <v>0.39129987122642296</v>
      </c>
      <c r="V44" s="237">
        <f>IF(V$5=0,0,V$5/AGR_fec!V$5)</f>
        <v>0.39102749630986305</v>
      </c>
      <c r="W44" s="237">
        <f>IF(W$5=0,0,W$5/AGR_fec!W$5)</f>
        <v>0.39470950268381089</v>
      </c>
      <c r="X44" s="237">
        <f>IF(X$5=0,0,X$5/AGR_fec!X$5)</f>
        <v>0.39090231006081949</v>
      </c>
      <c r="Y44" s="237">
        <f>IF(Y$5=0,0,Y$5/AGR_fec!Y$5)</f>
        <v>0.39041075142392928</v>
      </c>
      <c r="DA44" s="286"/>
    </row>
    <row r="45" spans="1:105" x14ac:dyDescent="0.25">
      <c r="A45" s="238" t="s">
        <v>125</v>
      </c>
      <c r="B45" s="250">
        <f>IF(B$6=0,0,B$6/AGR_fec!B$6)</f>
        <v>0.4657386535030828</v>
      </c>
      <c r="C45" s="250">
        <f>IF(C$6=0,0,C$6/AGR_fec!C$6)</f>
        <v>0.46573865350308286</v>
      </c>
      <c r="D45" s="250">
        <f>IF(D$6=0,0,D$6/AGR_fec!D$6)</f>
        <v>0.46573865350308286</v>
      </c>
      <c r="E45" s="250">
        <f>IF(E$6=0,0,E$6/AGR_fec!E$6)</f>
        <v>0.46573865350308286</v>
      </c>
      <c r="F45" s="250">
        <f>IF(F$6=0,0,F$6/AGR_fec!F$6)</f>
        <v>0.46573865350308286</v>
      </c>
      <c r="G45" s="250">
        <f>IF(G$6=0,0,G$6/AGR_fec!G$6)</f>
        <v>0.46573865350308274</v>
      </c>
      <c r="H45" s="250">
        <f>IF(H$6=0,0,H$6/AGR_fec!H$6)</f>
        <v>0.46573865350308274</v>
      </c>
      <c r="I45" s="250">
        <f>IF(I$6=0,0,I$6/AGR_fec!I$6)</f>
        <v>0.46573865350308274</v>
      </c>
      <c r="J45" s="250">
        <f>IF(J$6=0,0,J$6/AGR_fec!J$6)</f>
        <v>0.4657386535030828</v>
      </c>
      <c r="K45" s="250">
        <f>IF(K$6=0,0,K$6/AGR_fec!K$6)</f>
        <v>0.46573865350308291</v>
      </c>
      <c r="L45" s="250">
        <f>IF(L$6=0,0,L$6/AGR_fec!L$6)</f>
        <v>0.46573865350308297</v>
      </c>
      <c r="M45" s="250">
        <f>IF(M$6=0,0,M$6/AGR_fec!M$6)</f>
        <v>0.46573865350308274</v>
      </c>
      <c r="N45" s="250">
        <f>IF(N$6=0,0,N$6/AGR_fec!N$6)</f>
        <v>0.46573865350308297</v>
      </c>
      <c r="O45" s="250">
        <f>IF(O$6=0,0,O$6/AGR_fec!O$6)</f>
        <v>0.46573865350308297</v>
      </c>
      <c r="P45" s="250">
        <f>IF(P$6=0,0,P$6/AGR_fec!P$6)</f>
        <v>0.46573865350308274</v>
      </c>
      <c r="Q45" s="250">
        <f>IF(Q$6=0,0,Q$6/AGR_fec!Q$6)</f>
        <v>0.46573865350308286</v>
      </c>
      <c r="R45" s="250">
        <f>IF(R$6=0,0,R$6/AGR_fec!R$6)</f>
        <v>0.46573865350308286</v>
      </c>
      <c r="S45" s="250">
        <f>IF(S$6=0,0,S$6/AGR_fec!S$6)</f>
        <v>0.46573865350308291</v>
      </c>
      <c r="T45" s="250">
        <f>IF(T$6=0,0,T$6/AGR_fec!T$6)</f>
        <v>0.46573865350308286</v>
      </c>
      <c r="U45" s="250">
        <f>IF(U$6=0,0,U$6/AGR_fec!U$6)</f>
        <v>0.4657386535030828</v>
      </c>
      <c r="V45" s="250">
        <f>IF(V$6=0,0,V$6/AGR_fec!V$6)</f>
        <v>0.46573865350308302</v>
      </c>
      <c r="W45" s="250">
        <f>IF(W$6=0,0,W$6/AGR_fec!W$6)</f>
        <v>0.4657386535030828</v>
      </c>
      <c r="X45" s="250">
        <f>IF(X$6=0,0,X$6/AGR_fec!X$6)</f>
        <v>0.46573865350308274</v>
      </c>
      <c r="Y45" s="250">
        <f>IF(Y$6=0,0,Y$6/AGR_fec!Y$6)</f>
        <v>0.46573865350308297</v>
      </c>
      <c r="DA45" s="287"/>
    </row>
    <row r="46" spans="1:105" x14ac:dyDescent="0.25">
      <c r="A46" s="240" t="s">
        <v>124</v>
      </c>
      <c r="B46" s="251">
        <f>IF(B$7=0,0,B$7/AGR_fec!B$7)</f>
        <v>0.46183944933438142</v>
      </c>
      <c r="C46" s="251">
        <f>IF(C$7=0,0,C$7/AGR_fec!C$7)</f>
        <v>0.46183944933438142</v>
      </c>
      <c r="D46" s="251">
        <f>IF(D$7=0,0,D$7/AGR_fec!D$7)</f>
        <v>0.46183944933438154</v>
      </c>
      <c r="E46" s="251">
        <f>IF(E$7=0,0,E$7/AGR_fec!E$7)</f>
        <v>0.46183944933438148</v>
      </c>
      <c r="F46" s="251">
        <f>IF(F$7=0,0,F$7/AGR_fec!F$7)</f>
        <v>0.46183944933438142</v>
      </c>
      <c r="G46" s="251">
        <f>IF(G$7=0,0,G$7/AGR_fec!G$7)</f>
        <v>0.4618394493343817</v>
      </c>
      <c r="H46" s="251">
        <f>IF(H$7=0,0,H$7/AGR_fec!H$7)</f>
        <v>0.46183944933438142</v>
      </c>
      <c r="I46" s="251">
        <f>IF(I$7=0,0,I$7/AGR_fec!I$7)</f>
        <v>0.46183944933438154</v>
      </c>
      <c r="J46" s="251">
        <f>IF(J$7=0,0,J$7/AGR_fec!J$7)</f>
        <v>0.46183944933438148</v>
      </c>
      <c r="K46" s="251">
        <f>IF(K$7=0,0,K$7/AGR_fec!K$7)</f>
        <v>0.46183944933438154</v>
      </c>
      <c r="L46" s="251">
        <f>IF(L$7=0,0,L$7/AGR_fec!L$7)</f>
        <v>0.46183944933438154</v>
      </c>
      <c r="M46" s="251">
        <f>IF(M$7=0,0,M$7/AGR_fec!M$7)</f>
        <v>0.46183944933438142</v>
      </c>
      <c r="N46" s="251">
        <f>IF(N$7=0,0,N$7/AGR_fec!N$7)</f>
        <v>0.46183944933438154</v>
      </c>
      <c r="O46" s="251">
        <f>IF(O$7=0,0,O$7/AGR_fec!O$7)</f>
        <v>0.46183944933438148</v>
      </c>
      <c r="P46" s="251">
        <f>IF(P$7=0,0,P$7/AGR_fec!P$7)</f>
        <v>0.46183944933438148</v>
      </c>
      <c r="Q46" s="251">
        <f>IF(Q$7=0,0,Q$7/AGR_fec!Q$7)</f>
        <v>0.46183944933438159</v>
      </c>
      <c r="R46" s="251">
        <f>IF(R$7=0,0,R$7/AGR_fec!R$7)</f>
        <v>0.46183944933438154</v>
      </c>
      <c r="S46" s="251">
        <f>IF(S$7=0,0,S$7/AGR_fec!S$7)</f>
        <v>0.46183944933438148</v>
      </c>
      <c r="T46" s="251">
        <f>IF(T$7=0,0,T$7/AGR_fec!T$7)</f>
        <v>0.46183944933438154</v>
      </c>
      <c r="U46" s="251">
        <f>IF(U$7=0,0,U$7/AGR_fec!U$7)</f>
        <v>0.46183944933438154</v>
      </c>
      <c r="V46" s="251">
        <f>IF(V$7=0,0,V$7/AGR_fec!V$7)</f>
        <v>0.46183944933438148</v>
      </c>
      <c r="W46" s="251">
        <f>IF(W$7=0,0,W$7/AGR_fec!W$7)</f>
        <v>0.46183944933438131</v>
      </c>
      <c r="X46" s="251">
        <f>IF(X$7=0,0,X$7/AGR_fec!X$7)</f>
        <v>0.46183944933438148</v>
      </c>
      <c r="Y46" s="251">
        <f>IF(Y$7=0,0,Y$7/AGR_fec!Y$7)</f>
        <v>0.46183944933438142</v>
      </c>
      <c r="DA46" s="288"/>
    </row>
    <row r="47" spans="1:105" x14ac:dyDescent="0.25">
      <c r="A47" s="240" t="s">
        <v>123</v>
      </c>
      <c r="B47" s="251">
        <f>IF(B$8=0,0,B$8/AGR_fec!B$8)</f>
        <v>0.66284272883634276</v>
      </c>
      <c r="C47" s="251">
        <f>IF(C$8=0,0,C$8/AGR_fec!C$8)</f>
        <v>0.66284272883634321</v>
      </c>
      <c r="D47" s="251">
        <f>IF(D$8=0,0,D$8/AGR_fec!D$8)</f>
        <v>0.66284272883634332</v>
      </c>
      <c r="E47" s="251">
        <f>IF(E$8=0,0,E$8/AGR_fec!E$8)</f>
        <v>0.66284272883634321</v>
      </c>
      <c r="F47" s="251">
        <f>IF(F$8=0,0,F$8/AGR_fec!F$8)</f>
        <v>0.6628427288363431</v>
      </c>
      <c r="G47" s="251">
        <f>IF(G$8=0,0,G$8/AGR_fec!G$8)</f>
        <v>0.66284272883634299</v>
      </c>
      <c r="H47" s="251">
        <f>IF(H$8=0,0,H$8/AGR_fec!H$8)</f>
        <v>0.66284272883634299</v>
      </c>
      <c r="I47" s="251">
        <f>IF(I$8=0,0,I$8/AGR_fec!I$8)</f>
        <v>0.66284272883634299</v>
      </c>
      <c r="J47" s="251">
        <f>IF(J$8=0,0,J$8/AGR_fec!J$8)</f>
        <v>0.6628427288363431</v>
      </c>
      <c r="K47" s="251">
        <f>IF(K$8=0,0,K$8/AGR_fec!K$8)</f>
        <v>0.66284272883634288</v>
      </c>
      <c r="L47" s="251">
        <f>IF(L$8=0,0,L$8/AGR_fec!L$8)</f>
        <v>0.66284272883634299</v>
      </c>
      <c r="M47" s="251">
        <f>IF(M$8=0,0,M$8/AGR_fec!M$8)</f>
        <v>0.66284272883634332</v>
      </c>
      <c r="N47" s="251">
        <f>IF(N$8=0,0,N$8/AGR_fec!N$8)</f>
        <v>0.66284272883634299</v>
      </c>
      <c r="O47" s="251">
        <f>IF(O$8=0,0,O$8/AGR_fec!O$8)</f>
        <v>0.66284272883634332</v>
      </c>
      <c r="P47" s="251">
        <f>IF(P$8=0,0,P$8/AGR_fec!P$8)</f>
        <v>0.66284272883634332</v>
      </c>
      <c r="Q47" s="251">
        <f>IF(Q$8=0,0,Q$8/AGR_fec!Q$8)</f>
        <v>0.6628427288363431</v>
      </c>
      <c r="R47" s="251">
        <f>IF(R$8=0,0,R$8/AGR_fec!R$8)</f>
        <v>0.66284272883634288</v>
      </c>
      <c r="S47" s="251">
        <f>IF(S$8=0,0,S$8/AGR_fec!S$8)</f>
        <v>0.66284272883634299</v>
      </c>
      <c r="T47" s="251">
        <f>IF(T$8=0,0,T$8/AGR_fec!T$8)</f>
        <v>0.66284272883634288</v>
      </c>
      <c r="U47" s="251">
        <f>IF(U$8=0,0,U$8/AGR_fec!U$8)</f>
        <v>0.66284272883634321</v>
      </c>
      <c r="V47" s="251">
        <f>IF(V$8=0,0,V$8/AGR_fec!V$8)</f>
        <v>0.6628427288363431</v>
      </c>
      <c r="W47" s="251">
        <f>IF(W$8=0,0,W$8/AGR_fec!W$8)</f>
        <v>0.66284272883634299</v>
      </c>
      <c r="X47" s="251">
        <f>IF(X$8=0,0,X$8/AGR_fec!X$8)</f>
        <v>0.66284272883634288</v>
      </c>
      <c r="Y47" s="251">
        <f>IF(Y$8=0,0,Y$8/AGR_fec!Y$8)</f>
        <v>0.66284272883634332</v>
      </c>
      <c r="DA47" s="288"/>
    </row>
    <row r="48" spans="1:105" x14ac:dyDescent="0.25">
      <c r="A48" s="242" t="s">
        <v>122</v>
      </c>
      <c r="B48" s="252">
        <f>IF(B$9=0,0,B$9/AGR_fec!B$9)</f>
        <v>0.60399636270057155</v>
      </c>
      <c r="C48" s="252">
        <f>IF(C$9=0,0,C$9/AGR_fec!C$9)</f>
        <v>0.60260337837995726</v>
      </c>
      <c r="D48" s="252">
        <f>IF(D$9=0,0,D$9/AGR_fec!D$9)</f>
        <v>0.60449684154617989</v>
      </c>
      <c r="E48" s="252">
        <f>IF(E$9=0,0,E$9/AGR_fec!E$9)</f>
        <v>0.61613601430935583</v>
      </c>
      <c r="F48" s="252">
        <f>IF(F$9=0,0,F$9/AGR_fec!F$9)</f>
        <v>0.62284988065073565</v>
      </c>
      <c r="G48" s="252">
        <f>IF(G$9=0,0,G$9/AGR_fec!G$9)</f>
        <v>0.61174436872314308</v>
      </c>
      <c r="H48" s="252">
        <f>IF(H$9=0,0,H$9/AGR_fec!H$9)</f>
        <v>0.64314376368516402</v>
      </c>
      <c r="I48" s="252">
        <f>IF(I$9=0,0,I$9/AGR_fec!I$9)</f>
        <v>0.65057085883957333</v>
      </c>
      <c r="J48" s="252">
        <f>IF(J$9=0,0,J$9/AGR_fec!J$9)</f>
        <v>0.66842793115729982</v>
      </c>
      <c r="K48" s="252">
        <f>IF(K$9=0,0,K$9/AGR_fec!K$9)</f>
        <v>0.67625786463731852</v>
      </c>
      <c r="L48" s="252">
        <f>IF(L$9=0,0,L$9/AGR_fec!L$9)</f>
        <v>0.63673013761899</v>
      </c>
      <c r="M48" s="252">
        <f>IF(M$9=0,0,M$9/AGR_fec!M$9)</f>
        <v>0.65138720804454076</v>
      </c>
      <c r="N48" s="252">
        <f>IF(N$9=0,0,N$9/AGR_fec!N$9)</f>
        <v>0.65656107377971973</v>
      </c>
      <c r="O48" s="252">
        <f>IF(O$9=0,0,O$9/AGR_fec!O$9)</f>
        <v>0.64747576581035859</v>
      </c>
      <c r="P48" s="252">
        <f>IF(P$9=0,0,P$9/AGR_fec!P$9)</f>
        <v>0.63275793206893449</v>
      </c>
      <c r="Q48" s="252">
        <f>IF(Q$9=0,0,Q$9/AGR_fec!Q$9)</f>
        <v>0.63340264794022172</v>
      </c>
      <c r="R48" s="252">
        <f>IF(R$9=0,0,R$9/AGR_fec!R$9)</f>
        <v>0.637175224040887</v>
      </c>
      <c r="S48" s="252">
        <f>IF(S$9=0,0,S$9/AGR_fec!S$9)</f>
        <v>0.64926709787410564</v>
      </c>
      <c r="T48" s="252">
        <f>IF(T$9=0,0,T$9/AGR_fec!T$9)</f>
        <v>0.65364567506722537</v>
      </c>
      <c r="U48" s="252">
        <f>IF(U$9=0,0,U$9/AGR_fec!U$9)</f>
        <v>0.64254147196896394</v>
      </c>
      <c r="V48" s="252">
        <f>IF(V$9=0,0,V$9/AGR_fec!V$9)</f>
        <v>0.64043116681194989</v>
      </c>
      <c r="W48" s="252">
        <f>IF(W$9=0,0,W$9/AGR_fec!W$9)</f>
        <v>0.65036706610184503</v>
      </c>
      <c r="X48" s="252">
        <f>IF(X$9=0,0,X$9/AGR_fec!X$9)</f>
        <v>0.63981393214869942</v>
      </c>
      <c r="Y48" s="252">
        <f>IF(Y$9=0,0,Y$9/AGR_fec!Y$9)</f>
        <v>0.63846068040252812</v>
      </c>
      <c r="DA48" s="289"/>
    </row>
    <row r="49" spans="1:105" x14ac:dyDescent="0.25">
      <c r="A49" s="127" t="s">
        <v>168</v>
      </c>
      <c r="B49" s="264">
        <f>IF(B$16=0,0,B$16/AGR_fec!B$16)</f>
        <v>0.33327313067702491</v>
      </c>
      <c r="C49" s="264">
        <f>IF(C$16=0,0,C$16/AGR_fec!C$16)</f>
        <v>0.3332731306770248</v>
      </c>
      <c r="D49" s="264">
        <f>IF(D$16=0,0,D$16/AGR_fec!D$16)</f>
        <v>0.33327313067702491</v>
      </c>
      <c r="E49" s="264">
        <f>IF(E$16=0,0,E$16/AGR_fec!E$16)</f>
        <v>0.3332731306770248</v>
      </c>
      <c r="F49" s="264">
        <f>IF(F$16=0,0,F$16/AGR_fec!F$16)</f>
        <v>0.33327313067702485</v>
      </c>
      <c r="G49" s="264">
        <f>IF(G$16=0,0,G$16/AGR_fec!G$16)</f>
        <v>0.33327313067702496</v>
      </c>
      <c r="H49" s="264">
        <f>IF(H$16=0,0,H$16/AGR_fec!H$16)</f>
        <v>0.33327313067702496</v>
      </c>
      <c r="I49" s="264">
        <f>IF(I$16=0,0,I$16/AGR_fec!I$16)</f>
        <v>0.33327313067702474</v>
      </c>
      <c r="J49" s="264">
        <f>IF(J$16=0,0,J$16/AGR_fec!J$16)</f>
        <v>0.33327313067702502</v>
      </c>
      <c r="K49" s="264">
        <f>IF(K$16=0,0,K$16/AGR_fec!K$16)</f>
        <v>0.3332731306770248</v>
      </c>
      <c r="L49" s="264">
        <f>IF(L$16=0,0,L$16/AGR_fec!L$16)</f>
        <v>0.33327313067702485</v>
      </c>
      <c r="M49" s="264">
        <f>IF(M$16=0,0,M$16/AGR_fec!M$16)</f>
        <v>0.33327313067702502</v>
      </c>
      <c r="N49" s="264">
        <f>IF(N$16=0,0,N$16/AGR_fec!N$16)</f>
        <v>0.33327313067702502</v>
      </c>
      <c r="O49" s="264">
        <f>IF(O$16=0,0,O$16/AGR_fec!O$16)</f>
        <v>0.3332731306770248</v>
      </c>
      <c r="P49" s="264">
        <f>IF(P$16=0,0,P$16/AGR_fec!P$16)</f>
        <v>0.33327313067702485</v>
      </c>
      <c r="Q49" s="264">
        <f>IF(Q$16=0,0,Q$16/AGR_fec!Q$16)</f>
        <v>0.33327313067702496</v>
      </c>
      <c r="R49" s="264">
        <f>IF(R$16=0,0,R$16/AGR_fec!R$16)</f>
        <v>0.3332731306770248</v>
      </c>
      <c r="S49" s="264">
        <f>IF(S$16=0,0,S$16/AGR_fec!S$16)</f>
        <v>0.33327313067702496</v>
      </c>
      <c r="T49" s="264">
        <f>IF(T$16=0,0,T$16/AGR_fec!T$16)</f>
        <v>0.33327313067702502</v>
      </c>
      <c r="U49" s="264">
        <f>IF(U$16=0,0,U$16/AGR_fec!U$16)</f>
        <v>0.3332731306770248</v>
      </c>
      <c r="V49" s="264">
        <f>IF(V$16=0,0,V$16/AGR_fec!V$16)</f>
        <v>0.33327313067702502</v>
      </c>
      <c r="W49" s="264">
        <f>IF(W$16=0,0,W$16/AGR_fec!W$16)</f>
        <v>0.33327313067702491</v>
      </c>
      <c r="X49" s="264">
        <f>IF(X$16=0,0,X$16/AGR_fec!X$16)</f>
        <v>0.33327313067702485</v>
      </c>
      <c r="Y49" s="264">
        <f>IF(Y$16=0,0,Y$16/AGR_fec!Y$16)</f>
        <v>0.33327313067702502</v>
      </c>
      <c r="DA49" s="290"/>
    </row>
    <row r="50" spans="1:105" x14ac:dyDescent="0.25">
      <c r="A50" s="127" t="s">
        <v>121</v>
      </c>
      <c r="B50" s="264">
        <f>IF(B$17=0,0,B$17/AGR_fec!B$17)</f>
        <v>0.27084231077815296</v>
      </c>
      <c r="C50" s="264">
        <f>IF(C$17=0,0,C$17/AGR_fec!C$17)</f>
        <v>0.27083811398555979</v>
      </c>
      <c r="D50" s="264">
        <f>IF(D$17=0,0,D$17/AGR_fec!D$17)</f>
        <v>0.2710853299877225</v>
      </c>
      <c r="E50" s="264">
        <f>IF(E$17=0,0,E$17/AGR_fec!E$17)</f>
        <v>0.27131674797881994</v>
      </c>
      <c r="F50" s="264">
        <f>IF(F$17=0,0,F$17/AGR_fec!F$17)</f>
        <v>0.27141107616295351</v>
      </c>
      <c r="G50" s="264">
        <f>IF(G$17=0,0,G$17/AGR_fec!G$17)</f>
        <v>0.27074308822755433</v>
      </c>
      <c r="H50" s="264">
        <f>IF(H$17=0,0,H$17/AGR_fec!H$17)</f>
        <v>0.27102970281558308</v>
      </c>
      <c r="I50" s="264">
        <f>IF(I$17=0,0,I$17/AGR_fec!I$17)</f>
        <v>0.27100606828808788</v>
      </c>
      <c r="J50" s="264">
        <f>IF(J$17=0,0,J$17/AGR_fec!J$17)</f>
        <v>0.27145719247645062</v>
      </c>
      <c r="K50" s="264">
        <f>IF(K$17=0,0,K$17/AGR_fec!K$17)</f>
        <v>0.27075831553275104</v>
      </c>
      <c r="L50" s="264">
        <f>IF(L$17=0,0,L$17/AGR_fec!L$17)</f>
        <v>0.2694086708148517</v>
      </c>
      <c r="M50" s="264">
        <f>IF(M$17=0,0,M$17/AGR_fec!M$17)</f>
        <v>0.26936951048949254</v>
      </c>
      <c r="N50" s="264">
        <f>IF(N$17=0,0,N$17/AGR_fec!N$17)</f>
        <v>0.2700645030316815</v>
      </c>
      <c r="O50" s="264">
        <f>IF(O$17=0,0,O$17/AGR_fec!O$17)</f>
        <v>0.27016993855109145</v>
      </c>
      <c r="P50" s="264">
        <f>IF(P$17=0,0,P$17/AGR_fec!P$17)</f>
        <v>0.26984831513514579</v>
      </c>
      <c r="Q50" s="264">
        <f>IF(Q$17=0,0,Q$17/AGR_fec!Q$17)</f>
        <v>0.27002784953818088</v>
      </c>
      <c r="R50" s="264">
        <f>IF(R$17=0,0,R$17/AGR_fec!R$17)</f>
        <v>0.27035538176068719</v>
      </c>
      <c r="S50" s="264">
        <f>IF(S$17=0,0,S$17/AGR_fec!S$17)</f>
        <v>0.27032955321180685</v>
      </c>
      <c r="T50" s="264">
        <f>IF(T$17=0,0,T$17/AGR_fec!T$17)</f>
        <v>0.26959739645656838</v>
      </c>
      <c r="U50" s="264">
        <f>IF(U$17=0,0,U$17/AGR_fec!U$17)</f>
        <v>0.26964592161005524</v>
      </c>
      <c r="V50" s="264">
        <f>IF(V$17=0,0,V$17/AGR_fec!V$17)</f>
        <v>0.27009940965926982</v>
      </c>
      <c r="W50" s="264">
        <f>IF(W$17=0,0,W$17/AGR_fec!W$17)</f>
        <v>0.26989111815802352</v>
      </c>
      <c r="X50" s="264">
        <f>IF(X$17=0,0,X$17/AGR_fec!X$17)</f>
        <v>0.27016024024033158</v>
      </c>
      <c r="Y50" s="264">
        <f>IF(Y$17=0,0,Y$17/AGR_fec!Y$17)</f>
        <v>0.27009582903323376</v>
      </c>
      <c r="DA50" s="290"/>
    </row>
    <row r="51" spans="1:105" x14ac:dyDescent="0.25">
      <c r="A51" s="127" t="s">
        <v>167</v>
      </c>
      <c r="B51" s="264">
        <f>IF(B$25=0,0,B$25/AGR_fec!B$25)</f>
        <v>0.23329119147391747</v>
      </c>
      <c r="C51" s="264">
        <f>IF(C$25=0,0,C$25/AGR_fec!C$25)</f>
        <v>0.23329119147391736</v>
      </c>
      <c r="D51" s="264">
        <f>IF(D$25=0,0,D$25/AGR_fec!D$25)</f>
        <v>0.23329119147391733</v>
      </c>
      <c r="E51" s="264">
        <f>IF(E$25=0,0,E$25/AGR_fec!E$25)</f>
        <v>0.23329119147391741</v>
      </c>
      <c r="F51" s="264">
        <f>IF(F$25=0,0,F$25/AGR_fec!F$25)</f>
        <v>0.23329119147391744</v>
      </c>
      <c r="G51" s="264">
        <f>IF(G$25=0,0,G$25/AGR_fec!G$25)</f>
        <v>0.23329119147391741</v>
      </c>
      <c r="H51" s="264">
        <f>IF(H$25=0,0,H$25/AGR_fec!H$25)</f>
        <v>0.23329119147391739</v>
      </c>
      <c r="I51" s="264">
        <f>IF(I$25=0,0,I$25/AGR_fec!I$25)</f>
        <v>0.23329119147391744</v>
      </c>
      <c r="J51" s="264">
        <f>IF(J$25=0,0,J$25/AGR_fec!J$25)</f>
        <v>0.23329119147391739</v>
      </c>
      <c r="K51" s="264">
        <f>IF(K$25=0,0,K$25/AGR_fec!K$25)</f>
        <v>0.23329119147391739</v>
      </c>
      <c r="L51" s="264">
        <f>IF(L$25=0,0,L$25/AGR_fec!L$25)</f>
        <v>0.23329119147391739</v>
      </c>
      <c r="M51" s="264">
        <f>IF(M$25=0,0,M$25/AGR_fec!M$25)</f>
        <v>0.23329119147391739</v>
      </c>
      <c r="N51" s="264">
        <f>IF(N$25=0,0,N$25/AGR_fec!N$25)</f>
        <v>0.23329119147391747</v>
      </c>
      <c r="O51" s="264">
        <f>IF(O$25=0,0,O$25/AGR_fec!O$25)</f>
        <v>0.23329119147391739</v>
      </c>
      <c r="P51" s="264">
        <f>IF(P$25=0,0,P$25/AGR_fec!P$25)</f>
        <v>0.23329119147391736</v>
      </c>
      <c r="Q51" s="264">
        <f>IF(Q$25=0,0,Q$25/AGR_fec!Q$25)</f>
        <v>0.23329119147391739</v>
      </c>
      <c r="R51" s="264">
        <f>IF(R$25=0,0,R$25/AGR_fec!R$25)</f>
        <v>0.23329119147391747</v>
      </c>
      <c r="S51" s="264">
        <f>IF(S$25=0,0,S$25/AGR_fec!S$25)</f>
        <v>0.23329119147391741</v>
      </c>
      <c r="T51" s="264">
        <f>IF(T$25=0,0,T$25/AGR_fec!T$25)</f>
        <v>0.23329119147391744</v>
      </c>
      <c r="U51" s="264">
        <f>IF(U$25=0,0,U$25/AGR_fec!U$25)</f>
        <v>0.23329119147391739</v>
      </c>
      <c r="V51" s="264">
        <f>IF(V$25=0,0,V$25/AGR_fec!V$25)</f>
        <v>0.23329119147391741</v>
      </c>
      <c r="W51" s="264">
        <f>IF(W$25=0,0,W$25/AGR_fec!W$25)</f>
        <v>0.23329119147391744</v>
      </c>
      <c r="X51" s="264">
        <f>IF(X$25=0,0,X$25/AGR_fec!X$25)</f>
        <v>0.23329119147391739</v>
      </c>
      <c r="Y51" s="264">
        <f>IF(Y$25=0,0,Y$25/AGR_fec!Y$25)</f>
        <v>0.23329119147391739</v>
      </c>
      <c r="DA51" s="290"/>
    </row>
    <row r="52" spans="1:105" x14ac:dyDescent="0.25">
      <c r="A52" s="127" t="s">
        <v>170</v>
      </c>
      <c r="B52" s="264">
        <f>IF(B$26=0,0,B$26/AGR_fec!B$26)</f>
        <v>0.46183944933438142</v>
      </c>
      <c r="C52" s="264">
        <f>IF(C$26=0,0,C$26/AGR_fec!C$26)</f>
        <v>0.46183944933438142</v>
      </c>
      <c r="D52" s="264">
        <f>IF(D$26=0,0,D$26/AGR_fec!D$26)</f>
        <v>0.46183944933438148</v>
      </c>
      <c r="E52" s="264">
        <f>IF(E$26=0,0,E$26/AGR_fec!E$26)</f>
        <v>0.46183944933438148</v>
      </c>
      <c r="F52" s="264">
        <f>IF(F$26=0,0,F$26/AGR_fec!F$26)</f>
        <v>0.46183944933438137</v>
      </c>
      <c r="G52" s="264">
        <f>IF(G$26=0,0,G$26/AGR_fec!G$26)</f>
        <v>0.46183944933438137</v>
      </c>
      <c r="H52" s="264">
        <f>IF(H$26=0,0,H$26/AGR_fec!H$26)</f>
        <v>0.46183944933438131</v>
      </c>
      <c r="I52" s="264">
        <f>IF(I$26=0,0,I$26/AGR_fec!I$26)</f>
        <v>0.46183944933438148</v>
      </c>
      <c r="J52" s="264">
        <f>IF(J$26=0,0,J$26/AGR_fec!J$26)</f>
        <v>0.46183944933438142</v>
      </c>
      <c r="K52" s="264">
        <f>IF(K$26=0,0,K$26/AGR_fec!K$26)</f>
        <v>0.46183944933438159</v>
      </c>
      <c r="L52" s="264">
        <f>IF(L$26=0,0,L$26/AGR_fec!L$26)</f>
        <v>0.46183944933438159</v>
      </c>
      <c r="M52" s="264">
        <f>IF(M$26=0,0,M$26/AGR_fec!M$26)</f>
        <v>0.46183944933438137</v>
      </c>
      <c r="N52" s="264">
        <f>IF(N$26=0,0,N$26/AGR_fec!N$26)</f>
        <v>0.46183944933438159</v>
      </c>
      <c r="O52" s="264">
        <f>IF(O$26=0,0,O$26/AGR_fec!O$26)</f>
        <v>0.46183944933438159</v>
      </c>
      <c r="P52" s="264">
        <f>IF(P$26=0,0,P$26/AGR_fec!P$26)</f>
        <v>0.46183944933438137</v>
      </c>
      <c r="Q52" s="264">
        <f>IF(Q$26=0,0,Q$26/AGR_fec!Q$26)</f>
        <v>0.46183944933438142</v>
      </c>
      <c r="R52" s="264">
        <f>IF(R$26=0,0,R$26/AGR_fec!R$26)</f>
        <v>0.46183944933438154</v>
      </c>
      <c r="S52" s="264">
        <f>IF(S$26=0,0,S$26/AGR_fec!S$26)</f>
        <v>0.46183944933438154</v>
      </c>
      <c r="T52" s="264">
        <f>IF(T$26=0,0,T$26/AGR_fec!T$26)</f>
        <v>0.46183944933438142</v>
      </c>
      <c r="U52" s="264">
        <f>IF(U$26=0,0,U$26/AGR_fec!U$26)</f>
        <v>0.46183944933438142</v>
      </c>
      <c r="V52" s="264">
        <f>IF(V$26=0,0,V$26/AGR_fec!V$26)</f>
        <v>0.46183944933438165</v>
      </c>
      <c r="W52" s="264">
        <f>IF(W$26=0,0,W$26/AGR_fec!W$26)</f>
        <v>0.46183944933438137</v>
      </c>
      <c r="X52" s="264">
        <f>IF(X$26=0,0,X$26/AGR_fec!X$26)</f>
        <v>0.46183944933438137</v>
      </c>
      <c r="Y52" s="264">
        <f>IF(Y$26=0,0,Y$26/AGR_fec!Y$26)</f>
        <v>0.46183944933438154</v>
      </c>
      <c r="DA52" s="290"/>
    </row>
    <row r="53" spans="1:105" x14ac:dyDescent="0.25">
      <c r="A53" s="260" t="s">
        <v>33</v>
      </c>
      <c r="B53" s="265">
        <f>IF(B$27=0,0,B$27/AGR_fec!B$27)</f>
        <v>0.48542980980927958</v>
      </c>
      <c r="C53" s="265">
        <f>IF(C$27=0,0,C$27/AGR_fec!C$27)</f>
        <v>0.48542980980927958</v>
      </c>
      <c r="D53" s="265">
        <f>IF(D$27=0,0,D$27/AGR_fec!D$27)</f>
        <v>0.48542980980927941</v>
      </c>
      <c r="E53" s="265">
        <f>IF(E$27=0,0,E$27/AGR_fec!E$27)</f>
        <v>0.48542980980927963</v>
      </c>
      <c r="F53" s="265">
        <f>IF(F$27=0,0,F$27/AGR_fec!F$27)</f>
        <v>0.4854298098092793</v>
      </c>
      <c r="G53" s="265">
        <f>IF(G$27=0,0,G$27/AGR_fec!G$27)</f>
        <v>0.48542980980927952</v>
      </c>
      <c r="H53" s="265">
        <f>IF(H$27=0,0,H$27/AGR_fec!H$27)</f>
        <v>0.48542980980927947</v>
      </c>
      <c r="I53" s="265">
        <f>IF(I$27=0,0,I$27/AGR_fec!I$27)</f>
        <v>0.48542980980927952</v>
      </c>
      <c r="J53" s="265">
        <f>IF(J$27=0,0,J$27/AGR_fec!J$27)</f>
        <v>0.48542980980927941</v>
      </c>
      <c r="K53" s="265">
        <f>IF(K$27=0,0,K$27/AGR_fec!K$27)</f>
        <v>0.48542980980927936</v>
      </c>
      <c r="L53" s="265">
        <f>IF(L$27=0,0,L$27/AGR_fec!L$27)</f>
        <v>0.48542980980927919</v>
      </c>
      <c r="M53" s="265">
        <f>IF(M$27=0,0,M$27/AGR_fec!M$27)</f>
        <v>0.48542980980927947</v>
      </c>
      <c r="N53" s="265">
        <f>IF(N$27=0,0,N$27/AGR_fec!N$27)</f>
        <v>0.48542980980927947</v>
      </c>
      <c r="O53" s="265">
        <f>IF(O$27=0,0,O$27/AGR_fec!O$27)</f>
        <v>0.48542980980927941</v>
      </c>
      <c r="P53" s="265">
        <f>IF(P$27=0,0,P$27/AGR_fec!P$27)</f>
        <v>0.48542980980927952</v>
      </c>
      <c r="Q53" s="265">
        <f>IF(Q$27=0,0,Q$27/AGR_fec!Q$27)</f>
        <v>0.48542980980927936</v>
      </c>
      <c r="R53" s="265">
        <f>IF(R$27=0,0,R$27/AGR_fec!R$27)</f>
        <v>0.48542980980927958</v>
      </c>
      <c r="S53" s="265">
        <f>IF(S$27=0,0,S$27/AGR_fec!S$27)</f>
        <v>0.48542980980927947</v>
      </c>
      <c r="T53" s="265">
        <f>IF(T$27=0,0,T$27/AGR_fec!T$27)</f>
        <v>0.48542980980927958</v>
      </c>
      <c r="U53" s="265">
        <f>IF(U$27=0,0,U$27/AGR_fec!U$27)</f>
        <v>0.48542980980927952</v>
      </c>
      <c r="V53" s="265">
        <f>IF(V$27=0,0,V$27/AGR_fec!V$27)</f>
        <v>0.48542980980927941</v>
      </c>
      <c r="W53" s="265">
        <f>IF(W$27=0,0,W$27/AGR_fec!W$27)</f>
        <v>0.48542980980927941</v>
      </c>
      <c r="X53" s="265">
        <f>IF(X$27=0,0,X$27/AGR_fec!X$27)</f>
        <v>0.48542980980927952</v>
      </c>
      <c r="Y53" s="265">
        <f>IF(Y$27=0,0,Y$27/AGR_fec!Y$27)</f>
        <v>0.48542980980927924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1960.2730396575737</v>
      </c>
      <c r="C5" s="80">
        <f t="shared" ref="C5:W5" si="0">SUM(C6:C9,C16:C17,C25:C27)</f>
        <v>2353.2162717211622</v>
      </c>
      <c r="D5" s="80">
        <f t="shared" si="0"/>
        <v>2282.6152861330065</v>
      </c>
      <c r="E5" s="80">
        <f t="shared" si="0"/>
        <v>1576.3087259282336</v>
      </c>
      <c r="F5" s="80">
        <f t="shared" si="0"/>
        <v>1516.0956286931053</v>
      </c>
      <c r="G5" s="80">
        <f t="shared" si="0"/>
        <v>2041.9544551309134</v>
      </c>
      <c r="H5" s="80">
        <f t="shared" si="0"/>
        <v>1125.7978629614968</v>
      </c>
      <c r="I5" s="80">
        <f t="shared" si="0"/>
        <v>1123.660272602543</v>
      </c>
      <c r="J5" s="80">
        <f t="shared" si="0"/>
        <v>903.47603904290429</v>
      </c>
      <c r="K5" s="80">
        <f t="shared" si="0"/>
        <v>855.49259556297443</v>
      </c>
      <c r="L5" s="80">
        <f t="shared" si="0"/>
        <v>1297.9942779581779</v>
      </c>
      <c r="M5" s="80">
        <f t="shared" si="0"/>
        <v>1054.2453843614478</v>
      </c>
      <c r="N5" s="80">
        <f t="shared" si="0"/>
        <v>989.45923536240934</v>
      </c>
      <c r="O5" s="80">
        <f t="shared" si="0"/>
        <v>1031.5270105212453</v>
      </c>
      <c r="P5" s="80">
        <f t="shared" si="0"/>
        <v>1080.3192145173196</v>
      </c>
      <c r="Q5" s="80">
        <f t="shared" si="0"/>
        <v>1114.5602897973617</v>
      </c>
      <c r="R5" s="80">
        <f t="shared" si="0"/>
        <v>1096.7381877577009</v>
      </c>
      <c r="S5" s="80">
        <f t="shared" si="0"/>
        <v>1127.844378722117</v>
      </c>
      <c r="T5" s="80">
        <f t="shared" si="0"/>
        <v>1128.5415432025636</v>
      </c>
      <c r="U5" s="80">
        <f t="shared" si="0"/>
        <v>1182.3905181616117</v>
      </c>
      <c r="V5" s="80">
        <f t="shared" si="0"/>
        <v>1254.3383631585045</v>
      </c>
      <c r="W5" s="80">
        <f t="shared" si="0"/>
        <v>1293.4646449224604</v>
      </c>
      <c r="X5" s="80">
        <f t="shared" ref="X5:Y5" si="1">SUM(X6:X9,X16:X17,X25:X27)</f>
        <v>1220.5223186384344</v>
      </c>
      <c r="Y5" s="80">
        <f t="shared" si="1"/>
        <v>1274.6512295986688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425.65236255406109</v>
      </c>
      <c r="C9" s="243">
        <f t="shared" ref="C9:W9" si="2">SUM(C10:C15)</f>
        <v>514.91213762852919</v>
      </c>
      <c r="D9" s="243">
        <f t="shared" si="2"/>
        <v>495.28239633663532</v>
      </c>
      <c r="E9" s="243">
        <f t="shared" si="2"/>
        <v>329.23624731269734</v>
      </c>
      <c r="F9" s="243">
        <f t="shared" si="2"/>
        <v>309.98614227478026</v>
      </c>
      <c r="G9" s="243">
        <f t="shared" si="2"/>
        <v>431.92717867380833</v>
      </c>
      <c r="H9" s="243">
        <f t="shared" si="2"/>
        <v>215.13293821298905</v>
      </c>
      <c r="I9" s="243">
        <f t="shared" si="2"/>
        <v>211.07745793979035</v>
      </c>
      <c r="J9" s="243">
        <f t="shared" si="2"/>
        <v>159.25885565260438</v>
      </c>
      <c r="K9" s="243">
        <f t="shared" si="2"/>
        <v>146.25838463544082</v>
      </c>
      <c r="L9" s="243">
        <f t="shared" si="2"/>
        <v>250.91638997883373</v>
      </c>
      <c r="M9" s="243">
        <f t="shared" si="2"/>
        <v>194.26561183878283</v>
      </c>
      <c r="N9" s="243">
        <f t="shared" si="2"/>
        <v>183.24851486336354</v>
      </c>
      <c r="O9" s="243">
        <f t="shared" si="2"/>
        <v>196.85161941598767</v>
      </c>
      <c r="P9" s="243">
        <f t="shared" si="2"/>
        <v>215.76384153630858</v>
      </c>
      <c r="Q9" s="243">
        <f t="shared" si="2"/>
        <v>221.84851087531646</v>
      </c>
      <c r="R9" s="243">
        <f t="shared" si="2"/>
        <v>215.69866196901097</v>
      </c>
      <c r="S9" s="243">
        <f t="shared" si="2"/>
        <v>213.5185867379038</v>
      </c>
      <c r="T9" s="243">
        <f t="shared" si="2"/>
        <v>211.53597512518809</v>
      </c>
      <c r="U9" s="243">
        <f t="shared" si="2"/>
        <v>230.14542433043775</v>
      </c>
      <c r="V9" s="243">
        <f t="shared" si="2"/>
        <v>246.68440620461877</v>
      </c>
      <c r="W9" s="243">
        <f t="shared" si="2"/>
        <v>246.05320335702612</v>
      </c>
      <c r="X9" s="243">
        <f t="shared" ref="X9:Y9" si="3">SUM(X10:X15)</f>
        <v>238.48285722804954</v>
      </c>
      <c r="Y9" s="243">
        <f t="shared" si="3"/>
        <v>250.21129129233202</v>
      </c>
      <c r="DA9" s="269"/>
    </row>
    <row r="10" spans="1:105" x14ac:dyDescent="0.25">
      <c r="A10" s="253" t="s">
        <v>166</v>
      </c>
      <c r="B10" s="254">
        <v>425.54571241262192</v>
      </c>
      <c r="C10" s="254">
        <v>513.27241909325039</v>
      </c>
      <c r="D10" s="254">
        <v>492.73024370354511</v>
      </c>
      <c r="E10" s="254">
        <v>326.46901769871732</v>
      </c>
      <c r="F10" s="254">
        <v>307.34186825819188</v>
      </c>
      <c r="G10" s="254">
        <v>428.79458600781447</v>
      </c>
      <c r="H10" s="254">
        <v>211.9190647107427</v>
      </c>
      <c r="I10" s="254">
        <v>207.3327224387032</v>
      </c>
      <c r="J10" s="254">
        <v>154.8622675785175</v>
      </c>
      <c r="K10" s="254">
        <v>142.4383101440956</v>
      </c>
      <c r="L10" s="254">
        <v>247.7777694741998</v>
      </c>
      <c r="M10" s="254">
        <v>190.16386631956911</v>
      </c>
      <c r="N10" s="254">
        <v>179.04439820041739</v>
      </c>
      <c r="O10" s="254">
        <v>191.35935174935591</v>
      </c>
      <c r="P10" s="254">
        <v>212.00057308840621</v>
      </c>
      <c r="Q10" s="254">
        <v>217.13447026004479</v>
      </c>
      <c r="R10" s="254">
        <v>211.87969353745049</v>
      </c>
      <c r="S10" s="254">
        <v>209.17174519667429</v>
      </c>
      <c r="T10" s="254">
        <v>208.64269478641759</v>
      </c>
      <c r="U10" s="254">
        <v>225.17415744503089</v>
      </c>
      <c r="V10" s="254">
        <v>241.28475934713339</v>
      </c>
      <c r="W10" s="254">
        <v>239.85770150486371</v>
      </c>
      <c r="X10" s="254">
        <v>235.2342675428651</v>
      </c>
      <c r="Y10" s="254">
        <v>247.2102523761416</v>
      </c>
      <c r="DA10" s="270" t="s">
        <v>1040</v>
      </c>
    </row>
    <row r="11" spans="1:105" x14ac:dyDescent="0.25">
      <c r="A11" s="253" t="s">
        <v>169</v>
      </c>
      <c r="B11" s="255">
        <v>0.1066501414391796</v>
      </c>
      <c r="C11" s="255">
        <v>1.6397185352788159</v>
      </c>
      <c r="D11" s="255">
        <v>2.552152633090226</v>
      </c>
      <c r="E11" s="255">
        <v>2.767229613980045</v>
      </c>
      <c r="F11" s="255">
        <v>2.6442740165883731</v>
      </c>
      <c r="G11" s="255">
        <v>3.132592665993879</v>
      </c>
      <c r="H11" s="255">
        <v>3.2138735022463498</v>
      </c>
      <c r="I11" s="255">
        <v>3.7447355010871419</v>
      </c>
      <c r="J11" s="255">
        <v>4.3965880740868641</v>
      </c>
      <c r="K11" s="255">
        <v>3.8200744913452178</v>
      </c>
      <c r="L11" s="255">
        <v>3.1386205046339311</v>
      </c>
      <c r="M11" s="255">
        <v>4.1017455192137096</v>
      </c>
      <c r="N11" s="255">
        <v>4.2041166629461522</v>
      </c>
      <c r="O11" s="255">
        <v>5.4922676666317658</v>
      </c>
      <c r="P11" s="255">
        <v>3.7632684479023628</v>
      </c>
      <c r="Q11" s="255">
        <v>4.7140406152716654</v>
      </c>
      <c r="R11" s="255">
        <v>3.8189684315604748</v>
      </c>
      <c r="S11" s="255">
        <v>4.3468415412295052</v>
      </c>
      <c r="T11" s="255">
        <v>2.8932803387705039</v>
      </c>
      <c r="U11" s="255">
        <v>4.9712668854068607</v>
      </c>
      <c r="V11" s="255">
        <v>5.3996468574853917</v>
      </c>
      <c r="W11" s="255">
        <v>6.1955018521624217</v>
      </c>
      <c r="X11" s="255">
        <v>3.2485896851844491</v>
      </c>
      <c r="Y11" s="255">
        <v>3.0010389161904292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605.08748514259355</v>
      </c>
      <c r="C16" s="257">
        <v>725.32315699495291</v>
      </c>
      <c r="D16" s="257">
        <v>704.32826174431534</v>
      </c>
      <c r="E16" s="257">
        <v>491.0066678228655</v>
      </c>
      <c r="F16" s="257">
        <v>474.58158231671291</v>
      </c>
      <c r="G16" s="257">
        <v>632.79358786270802</v>
      </c>
      <c r="H16" s="257">
        <v>356.26299290604538</v>
      </c>
      <c r="I16" s="257">
        <v>359.40444477864241</v>
      </c>
      <c r="J16" s="257">
        <v>291.78035837342571</v>
      </c>
      <c r="K16" s="257">
        <v>277.20374237345783</v>
      </c>
      <c r="L16" s="257">
        <v>405.3840671776104</v>
      </c>
      <c r="M16" s="257">
        <v>332.1572972726978</v>
      </c>
      <c r="N16" s="257">
        <v>319.43092053105721</v>
      </c>
      <c r="O16" s="257">
        <v>330.06650773977191</v>
      </c>
      <c r="P16" s="257">
        <v>341.93316715600298</v>
      </c>
      <c r="Q16" s="257">
        <v>352.20188691191407</v>
      </c>
      <c r="R16" s="257">
        <v>347.5502538377234</v>
      </c>
      <c r="S16" s="257">
        <v>360.43836134060712</v>
      </c>
      <c r="T16" s="257">
        <v>364.06393498992742</v>
      </c>
      <c r="U16" s="257">
        <v>378.48668397375548</v>
      </c>
      <c r="V16" s="257">
        <v>402.14393143781939</v>
      </c>
      <c r="W16" s="257">
        <v>416.88068282490991</v>
      </c>
      <c r="X16" s="257">
        <v>388.49676046558602</v>
      </c>
      <c r="Y16" s="257">
        <v>405.58128394621809</v>
      </c>
      <c r="DA16" s="272" t="s">
        <v>1046</v>
      </c>
    </row>
    <row r="17" spans="1:105" x14ac:dyDescent="0.25">
      <c r="A17" s="256" t="s">
        <v>121</v>
      </c>
      <c r="B17" s="257">
        <f>SUM(B18:B24)</f>
        <v>813.26058905794173</v>
      </c>
      <c r="C17" s="257">
        <f t="shared" ref="C17:W17" si="4">SUM(C18:C24)</f>
        <v>973.60408783722255</v>
      </c>
      <c r="D17" s="257">
        <f t="shared" si="4"/>
        <v>947.66208287969584</v>
      </c>
      <c r="E17" s="257">
        <f t="shared" si="4"/>
        <v>661.7147876558621</v>
      </c>
      <c r="F17" s="257">
        <f t="shared" si="4"/>
        <v>640.33309802695987</v>
      </c>
      <c r="G17" s="257">
        <f t="shared" si="4"/>
        <v>855.63712715870292</v>
      </c>
      <c r="H17" s="257">
        <f t="shared" si="4"/>
        <v>485.94302875768091</v>
      </c>
      <c r="I17" s="257">
        <f t="shared" si="4"/>
        <v>484.11581064201283</v>
      </c>
      <c r="J17" s="257">
        <f t="shared" si="4"/>
        <v>396.36879753809256</v>
      </c>
      <c r="K17" s="257">
        <f t="shared" si="4"/>
        <v>378.76345931720027</v>
      </c>
      <c r="L17" s="257">
        <f t="shared" si="4"/>
        <v>563.79589393413607</v>
      </c>
      <c r="M17" s="257">
        <f t="shared" si="4"/>
        <v>463.99568247137688</v>
      </c>
      <c r="N17" s="257">
        <f t="shared" si="4"/>
        <v>425.39848653843114</v>
      </c>
      <c r="O17" s="257">
        <f t="shared" si="4"/>
        <v>441.18385321971277</v>
      </c>
      <c r="P17" s="257">
        <f t="shared" si="4"/>
        <v>456.91689817892728</v>
      </c>
      <c r="Q17" s="257">
        <f t="shared" si="4"/>
        <v>472.83136428626364</v>
      </c>
      <c r="R17" s="257">
        <f t="shared" si="4"/>
        <v>466.70459428773631</v>
      </c>
      <c r="S17" s="257">
        <f t="shared" si="4"/>
        <v>484.62619571775065</v>
      </c>
      <c r="T17" s="257">
        <f t="shared" si="4"/>
        <v>482.98371397034111</v>
      </c>
      <c r="U17" s="257">
        <f t="shared" si="4"/>
        <v>501.02903932784204</v>
      </c>
      <c r="V17" s="257">
        <f t="shared" si="4"/>
        <v>528.23471773327071</v>
      </c>
      <c r="W17" s="257">
        <f t="shared" si="4"/>
        <v>550.42366136666271</v>
      </c>
      <c r="X17" s="257">
        <f t="shared" ref="X17:Y17" si="5">SUM(X18:X24)</f>
        <v>518.88981079609039</v>
      </c>
      <c r="Y17" s="257">
        <f t="shared" si="5"/>
        <v>540.92283064688274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29.84632523995927</v>
      </c>
      <c r="C19" s="55">
        <v>29.846325239972341</v>
      </c>
      <c r="D19" s="55">
        <v>41.784719039947127</v>
      </c>
      <c r="E19" s="55">
        <v>35.815635719953747</v>
      </c>
      <c r="F19" s="55">
        <v>38.808241559906428</v>
      </c>
      <c r="G19" s="55">
        <v>32.837795279960687</v>
      </c>
      <c r="H19" s="55">
        <v>29.85268572005057</v>
      </c>
      <c r="I19" s="55">
        <v>14.51302524004209</v>
      </c>
      <c r="J19" s="55">
        <v>23.220749520099091</v>
      </c>
      <c r="K19" s="55">
        <v>17.415675720081229</v>
      </c>
      <c r="L19" s="55">
        <v>20.318099039964089</v>
      </c>
      <c r="M19" s="55">
        <v>17.415675720031309</v>
      </c>
      <c r="N19" s="55">
        <v>17.41567572005566</v>
      </c>
      <c r="O19" s="55">
        <v>14.5130252400225</v>
      </c>
      <c r="P19" s="55">
        <v>11.610374759964451</v>
      </c>
      <c r="Q19" s="55">
        <v>14.513025239957511</v>
      </c>
      <c r="R19" s="55">
        <v>11.61037475996967</v>
      </c>
      <c r="S19" s="55">
        <v>10.873240560026201</v>
      </c>
      <c r="T19" s="55">
        <v>12.98332980003852</v>
      </c>
      <c r="U19" s="55">
        <v>12.14147484002104</v>
      </c>
      <c r="V19" s="55">
        <v>11.51451323998273</v>
      </c>
      <c r="W19" s="55">
        <v>12.063104640029639</v>
      </c>
      <c r="X19" s="55">
        <v>11.177862119981979</v>
      </c>
      <c r="Y19" s="55">
        <v>10.28103443998657</v>
      </c>
      <c r="DA19" s="101" t="s">
        <v>1048</v>
      </c>
    </row>
    <row r="20" spans="1:105" x14ac:dyDescent="0.25">
      <c r="A20" s="61" t="s">
        <v>166</v>
      </c>
      <c r="B20" s="55">
        <v>783.21797395942201</v>
      </c>
      <c r="C20" s="55">
        <v>940.75240113253301</v>
      </c>
      <c r="D20" s="55">
        <v>901.20944647284705</v>
      </c>
      <c r="E20" s="55">
        <v>620.63847154989651</v>
      </c>
      <c r="F20" s="55">
        <v>596.3936704836558</v>
      </c>
      <c r="G20" s="55">
        <v>801.39129838476356</v>
      </c>
      <c r="H20" s="55">
        <v>433.95575037983963</v>
      </c>
      <c r="I20" s="55">
        <v>455.18945282301769</v>
      </c>
      <c r="J20" s="55">
        <v>353.7668754920042</v>
      </c>
      <c r="K20" s="55">
        <v>333.86200932834362</v>
      </c>
      <c r="L20" s="55">
        <v>481.64613503891519</v>
      </c>
      <c r="M20" s="55">
        <v>385.67339543045119</v>
      </c>
      <c r="N20" s="55">
        <v>386.474467841256</v>
      </c>
      <c r="O20" s="55">
        <v>399.71572144628129</v>
      </c>
      <c r="P20" s="55">
        <v>422.28096318693662</v>
      </c>
      <c r="Q20" s="55">
        <v>430.39564474166048</v>
      </c>
      <c r="R20" s="55">
        <v>434.82327495938029</v>
      </c>
      <c r="S20" s="55">
        <v>449.27871113889643</v>
      </c>
      <c r="T20" s="55">
        <v>449.6024107890143</v>
      </c>
      <c r="U20" s="55">
        <v>463.23465053318392</v>
      </c>
      <c r="V20" s="55">
        <v>502.14704955079509</v>
      </c>
      <c r="W20" s="55">
        <v>512.58873393873444</v>
      </c>
      <c r="X20" s="55">
        <v>490.00733992132137</v>
      </c>
      <c r="Y20" s="55">
        <v>514.17273588310809</v>
      </c>
      <c r="DA20" s="101" t="s">
        <v>1049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15.55340615998138</v>
      </c>
      <c r="H21" s="55">
        <v>15.55340616002634</v>
      </c>
      <c r="I21" s="55">
        <v>6.1919380800179571</v>
      </c>
      <c r="J21" s="55">
        <v>9.3376206000398501</v>
      </c>
      <c r="K21" s="55">
        <v>18.531878760086428</v>
      </c>
      <c r="L21" s="55">
        <v>55.730610359901533</v>
      </c>
      <c r="M21" s="55">
        <v>52.587816840094547</v>
      </c>
      <c r="N21" s="55">
        <v>12.433589640039729</v>
      </c>
      <c r="O21" s="55">
        <v>15.482734200023989</v>
      </c>
      <c r="P21" s="55">
        <v>15.52955867995245</v>
      </c>
      <c r="Q21" s="55">
        <v>18.578703239945622</v>
      </c>
      <c r="R21" s="55">
        <v>12.43358963996752</v>
      </c>
      <c r="S21" s="55">
        <v>15.13768968003648</v>
      </c>
      <c r="T21" s="55">
        <v>14.163267600042021</v>
      </c>
      <c r="U21" s="55">
        <v>15.42588300002673</v>
      </c>
      <c r="V21" s="55">
        <v>3.3357409199949948</v>
      </c>
      <c r="W21" s="55">
        <v>12.531704040030791</v>
      </c>
      <c r="X21" s="55">
        <v>10.93759811998237</v>
      </c>
      <c r="Y21" s="55">
        <v>10.22719787998663</v>
      </c>
      <c r="DA21" s="101" t="s">
        <v>1050</v>
      </c>
    </row>
    <row r="22" spans="1:105" x14ac:dyDescent="0.25">
      <c r="A22" s="61" t="s">
        <v>169</v>
      </c>
      <c r="B22" s="55">
        <v>0.1962898585604512</v>
      </c>
      <c r="C22" s="55">
        <v>3.0053614647172671</v>
      </c>
      <c r="D22" s="55">
        <v>4.6679173669016514</v>
      </c>
      <c r="E22" s="55">
        <v>5.2606803860118134</v>
      </c>
      <c r="F22" s="55">
        <v>5.1311859833977058</v>
      </c>
      <c r="G22" s="55">
        <v>5.8546273339973354</v>
      </c>
      <c r="H22" s="55">
        <v>6.5811864977643904</v>
      </c>
      <c r="I22" s="55">
        <v>8.2213944989350694</v>
      </c>
      <c r="J22" s="55">
        <v>10.043551925949449</v>
      </c>
      <c r="K22" s="55">
        <v>8.9538955086889782</v>
      </c>
      <c r="L22" s="55">
        <v>6.1010494953552783</v>
      </c>
      <c r="M22" s="55">
        <v>8.3187944807998431</v>
      </c>
      <c r="N22" s="55">
        <v>9.074753337079736</v>
      </c>
      <c r="O22" s="55">
        <v>11.472372333385</v>
      </c>
      <c r="P22" s="55">
        <v>7.4960015520737553</v>
      </c>
      <c r="Q22" s="55">
        <v>9.3439910646999831</v>
      </c>
      <c r="R22" s="55">
        <v>7.8373549284188586</v>
      </c>
      <c r="S22" s="55">
        <v>9.3365543387915295</v>
      </c>
      <c r="T22" s="55">
        <v>6.2347057812462534</v>
      </c>
      <c r="U22" s="55">
        <v>10.22703095461036</v>
      </c>
      <c r="V22" s="55">
        <v>11.23741402249793</v>
      </c>
      <c r="W22" s="55">
        <v>13.240118747867781</v>
      </c>
      <c r="X22" s="55">
        <v>6.7670106348047527</v>
      </c>
      <c r="Y22" s="55">
        <v>6.2418624438014261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116.2726029029774</v>
      </c>
      <c r="C25" s="257">
        <v>139.37688926045769</v>
      </c>
      <c r="D25" s="257">
        <v>135.34254517235991</v>
      </c>
      <c r="E25" s="257">
        <v>94.351023136808635</v>
      </c>
      <c r="F25" s="257">
        <v>91.194806074652263</v>
      </c>
      <c r="G25" s="257">
        <v>121.5965614356941</v>
      </c>
      <c r="H25" s="257">
        <v>68.458903084781355</v>
      </c>
      <c r="I25" s="257">
        <v>69.062559242097521</v>
      </c>
      <c r="J25" s="257">
        <v>56.06802747878158</v>
      </c>
      <c r="K25" s="257">
        <v>53.267009236875552</v>
      </c>
      <c r="L25" s="257">
        <v>77.897926867597477</v>
      </c>
      <c r="M25" s="257">
        <v>63.826792778590267</v>
      </c>
      <c r="N25" s="257">
        <v>61.381313429557352</v>
      </c>
      <c r="O25" s="257">
        <v>63.425030145773079</v>
      </c>
      <c r="P25" s="257">
        <v>65.705307646080598</v>
      </c>
      <c r="Q25" s="257">
        <v>67.678527723867603</v>
      </c>
      <c r="R25" s="257">
        <v>66.784677663230084</v>
      </c>
      <c r="S25" s="257">
        <v>69.261234925855504</v>
      </c>
      <c r="T25" s="257">
        <v>69.957919117106954</v>
      </c>
      <c r="U25" s="257">
        <v>72.729370529576315</v>
      </c>
      <c r="V25" s="257">
        <v>77.275307782795736</v>
      </c>
      <c r="W25" s="257">
        <v>80.107097373861706</v>
      </c>
      <c r="X25" s="257">
        <v>74.652890148708352</v>
      </c>
      <c r="Y25" s="257">
        <v>77.935823713235806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0.99999999999999989</v>
      </c>
      <c r="E31" s="235">
        <f t="shared" si="6"/>
        <v>1</v>
      </c>
      <c r="F31" s="235">
        <f t="shared" si="6"/>
        <v>1</v>
      </c>
      <c r="G31" s="235">
        <f t="shared" si="6"/>
        <v>1</v>
      </c>
      <c r="H31" s="235">
        <f t="shared" si="6"/>
        <v>0.99999999999999989</v>
      </c>
      <c r="I31" s="235">
        <f t="shared" si="6"/>
        <v>1.0000000000000002</v>
      </c>
      <c r="J31" s="235">
        <f t="shared" si="6"/>
        <v>0.99999999999999989</v>
      </c>
      <c r="K31" s="235">
        <f t="shared" si="6"/>
        <v>1</v>
      </c>
      <c r="L31" s="235">
        <f t="shared" si="6"/>
        <v>0.99999999999999978</v>
      </c>
      <c r="M31" s="235">
        <f t="shared" si="6"/>
        <v>1</v>
      </c>
      <c r="N31" s="235">
        <f t="shared" si="6"/>
        <v>0.99999999999999989</v>
      </c>
      <c r="O31" s="235">
        <f t="shared" si="6"/>
        <v>1.0000000000000002</v>
      </c>
      <c r="P31" s="235">
        <f t="shared" si="6"/>
        <v>0.99999999999999989</v>
      </c>
      <c r="Q31" s="235">
        <f t="shared" si="6"/>
        <v>0.99999999999999989</v>
      </c>
      <c r="R31" s="235">
        <f t="shared" ref="R31:W31" si="7">SUM(R32:R40)</f>
        <v>0.99999999999999989</v>
      </c>
      <c r="S31" s="235">
        <f t="shared" si="7"/>
        <v>1.0000000000000002</v>
      </c>
      <c r="T31" s="235">
        <f t="shared" si="7"/>
        <v>1</v>
      </c>
      <c r="U31" s="235">
        <f t="shared" si="7"/>
        <v>1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0.99999999999999989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0.21713932393235144</v>
      </c>
      <c r="C35" s="246">
        <f t="shared" si="12"/>
        <v>0.21881207597290583</v>
      </c>
      <c r="D35" s="246">
        <f t="shared" si="12"/>
        <v>0.21698023286950666</v>
      </c>
      <c r="E35" s="246">
        <f t="shared" si="12"/>
        <v>0.20886533322894696</v>
      </c>
      <c r="F35" s="246">
        <f t="shared" si="12"/>
        <v>0.2044634496717021</v>
      </c>
      <c r="G35" s="246">
        <f t="shared" si="12"/>
        <v>0.21152635289611132</v>
      </c>
      <c r="H35" s="246">
        <f t="shared" si="12"/>
        <v>0.19109375252060393</v>
      </c>
      <c r="I35" s="246">
        <f t="shared" si="12"/>
        <v>0.18784810950992115</v>
      </c>
      <c r="J35" s="246">
        <f t="shared" si="12"/>
        <v>0.17627346910197525</v>
      </c>
      <c r="K35" s="246">
        <f t="shared" si="12"/>
        <v>0.17096393983304145</v>
      </c>
      <c r="L35" s="246">
        <f t="shared" si="12"/>
        <v>0.19331085987030708</v>
      </c>
      <c r="M35" s="246">
        <f t="shared" si="12"/>
        <v>0.1842698243886064</v>
      </c>
      <c r="N35" s="246">
        <f t="shared" si="12"/>
        <v>0.18520067155292666</v>
      </c>
      <c r="O35" s="246">
        <f t="shared" si="12"/>
        <v>0.19083515740078949</v>
      </c>
      <c r="P35" s="246">
        <f t="shared" si="12"/>
        <v>0.19972230303495123</v>
      </c>
      <c r="Q35" s="246">
        <f t="shared" si="12"/>
        <v>0.19904576980366917</v>
      </c>
      <c r="R35" s="246">
        <f t="shared" si="12"/>
        <v>0.19667288362595489</v>
      </c>
      <c r="S35" s="246">
        <f t="shared" si="12"/>
        <v>0.18931564563883099</v>
      </c>
      <c r="T35" s="246">
        <f t="shared" si="12"/>
        <v>0.18744190357839505</v>
      </c>
      <c r="U35" s="246">
        <f t="shared" si="12"/>
        <v>0.19464417279687707</v>
      </c>
      <c r="V35" s="246">
        <f t="shared" si="12"/>
        <v>0.19666496174401585</v>
      </c>
      <c r="W35" s="246">
        <f t="shared" si="12"/>
        <v>0.19022800841361714</v>
      </c>
      <c r="X35" s="246">
        <f t="shared" si="12"/>
        <v>0.1953940977450469</v>
      </c>
      <c r="Y35" s="246">
        <f t="shared" si="12"/>
        <v>0.1962978464086309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0.30867510438662771</v>
      </c>
      <c r="C36" s="259">
        <f t="shared" si="13"/>
        <v>0.30822630529596223</v>
      </c>
      <c r="D36" s="259">
        <f t="shared" si="13"/>
        <v>0.30856196662799118</v>
      </c>
      <c r="E36" s="259">
        <f t="shared" si="13"/>
        <v>0.31149143549511765</v>
      </c>
      <c r="F36" s="259">
        <f t="shared" si="13"/>
        <v>0.31302879141324919</v>
      </c>
      <c r="G36" s="259">
        <f t="shared" si="13"/>
        <v>0.30989603429824708</v>
      </c>
      <c r="H36" s="259">
        <f t="shared" si="13"/>
        <v>0.31645378324743711</v>
      </c>
      <c r="I36" s="259">
        <f t="shared" si="13"/>
        <v>0.3198515187746338</v>
      </c>
      <c r="J36" s="259">
        <f t="shared" si="13"/>
        <v>0.32295306766798454</v>
      </c>
      <c r="K36" s="259">
        <f t="shared" si="13"/>
        <v>0.32402821931034742</v>
      </c>
      <c r="L36" s="259">
        <f t="shared" si="13"/>
        <v>0.31231575829078662</v>
      </c>
      <c r="M36" s="259">
        <f t="shared" si="13"/>
        <v>0.31506639934106434</v>
      </c>
      <c r="N36" s="259">
        <f t="shared" si="13"/>
        <v>0.32283383601352633</v>
      </c>
      <c r="O36" s="259">
        <f t="shared" si="13"/>
        <v>0.31997854091380951</v>
      </c>
      <c r="P36" s="259">
        <f t="shared" si="13"/>
        <v>0.31651123349571891</v>
      </c>
      <c r="Q36" s="259">
        <f t="shared" si="13"/>
        <v>0.31600074947578466</v>
      </c>
      <c r="R36" s="259">
        <f t="shared" si="13"/>
        <v>0.31689445823738077</v>
      </c>
      <c r="S36" s="259">
        <f t="shared" si="13"/>
        <v>0.31958164454301319</v>
      </c>
      <c r="T36" s="259">
        <f t="shared" si="13"/>
        <v>0.32259683941876921</v>
      </c>
      <c r="U36" s="259">
        <f t="shared" si="13"/>
        <v>0.32010294243751969</v>
      </c>
      <c r="V36" s="259">
        <f t="shared" si="13"/>
        <v>0.32060243332205446</v>
      </c>
      <c r="W36" s="259">
        <f t="shared" si="13"/>
        <v>0.32229770211454117</v>
      </c>
      <c r="X36" s="259">
        <f t="shared" si="13"/>
        <v>0.31830369222496263</v>
      </c>
      <c r="Y36" s="259">
        <f t="shared" si="13"/>
        <v>0.31819000721783142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0.41487107795963185</v>
      </c>
      <c r="C37" s="259">
        <f t="shared" si="14"/>
        <v>0.41373336549518258</v>
      </c>
      <c r="D37" s="259">
        <f t="shared" si="14"/>
        <v>0.41516504714429403</v>
      </c>
      <c r="E37" s="259">
        <f t="shared" si="14"/>
        <v>0.41978755606152035</v>
      </c>
      <c r="F37" s="259">
        <f t="shared" si="14"/>
        <v>0.42235666794906307</v>
      </c>
      <c r="G37" s="259">
        <f t="shared" si="14"/>
        <v>0.41902850722684043</v>
      </c>
      <c r="H37" s="259">
        <f t="shared" si="14"/>
        <v>0.43164323254209319</v>
      </c>
      <c r="I37" s="259">
        <f t="shared" si="14"/>
        <v>0.43083823682823436</v>
      </c>
      <c r="J37" s="259">
        <f t="shared" si="14"/>
        <v>0.43871533987551581</v>
      </c>
      <c r="K37" s="259">
        <f t="shared" si="14"/>
        <v>0.44274311815398848</v>
      </c>
      <c r="L37" s="259">
        <f t="shared" si="14"/>
        <v>0.4343593061296237</v>
      </c>
      <c r="M37" s="259">
        <f t="shared" si="14"/>
        <v>0.44012114196014923</v>
      </c>
      <c r="N37" s="259">
        <f t="shared" si="14"/>
        <v>0.42993028043507059</v>
      </c>
      <c r="O37" s="259">
        <f t="shared" si="14"/>
        <v>0.42769975843558017</v>
      </c>
      <c r="P37" s="259">
        <f t="shared" si="14"/>
        <v>0.42294619223548213</v>
      </c>
      <c r="Q37" s="259">
        <f t="shared" si="14"/>
        <v>0.42423130324536246</v>
      </c>
      <c r="R37" s="259">
        <f t="shared" si="14"/>
        <v>0.4255387470750166</v>
      </c>
      <c r="S37" s="259">
        <f t="shared" si="14"/>
        <v>0.42969243351360881</v>
      </c>
      <c r="T37" s="259">
        <f t="shared" si="14"/>
        <v>0.42797158587510647</v>
      </c>
      <c r="U37" s="259">
        <f t="shared" si="14"/>
        <v>0.42374243672627315</v>
      </c>
      <c r="V37" s="259">
        <f t="shared" si="14"/>
        <v>0.42112617555851661</v>
      </c>
      <c r="W37" s="259">
        <f t="shared" si="14"/>
        <v>0.425542100070048</v>
      </c>
      <c r="X37" s="259">
        <f t="shared" si="14"/>
        <v>0.42513750291346003</v>
      </c>
      <c r="Y37" s="259">
        <f t="shared" si="14"/>
        <v>0.42436928477854713</v>
      </c>
      <c r="DA37" s="278"/>
    </row>
    <row r="38" spans="1:105" x14ac:dyDescent="0.25">
      <c r="A38" s="127" t="s">
        <v>167</v>
      </c>
      <c r="B38" s="259">
        <f t="shared" ref="B38:Y38" si="15">IF(B$25=0,0,B$25/B$5)</f>
        <v>5.9314493721389056E-2</v>
      </c>
      <c r="C38" s="259">
        <f t="shared" si="15"/>
        <v>5.9228253235949394E-2</v>
      </c>
      <c r="D38" s="259">
        <f t="shared" si="15"/>
        <v>5.9292753358208071E-2</v>
      </c>
      <c r="E38" s="259">
        <f t="shared" si="15"/>
        <v>5.9855675214414983E-2</v>
      </c>
      <c r="F38" s="259">
        <f t="shared" si="15"/>
        <v>6.0151090965985705E-2</v>
      </c>
      <c r="G38" s="259">
        <f t="shared" si="15"/>
        <v>5.954910557880113E-2</v>
      </c>
      <c r="H38" s="259">
        <f t="shared" si="15"/>
        <v>6.0809231689865718E-2</v>
      </c>
      <c r="I38" s="259">
        <f t="shared" si="15"/>
        <v>6.1462134887210765E-2</v>
      </c>
      <c r="J38" s="259">
        <f t="shared" si="15"/>
        <v>6.2058123354524312E-2</v>
      </c>
      <c r="K38" s="259">
        <f t="shared" si="15"/>
        <v>6.2264722702622698E-2</v>
      </c>
      <c r="L38" s="259">
        <f t="shared" si="15"/>
        <v>6.0014075709282431E-2</v>
      </c>
      <c r="M38" s="259">
        <f t="shared" si="15"/>
        <v>6.0542634310179977E-2</v>
      </c>
      <c r="N38" s="259">
        <f t="shared" si="15"/>
        <v>6.2035211998476329E-2</v>
      </c>
      <c r="O38" s="259">
        <f t="shared" si="15"/>
        <v>6.1486543249820967E-2</v>
      </c>
      <c r="P38" s="259">
        <f t="shared" si="15"/>
        <v>6.0820271233847631E-2</v>
      </c>
      <c r="Q38" s="259">
        <f t="shared" si="15"/>
        <v>6.0722177475183721E-2</v>
      </c>
      <c r="R38" s="259">
        <f t="shared" si="15"/>
        <v>6.0893911061647675E-2</v>
      </c>
      <c r="S38" s="259">
        <f t="shared" si="15"/>
        <v>6.1410276304547137E-2</v>
      </c>
      <c r="T38" s="259">
        <f t="shared" si="15"/>
        <v>6.1989671127729233E-2</v>
      </c>
      <c r="U38" s="259">
        <f t="shared" si="15"/>
        <v>6.1510448039330021E-2</v>
      </c>
      <c r="V38" s="259">
        <f t="shared" si="15"/>
        <v>6.1606429375413142E-2</v>
      </c>
      <c r="W38" s="259">
        <f t="shared" si="15"/>
        <v>6.1932189401793743E-2</v>
      </c>
      <c r="X38" s="259">
        <f t="shared" si="15"/>
        <v>6.1164707116530333E-2</v>
      </c>
      <c r="Y38" s="259">
        <f t="shared" si="15"/>
        <v>6.1142861594990452E-2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2.8131222760779795</v>
      </c>
      <c r="C44" s="237">
        <f>IF(C$5=0,0,C$5/AGR_fec!C$5)</f>
        <v>2.8374708014629859</v>
      </c>
      <c r="D44" s="237">
        <f>IF(D$5=0,0,D$5/AGR_fec!D$5)</f>
        <v>2.8064407670362224</v>
      </c>
      <c r="E44" s="237">
        <f>IF(E$5=0,0,E$5/AGR_fec!E$5)</f>
        <v>2.6815858253009788</v>
      </c>
      <c r="F44" s="237">
        <f>IF(F$5=0,0,F$5/AGR_fec!F$5)</f>
        <v>2.6300678313570209</v>
      </c>
      <c r="G44" s="237">
        <f>IF(G$5=0,0,G$5/AGR_fec!G$5)</f>
        <v>2.7238759013221285</v>
      </c>
      <c r="H44" s="237">
        <f>IF(H$5=0,0,H$5/AGR_fec!H$5)</f>
        <v>2.5080230788643854</v>
      </c>
      <c r="I44" s="237">
        <f>IF(I$5=0,0,I$5/AGR_fec!I$5)</f>
        <v>2.4475916257727204</v>
      </c>
      <c r="J44" s="237">
        <f>IF(J$5=0,0,J$5/AGR_fec!J$5)</f>
        <v>2.3560789132360394</v>
      </c>
      <c r="K44" s="237">
        <f>IF(K$5=0,0,K$5/AGR_fec!K$5)</f>
        <v>2.3052244945502709</v>
      </c>
      <c r="L44" s="237">
        <f>IF(L$5=0,0,L$5/AGR_fec!L$5)</f>
        <v>2.5347389751167766</v>
      </c>
      <c r="M44" s="237">
        <f>IF(M$5=0,0,M$5/AGR_fec!M$5)</f>
        <v>2.4620574626799261</v>
      </c>
      <c r="N44" s="237">
        <f>IF(N$5=0,0,N$5/AGR_fec!N$5)</f>
        <v>2.3831370355854498</v>
      </c>
      <c r="O44" s="237">
        <f>IF(O$5=0,0,O$5/AGR_fec!O$5)</f>
        <v>2.4443693314035264</v>
      </c>
      <c r="P44" s="237">
        <f>IF(P$5=0,0,P$5/AGR_fec!P$5)</f>
        <v>2.5263455152412702</v>
      </c>
      <c r="Q44" s="237">
        <f>IF(Q$5=0,0,Q$5/AGR_fec!Q$5)</f>
        <v>2.525821907544946</v>
      </c>
      <c r="R44" s="237">
        <f>IF(R$5=0,0,R$5/AGR_fec!R$5)</f>
        <v>2.5165876160888865</v>
      </c>
      <c r="S44" s="237">
        <f>IF(S$5=0,0,S$5/AGR_fec!S$5)</f>
        <v>2.4531438453641345</v>
      </c>
      <c r="T44" s="237">
        <f>IF(T$5=0,0,T$5/AGR_fec!T$5)</f>
        <v>2.4209012928772822</v>
      </c>
      <c r="U44" s="237">
        <f>IF(U$5=0,0,U$5/AGR_fec!U$5)</f>
        <v>2.4769228114597013</v>
      </c>
      <c r="V44" s="237">
        <f>IF(V$5=0,0,V$5/AGR_fec!V$5)</f>
        <v>2.4861351971451637</v>
      </c>
      <c r="W44" s="237">
        <f>IF(W$5=0,0,W$5/AGR_fec!W$5)</f>
        <v>2.4308463786948056</v>
      </c>
      <c r="X44" s="237">
        <f>IF(X$5=0,0,X$5/AGR_fec!X$5)</f>
        <v>2.5068725673798142</v>
      </c>
      <c r="Y44" s="237">
        <f>IF(Y$5=0,0,Y$5/AGR_fec!Y$5)</f>
        <v>2.5114118833144783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2.9817010217371704</v>
      </c>
      <c r="C48" s="252">
        <f>IF(C$9=0,0,C$9/AGR_fec!C$9)</f>
        <v>3.0074440259933155</v>
      </c>
      <c r="D48" s="252">
        <f>IF(D$9=0,0,D$9/AGR_fec!D$9)</f>
        <v>2.9806289387829557</v>
      </c>
      <c r="E48" s="252">
        <f>IF(E$9=0,0,E$9/AGR_fec!E$9)</f>
        <v>2.8350162401359427</v>
      </c>
      <c r="F48" s="252">
        <f>IF(F$9=0,0,F$9/AGR_fec!F$9)</f>
        <v>2.7439312930178028</v>
      </c>
      <c r="G48" s="252">
        <f>IF(G$9=0,0,G$9/AGR_fec!G$9)</f>
        <v>2.896568660683422</v>
      </c>
      <c r="H48" s="252">
        <f>IF(H$9=0,0,H$9/AGR_fec!H$9)</f>
        <v>2.463945361089118</v>
      </c>
      <c r="I48" s="252">
        <f>IF(I$9=0,0,I$9/AGR_fec!I$9)</f>
        <v>2.3447045256754775</v>
      </c>
      <c r="J48" s="252">
        <f>IF(J$9=0,0,J$9/AGR_fec!J$9)</f>
        <v>2.1064427308347691</v>
      </c>
      <c r="K48" s="252">
        <f>IF(K$9=0,0,K$9/AGR_fec!K$9)</f>
        <v>1.9898582494884209</v>
      </c>
      <c r="L48" s="252">
        <f>IF(L$9=0,0,L$9/AGR_fec!L$9)</f>
        <v>2.532066657725081</v>
      </c>
      <c r="M48" s="252">
        <f>IF(M$9=0,0,M$9/AGR_fec!M$9)</f>
        <v>2.3418623184486198</v>
      </c>
      <c r="N48" s="252">
        <f>IF(N$9=0,0,N$9/AGR_fec!N$9)</f>
        <v>2.2587977650804585</v>
      </c>
      <c r="O48" s="252">
        <f>IF(O$9=0,0,O$9/AGR_fec!O$9)</f>
        <v>2.3939997592345148</v>
      </c>
      <c r="P48" s="252">
        <f>IF(P$9=0,0,P$9/AGR_fec!P$9)</f>
        <v>2.5911892853434151</v>
      </c>
      <c r="Q48" s="252">
        <f>IF(Q$9=0,0,Q$9/AGR_fec!Q$9)</f>
        <v>2.5837960019867223</v>
      </c>
      <c r="R48" s="252">
        <f>IF(R$9=0,0,R$9/AGR_fec!R$9)</f>
        <v>2.5385980127726153</v>
      </c>
      <c r="S48" s="252">
        <f>IF(S$9=0,0,S$9/AGR_fec!S$9)</f>
        <v>2.3785266088534471</v>
      </c>
      <c r="T48" s="252">
        <f>IF(T$9=0,0,T$9/AGR_fec!T$9)</f>
        <v>2.3267166669389825</v>
      </c>
      <c r="U48" s="252">
        <f>IF(U$9=0,0,U$9/AGR_fec!U$9)</f>
        <v>2.4782539463261841</v>
      </c>
      <c r="V48" s="252">
        <f>IF(V$9=0,0,V$9/AGR_fec!V$9)</f>
        <v>2.506168829090536</v>
      </c>
      <c r="W48" s="252">
        <f>IF(W$9=0,0,W$9/AGR_fec!W$9)</f>
        <v>2.3696289184662267</v>
      </c>
      <c r="X48" s="252">
        <f>IF(X$9=0,0,X$9/AGR_fec!X$9)</f>
        <v>2.5119909946738956</v>
      </c>
      <c r="Y48" s="252">
        <f>IF(Y$9=0,0,Y$9/AGR_fec!Y$9)</f>
        <v>2.5272929131999162</v>
      </c>
      <c r="DA48" s="289"/>
    </row>
    <row r="49" spans="1:105" x14ac:dyDescent="0.25">
      <c r="A49" s="127" t="s">
        <v>168</v>
      </c>
      <c r="B49" s="264">
        <f>IF(B$16=0,0,B$16/AGR_fec!B$16)</f>
        <v>3.1024188000000006</v>
      </c>
      <c r="C49" s="264">
        <f>IF(C$16=0,0,C$16/AGR_fec!C$16)</f>
        <v>3.1024188000000006</v>
      </c>
      <c r="D49" s="264">
        <f>IF(D$16=0,0,D$16/AGR_fec!D$16)</f>
        <v>3.102418800000001</v>
      </c>
      <c r="E49" s="264">
        <f>IF(E$16=0,0,E$16/AGR_fec!E$16)</f>
        <v>3.1024188000000001</v>
      </c>
      <c r="F49" s="264">
        <f>IF(F$16=0,0,F$16/AGR_fec!F$16)</f>
        <v>3.1024188000000001</v>
      </c>
      <c r="G49" s="264">
        <f>IF(G$16=0,0,G$16/AGR_fec!G$16)</f>
        <v>3.1024187999999997</v>
      </c>
      <c r="H49" s="264">
        <f>IF(H$16=0,0,H$16/AGR_fec!H$16)</f>
        <v>3.1024188000000001</v>
      </c>
      <c r="I49" s="264">
        <f>IF(I$16=0,0,I$16/AGR_fec!I$16)</f>
        <v>3.0792038063827407</v>
      </c>
      <c r="J49" s="264">
        <f>IF(J$16=0,0,J$16/AGR_fec!J$16)</f>
        <v>3.0826822108345979</v>
      </c>
      <c r="K49" s="264">
        <f>IF(K$16=0,0,K$16/AGR_fec!K$16)</f>
        <v>3.0608119269705791</v>
      </c>
      <c r="L49" s="264">
        <f>IF(L$16=0,0,L$16/AGR_fec!L$16)</f>
        <v>3.0746137050687472</v>
      </c>
      <c r="M49" s="264">
        <f>IF(M$16=0,0,M$16/AGR_fec!M$16)</f>
        <v>3.0850115695782123</v>
      </c>
      <c r="N49" s="264">
        <f>IF(N$16=0,0,N$16/AGR_fec!N$16)</f>
        <v>3.0668767459396569</v>
      </c>
      <c r="O49" s="264">
        <f>IF(O$16=0,0,O$16/AGR_fec!O$16)</f>
        <v>3.076715269490903</v>
      </c>
      <c r="P49" s="264">
        <f>IF(P$16=0,0,P$16/AGR_fec!P$16)</f>
        <v>3.0701035177486387</v>
      </c>
      <c r="Q49" s="264">
        <f>IF(Q$16=0,0,Q$16/AGR_fec!Q$16)</f>
        <v>3.0708673812852996</v>
      </c>
      <c r="R49" s="264">
        <f>IF(R$16=0,0,R$16/AGR_fec!R$16)</f>
        <v>3.0785535279744654</v>
      </c>
      <c r="S49" s="264">
        <f>IF(S$16=0,0,S$16/AGR_fec!S$16)</f>
        <v>3.0822657260810673</v>
      </c>
      <c r="T49" s="264">
        <f>IF(T$16=0,0,T$16/AGR_fec!T$16)</f>
        <v>3.0935511953151082</v>
      </c>
      <c r="U49" s="264">
        <f>IF(U$16=0,0,U$16/AGR_fec!U$16)</f>
        <v>3.0932060073072809</v>
      </c>
      <c r="V49" s="264">
        <f>IF(V$16=0,0,V$16/AGR_fec!V$16)</f>
        <v>3.0922410409770453</v>
      </c>
      <c r="W49" s="264">
        <f>IF(W$16=0,0,W$16/AGR_fec!W$16)</f>
        <v>3.0892813672198463</v>
      </c>
      <c r="X49" s="264">
        <f>IF(X$16=0,0,X$16/AGR_fec!X$16)</f>
        <v>3.090622852617237</v>
      </c>
      <c r="Y49" s="264">
        <f>IF(Y$16=0,0,Y$16/AGR_fec!Y$16)</f>
        <v>3.0871785276813837</v>
      </c>
      <c r="DA49" s="290"/>
    </row>
    <row r="50" spans="1:105" x14ac:dyDescent="0.25">
      <c r="A50" s="127" t="s">
        <v>121</v>
      </c>
      <c r="B50" s="264">
        <f>IF(B$17=0,0,B$17/AGR_fec!B$17)</f>
        <v>3.0824594099195255</v>
      </c>
      <c r="C50" s="264">
        <f>IF(C$17=0,0,C$17/AGR_fec!C$17)</f>
        <v>3.0828902431333707</v>
      </c>
      <c r="D50" s="264">
        <f>IF(D$17=0,0,D$17/AGR_fec!D$17)</f>
        <v>3.0739329058218492</v>
      </c>
      <c r="E50" s="264">
        <f>IF(E$17=0,0,E$17/AGR_fec!E$17)</f>
        <v>3.0656726350600172</v>
      </c>
      <c r="F50" s="264">
        <f>IF(F$17=0,0,F$17/AGR_fec!F$17)</f>
        <v>3.0621926048153596</v>
      </c>
      <c r="G50" s="264">
        <f>IF(G$17=0,0,G$17/AGR_fec!G$17)</f>
        <v>3.0774583111011284</v>
      </c>
      <c r="H50" s="264">
        <f>IF(H$17=0,0,H$17/AGR_fec!H$17)</f>
        <v>3.0605200658026646</v>
      </c>
      <c r="I50" s="264">
        <f>IF(I$17=0,0,I$17/AGR_fec!I$17)</f>
        <v>3.0499043845991913</v>
      </c>
      <c r="J50" s="264">
        <f>IF(J$17=0,0,J$17/AGR_fec!J$17)</f>
        <v>3.0307894633639614</v>
      </c>
      <c r="K50" s="264">
        <f>IF(K$17=0,0,K$17/AGR_fec!K$17)</f>
        <v>3.0181921796470066</v>
      </c>
      <c r="L50" s="264">
        <f>IF(L$17=0,0,L$17/AGR_fec!L$17)</f>
        <v>3.0587414385447409</v>
      </c>
      <c r="M50" s="264">
        <f>IF(M$17=0,0,M$17/AGR_fec!M$17)</f>
        <v>3.0592203311222703</v>
      </c>
      <c r="N50" s="264">
        <f>IF(N$17=0,0,N$17/AGR_fec!N$17)</f>
        <v>2.9504644936149025</v>
      </c>
      <c r="O50" s="264">
        <f>IF(O$17=0,0,O$17/AGR_fec!O$17)</f>
        <v>2.9741937809576648</v>
      </c>
      <c r="P50" s="264">
        <f>IF(P$17=0,0,P$17/AGR_fec!P$17)</f>
        <v>2.9848263413675649</v>
      </c>
      <c r="Q50" s="264">
        <f>IF(Q$17=0,0,Q$17/AGR_fec!Q$17)</f>
        <v>2.9884702562742804</v>
      </c>
      <c r="R50" s="264">
        <f>IF(R$17=0,0,R$17/AGR_fec!R$17)</f>
        <v>3.0242959488642218</v>
      </c>
      <c r="S50" s="264">
        <f>IF(S$17=0,0,S$17/AGR_fec!S$17)</f>
        <v>3.0289830359602927</v>
      </c>
      <c r="T50" s="264">
        <f>IF(T$17=0,0,T$17/AGR_fec!T$17)</f>
        <v>2.9848990928182735</v>
      </c>
      <c r="U50" s="264">
        <f>IF(U$17=0,0,U$17/AGR_fec!U$17)</f>
        <v>2.9707978305585256</v>
      </c>
      <c r="V50" s="264">
        <f>IF(V$17=0,0,V$17/AGR_fec!V$17)</f>
        <v>2.9715020876297609</v>
      </c>
      <c r="W50" s="264">
        <f>IF(W$17=0,0,W$17/AGR_fec!W$17)</f>
        <v>2.96716804389906</v>
      </c>
      <c r="X50" s="264">
        <f>IF(X$17=0,0,X$17/AGR_fec!X$17)</f>
        <v>3.0278036146293545</v>
      </c>
      <c r="Y50" s="264">
        <f>IF(Y$17=0,0,Y$17/AGR_fec!Y$17)</f>
        <v>3.0254339767331588</v>
      </c>
      <c r="DA50" s="290"/>
    </row>
    <row r="51" spans="1:105" x14ac:dyDescent="0.25">
      <c r="A51" s="127" t="s">
        <v>167</v>
      </c>
      <c r="B51" s="264">
        <f>IF(B$25=0,0,B$25/AGR_fec!B$25)</f>
        <v>3.1024187999999988</v>
      </c>
      <c r="C51" s="264">
        <f>IF(C$25=0,0,C$25/AGR_fec!C$25)</f>
        <v>3.1024188000000001</v>
      </c>
      <c r="D51" s="264">
        <f>IF(D$25=0,0,D$25/AGR_fec!D$25)</f>
        <v>3.1024187999999997</v>
      </c>
      <c r="E51" s="264">
        <f>IF(E$25=0,0,E$25/AGR_fec!E$25)</f>
        <v>3.1024188000000001</v>
      </c>
      <c r="F51" s="264">
        <f>IF(F$25=0,0,F$25/AGR_fec!F$25)</f>
        <v>3.1024188000000001</v>
      </c>
      <c r="G51" s="264">
        <f>IF(G$25=0,0,G$25/AGR_fec!G$25)</f>
        <v>3.1024188000000006</v>
      </c>
      <c r="H51" s="264">
        <f>IF(H$25=0,0,H$25/AGR_fec!H$25)</f>
        <v>3.1024188000000001</v>
      </c>
      <c r="I51" s="264">
        <f>IF(I$25=0,0,I$25/AGR_fec!I$25)</f>
        <v>3.0792038063827425</v>
      </c>
      <c r="J51" s="264">
        <f>IF(J$25=0,0,J$25/AGR_fec!J$25)</f>
        <v>3.0826822108345979</v>
      </c>
      <c r="K51" s="264">
        <f>IF(K$25=0,0,K$25/AGR_fec!K$25)</f>
        <v>3.06081192697058</v>
      </c>
      <c r="L51" s="264">
        <f>IF(L$25=0,0,L$25/AGR_fec!L$25)</f>
        <v>3.074613705068749</v>
      </c>
      <c r="M51" s="264">
        <f>IF(M$25=0,0,M$25/AGR_fec!M$25)</f>
        <v>3.0850115695782114</v>
      </c>
      <c r="N51" s="264">
        <f>IF(N$25=0,0,N$25/AGR_fec!N$25)</f>
        <v>3.0668767459396569</v>
      </c>
      <c r="O51" s="264">
        <f>IF(O$25=0,0,O$25/AGR_fec!O$25)</f>
        <v>3.0767152694909035</v>
      </c>
      <c r="P51" s="264">
        <f>IF(P$25=0,0,P$25/AGR_fec!P$25)</f>
        <v>3.0701035177486391</v>
      </c>
      <c r="Q51" s="264">
        <f>IF(Q$25=0,0,Q$25/AGR_fec!Q$25)</f>
        <v>3.0708673812852987</v>
      </c>
      <c r="R51" s="264">
        <f>IF(R$25=0,0,R$25/AGR_fec!R$25)</f>
        <v>3.0785535279744667</v>
      </c>
      <c r="S51" s="264">
        <f>IF(S$25=0,0,S$25/AGR_fec!S$25)</f>
        <v>3.0822657260810664</v>
      </c>
      <c r="T51" s="264">
        <f>IF(T$25=0,0,T$25/AGR_fec!T$25)</f>
        <v>3.0935511953151074</v>
      </c>
      <c r="U51" s="264">
        <f>IF(U$25=0,0,U$25/AGR_fec!U$25)</f>
        <v>3.0932060073072813</v>
      </c>
      <c r="V51" s="264">
        <f>IF(V$25=0,0,V$25/AGR_fec!V$25)</f>
        <v>3.0922410409770453</v>
      </c>
      <c r="W51" s="264">
        <f>IF(W$25=0,0,W$25/AGR_fec!W$25)</f>
        <v>3.0892813672198463</v>
      </c>
      <c r="X51" s="264">
        <f>IF(X$25=0,0,X$25/AGR_fec!X$25)</f>
        <v>3.0906228526172366</v>
      </c>
      <c r="Y51" s="264">
        <f>IF(Y$25=0,0,Y$25/AGR_fec!Y$25)</f>
        <v>3.0871785276813846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2025-11-06T10:29:54Z</dcterms:created>
  <dcterms:modified xsi:type="dcterms:W3CDTF">2025-11-06T10:29:55Z</dcterms:modified>
</cp:coreProperties>
</file>