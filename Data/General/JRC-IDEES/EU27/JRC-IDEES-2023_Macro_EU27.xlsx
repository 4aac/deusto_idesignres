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U27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11" i="59" l="1"/>
  <c r="AA65" i="59"/>
  <c r="Z65" i="59"/>
  <c r="Z5" i="59"/>
  <c r="Z113" i="59"/>
  <c r="Z108" i="59"/>
  <c r="Z104" i="59"/>
  <c r="Z101" i="59"/>
  <c r="Z100" i="59"/>
  <c r="Z97" i="59"/>
  <c r="Z93" i="59"/>
  <c r="Z105" i="59" l="1"/>
  <c r="AA112" i="59"/>
  <c r="AA120" i="59"/>
  <c r="Z112" i="59"/>
  <c r="AA116" i="59"/>
  <c r="AA110" i="59"/>
  <c r="AA119" i="59"/>
  <c r="F75" i="55"/>
  <c r="Y16" i="55"/>
  <c r="I16" i="55"/>
  <c r="W39" i="55"/>
  <c r="Z20" i="59"/>
  <c r="AA20" i="59"/>
  <c r="N75" i="55"/>
  <c r="Q16" i="55"/>
  <c r="AA67" i="59"/>
  <c r="G39" i="55"/>
  <c r="V75" i="55"/>
  <c r="O39" i="55"/>
  <c r="AA79" i="59"/>
  <c r="AA16" i="57"/>
  <c r="AA39" i="57"/>
  <c r="AA100" i="59"/>
  <c r="AA104" i="59"/>
  <c r="AA108" i="59"/>
  <c r="AA118" i="59"/>
  <c r="AA122" i="59"/>
  <c r="Z54" i="55"/>
  <c r="AA5" i="59"/>
  <c r="AA93" i="59"/>
  <c r="AA113" i="59"/>
  <c r="AA75" i="55"/>
  <c r="Z16" i="57"/>
  <c r="Z39" i="57"/>
  <c r="AA39" i="55"/>
  <c r="AA54" i="57"/>
  <c r="AA68" i="59"/>
  <c r="AA72" i="59"/>
  <c r="AA76" i="59"/>
  <c r="AA86" i="59"/>
  <c r="AA90" i="59"/>
  <c r="Z16" i="55"/>
  <c r="Z39" i="55"/>
  <c r="Z69" i="59"/>
  <c r="Z73" i="59"/>
  <c r="Z78" i="59"/>
  <c r="AA105" i="59"/>
  <c r="G54" i="55"/>
  <c r="O54" i="55"/>
  <c r="W54" i="55"/>
  <c r="AA69" i="59"/>
  <c r="AA73" i="59"/>
  <c r="AA78" i="59"/>
  <c r="AA80" i="59"/>
  <c r="Z79" i="59"/>
  <c r="D39" i="55"/>
  <c r="Z66" i="59"/>
  <c r="Z70" i="59"/>
  <c r="Z74" i="59"/>
  <c r="Z81" i="59"/>
  <c r="Z82" i="59"/>
  <c r="AA97" i="59"/>
  <c r="AA54" i="55"/>
  <c r="AA66" i="59"/>
  <c r="AA70" i="59"/>
  <c r="AA74" i="59"/>
  <c r="AA81" i="59"/>
  <c r="AA82" i="59"/>
  <c r="AA84" i="59"/>
  <c r="AA88" i="59"/>
  <c r="Z86" i="59"/>
  <c r="Z75" i="55"/>
  <c r="Z75" i="57"/>
  <c r="AA94" i="59"/>
  <c r="AA99" i="59"/>
  <c r="AA103" i="59"/>
  <c r="AA107" i="59"/>
  <c r="AA109" i="59"/>
  <c r="AA115" i="59"/>
  <c r="Z85" i="59"/>
  <c r="Z89" i="59"/>
  <c r="Z87" i="59"/>
  <c r="AA16" i="55"/>
  <c r="AA75" i="57"/>
  <c r="AA21" i="59"/>
  <c r="AA71" i="59"/>
  <c r="AA75" i="59"/>
  <c r="AA77" i="59"/>
  <c r="AA83" i="59"/>
  <c r="AA85" i="59"/>
  <c r="AA89" i="59"/>
  <c r="AA87" i="59"/>
  <c r="AA101" i="59"/>
  <c r="Z54" i="57"/>
  <c r="Z90" i="59"/>
  <c r="AA117" i="59"/>
  <c r="AA121" i="59"/>
  <c r="Z21" i="59"/>
  <c r="Z68" i="59"/>
  <c r="Z72" i="59"/>
  <c r="Z76" i="59"/>
  <c r="Z80" i="59"/>
  <c r="Z84" i="59"/>
  <c r="Z88" i="59"/>
  <c r="Z94" i="59"/>
  <c r="Z98" i="59"/>
  <c r="Z102" i="59"/>
  <c r="Z106" i="59"/>
  <c r="Z110" i="59"/>
  <c r="Z114" i="59"/>
  <c r="Z118" i="59"/>
  <c r="Z122" i="59"/>
  <c r="AA98" i="59"/>
  <c r="AA102" i="59"/>
  <c r="AA106" i="59"/>
  <c r="AA114" i="59"/>
  <c r="Z67" i="59"/>
  <c r="Z75" i="59"/>
  <c r="Z83" i="59"/>
  <c r="Z109" i="59"/>
  <c r="Z117" i="59"/>
  <c r="Z121" i="59"/>
  <c r="Z77" i="59"/>
  <c r="Z99" i="59"/>
  <c r="Z103" i="59"/>
  <c r="Z107" i="59"/>
  <c r="Z111" i="59"/>
  <c r="Z115" i="59"/>
  <c r="Z119" i="59"/>
  <c r="Z71" i="59"/>
  <c r="Z116" i="59"/>
  <c r="Z120" i="59"/>
  <c r="E75" i="55"/>
  <c r="M75" i="55"/>
  <c r="U75" i="55"/>
  <c r="H39" i="55"/>
  <c r="K16" i="55"/>
  <c r="S16" i="55"/>
  <c r="I39" i="55"/>
  <c r="Q39" i="55"/>
  <c r="Y39" i="55"/>
  <c r="H54" i="55"/>
  <c r="P54" i="55"/>
  <c r="X54" i="55"/>
  <c r="G75" i="55"/>
  <c r="O75" i="55"/>
  <c r="W75" i="55"/>
  <c r="J75" i="55"/>
  <c r="R75" i="55"/>
  <c r="P39" i="55"/>
  <c r="L16" i="55"/>
  <c r="T16" i="55"/>
  <c r="I54" i="55"/>
  <c r="Q54" i="55"/>
  <c r="Y54" i="55"/>
  <c r="H75" i="55"/>
  <c r="P75" i="55"/>
  <c r="X75" i="55"/>
  <c r="H16" i="55"/>
  <c r="X39" i="55"/>
  <c r="E16" i="55"/>
  <c r="M16" i="55"/>
  <c r="U16" i="55"/>
  <c r="K39" i="55"/>
  <c r="S39" i="55"/>
  <c r="L39" i="55"/>
  <c r="T39" i="55"/>
  <c r="J39" i="55"/>
  <c r="R39" i="55"/>
  <c r="J54" i="55"/>
  <c r="R54" i="55"/>
  <c r="I75" i="55"/>
  <c r="Q75" i="55"/>
  <c r="Y75" i="55"/>
  <c r="D16" i="55"/>
  <c r="D54" i="55"/>
  <c r="D75" i="55"/>
  <c r="F16" i="55"/>
  <c r="N16" i="55"/>
  <c r="V16" i="55"/>
  <c r="K54" i="55"/>
  <c r="S54" i="55"/>
  <c r="J16" i="55"/>
  <c r="P16" i="55"/>
  <c r="G16" i="55"/>
  <c r="O16" i="55"/>
  <c r="W16" i="55"/>
  <c r="E39" i="55"/>
  <c r="M39" i="55"/>
  <c r="U39" i="55"/>
  <c r="K75" i="55"/>
  <c r="S75" i="55"/>
  <c r="R16" i="55"/>
  <c r="X16" i="55"/>
  <c r="F39" i="55"/>
  <c r="N39" i="55"/>
  <c r="V39" i="55"/>
  <c r="E54" i="55"/>
  <c r="M54" i="55"/>
  <c r="U54" i="55"/>
  <c r="F54" i="55"/>
  <c r="N54" i="55"/>
  <c r="V54" i="55"/>
  <c r="L54" i="55"/>
  <c r="T54" i="55"/>
  <c r="L75" i="55"/>
  <c r="T75" i="55"/>
  <c r="AA96" i="59" l="1"/>
  <c r="AA95" i="59"/>
  <c r="AA12" i="59"/>
  <c r="Z12" i="59"/>
  <c r="AA13" i="59"/>
  <c r="Z13" i="59"/>
  <c r="AA9" i="59"/>
  <c r="AA10" i="59" s="1"/>
  <c r="Z9" i="59"/>
  <c r="Z10" i="59" s="1"/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T118" i="59"/>
  <c r="W117" i="59"/>
  <c r="U117" i="59"/>
  <c r="Y115" i="59"/>
  <c r="W112" i="59"/>
  <c r="T112" i="59"/>
  <c r="Y111" i="59"/>
  <c r="V111" i="59"/>
  <c r="W78" i="59"/>
  <c r="U110" i="59"/>
  <c r="U109" i="59"/>
  <c r="Y107" i="59"/>
  <c r="W75" i="59"/>
  <c r="U107" i="59"/>
  <c r="T106" i="59"/>
  <c r="R106" i="59"/>
  <c r="J106" i="59"/>
  <c r="Y105" i="59"/>
  <c r="W105" i="59"/>
  <c r="W72" i="59"/>
  <c r="Y103" i="59"/>
  <c r="U103" i="59"/>
  <c r="X102" i="59"/>
  <c r="W69" i="59"/>
  <c r="W101" i="59"/>
  <c r="V101" i="59"/>
  <c r="U101" i="59"/>
  <c r="Y68" i="59"/>
  <c r="X100" i="59"/>
  <c r="Y99" i="59"/>
  <c r="W98" i="59"/>
  <c r="T98" i="59"/>
  <c r="Y82" i="59"/>
  <c r="Y97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W113" i="59"/>
  <c r="U113" i="59"/>
  <c r="Y80" i="59"/>
  <c r="W80" i="59"/>
  <c r="W110" i="59"/>
  <c r="U108" i="59"/>
  <c r="W74" i="59"/>
  <c r="Y73" i="59"/>
  <c r="V103" i="59"/>
  <c r="T71" i="59"/>
  <c r="U100" i="59"/>
  <c r="Y67" i="59"/>
  <c r="W65" i="59"/>
  <c r="U94" i="59"/>
  <c r="X20" i="59"/>
  <c r="U20" i="59"/>
  <c r="W5" i="59"/>
  <c r="T5" i="59"/>
  <c r="Y5" i="59"/>
  <c r="X21" i="59"/>
  <c r="U5" i="59"/>
  <c r="Y65" i="59" l="1"/>
  <c r="E106" i="59"/>
  <c r="V74" i="59"/>
  <c r="Y66" i="59"/>
  <c r="T67" i="59"/>
  <c r="Y74" i="59"/>
  <c r="Y84" i="59"/>
  <c r="Y72" i="59"/>
  <c r="W67" i="59"/>
  <c r="Y71" i="59"/>
  <c r="W73" i="59"/>
  <c r="Y77" i="59"/>
  <c r="Y89" i="59"/>
  <c r="L106" i="59"/>
  <c r="Y102" i="59"/>
  <c r="Y114" i="59"/>
  <c r="U116" i="59"/>
  <c r="Y70" i="59"/>
  <c r="Y75" i="59"/>
  <c r="W81" i="59"/>
  <c r="U71" i="59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N16" i="57"/>
  <c r="Q54" i="57"/>
  <c r="G54" i="57"/>
  <c r="R16" i="57"/>
  <c r="U54" i="57"/>
  <c r="X54" i="57"/>
  <c r="L16" i="57"/>
  <c r="O16" i="57"/>
  <c r="N54" i="57"/>
  <c r="L54" i="57"/>
  <c r="E54" i="57"/>
  <c r="H54" i="57"/>
  <c r="W54" i="57"/>
  <c r="I54" i="57"/>
  <c r="E16" i="57"/>
  <c r="Y16" i="57"/>
  <c r="Y54" i="57"/>
  <c r="O54" i="57"/>
  <c r="K16" i="57"/>
  <c r="P16" i="57"/>
  <c r="M16" i="57"/>
  <c r="M54" i="57"/>
  <c r="P54" i="57"/>
  <c r="Q16" i="57"/>
  <c r="R54" i="57"/>
  <c r="W16" i="57"/>
  <c r="K54" i="57"/>
  <c r="J54" i="57"/>
  <c r="V16" i="57"/>
  <c r="U16" i="57"/>
  <c r="T16" i="57"/>
  <c r="D16" i="57"/>
  <c r="V54" i="57"/>
  <c r="J16" i="57"/>
  <c r="G16" i="57"/>
  <c r="F16" i="57"/>
  <c r="I16" i="57"/>
  <c r="S16" i="57"/>
  <c r="F54" i="57"/>
  <c r="T54" i="57"/>
  <c r="D54" i="57"/>
  <c r="X16" i="57"/>
  <c r="H16" i="57"/>
  <c r="V75" i="57" l="1"/>
  <c r="T39" i="57"/>
  <c r="G75" i="57"/>
  <c r="S39" i="57"/>
  <c r="R75" i="57"/>
  <c r="P75" i="57"/>
  <c r="Y75" i="57"/>
  <c r="D39" i="57"/>
  <c r="L75" i="57"/>
  <c r="H75" i="57"/>
  <c r="M75" i="57"/>
  <c r="O39" i="57"/>
  <c r="X39" i="57"/>
  <c r="J39" i="57"/>
  <c r="H39" i="57"/>
  <c r="K75" i="57"/>
  <c r="K39" i="57"/>
  <c r="Q39" i="57"/>
  <c r="N75" i="57"/>
  <c r="E75" i="57"/>
  <c r="G39" i="57"/>
  <c r="W75" i="57"/>
  <c r="D75" i="57"/>
  <c r="U75" i="57"/>
  <c r="X75" i="57"/>
  <c r="R39" i="57"/>
  <c r="I75" i="57"/>
  <c r="M39" i="57"/>
  <c r="U39" i="57"/>
  <c r="V39" i="57"/>
  <c r="F75" i="57"/>
  <c r="Q75" i="57"/>
  <c r="J75" i="57"/>
  <c r="L39" i="57"/>
  <c r="S75" i="57"/>
  <c r="W39" i="57"/>
  <c r="P39" i="57"/>
  <c r="N39" i="57"/>
  <c r="T75" i="57"/>
  <c r="O75" i="57"/>
  <c r="F39" i="57"/>
  <c r="I39" i="57"/>
  <c r="Y39" i="57"/>
  <c r="E39" i="57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<sst xmlns="http://schemas.openxmlformats.org/spreadsheetml/2006/main" count="722" uniqueCount="281">
  <si>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</si>
  <si>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</si>
  <si>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</si>
  <si>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</si>
  <si>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</si>
  <si>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</si>
  <si>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</si>
  <si>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</si>
  <si>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</si>
  <si>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</si>
  <si>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</si>
  <si>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</si>
  <si>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</si>
  <si>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</si>
  <si>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</si>
  <si>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</si>
  <si>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</si>
  <si>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</si>
  <si>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</si>
  <si>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</si>
  <si>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</si>
  <si>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</si>
  <si>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</si>
  <si>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</si>
  <si>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</si>
  <si>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</si>
  <si>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</si>
  <si>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</si>
  <si>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</si>
  <si>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</si>
  <si>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</si>
  <si>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</si>
  <si>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</si>
  <si>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</si>
  <si>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</si>
  <si>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</si>
  <si>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</si>
  <si>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</si>
  <si>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</si>
  <si>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</si>
  <si>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</si>
  <si>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</si>
  <si>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</si>
  <si>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</si>
  <si>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</si>
  <si>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</si>
  <si>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</si>
  <si>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</si>
  <si>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</si>
  <si>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</si>
  <si>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</si>
  <si>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</si>
  <si>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</si>
  <si>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</si>
  <si>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</si>
  <si>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</si>
  <si>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</si>
  <si>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</si>
  <si>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</si>
  <si>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</si>
  <si>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</si>
  <si>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</si>
  <si>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</si>
  <si>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</si>
  <si>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</si>
  <si>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</si>
  <si>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</si>
  <si>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</si>
  <si>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</si>
  <si>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</si>
  <si>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</si>
  <si>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</si>
  <si>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</si>
  <si>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</si>
  <si>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</si>
  <si>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</si>
  <si>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</si>
  <si>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</si>
  <si>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</si>
  <si>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</si>
  <si>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</si>
  <si>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</si>
  <si>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</si>
  <si>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</si>
  <si>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</si>
  <si>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</si>
  <si>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</si>
  <si>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</si>
  <si>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</si>
  <si>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</si>
  <si>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</si>
  <si>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</si>
  <si>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</si>
  <si>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</si>
  <si>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</si>
  <si>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</si>
  <si>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</si>
  <si>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</si>
  <si>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</si>
  <si>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</si>
  <si>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</si>
  <si>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</si>
  <si>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</si>
  <si>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</si>
  <si>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</si>
  <si>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</si>
  <si>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</si>
  <si>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</si>
  <si>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</si>
  <si>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</si>
  <si>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</si>
  <si>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</si>
  <si>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</si>
  <si>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</si>
  <si>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</si>
  <si>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</si>
  <si>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</si>
  <si>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</si>
  <si>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</si>
  <si>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</si>
  <si>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</si>
  <si>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</si>
  <si>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</si>
  <si>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</si>
  <si>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</si>
  <si>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</si>
  <si>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</si>
  <si>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</si>
  <si>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</si>
  <si>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</si>
  <si>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</si>
  <si>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</si>
  <si>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</si>
  <si>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</si>
  <si>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</si>
  <si>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</si>
  <si>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</si>
  <si>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</si>
  <si>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</si>
  <si>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</si>
  <si>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</si>
  <si>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</si>
  <si>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</si>
  <si>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</si>
  <si>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</si>
  <si>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</si>
  <si>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</si>
  <si>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</si>
  <si>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</si>
  <si>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</si>
  <si>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</si>
  <si>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</si>
  <si>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</si>
  <si>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</si>
  <si>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</si>
  <si>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</si>
  <si>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</si>
  <si>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</si>
  <si>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</si>
  <si>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</si>
  <si>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</si>
  <si>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</si>
  <si>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</si>
  <si>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</si>
  <si>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</si>
  <si>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</si>
  <si>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</si>
  <si>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</si>
  <si>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</si>
  <si>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</si>
  <si>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</si>
  <si>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</si>
  <si>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</si>
  <si>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</si>
  <si>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</si>
  <si>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</si>
  <si>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</si>
  <si>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</si>
  <si>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</si>
  <si>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</si>
  <si>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</si>
  <si>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</si>
  <si>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</si>
  <si>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</si>
  <si>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</si>
  <si>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</si>
  <si>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</si>
  <si>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</si>
  <si>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</si>
  <si>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</si>
  <si>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</si>
  <si>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</si>
  <si>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</si>
  <si>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</si>
  <si>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</si>
  <si>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</si>
  <si>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</si>
  <si>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</si>
  <si>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</si>
  <si>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</si>
  <si>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</si>
  <si>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</si>
  <si>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</si>
  <si>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</si>
  <si>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</si>
  <si>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</si>
  <si>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</si>
  <si>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</si>
  <si>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</si>
  <si>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</si>
  <si>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</si>
  <si>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</si>
  <si>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</si>
  <si>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</si>
  <si>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</si>
  <si>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</si>
  <si>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</si>
  <si>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</si>
  <si>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</si>
  <si>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</si>
  <si>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</si>
  <si>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</si>
  <si>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</si>
  <si>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</si>
  <si>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</si>
  <si>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</si>
  <si>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</si>
  <si>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</si>
  <si>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</si>
  <si>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</si>
  <si>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</si>
  <si>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</si>
  <si>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</si>
  <si>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</si>
  <si>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</si>
  <si>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</si>
  <si>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</si>
  <si>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</si>
  <si>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</si>
  <si>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</si>
  <si>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</si>
  <si>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</si>
  <si>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</si>
  <si>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</si>
  <si>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</si>
  <si>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</si>
  <si>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</si>
  <si>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</si>
  <si>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</si>
  <si>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</si>
  <si>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</si>
  <si>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</si>
  <si>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</si>
  <si>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</si>
  <si>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</si>
  <si>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</si>
  <si>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</si>
  <si>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</si>
  <si>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</si>
  <si>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</si>
  <si>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</si>
  <si>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EU27</t>
  </si>
  <si>
    <t>European Union (27 countries from 2020)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</si>
  <si>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</si>
  <si>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</si>
  <si>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</si>
  <si>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</si>
  <si>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</si>
  <si>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</si>
  <si>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</si>
  <si>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</si>
  <si>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</si>
  <si>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</si>
  <si>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</si>
  <si>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JRC-IDEES-2023 - Integrated Database of the European Energy System</t>
  </si>
  <si>
    <t>ESA2010 [million euro, 2023 prices]</t>
  </si>
  <si>
    <t>ESA2010 [euro, 2023 prices per capita]</t>
  </si>
  <si>
    <t>Gross value added [million euro, 2023 prices]</t>
  </si>
  <si>
    <t>Macro-economic data at 2023 prices - NACE structure</t>
  </si>
  <si>
    <t>Demographic and macro-economic data at 2023 prices - JRC-IDEES structure</t>
  </si>
  <si>
    <t>v2023-1.00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</si>
</sst>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7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23" ht="15" customHeight="1" x14ac:dyDescent="0.25"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6" spans="1:23" ht="31.5" x14ac:dyDescent="0.25">
      <c r="A6" s="136"/>
      <c r="B6" s="137" t="s">
        <v>274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262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51" t="s">
        <v>253</v>
      </c>
      <c r="M28" s="151"/>
      <c r="N28" s="151"/>
      <c r="O28" s="151"/>
    </row>
    <row r="29" spans="12:32" ht="15" customHeight="1" x14ac:dyDescent="0.25">
      <c r="V29" s="134"/>
    </row>
    <row r="30" spans="12:32" ht="18.75" x14ac:dyDescent="0.25">
      <c r="L30" s="152">
        <v>45967.480671296296</v>
      </c>
      <c r="M30" s="152"/>
      <c r="N30" s="152"/>
      <c r="O30" s="152"/>
      <c r="V30" s="134"/>
    </row>
    <row r="31" spans="12:32" ht="15" customHeight="1" x14ac:dyDescent="0.25">
      <c r="L31" s="140" t="s">
        <v>280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261</v>
      </c>
      <c r="B1" s="145" t="s">
        <v>262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278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279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E2" activePane="bottomRight" state="frozen"/>
      <selection activeCell="AA2" sqref="AA2"/>
      <selection pane="topRight" activeCell="AA2" sqref="AA2"/>
      <selection pane="bottomLeft" activeCell="AA2" sqref="AA2"/>
      <selection pane="bottomRight" activeCell="AA2" sqref="AA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261</v>
      </c>
      <c r="C1" s="15" t="s">
        <v>263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7884970.5000000009</v>
      </c>
      <c r="E2" s="19">
        <v>8260284.8999999994</v>
      </c>
      <c r="F2" s="19">
        <v>8559614.0999999996</v>
      </c>
      <c r="G2" s="19">
        <v>8792709.3999999985</v>
      </c>
      <c r="H2" s="19">
        <v>9195744.6000000015</v>
      </c>
      <c r="I2" s="19">
        <v>9600083.5</v>
      </c>
      <c r="J2" s="19">
        <v>10160799.199999997</v>
      </c>
      <c r="K2" s="19">
        <v>10788352.4</v>
      </c>
      <c r="L2" s="19">
        <v>11136844.1</v>
      </c>
      <c r="M2" s="19">
        <v>10650847.600000001</v>
      </c>
      <c r="N2" s="19">
        <v>11047428.699999999</v>
      </c>
      <c r="O2" s="19">
        <v>11407297.899999999</v>
      </c>
      <c r="P2" s="19">
        <v>11466418.800000001</v>
      </c>
      <c r="Q2" s="19">
        <v>11594287.4</v>
      </c>
      <c r="R2" s="19">
        <v>11867206.800000001</v>
      </c>
      <c r="S2" s="19">
        <v>12308199.500000002</v>
      </c>
      <c r="T2" s="19">
        <v>12638276.799999995</v>
      </c>
      <c r="U2" s="19">
        <v>13169374.699999997</v>
      </c>
      <c r="V2" s="19">
        <v>13630199</v>
      </c>
      <c r="W2" s="19">
        <v>14124313.1</v>
      </c>
      <c r="X2" s="19">
        <v>13580111.1</v>
      </c>
      <c r="Y2" s="19">
        <v>14793612.299999997</v>
      </c>
      <c r="Z2" s="19">
        <v>16174724.4</v>
      </c>
      <c r="AA2" s="19">
        <v>17252703.5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4404455.9000000013</v>
      </c>
      <c r="E3" s="23">
        <v>4602343.5999999978</v>
      </c>
      <c r="F3" s="23">
        <v>4755373</v>
      </c>
      <c r="G3" s="23">
        <v>4906833.7000000011</v>
      </c>
      <c r="H3" s="23">
        <v>5107951.0999999996</v>
      </c>
      <c r="I3" s="23">
        <v>5352220.5</v>
      </c>
      <c r="J3" s="23">
        <v>5611794.4000000004</v>
      </c>
      <c r="K3" s="23">
        <v>5894351.8999999985</v>
      </c>
      <c r="L3" s="23">
        <v>6121403.9000000004</v>
      </c>
      <c r="M3" s="23">
        <v>5960905.6000000015</v>
      </c>
      <c r="N3" s="23">
        <v>6163130.0000000009</v>
      </c>
      <c r="O3" s="23">
        <v>6333382.5999999978</v>
      </c>
      <c r="P3" s="23">
        <v>6392489.5999999996</v>
      </c>
      <c r="Q3" s="23">
        <v>6421116.0000000019</v>
      </c>
      <c r="R3" s="23">
        <v>6510969.1000000006</v>
      </c>
      <c r="S3" s="23">
        <v>6674373.9000000013</v>
      </c>
      <c r="T3" s="23">
        <v>6832689.5999999987</v>
      </c>
      <c r="U3" s="23">
        <v>7092825.6000000015</v>
      </c>
      <c r="V3" s="23">
        <v>7332864.8999999985</v>
      </c>
      <c r="W3" s="23">
        <v>7535664.5999999996</v>
      </c>
      <c r="X3" s="23">
        <v>7033048.2999999989</v>
      </c>
      <c r="Y3" s="23">
        <v>7562981.6000000006</v>
      </c>
      <c r="Z3" s="23">
        <v>8508325.0999999996</v>
      </c>
      <c r="AA3" s="23">
        <v>9094195.200000003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7058268</v>
      </c>
      <c r="E4" s="27">
        <v>7408900.9000000013</v>
      </c>
      <c r="F4" s="27">
        <v>7675442.8999999994</v>
      </c>
      <c r="G4" s="27">
        <v>7881950.2000000002</v>
      </c>
      <c r="H4" s="27">
        <v>8235939.0999999996</v>
      </c>
      <c r="I4" s="27">
        <v>8577576.9000000004</v>
      </c>
      <c r="J4" s="27">
        <v>9057522.3999999985</v>
      </c>
      <c r="K4" s="27">
        <v>9619859.9000000041</v>
      </c>
      <c r="L4" s="27">
        <v>9969074.4999999981</v>
      </c>
      <c r="M4" s="27">
        <v>9563477.0999999996</v>
      </c>
      <c r="N4" s="27">
        <v>9887641.5000000019</v>
      </c>
      <c r="O4" s="27">
        <v>10192266.999999998</v>
      </c>
      <c r="P4" s="27">
        <v>10240610</v>
      </c>
      <c r="Q4" s="27">
        <v>10345547.1</v>
      </c>
      <c r="R4" s="27">
        <v>10581402.100000001</v>
      </c>
      <c r="S4" s="27">
        <v>10972895.800000003</v>
      </c>
      <c r="T4" s="27">
        <v>11255714.499999998</v>
      </c>
      <c r="U4" s="27">
        <v>11723729.5</v>
      </c>
      <c r="V4" s="27">
        <v>12131448.900000002</v>
      </c>
      <c r="W4" s="27">
        <v>12579253.999999998</v>
      </c>
      <c r="X4" s="27">
        <v>12145126.9</v>
      </c>
      <c r="Y4" s="27">
        <v>13175164.700000001</v>
      </c>
      <c r="Z4" s="27">
        <v>14523011.700000003</v>
      </c>
      <c r="AA4" s="27">
        <v>15592421.6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4" t="s">
        <v>31</v>
      </c>
      <c r="B6" s="17" t="s">
        <v>32</v>
      </c>
      <c r="C6" s="18" t="s">
        <v>33</v>
      </c>
      <c r="D6" s="19">
        <v>171574.5</v>
      </c>
      <c r="E6" s="19">
        <v>182061.80000000002</v>
      </c>
      <c r="F6" s="19">
        <v>175291.99999999997</v>
      </c>
      <c r="G6" s="19">
        <v>173940.79999999993</v>
      </c>
      <c r="H6" s="19">
        <v>182919.70000000004</v>
      </c>
      <c r="I6" s="19">
        <v>167772.49999999997</v>
      </c>
      <c r="J6" s="19">
        <v>167182.10000000003</v>
      </c>
      <c r="K6" s="19">
        <v>182886.8</v>
      </c>
      <c r="L6" s="19">
        <v>182072.99999999997</v>
      </c>
      <c r="M6" s="19">
        <v>158668.10000000006</v>
      </c>
      <c r="N6" s="19">
        <v>177449.69999999995</v>
      </c>
      <c r="O6" s="19">
        <v>192257.5</v>
      </c>
      <c r="P6" s="19">
        <v>191563.40000000005</v>
      </c>
      <c r="Q6" s="19">
        <v>196544.8</v>
      </c>
      <c r="R6" s="19">
        <v>198120.20000000004</v>
      </c>
      <c r="S6" s="19">
        <v>197486.90000000005</v>
      </c>
      <c r="T6" s="19">
        <v>197730.99999999997</v>
      </c>
      <c r="U6" s="19">
        <v>219040.30000000005</v>
      </c>
      <c r="V6" s="19">
        <v>215702.5</v>
      </c>
      <c r="W6" s="19">
        <v>221385.3</v>
      </c>
      <c r="X6" s="19">
        <v>216116.09999999998</v>
      </c>
      <c r="Y6" s="19">
        <v>232803.40000000002</v>
      </c>
      <c r="Z6" s="19">
        <v>272277.40000000008</v>
      </c>
      <c r="AA6" s="19">
        <v>283140.60000000003</v>
      </c>
    </row>
    <row r="7" spans="1:27" ht="12.75" customHeight="1" x14ac:dyDescent="0.2">
      <c r="A7" s="155"/>
      <c r="B7" s="21" t="s">
        <v>34</v>
      </c>
      <c r="C7" s="22" t="s">
        <v>35</v>
      </c>
      <c r="D7" s="23">
        <v>1582365.4999999995</v>
      </c>
      <c r="E7" s="23">
        <v>1630393.4000000001</v>
      </c>
      <c r="F7" s="23">
        <v>1651287.4000000001</v>
      </c>
      <c r="G7" s="23">
        <v>1658595.6999999997</v>
      </c>
      <c r="H7" s="23">
        <v>1724966.4999999998</v>
      </c>
      <c r="I7" s="23">
        <v>1779445.9000000001</v>
      </c>
      <c r="J7" s="23">
        <v>1884647.0000000005</v>
      </c>
      <c r="K7" s="23">
        <v>1997775.0999999999</v>
      </c>
      <c r="L7" s="23">
        <v>2022494.2999999998</v>
      </c>
      <c r="M7" s="23">
        <v>1786754.7000000002</v>
      </c>
      <c r="N7" s="23">
        <v>1934015.8000000003</v>
      </c>
      <c r="O7" s="23">
        <v>2023796.9999999998</v>
      </c>
      <c r="P7" s="23">
        <v>2025260.2999999998</v>
      </c>
      <c r="Q7" s="23">
        <v>2016388.4000000004</v>
      </c>
      <c r="R7" s="23">
        <v>2068409.7000000004</v>
      </c>
      <c r="S7" s="23">
        <v>2197553.1000000006</v>
      </c>
      <c r="T7" s="23">
        <v>2251477.0000000005</v>
      </c>
      <c r="U7" s="23">
        <v>2332426.6</v>
      </c>
      <c r="V7" s="23">
        <v>2399775.6999999997</v>
      </c>
      <c r="W7" s="23">
        <v>2463287.1999999993</v>
      </c>
      <c r="X7" s="23">
        <v>2332948.2000000002</v>
      </c>
      <c r="Y7" s="23">
        <v>2569690</v>
      </c>
      <c r="Z7" s="23">
        <v>2914378</v>
      </c>
      <c r="AA7" s="23">
        <v>3145242.4000000004</v>
      </c>
    </row>
    <row r="8" spans="1:27" ht="12.75" customHeight="1" x14ac:dyDescent="0.2">
      <c r="A8" s="155"/>
      <c r="B8" s="21" t="s">
        <v>36</v>
      </c>
      <c r="C8" s="22" t="s">
        <v>37</v>
      </c>
      <c r="D8" s="23">
        <v>400391.99999999994</v>
      </c>
      <c r="E8" s="23">
        <v>421533.19999999995</v>
      </c>
      <c r="F8" s="23">
        <v>437759.3</v>
      </c>
      <c r="G8" s="23">
        <v>456132.89999999991</v>
      </c>
      <c r="H8" s="23">
        <v>484055.6</v>
      </c>
      <c r="I8" s="23">
        <v>514128.4</v>
      </c>
      <c r="J8" s="23">
        <v>565117.1</v>
      </c>
      <c r="K8" s="23">
        <v>607233.79999999993</v>
      </c>
      <c r="L8" s="23">
        <v>633567.39999999991</v>
      </c>
      <c r="M8" s="23">
        <v>594873.79999999993</v>
      </c>
      <c r="N8" s="23">
        <v>564691.4</v>
      </c>
      <c r="O8" s="23">
        <v>564322</v>
      </c>
      <c r="P8" s="23">
        <v>545384.60000000009</v>
      </c>
      <c r="Q8" s="23">
        <v>533911.39999999991</v>
      </c>
      <c r="R8" s="23">
        <v>534255.30000000005</v>
      </c>
      <c r="S8" s="23">
        <v>547078.70000000007</v>
      </c>
      <c r="T8" s="23">
        <v>562097.19999999995</v>
      </c>
      <c r="U8" s="23">
        <v>589793</v>
      </c>
      <c r="V8" s="23">
        <v>627164.50000000012</v>
      </c>
      <c r="W8" s="23">
        <v>665830.6</v>
      </c>
      <c r="X8" s="23">
        <v>658097.9</v>
      </c>
      <c r="Y8" s="23">
        <v>713294.70000000007</v>
      </c>
      <c r="Z8" s="23">
        <v>780763.1</v>
      </c>
      <c r="AA8" s="23">
        <v>860580.69999999984</v>
      </c>
    </row>
    <row r="9" spans="1:27" ht="12.75" customHeight="1" x14ac:dyDescent="0.2">
      <c r="A9" s="155"/>
      <c r="B9" s="21" t="s">
        <v>38</v>
      </c>
      <c r="C9" s="22" t="s">
        <v>39</v>
      </c>
      <c r="D9" s="23">
        <v>1356088.5999999999</v>
      </c>
      <c r="E9" s="23">
        <v>1438097.2</v>
      </c>
      <c r="F9" s="23">
        <v>1486629.9000000004</v>
      </c>
      <c r="G9" s="23">
        <v>1526102.8</v>
      </c>
      <c r="H9" s="23">
        <v>1585951.6</v>
      </c>
      <c r="I9" s="23">
        <v>1652260.1</v>
      </c>
      <c r="J9" s="23">
        <v>1727896.8999999997</v>
      </c>
      <c r="K9" s="23">
        <v>1836447.9000000004</v>
      </c>
      <c r="L9" s="23">
        <v>1912542.2999999996</v>
      </c>
      <c r="M9" s="23">
        <v>1832306.9999999998</v>
      </c>
      <c r="N9" s="23">
        <v>1865292.2999999998</v>
      </c>
      <c r="O9" s="23">
        <v>1918287.5999999996</v>
      </c>
      <c r="P9" s="23">
        <v>1929775.9000000001</v>
      </c>
      <c r="Q9" s="23">
        <v>1944391.9999999995</v>
      </c>
      <c r="R9" s="23">
        <v>1992643</v>
      </c>
      <c r="S9" s="23">
        <v>2076120.8000000003</v>
      </c>
      <c r="T9" s="23">
        <v>2134556.4</v>
      </c>
      <c r="U9" s="23">
        <v>2244423.1</v>
      </c>
      <c r="V9" s="23">
        <v>2313486.5999999996</v>
      </c>
      <c r="W9" s="23">
        <v>2407694.6999999997</v>
      </c>
      <c r="X9" s="23">
        <v>2152644</v>
      </c>
      <c r="Y9" s="23">
        <v>2431005.3000000007</v>
      </c>
      <c r="Z9" s="23">
        <v>2823971.4000000008</v>
      </c>
      <c r="AA9" s="23">
        <v>2933508.1</v>
      </c>
    </row>
    <row r="10" spans="1:27" ht="12.75" customHeight="1" x14ac:dyDescent="0.2">
      <c r="A10" s="155"/>
      <c r="B10" s="21" t="s">
        <v>40</v>
      </c>
      <c r="C10" s="22" t="s">
        <v>41</v>
      </c>
      <c r="D10" s="23">
        <v>322662.60000000003</v>
      </c>
      <c r="E10" s="23">
        <v>354711.5</v>
      </c>
      <c r="F10" s="23">
        <v>377970.9</v>
      </c>
      <c r="G10" s="23">
        <v>376830.39999999991</v>
      </c>
      <c r="H10" s="23">
        <v>398258.79999999993</v>
      </c>
      <c r="I10" s="23">
        <v>407480.80000000005</v>
      </c>
      <c r="J10" s="23">
        <v>427748.60000000003</v>
      </c>
      <c r="K10" s="23">
        <v>452581.89999999997</v>
      </c>
      <c r="L10" s="23">
        <v>465094.89999999991</v>
      </c>
      <c r="M10" s="23">
        <v>452317.49999999994</v>
      </c>
      <c r="N10" s="23">
        <v>454281.39999999997</v>
      </c>
      <c r="O10" s="23">
        <v>467620.7</v>
      </c>
      <c r="P10" s="23">
        <v>471733.60000000009</v>
      </c>
      <c r="Q10" s="23">
        <v>477191.09999999992</v>
      </c>
      <c r="R10" s="23">
        <v>484788.3</v>
      </c>
      <c r="S10" s="23">
        <v>506293.29999999993</v>
      </c>
      <c r="T10" s="23">
        <v>522972</v>
      </c>
      <c r="U10" s="23">
        <v>553212.70000000007</v>
      </c>
      <c r="V10" s="23">
        <v>590318.89999999991</v>
      </c>
      <c r="W10" s="23">
        <v>633962.19999999984</v>
      </c>
      <c r="X10" s="23">
        <v>650900.60000000009</v>
      </c>
      <c r="Y10" s="23">
        <v>723836.90000000014</v>
      </c>
      <c r="Z10" s="23">
        <v>770388.2</v>
      </c>
      <c r="AA10" s="23">
        <v>839405.2</v>
      </c>
    </row>
    <row r="11" spans="1:27" ht="12.75" customHeight="1" x14ac:dyDescent="0.2">
      <c r="A11" s="155"/>
      <c r="B11" s="21" t="s">
        <v>42</v>
      </c>
      <c r="C11" s="22" t="s">
        <v>43</v>
      </c>
      <c r="D11" s="23">
        <v>332830.19999999995</v>
      </c>
      <c r="E11" s="23">
        <v>343979.4</v>
      </c>
      <c r="F11" s="23">
        <v>356943.5</v>
      </c>
      <c r="G11" s="23">
        <v>381394.6</v>
      </c>
      <c r="H11" s="23">
        <v>412962.39999999997</v>
      </c>
      <c r="I11" s="23">
        <v>431454.8</v>
      </c>
      <c r="J11" s="23">
        <v>451646.49999999994</v>
      </c>
      <c r="K11" s="23">
        <v>478070.60000000003</v>
      </c>
      <c r="L11" s="23">
        <v>477763.39999999997</v>
      </c>
      <c r="M11" s="23">
        <v>492178.6</v>
      </c>
      <c r="N11" s="23">
        <v>514152.00000000012</v>
      </c>
      <c r="O11" s="23">
        <v>517931.4</v>
      </c>
      <c r="P11" s="23">
        <v>523135.4</v>
      </c>
      <c r="Q11" s="23">
        <v>520724.9</v>
      </c>
      <c r="R11" s="23">
        <v>542614.6</v>
      </c>
      <c r="S11" s="23">
        <v>552293.10000000009</v>
      </c>
      <c r="T11" s="23">
        <v>545039.50000000012</v>
      </c>
      <c r="U11" s="23">
        <v>539780.50000000012</v>
      </c>
      <c r="V11" s="23">
        <v>553253.19999999995</v>
      </c>
      <c r="W11" s="23">
        <v>560560.39999999991</v>
      </c>
      <c r="X11" s="23">
        <v>570753.1</v>
      </c>
      <c r="Y11" s="23">
        <v>602587.9</v>
      </c>
      <c r="Z11" s="23">
        <v>641401.20000000007</v>
      </c>
      <c r="AA11" s="23">
        <v>710254.99999999977</v>
      </c>
    </row>
    <row r="12" spans="1:27" ht="12.75" customHeight="1" x14ac:dyDescent="0.2">
      <c r="A12" s="155"/>
      <c r="B12" s="21" t="s">
        <v>44</v>
      </c>
      <c r="C12" s="22" t="s">
        <v>45</v>
      </c>
      <c r="D12" s="23">
        <v>698741.5</v>
      </c>
      <c r="E12" s="23">
        <v>732577.60000000021</v>
      </c>
      <c r="F12" s="23">
        <v>773255.69999999984</v>
      </c>
      <c r="G12" s="23">
        <v>805222.30000000016</v>
      </c>
      <c r="H12" s="23">
        <v>847385.99999999988</v>
      </c>
      <c r="I12" s="23">
        <v>900944.19999999984</v>
      </c>
      <c r="J12" s="23">
        <v>973084.20000000007</v>
      </c>
      <c r="K12" s="23">
        <v>1047695.7999999999</v>
      </c>
      <c r="L12" s="23">
        <v>1095393.5000000002</v>
      </c>
      <c r="M12" s="23">
        <v>1067077.6000000001</v>
      </c>
      <c r="N12" s="23">
        <v>1101022.0000000002</v>
      </c>
      <c r="O12" s="23">
        <v>1148160</v>
      </c>
      <c r="P12" s="23">
        <v>1156595.3</v>
      </c>
      <c r="Q12" s="23">
        <v>1185761.4000000001</v>
      </c>
      <c r="R12" s="23">
        <v>1204432.8999999997</v>
      </c>
      <c r="S12" s="23">
        <v>1234056.3000000003</v>
      </c>
      <c r="T12" s="23">
        <v>1264980.9999999998</v>
      </c>
      <c r="U12" s="23">
        <v>1304354.3000000003</v>
      </c>
      <c r="V12" s="23">
        <v>1341294.9000000004</v>
      </c>
      <c r="W12" s="23">
        <v>1389736.4000000001</v>
      </c>
      <c r="X12" s="23">
        <v>1398909.1</v>
      </c>
      <c r="Y12" s="23">
        <v>1442792.4</v>
      </c>
      <c r="Z12" s="23">
        <v>1522669.8</v>
      </c>
      <c r="AA12" s="23">
        <v>1672383.0000000005</v>
      </c>
    </row>
    <row r="13" spans="1:27" ht="12.75" customHeight="1" x14ac:dyDescent="0.2">
      <c r="A13" s="155"/>
      <c r="B13" s="21" t="s">
        <v>46</v>
      </c>
      <c r="C13" s="22" t="s">
        <v>47</v>
      </c>
      <c r="D13" s="23">
        <v>693904.20000000007</v>
      </c>
      <c r="E13" s="23">
        <v>733379.19999999972</v>
      </c>
      <c r="F13" s="23">
        <v>758526.50000000012</v>
      </c>
      <c r="G13" s="23">
        <v>782932.7</v>
      </c>
      <c r="H13" s="23">
        <v>808982.69999999984</v>
      </c>
      <c r="I13" s="23">
        <v>855521.90000000026</v>
      </c>
      <c r="J13" s="23">
        <v>911948.1</v>
      </c>
      <c r="K13" s="23">
        <v>986774.99999999988</v>
      </c>
      <c r="L13" s="23">
        <v>1040727.2999999999</v>
      </c>
      <c r="M13" s="23">
        <v>983620</v>
      </c>
      <c r="N13" s="23">
        <v>1019238.4000000001</v>
      </c>
      <c r="O13" s="23">
        <v>1057586.3000000003</v>
      </c>
      <c r="P13" s="23">
        <v>1070105.3000000003</v>
      </c>
      <c r="Q13" s="23">
        <v>1105540.4000000001</v>
      </c>
      <c r="R13" s="23">
        <v>1146717.8999999999</v>
      </c>
      <c r="S13" s="23">
        <v>1206580.9000000004</v>
      </c>
      <c r="T13" s="23">
        <v>1260129.5</v>
      </c>
      <c r="U13" s="23">
        <v>1337808.6000000001</v>
      </c>
      <c r="V13" s="23">
        <v>1409300.2000000002</v>
      </c>
      <c r="W13" s="23">
        <v>1456502.9999999998</v>
      </c>
      <c r="X13" s="23">
        <v>1399826.2000000002</v>
      </c>
      <c r="Y13" s="23">
        <v>1540698.2</v>
      </c>
      <c r="Z13" s="23">
        <v>1685496.6999999997</v>
      </c>
      <c r="AA13" s="23">
        <v>1833012.0000000005</v>
      </c>
    </row>
    <row r="14" spans="1:27" ht="12.75" customHeight="1" x14ac:dyDescent="0.2">
      <c r="A14" s="155"/>
      <c r="B14" s="21" t="s">
        <v>48</v>
      </c>
      <c r="C14" s="22" t="s">
        <v>49</v>
      </c>
      <c r="D14" s="23">
        <v>1265038.8999999997</v>
      </c>
      <c r="E14" s="23">
        <v>1327156.4000000008</v>
      </c>
      <c r="F14" s="23">
        <v>1402290.1</v>
      </c>
      <c r="G14" s="23">
        <v>1458891.9000000004</v>
      </c>
      <c r="H14" s="23">
        <v>1516599.4000000004</v>
      </c>
      <c r="I14" s="23">
        <v>1581843.9999999998</v>
      </c>
      <c r="J14" s="23">
        <v>1647183.3</v>
      </c>
      <c r="K14" s="23">
        <v>1715389.0000000002</v>
      </c>
      <c r="L14" s="23">
        <v>1808626.8000000005</v>
      </c>
      <c r="M14" s="23">
        <v>1863176.6000000003</v>
      </c>
      <c r="N14" s="23">
        <v>1918168.3</v>
      </c>
      <c r="O14" s="23">
        <v>1953379.5999999999</v>
      </c>
      <c r="P14" s="23">
        <v>1976569.6</v>
      </c>
      <c r="Q14" s="23">
        <v>2013184.8</v>
      </c>
      <c r="R14" s="23">
        <v>2050440.6999999997</v>
      </c>
      <c r="S14" s="23">
        <v>2085647.2000000002</v>
      </c>
      <c r="T14" s="23">
        <v>2141336.4999999995</v>
      </c>
      <c r="U14" s="23">
        <v>2213502.5000000005</v>
      </c>
      <c r="V14" s="23">
        <v>2282304.5999999992</v>
      </c>
      <c r="W14" s="23">
        <v>2368914</v>
      </c>
      <c r="X14" s="23">
        <v>2409871.6</v>
      </c>
      <c r="Y14" s="23">
        <v>2546408.2999999993</v>
      </c>
      <c r="Z14" s="23">
        <v>2678392.5000000005</v>
      </c>
      <c r="AA14" s="23">
        <v>2846379.2999999993</v>
      </c>
    </row>
    <row r="15" spans="1:27" ht="12.75" customHeight="1" x14ac:dyDescent="0.2">
      <c r="A15" s="155"/>
      <c r="B15" s="21" t="s">
        <v>50</v>
      </c>
      <c r="C15" s="22" t="s">
        <v>51</v>
      </c>
      <c r="D15" s="23">
        <v>234670.00000000003</v>
      </c>
      <c r="E15" s="23">
        <v>245011.20000000007</v>
      </c>
      <c r="F15" s="23">
        <v>255487.6</v>
      </c>
      <c r="G15" s="23">
        <v>261906.09999999998</v>
      </c>
      <c r="H15" s="23">
        <v>273856.39999999997</v>
      </c>
      <c r="I15" s="23">
        <v>286724.3</v>
      </c>
      <c r="J15" s="23">
        <v>301068.59999999998</v>
      </c>
      <c r="K15" s="23">
        <v>315004</v>
      </c>
      <c r="L15" s="23">
        <v>330791.60000000003</v>
      </c>
      <c r="M15" s="23">
        <v>332503.20000000007</v>
      </c>
      <c r="N15" s="23">
        <v>339330.2</v>
      </c>
      <c r="O15" s="23">
        <v>348924.9</v>
      </c>
      <c r="P15" s="23">
        <v>350486.60000000009</v>
      </c>
      <c r="Q15" s="23">
        <v>351907.90000000008</v>
      </c>
      <c r="R15" s="23">
        <v>358979.49999999988</v>
      </c>
      <c r="S15" s="23">
        <v>369785.50000000006</v>
      </c>
      <c r="T15" s="23">
        <v>375394.40000000008</v>
      </c>
      <c r="U15" s="23">
        <v>389387.90000000008</v>
      </c>
      <c r="V15" s="23">
        <v>398847.79999999993</v>
      </c>
      <c r="W15" s="23">
        <v>411380.2</v>
      </c>
      <c r="X15" s="23">
        <v>355060.10000000003</v>
      </c>
      <c r="Y15" s="23">
        <v>372047.6</v>
      </c>
      <c r="Z15" s="23">
        <v>433273.39999999997</v>
      </c>
      <c r="AA15" s="23">
        <v>468515.30000000005</v>
      </c>
    </row>
    <row r="16" spans="1:27" ht="12.75" customHeight="1" x14ac:dyDescent="0.2">
      <c r="A16" s="156"/>
      <c r="B16" s="28" t="s">
        <v>52</v>
      </c>
      <c r="C16" s="29" t="s">
        <v>53</v>
      </c>
      <c r="D16" s="30">
        <f>SUM(D6:D15)</f>
        <v>7058267.9999999991</v>
      </c>
      <c r="E16" s="30">
        <f t="shared" ref="E16:S16" si="0">SUM(E6:E15)</f>
        <v>7408900.9000000013</v>
      </c>
      <c r="F16" s="30">
        <f t="shared" si="0"/>
        <v>7675442.9000000004</v>
      </c>
      <c r="G16" s="30">
        <f t="shared" si="0"/>
        <v>7881950.1999999993</v>
      </c>
      <c r="H16" s="30">
        <f t="shared" si="0"/>
        <v>8235939.1000000015</v>
      </c>
      <c r="I16" s="30">
        <f t="shared" si="0"/>
        <v>8577576.9000000004</v>
      </c>
      <c r="J16" s="30">
        <f t="shared" si="0"/>
        <v>9057522.4000000004</v>
      </c>
      <c r="K16" s="30">
        <f t="shared" si="0"/>
        <v>9619859.9000000004</v>
      </c>
      <c r="L16" s="30">
        <f t="shared" si="0"/>
        <v>9969074.4999999981</v>
      </c>
      <c r="M16" s="30">
        <f t="shared" si="0"/>
        <v>9563477.0999999978</v>
      </c>
      <c r="N16" s="30">
        <f t="shared" si="0"/>
        <v>9887641.5</v>
      </c>
      <c r="O16" s="30">
        <f t="shared" si="0"/>
        <v>10192267</v>
      </c>
      <c r="P16" s="30">
        <f t="shared" si="0"/>
        <v>10240610</v>
      </c>
      <c r="Q16" s="30">
        <f t="shared" si="0"/>
        <v>10345547.100000001</v>
      </c>
      <c r="R16" s="30">
        <f t="shared" si="0"/>
        <v>10581402.099999998</v>
      </c>
      <c r="S16" s="30">
        <f t="shared" si="0"/>
        <v>10972895.800000001</v>
      </c>
      <c r="T16" s="30">
        <f t="shared" ref="T16:Y16" si="1">SUM(T6:T15)</f>
        <v>11255714.5</v>
      </c>
      <c r="U16" s="30">
        <f t="shared" si="1"/>
        <v>11723729.5</v>
      </c>
      <c r="V16" s="30">
        <f t="shared" si="1"/>
        <v>12131448.9</v>
      </c>
      <c r="W16" s="30">
        <f t="shared" si="1"/>
        <v>12579253.999999998</v>
      </c>
      <c r="X16" s="30">
        <f t="shared" si="1"/>
        <v>12145126.899999999</v>
      </c>
      <c r="Y16" s="30">
        <f t="shared" si="1"/>
        <v>13175164.699999999</v>
      </c>
      <c r="Z16" s="30">
        <f t="shared" ref="Z16:AA16" si="2">SUM(Z6:Z15)</f>
        <v>14523011.700000001</v>
      </c>
      <c r="AA16" s="30">
        <f t="shared" si="2"/>
        <v>15592421.6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4" t="s">
        <v>54</v>
      </c>
      <c r="B18" s="17" t="s">
        <v>32</v>
      </c>
      <c r="C18" s="18" t="s">
        <v>33</v>
      </c>
      <c r="D18" s="19">
        <v>171574.5</v>
      </c>
      <c r="E18" s="19">
        <v>182061.80000000002</v>
      </c>
      <c r="F18" s="19">
        <v>175291.99999999997</v>
      </c>
      <c r="G18" s="19">
        <v>173940.79999999993</v>
      </c>
      <c r="H18" s="19">
        <v>182919.70000000004</v>
      </c>
      <c r="I18" s="19">
        <v>167772.49999999997</v>
      </c>
      <c r="J18" s="19">
        <v>167182.10000000003</v>
      </c>
      <c r="K18" s="19">
        <v>182886.8</v>
      </c>
      <c r="L18" s="19">
        <v>182072.99999999997</v>
      </c>
      <c r="M18" s="19">
        <v>158668.10000000006</v>
      </c>
      <c r="N18" s="19">
        <v>177449.69999999995</v>
      </c>
      <c r="O18" s="19">
        <v>192257.5</v>
      </c>
      <c r="P18" s="19">
        <v>191563.40000000005</v>
      </c>
      <c r="Q18" s="19">
        <v>196544.8</v>
      </c>
      <c r="R18" s="19">
        <v>198120.20000000004</v>
      </c>
      <c r="S18" s="19">
        <v>197486.90000000005</v>
      </c>
      <c r="T18" s="19">
        <v>197730.99999999997</v>
      </c>
      <c r="U18" s="19">
        <v>219040.30000000005</v>
      </c>
      <c r="V18" s="19">
        <v>215702.5</v>
      </c>
      <c r="W18" s="19">
        <v>221385.3</v>
      </c>
      <c r="X18" s="19">
        <v>216116.09999999998</v>
      </c>
      <c r="Y18" s="19">
        <v>232803.40000000002</v>
      </c>
      <c r="Z18" s="19">
        <v>272277.40000000008</v>
      </c>
      <c r="AA18" s="19">
        <v>283140.60000000003</v>
      </c>
    </row>
    <row r="19" spans="1:27" ht="12.75" customHeight="1" x14ac:dyDescent="0.2">
      <c r="A19" s="155"/>
      <c r="B19" s="21" t="s">
        <v>55</v>
      </c>
      <c r="C19" s="22" t="s">
        <v>56</v>
      </c>
      <c r="D19" s="23">
        <v>38731.567422700587</v>
      </c>
      <c r="E19" s="23">
        <v>40213.015217037639</v>
      </c>
      <c r="F19" s="23">
        <v>40113.160370667589</v>
      </c>
      <c r="G19" s="23">
        <v>38813.338106941381</v>
      </c>
      <c r="H19" s="23">
        <v>42735.450041357937</v>
      </c>
      <c r="I19" s="23">
        <v>48567.320596820166</v>
      </c>
      <c r="J19" s="23">
        <v>56747.946532000547</v>
      </c>
      <c r="K19" s="23">
        <v>57816.013764200063</v>
      </c>
      <c r="L19" s="23">
        <v>69026.986890104919</v>
      </c>
      <c r="M19" s="23">
        <v>52652.845321971377</v>
      </c>
      <c r="N19" s="23">
        <v>59443.265857848332</v>
      </c>
      <c r="O19" s="23">
        <v>64199.254506470679</v>
      </c>
      <c r="P19" s="23">
        <v>68367.928258615648</v>
      </c>
      <c r="Q19" s="23">
        <v>63561.965281540084</v>
      </c>
      <c r="R19" s="23">
        <v>54177.52065711192</v>
      </c>
      <c r="S19" s="23">
        <v>44882.125469797233</v>
      </c>
      <c r="T19" s="23">
        <v>37663.626645414704</v>
      </c>
      <c r="U19" s="23">
        <v>42214.55128936017</v>
      </c>
      <c r="V19" s="23">
        <v>44128.137431939758</v>
      </c>
      <c r="W19" s="23">
        <v>42187.768440150299</v>
      </c>
      <c r="X19" s="23">
        <v>34033.264642105714</v>
      </c>
      <c r="Y19" s="23">
        <v>47168.68383744837</v>
      </c>
      <c r="Z19" s="23">
        <v>67163.199416848656</v>
      </c>
      <c r="AA19" s="23">
        <v>50710.436019570087</v>
      </c>
    </row>
    <row r="20" spans="1:27" ht="12.75" customHeight="1" x14ac:dyDescent="0.2">
      <c r="A20" s="155"/>
      <c r="B20" s="21" t="s">
        <v>57</v>
      </c>
      <c r="C20" s="22" t="s">
        <v>58</v>
      </c>
      <c r="D20" s="23">
        <v>1371023.5</v>
      </c>
      <c r="E20" s="23">
        <v>1409884.0999999999</v>
      </c>
      <c r="F20" s="23">
        <v>1420428.5000000002</v>
      </c>
      <c r="G20" s="23">
        <v>1423053.5000000005</v>
      </c>
      <c r="H20" s="23">
        <v>1471378.6</v>
      </c>
      <c r="I20" s="23">
        <v>1509441.4</v>
      </c>
      <c r="J20" s="23">
        <v>1592695.4000000001</v>
      </c>
      <c r="K20" s="23">
        <v>1697014.9999999998</v>
      </c>
      <c r="L20" s="23">
        <v>1688620.9999999998</v>
      </c>
      <c r="M20" s="23">
        <v>1465152.1</v>
      </c>
      <c r="N20" s="23">
        <v>1588741.4000000004</v>
      </c>
      <c r="O20" s="23">
        <v>1677405.2999999996</v>
      </c>
      <c r="P20" s="23">
        <v>1662868.1999999997</v>
      </c>
      <c r="Q20" s="23">
        <v>1664166.0999999999</v>
      </c>
      <c r="R20" s="23">
        <v>1732945.2999999996</v>
      </c>
      <c r="S20" s="23">
        <v>1870213.5</v>
      </c>
      <c r="T20" s="23">
        <v>1929367.8000000003</v>
      </c>
      <c r="U20" s="23">
        <v>2000973.0000000002</v>
      </c>
      <c r="V20" s="23">
        <v>2056041.7000000002</v>
      </c>
      <c r="W20" s="23">
        <v>2101228.9</v>
      </c>
      <c r="X20" s="23">
        <v>1975312.1999999995</v>
      </c>
      <c r="Y20" s="23">
        <v>2177105.6</v>
      </c>
      <c r="Z20" s="23">
        <v>2405957.6</v>
      </c>
      <c r="AA20" s="23">
        <v>2557454.0000000005</v>
      </c>
    </row>
    <row r="21" spans="1:27" ht="12.75" customHeight="1" x14ac:dyDescent="0.2">
      <c r="A21" s="155"/>
      <c r="B21" s="21" t="s">
        <v>59</v>
      </c>
      <c r="C21" s="22" t="s">
        <v>60</v>
      </c>
      <c r="D21" s="23">
        <v>116455.89538526996</v>
      </c>
      <c r="E21" s="23">
        <v>122207.37669418377</v>
      </c>
      <c r="F21" s="23">
        <v>129334.37472737991</v>
      </c>
      <c r="G21" s="23">
        <v>132879.31521953971</v>
      </c>
      <c r="H21" s="23">
        <v>142616.47117532199</v>
      </c>
      <c r="I21" s="23">
        <v>150734.7807169531</v>
      </c>
      <c r="J21" s="23">
        <v>160634.32119059944</v>
      </c>
      <c r="K21" s="23">
        <v>163677.72611702175</v>
      </c>
      <c r="L21" s="23">
        <v>180794.58193614738</v>
      </c>
      <c r="M21" s="23">
        <v>185915.68562869483</v>
      </c>
      <c r="N21" s="23">
        <v>195560.85917244726</v>
      </c>
      <c r="O21" s="23">
        <v>187557.4486911011</v>
      </c>
      <c r="P21" s="23">
        <v>198451.42981356313</v>
      </c>
      <c r="Q21" s="23">
        <v>191503.43395648978</v>
      </c>
      <c r="R21" s="23">
        <v>181709.71807878837</v>
      </c>
      <c r="S21" s="23">
        <v>180359.19587388926</v>
      </c>
      <c r="T21" s="23">
        <v>179705.70230636859</v>
      </c>
      <c r="U21" s="23">
        <v>180983.43949521176</v>
      </c>
      <c r="V21" s="23">
        <v>187809.0352245814</v>
      </c>
      <c r="W21" s="23">
        <v>205057.73567178423</v>
      </c>
      <c r="X21" s="23">
        <v>208103.50555530671</v>
      </c>
      <c r="Y21" s="23">
        <v>219890.24638173427</v>
      </c>
      <c r="Z21" s="23">
        <v>312075.46857049788</v>
      </c>
      <c r="AA21" s="23">
        <v>398891.4345756073</v>
      </c>
    </row>
    <row r="22" spans="1:27" ht="12.75" customHeight="1" x14ac:dyDescent="0.2">
      <c r="A22" s="155"/>
      <c r="B22" s="21" t="s">
        <v>61</v>
      </c>
      <c r="C22" s="22" t="s">
        <v>62</v>
      </c>
      <c r="D22" s="23">
        <v>56154.537192029442</v>
      </c>
      <c r="E22" s="23">
        <v>58088.908088778597</v>
      </c>
      <c r="F22" s="23">
        <v>61411.364901952518</v>
      </c>
      <c r="G22" s="23">
        <v>63849.546673518918</v>
      </c>
      <c r="H22" s="23">
        <v>68235.978783320024</v>
      </c>
      <c r="I22" s="23">
        <v>70702.398686226705</v>
      </c>
      <c r="J22" s="23">
        <v>74569.332277399939</v>
      </c>
      <c r="K22" s="23">
        <v>79266.360118778248</v>
      </c>
      <c r="L22" s="23">
        <v>84051.731173747699</v>
      </c>
      <c r="M22" s="23">
        <v>83034.069049333804</v>
      </c>
      <c r="N22" s="23">
        <v>90270.274969704376</v>
      </c>
      <c r="O22" s="23">
        <v>94634.996802428301</v>
      </c>
      <c r="P22" s="23">
        <v>95572.741927821233</v>
      </c>
      <c r="Q22" s="23">
        <v>97156.900761970101</v>
      </c>
      <c r="R22" s="23">
        <v>99577.161264099734</v>
      </c>
      <c r="S22" s="23">
        <v>102098.27865631349</v>
      </c>
      <c r="T22" s="23">
        <v>104739.87104821668</v>
      </c>
      <c r="U22" s="23">
        <v>108255.60921542812</v>
      </c>
      <c r="V22" s="23">
        <v>111796.82734347886</v>
      </c>
      <c r="W22" s="23">
        <v>114812.79588806548</v>
      </c>
      <c r="X22" s="23">
        <v>115499.22980258756</v>
      </c>
      <c r="Y22" s="23">
        <v>125525.46978081738</v>
      </c>
      <c r="Z22" s="23">
        <v>129181.73201265351</v>
      </c>
      <c r="AA22" s="23">
        <v>138186.52940482253</v>
      </c>
    </row>
    <row r="23" spans="1:27" ht="12.75" customHeight="1" x14ac:dyDescent="0.2">
      <c r="A23" s="155"/>
      <c r="B23" s="21" t="s">
        <v>36</v>
      </c>
      <c r="C23" s="22" t="s">
        <v>37</v>
      </c>
      <c r="D23" s="23">
        <v>400391.99999999994</v>
      </c>
      <c r="E23" s="23">
        <v>421533.19999999995</v>
      </c>
      <c r="F23" s="23">
        <v>437759.3</v>
      </c>
      <c r="G23" s="23">
        <v>456132.89999999991</v>
      </c>
      <c r="H23" s="23">
        <v>484055.6</v>
      </c>
      <c r="I23" s="23">
        <v>514128.4</v>
      </c>
      <c r="J23" s="23">
        <v>565117.1</v>
      </c>
      <c r="K23" s="23">
        <v>607233.79999999993</v>
      </c>
      <c r="L23" s="23">
        <v>633567.39999999991</v>
      </c>
      <c r="M23" s="23">
        <v>594873.79999999993</v>
      </c>
      <c r="N23" s="23">
        <v>564691.4</v>
      </c>
      <c r="O23" s="23">
        <v>564322</v>
      </c>
      <c r="P23" s="23">
        <v>545384.60000000009</v>
      </c>
      <c r="Q23" s="23">
        <v>533911.39999999991</v>
      </c>
      <c r="R23" s="23">
        <v>534255.30000000005</v>
      </c>
      <c r="S23" s="23">
        <v>547078.70000000007</v>
      </c>
      <c r="T23" s="23">
        <v>562097.19999999995</v>
      </c>
      <c r="U23" s="23">
        <v>589793</v>
      </c>
      <c r="V23" s="23">
        <v>627164.50000000012</v>
      </c>
      <c r="W23" s="23">
        <v>665830.6</v>
      </c>
      <c r="X23" s="23">
        <v>658097.9</v>
      </c>
      <c r="Y23" s="23">
        <v>713294.70000000007</v>
      </c>
      <c r="Z23" s="23">
        <v>780763.1</v>
      </c>
      <c r="AA23" s="23">
        <v>860580.69999999984</v>
      </c>
    </row>
    <row r="24" spans="1:27" ht="12.75" customHeight="1" x14ac:dyDescent="0.2">
      <c r="A24" s="155"/>
      <c r="B24" s="21" t="s">
        <v>63</v>
      </c>
      <c r="C24" s="22" t="s">
        <v>64</v>
      </c>
      <c r="D24" s="23">
        <v>825469.99999999988</v>
      </c>
      <c r="E24" s="23">
        <v>877025.1</v>
      </c>
      <c r="F24" s="23">
        <v>907196.5</v>
      </c>
      <c r="G24" s="23">
        <v>929063.60000000009</v>
      </c>
      <c r="H24" s="23">
        <v>960736.8</v>
      </c>
      <c r="I24" s="23">
        <v>996222.20000000007</v>
      </c>
      <c r="J24" s="23">
        <v>1040791.6000000001</v>
      </c>
      <c r="K24" s="23">
        <v>1100622.0999999999</v>
      </c>
      <c r="L24" s="23">
        <v>1153612.7</v>
      </c>
      <c r="M24" s="23">
        <v>1105433.0999999999</v>
      </c>
      <c r="N24" s="23">
        <v>1114305.3000000003</v>
      </c>
      <c r="O24" s="23">
        <v>1156361.9999999998</v>
      </c>
      <c r="P24" s="23">
        <v>1157449.9000000001</v>
      </c>
      <c r="Q24" s="23">
        <v>1160705.2999999998</v>
      </c>
      <c r="R24" s="23">
        <v>1186229.2999999998</v>
      </c>
      <c r="S24" s="23">
        <v>1234880.9000000001</v>
      </c>
      <c r="T24" s="23">
        <v>1274819.6000000001</v>
      </c>
      <c r="U24" s="23">
        <v>1337853.4999999995</v>
      </c>
      <c r="V24" s="23">
        <v>1377928.5999999999</v>
      </c>
      <c r="W24" s="23">
        <v>1430505.8</v>
      </c>
      <c r="X24" s="23">
        <v>1408659.6000000003</v>
      </c>
      <c r="Y24" s="23">
        <v>1554165.1999999997</v>
      </c>
      <c r="Z24" s="23">
        <v>1710089.2</v>
      </c>
      <c r="AA24" s="23">
        <v>1762814.6958208319</v>
      </c>
    </row>
    <row r="25" spans="1:27" ht="12.75" customHeight="1" x14ac:dyDescent="0.2">
      <c r="A25" s="155"/>
      <c r="B25" s="21" t="s">
        <v>65</v>
      </c>
      <c r="C25" s="22" t="s">
        <v>66</v>
      </c>
      <c r="D25" s="23">
        <v>339944.19999999995</v>
      </c>
      <c r="E25" s="23">
        <v>360544.6</v>
      </c>
      <c r="F25" s="23">
        <v>373170.30000000005</v>
      </c>
      <c r="G25" s="23">
        <v>385456.39999999997</v>
      </c>
      <c r="H25" s="23">
        <v>404961.00000000006</v>
      </c>
      <c r="I25" s="23">
        <v>424616.3</v>
      </c>
      <c r="J25" s="23">
        <v>445427.3</v>
      </c>
      <c r="K25" s="23">
        <v>481520.59999999992</v>
      </c>
      <c r="L25" s="23">
        <v>497078.3000000001</v>
      </c>
      <c r="M25" s="23">
        <v>471064.1</v>
      </c>
      <c r="N25" s="23">
        <v>491600.39999999997</v>
      </c>
      <c r="O25" s="23">
        <v>494763.29999999993</v>
      </c>
      <c r="P25" s="23">
        <v>501761.19999999995</v>
      </c>
      <c r="Q25" s="23">
        <v>513736.50000000006</v>
      </c>
      <c r="R25" s="23">
        <v>528878.79999999993</v>
      </c>
      <c r="S25" s="23">
        <v>550217.69999999995</v>
      </c>
      <c r="T25" s="23">
        <v>552722.60000000009</v>
      </c>
      <c r="U25" s="23">
        <v>579706.6</v>
      </c>
      <c r="V25" s="23">
        <v>592711.00000000012</v>
      </c>
      <c r="W25" s="23">
        <v>616678.80000000005</v>
      </c>
      <c r="X25" s="23">
        <v>543367.39999999991</v>
      </c>
      <c r="Y25" s="23">
        <v>631567.5</v>
      </c>
      <c r="Z25" s="23">
        <v>758761.00000000012</v>
      </c>
      <c r="AA25" s="23">
        <v>743852.85141167731</v>
      </c>
    </row>
    <row r="26" spans="1:27" ht="12.75" customHeight="1" x14ac:dyDescent="0.2">
      <c r="A26" s="155"/>
      <c r="B26" s="21" t="s">
        <v>67</v>
      </c>
      <c r="C26" s="22" t="s">
        <v>68</v>
      </c>
      <c r="D26" s="23">
        <v>190674.4</v>
      </c>
      <c r="E26" s="23">
        <v>200527.49999999997</v>
      </c>
      <c r="F26" s="23">
        <v>206263.09999999998</v>
      </c>
      <c r="G26" s="23">
        <v>211582.8</v>
      </c>
      <c r="H26" s="23">
        <v>220253.80000000002</v>
      </c>
      <c r="I26" s="23">
        <v>231421.59999999995</v>
      </c>
      <c r="J26" s="23">
        <v>241678.00000000006</v>
      </c>
      <c r="K26" s="23">
        <v>254305.20000000004</v>
      </c>
      <c r="L26" s="23">
        <v>261851.3</v>
      </c>
      <c r="M26" s="23">
        <v>255809.80000000002</v>
      </c>
      <c r="N26" s="23">
        <v>259386.60000000003</v>
      </c>
      <c r="O26" s="23">
        <v>267162.3</v>
      </c>
      <c r="P26" s="23">
        <v>270564.8</v>
      </c>
      <c r="Q26" s="23">
        <v>269950.2</v>
      </c>
      <c r="R26" s="23">
        <v>277534.89999999997</v>
      </c>
      <c r="S26" s="23">
        <v>291022.20000000007</v>
      </c>
      <c r="T26" s="23">
        <v>307014.19999999995</v>
      </c>
      <c r="U26" s="23">
        <v>326863</v>
      </c>
      <c r="V26" s="23">
        <v>342847.00000000006</v>
      </c>
      <c r="W26" s="23">
        <v>360510.1</v>
      </c>
      <c r="X26" s="23">
        <v>200616.99999999997</v>
      </c>
      <c r="Y26" s="23">
        <v>245272.60000000003</v>
      </c>
      <c r="Z26" s="23">
        <v>355121.20000000013</v>
      </c>
      <c r="AA26" s="23">
        <v>426840.55276749062</v>
      </c>
    </row>
    <row r="27" spans="1:27" ht="12.75" customHeight="1" x14ac:dyDescent="0.2">
      <c r="A27" s="155"/>
      <c r="B27" s="21" t="s">
        <v>40</v>
      </c>
      <c r="C27" s="22" t="s">
        <v>41</v>
      </c>
      <c r="D27" s="23">
        <v>322662.60000000003</v>
      </c>
      <c r="E27" s="23">
        <v>354711.5</v>
      </c>
      <c r="F27" s="23">
        <v>377970.9</v>
      </c>
      <c r="G27" s="23">
        <v>376830.39999999991</v>
      </c>
      <c r="H27" s="23">
        <v>398258.79999999993</v>
      </c>
      <c r="I27" s="23">
        <v>407480.80000000005</v>
      </c>
      <c r="J27" s="23">
        <v>427748.60000000003</v>
      </c>
      <c r="K27" s="23">
        <v>452581.89999999997</v>
      </c>
      <c r="L27" s="23">
        <v>465094.89999999991</v>
      </c>
      <c r="M27" s="23">
        <v>452317.49999999994</v>
      </c>
      <c r="N27" s="23">
        <v>454281.39999999997</v>
      </c>
      <c r="O27" s="23">
        <v>467620.7</v>
      </c>
      <c r="P27" s="23">
        <v>471733.60000000009</v>
      </c>
      <c r="Q27" s="23">
        <v>477191.09999999992</v>
      </c>
      <c r="R27" s="23">
        <v>484788.3</v>
      </c>
      <c r="S27" s="23">
        <v>506293.29999999993</v>
      </c>
      <c r="T27" s="23">
        <v>522972</v>
      </c>
      <c r="U27" s="23">
        <v>553212.70000000007</v>
      </c>
      <c r="V27" s="23">
        <v>590318.89999999991</v>
      </c>
      <c r="W27" s="23">
        <v>633962.19999999984</v>
      </c>
      <c r="X27" s="23">
        <v>650900.60000000009</v>
      </c>
      <c r="Y27" s="23">
        <v>723836.90000000014</v>
      </c>
      <c r="Z27" s="23">
        <v>770388.2</v>
      </c>
      <c r="AA27" s="23">
        <v>839405.2</v>
      </c>
    </row>
    <row r="28" spans="1:27" ht="12.75" customHeight="1" x14ac:dyDescent="0.2">
      <c r="A28" s="155"/>
      <c r="B28" s="21" t="s">
        <v>42</v>
      </c>
      <c r="C28" s="22" t="s">
        <v>43</v>
      </c>
      <c r="D28" s="23">
        <v>332830.19999999995</v>
      </c>
      <c r="E28" s="23">
        <v>343979.4</v>
      </c>
      <c r="F28" s="23">
        <v>356943.5</v>
      </c>
      <c r="G28" s="23">
        <v>381394.6</v>
      </c>
      <c r="H28" s="23">
        <v>412962.39999999997</v>
      </c>
      <c r="I28" s="23">
        <v>431454.8</v>
      </c>
      <c r="J28" s="23">
        <v>451646.49999999994</v>
      </c>
      <c r="K28" s="23">
        <v>478070.60000000003</v>
      </c>
      <c r="L28" s="23">
        <v>477763.39999999997</v>
      </c>
      <c r="M28" s="23">
        <v>492178.6</v>
      </c>
      <c r="N28" s="23">
        <v>514152.00000000012</v>
      </c>
      <c r="O28" s="23">
        <v>517931.4</v>
      </c>
      <c r="P28" s="23">
        <v>523135.4</v>
      </c>
      <c r="Q28" s="23">
        <v>520724.9</v>
      </c>
      <c r="R28" s="23">
        <v>542614.6</v>
      </c>
      <c r="S28" s="23">
        <v>552293.10000000009</v>
      </c>
      <c r="T28" s="23">
        <v>545039.50000000012</v>
      </c>
      <c r="U28" s="23">
        <v>539780.50000000012</v>
      </c>
      <c r="V28" s="23">
        <v>553253.19999999995</v>
      </c>
      <c r="W28" s="23">
        <v>560560.39999999991</v>
      </c>
      <c r="X28" s="23">
        <v>570753.1</v>
      </c>
      <c r="Y28" s="23">
        <v>602587.9</v>
      </c>
      <c r="Z28" s="23">
        <v>641401.20000000007</v>
      </c>
      <c r="AA28" s="23">
        <v>710254.99999999977</v>
      </c>
    </row>
    <row r="29" spans="1:27" ht="12.75" customHeight="1" x14ac:dyDescent="0.2">
      <c r="A29" s="155"/>
      <c r="B29" s="21" t="s">
        <v>44</v>
      </c>
      <c r="C29" s="22" t="s">
        <v>45</v>
      </c>
      <c r="D29" s="23">
        <v>698741.5</v>
      </c>
      <c r="E29" s="23">
        <v>732577.60000000021</v>
      </c>
      <c r="F29" s="23">
        <v>773255.69999999984</v>
      </c>
      <c r="G29" s="23">
        <v>805222.30000000016</v>
      </c>
      <c r="H29" s="23">
        <v>847385.99999999988</v>
      </c>
      <c r="I29" s="23">
        <v>900944.19999999984</v>
      </c>
      <c r="J29" s="23">
        <v>973084.20000000007</v>
      </c>
      <c r="K29" s="23">
        <v>1047695.7999999999</v>
      </c>
      <c r="L29" s="23">
        <v>1095393.5000000002</v>
      </c>
      <c r="M29" s="23">
        <v>1067077.6000000001</v>
      </c>
      <c r="N29" s="23">
        <v>1101022.0000000002</v>
      </c>
      <c r="O29" s="23">
        <v>1148160</v>
      </c>
      <c r="P29" s="23">
        <v>1156595.3</v>
      </c>
      <c r="Q29" s="23">
        <v>1185761.4000000001</v>
      </c>
      <c r="R29" s="23">
        <v>1204432.8999999997</v>
      </c>
      <c r="S29" s="23">
        <v>1234056.3000000003</v>
      </c>
      <c r="T29" s="23">
        <v>1264980.9999999998</v>
      </c>
      <c r="U29" s="23">
        <v>1304354.3000000003</v>
      </c>
      <c r="V29" s="23">
        <v>1341294.9000000004</v>
      </c>
      <c r="W29" s="23">
        <v>1389736.4000000001</v>
      </c>
      <c r="X29" s="23">
        <v>1398909.1</v>
      </c>
      <c r="Y29" s="23">
        <v>1442792.4</v>
      </c>
      <c r="Z29" s="23">
        <v>1522669.8</v>
      </c>
      <c r="AA29" s="23">
        <v>1672383.0000000005</v>
      </c>
    </row>
    <row r="30" spans="1:27" ht="12.75" customHeight="1" x14ac:dyDescent="0.2">
      <c r="A30" s="155"/>
      <c r="B30" s="21" t="s">
        <v>69</v>
      </c>
      <c r="C30" s="22" t="s">
        <v>70</v>
      </c>
      <c r="D30" s="23">
        <v>434910.20000000013</v>
      </c>
      <c r="E30" s="23">
        <v>459275</v>
      </c>
      <c r="F30" s="23">
        <v>475704.00000000006</v>
      </c>
      <c r="G30" s="23">
        <v>491036.90000000008</v>
      </c>
      <c r="H30" s="23">
        <v>506006.00000000012</v>
      </c>
      <c r="I30" s="23">
        <v>532769.20000000007</v>
      </c>
      <c r="J30" s="23">
        <v>566773.5</v>
      </c>
      <c r="K30" s="23">
        <v>606806.89999999979</v>
      </c>
      <c r="L30" s="23">
        <v>642135.90000000014</v>
      </c>
      <c r="M30" s="23">
        <v>607759.10000000009</v>
      </c>
      <c r="N30" s="23">
        <v>624244.00000000012</v>
      </c>
      <c r="O30" s="23">
        <v>647456.00000000012</v>
      </c>
      <c r="P30" s="23">
        <v>655614.7999999997</v>
      </c>
      <c r="Q30" s="23">
        <v>675761</v>
      </c>
      <c r="R30" s="23">
        <v>691276.89999999991</v>
      </c>
      <c r="S30" s="23">
        <v>725614.90000000014</v>
      </c>
      <c r="T30" s="23">
        <v>753722.8</v>
      </c>
      <c r="U30" s="23">
        <v>801307.39999999979</v>
      </c>
      <c r="V30" s="23">
        <v>839736.20000000007</v>
      </c>
      <c r="W30" s="23">
        <v>863481.60000000009</v>
      </c>
      <c r="X30" s="23">
        <v>863430.70000000007</v>
      </c>
      <c r="Y30" s="23">
        <v>947133.3</v>
      </c>
      <c r="Z30" s="23">
        <v>1019208.9999999998</v>
      </c>
      <c r="AA30" s="23">
        <v>1103760.9562699578</v>
      </c>
    </row>
    <row r="31" spans="1:27" ht="12.75" customHeight="1" x14ac:dyDescent="0.2">
      <c r="A31" s="155"/>
      <c r="B31" s="21" t="s">
        <v>71</v>
      </c>
      <c r="C31" s="22" t="s">
        <v>72</v>
      </c>
      <c r="D31" s="23">
        <v>258994.00000000006</v>
      </c>
      <c r="E31" s="23">
        <v>274104.2</v>
      </c>
      <c r="F31" s="23">
        <v>282822.49999999994</v>
      </c>
      <c r="G31" s="23">
        <v>291895.8</v>
      </c>
      <c r="H31" s="23">
        <v>302976.7</v>
      </c>
      <c r="I31" s="23">
        <v>322752.7</v>
      </c>
      <c r="J31" s="23">
        <v>345174.6</v>
      </c>
      <c r="K31" s="23">
        <v>379968.1</v>
      </c>
      <c r="L31" s="23">
        <v>398591.39999999991</v>
      </c>
      <c r="M31" s="23">
        <v>375860.89999999997</v>
      </c>
      <c r="N31" s="23">
        <v>394994.4</v>
      </c>
      <c r="O31" s="23">
        <v>410130.29999999987</v>
      </c>
      <c r="P31" s="23">
        <v>414490.50000000012</v>
      </c>
      <c r="Q31" s="23">
        <v>429779.4</v>
      </c>
      <c r="R31" s="23">
        <v>455440.99999999994</v>
      </c>
      <c r="S31" s="23">
        <v>480965.99999999994</v>
      </c>
      <c r="T31" s="23">
        <v>506406.7</v>
      </c>
      <c r="U31" s="23">
        <v>536501.19999999995</v>
      </c>
      <c r="V31" s="23">
        <v>569564.00000000012</v>
      </c>
      <c r="W31" s="23">
        <v>593021.4</v>
      </c>
      <c r="X31" s="23">
        <v>536395.5</v>
      </c>
      <c r="Y31" s="23">
        <v>593564.9</v>
      </c>
      <c r="Z31" s="23">
        <v>666287.69999999984</v>
      </c>
      <c r="AA31" s="23">
        <v>729251.04373004218</v>
      </c>
    </row>
    <row r="32" spans="1:27" ht="12.75" customHeight="1" x14ac:dyDescent="0.2">
      <c r="A32" s="155"/>
      <c r="B32" s="21" t="s">
        <v>73</v>
      </c>
      <c r="C32" s="22" t="s">
        <v>74</v>
      </c>
      <c r="D32" s="23">
        <v>480508.5999999998</v>
      </c>
      <c r="E32" s="23">
        <v>498277.50000000029</v>
      </c>
      <c r="F32" s="23">
        <v>518558.60000000015</v>
      </c>
      <c r="G32" s="23">
        <v>539270.10000000009</v>
      </c>
      <c r="H32" s="23">
        <v>558455.80000000016</v>
      </c>
      <c r="I32" s="23">
        <v>578950.59999999986</v>
      </c>
      <c r="J32" s="23">
        <v>601650.89999999991</v>
      </c>
      <c r="K32" s="23">
        <v>622546.1</v>
      </c>
      <c r="L32" s="23">
        <v>654145.40000000026</v>
      </c>
      <c r="M32" s="23">
        <v>672202.10000000009</v>
      </c>
      <c r="N32" s="23">
        <v>687699.09999999974</v>
      </c>
      <c r="O32" s="23">
        <v>696967.9</v>
      </c>
      <c r="P32" s="23">
        <v>700593.6</v>
      </c>
      <c r="Q32" s="23">
        <v>709874.90000000014</v>
      </c>
      <c r="R32" s="23">
        <v>712913.49999999965</v>
      </c>
      <c r="S32" s="23">
        <v>717782.3</v>
      </c>
      <c r="T32" s="23">
        <v>731535.39999999967</v>
      </c>
      <c r="U32" s="23">
        <v>751914.90000000026</v>
      </c>
      <c r="V32" s="23">
        <v>774979.99999999953</v>
      </c>
      <c r="W32" s="23">
        <v>802166.99999999988</v>
      </c>
      <c r="X32" s="23">
        <v>820750.7</v>
      </c>
      <c r="Y32" s="23">
        <v>850385.89999999979</v>
      </c>
      <c r="Z32" s="23">
        <v>899852.89999999991</v>
      </c>
      <c r="AA32" s="23">
        <v>956441.45265319129</v>
      </c>
    </row>
    <row r="33" spans="1:27" ht="12.75" customHeight="1" x14ac:dyDescent="0.2">
      <c r="A33" s="155"/>
      <c r="B33" s="21" t="s">
        <v>75</v>
      </c>
      <c r="C33" s="22" t="s">
        <v>76</v>
      </c>
      <c r="D33" s="23">
        <v>347517.69999999995</v>
      </c>
      <c r="E33" s="23">
        <v>366948.5</v>
      </c>
      <c r="F33" s="23">
        <v>387650.39999999997</v>
      </c>
      <c r="G33" s="23">
        <v>401500.8</v>
      </c>
      <c r="H33" s="23">
        <v>411653.49999999994</v>
      </c>
      <c r="I33" s="23">
        <v>429512.19999999995</v>
      </c>
      <c r="J33" s="23">
        <v>443802.3</v>
      </c>
      <c r="K33" s="23">
        <v>464747.90000000008</v>
      </c>
      <c r="L33" s="23">
        <v>487140.89999999991</v>
      </c>
      <c r="M33" s="23">
        <v>498206.2</v>
      </c>
      <c r="N33" s="23">
        <v>509722.40000000008</v>
      </c>
      <c r="O33" s="23">
        <v>515570</v>
      </c>
      <c r="P33" s="23">
        <v>520035.70000000013</v>
      </c>
      <c r="Q33" s="23">
        <v>527629.6</v>
      </c>
      <c r="R33" s="23">
        <v>537144.4</v>
      </c>
      <c r="S33" s="23">
        <v>548117.00000000012</v>
      </c>
      <c r="T33" s="23">
        <v>562792.4</v>
      </c>
      <c r="U33" s="23">
        <v>582326.90000000014</v>
      </c>
      <c r="V33" s="23">
        <v>599935.6</v>
      </c>
      <c r="W33" s="23">
        <v>622740.30000000016</v>
      </c>
      <c r="X33" s="23">
        <v>629877.10000000009</v>
      </c>
      <c r="Y33" s="23">
        <v>659667.49999999988</v>
      </c>
      <c r="Z33" s="23">
        <v>697974.3</v>
      </c>
      <c r="AA33" s="23">
        <v>739975.62624076707</v>
      </c>
    </row>
    <row r="34" spans="1:27" ht="12.75" customHeight="1" x14ac:dyDescent="0.2">
      <c r="A34" s="155"/>
      <c r="B34" s="21" t="s">
        <v>77</v>
      </c>
      <c r="C34" s="22" t="s">
        <v>78</v>
      </c>
      <c r="D34" s="23">
        <v>437012.60000000003</v>
      </c>
      <c r="E34" s="23">
        <v>461930.39999999997</v>
      </c>
      <c r="F34" s="23">
        <v>496081.09999999992</v>
      </c>
      <c r="G34" s="23">
        <v>518120.99999999994</v>
      </c>
      <c r="H34" s="23">
        <v>546490.1</v>
      </c>
      <c r="I34" s="23">
        <v>573381.20000000007</v>
      </c>
      <c r="J34" s="23">
        <v>601730.09999999974</v>
      </c>
      <c r="K34" s="23">
        <v>628095</v>
      </c>
      <c r="L34" s="23">
        <v>667340.49999999988</v>
      </c>
      <c r="M34" s="23">
        <v>692768.29999999981</v>
      </c>
      <c r="N34" s="23">
        <v>720746.8</v>
      </c>
      <c r="O34" s="23">
        <v>740841.7</v>
      </c>
      <c r="P34" s="23">
        <v>755940.29999999993</v>
      </c>
      <c r="Q34" s="23">
        <v>775680.29999999993</v>
      </c>
      <c r="R34" s="23">
        <v>800382.79999999981</v>
      </c>
      <c r="S34" s="23">
        <v>819747.89999999979</v>
      </c>
      <c r="T34" s="23">
        <v>847008.7000000003</v>
      </c>
      <c r="U34" s="23">
        <v>879260.70000000007</v>
      </c>
      <c r="V34" s="23">
        <v>907389.00000000012</v>
      </c>
      <c r="W34" s="23">
        <v>944006.70000000007</v>
      </c>
      <c r="X34" s="23">
        <v>959243.8</v>
      </c>
      <c r="Y34" s="23">
        <v>1036354.8999999997</v>
      </c>
      <c r="Z34" s="23">
        <v>1080565.3</v>
      </c>
      <c r="AA34" s="23">
        <v>1149962.2211060417</v>
      </c>
    </row>
    <row r="35" spans="1:27" ht="12.75" customHeight="1" x14ac:dyDescent="0.2">
      <c r="A35" s="155"/>
      <c r="B35" s="21" t="s">
        <v>79</v>
      </c>
      <c r="C35" s="22" t="s">
        <v>80</v>
      </c>
      <c r="D35" s="23">
        <v>79639</v>
      </c>
      <c r="E35" s="23">
        <v>83927.400000000009</v>
      </c>
      <c r="F35" s="23">
        <v>89804.5</v>
      </c>
      <c r="G35" s="23">
        <v>92627.10000000002</v>
      </c>
      <c r="H35" s="23">
        <v>96651.7</v>
      </c>
      <c r="I35" s="23">
        <v>102547.40000000001</v>
      </c>
      <c r="J35" s="23">
        <v>107615.4</v>
      </c>
      <c r="K35" s="23">
        <v>115173.99999999997</v>
      </c>
      <c r="L35" s="23">
        <v>121163.3</v>
      </c>
      <c r="M35" s="23">
        <v>122241</v>
      </c>
      <c r="N35" s="23">
        <v>125688.8</v>
      </c>
      <c r="O35" s="23">
        <v>130205.8</v>
      </c>
      <c r="P35" s="23">
        <v>129632.59999999999</v>
      </c>
      <c r="Q35" s="23">
        <v>131351.4</v>
      </c>
      <c r="R35" s="23">
        <v>134621.40000000002</v>
      </c>
      <c r="S35" s="23">
        <v>141503.99999999997</v>
      </c>
      <c r="T35" s="23">
        <v>145203.1</v>
      </c>
      <c r="U35" s="23">
        <v>153268</v>
      </c>
      <c r="V35" s="23">
        <v>159268.1</v>
      </c>
      <c r="W35" s="23">
        <v>165756.99999999997</v>
      </c>
      <c r="X35" s="23">
        <v>131486.89999999997</v>
      </c>
      <c r="Y35" s="23">
        <v>137163.6</v>
      </c>
      <c r="Z35" s="23">
        <v>174130.59999999995</v>
      </c>
      <c r="AA35" s="23">
        <v>191809.68699266357</v>
      </c>
    </row>
    <row r="36" spans="1:27" ht="12.75" customHeight="1" x14ac:dyDescent="0.2">
      <c r="A36" s="155"/>
      <c r="B36" s="21" t="s">
        <v>81</v>
      </c>
      <c r="C36" s="22" t="s">
        <v>82</v>
      </c>
      <c r="D36" s="23">
        <v>128237.50000000001</v>
      </c>
      <c r="E36" s="23">
        <v>132978.9</v>
      </c>
      <c r="F36" s="23">
        <v>135586</v>
      </c>
      <c r="G36" s="23">
        <v>137310</v>
      </c>
      <c r="H36" s="23">
        <v>143259.50000000006</v>
      </c>
      <c r="I36" s="23">
        <v>148550.59999999995</v>
      </c>
      <c r="J36" s="23">
        <v>156182.69999999998</v>
      </c>
      <c r="K36" s="23">
        <v>161579.00000000003</v>
      </c>
      <c r="L36" s="23">
        <v>169388.30000000002</v>
      </c>
      <c r="M36" s="23">
        <v>168626.19999999998</v>
      </c>
      <c r="N36" s="23">
        <v>171359.4</v>
      </c>
      <c r="O36" s="23">
        <v>176680.2</v>
      </c>
      <c r="P36" s="23">
        <v>179208.80000000002</v>
      </c>
      <c r="Q36" s="23">
        <v>179106.8</v>
      </c>
      <c r="R36" s="23">
        <v>182733.6</v>
      </c>
      <c r="S36" s="23">
        <v>186736.99999999997</v>
      </c>
      <c r="T36" s="23">
        <v>188692.50000000006</v>
      </c>
      <c r="U36" s="23">
        <v>194546</v>
      </c>
      <c r="V36" s="23">
        <v>197322.9</v>
      </c>
      <c r="W36" s="23">
        <v>203129.80000000002</v>
      </c>
      <c r="X36" s="23">
        <v>182471.69999999995</v>
      </c>
      <c r="Y36" s="23">
        <v>191915.19999999995</v>
      </c>
      <c r="Z36" s="23">
        <v>215000.1</v>
      </c>
      <c r="AA36" s="23">
        <v>230780.72214947117</v>
      </c>
    </row>
    <row r="37" spans="1:27" ht="12.75" customHeight="1" x14ac:dyDescent="0.2">
      <c r="A37" s="155"/>
      <c r="B37" s="21" t="s">
        <v>83</v>
      </c>
      <c r="C37" s="22" t="s">
        <v>84</v>
      </c>
      <c r="D37" s="23">
        <v>26793.499999999996</v>
      </c>
      <c r="E37" s="23">
        <v>28104.900000000005</v>
      </c>
      <c r="F37" s="23">
        <v>30097.1</v>
      </c>
      <c r="G37" s="23">
        <v>31969.000000000004</v>
      </c>
      <c r="H37" s="23">
        <v>33945.200000000004</v>
      </c>
      <c r="I37" s="23">
        <v>35626.300000000003</v>
      </c>
      <c r="J37" s="23">
        <v>37270.5</v>
      </c>
      <c r="K37" s="23">
        <v>38250.999999999985</v>
      </c>
      <c r="L37" s="23">
        <v>40239.999999999993</v>
      </c>
      <c r="M37" s="23">
        <v>41636.000000000022</v>
      </c>
      <c r="N37" s="23">
        <v>42282.000000000007</v>
      </c>
      <c r="O37" s="23">
        <v>42038.9</v>
      </c>
      <c r="P37" s="23">
        <v>41645.199999999997</v>
      </c>
      <c r="Q37" s="23">
        <v>41449.699999999997</v>
      </c>
      <c r="R37" s="23">
        <v>41624.5</v>
      </c>
      <c r="S37" s="23">
        <v>41544.499999999993</v>
      </c>
      <c r="T37" s="23">
        <v>41498.799999999996</v>
      </c>
      <c r="U37" s="23">
        <v>41573.900000000009</v>
      </c>
      <c r="V37" s="23">
        <v>42256.799999999996</v>
      </c>
      <c r="W37" s="23">
        <v>42493.4</v>
      </c>
      <c r="X37" s="23">
        <v>41101.5</v>
      </c>
      <c r="Y37" s="23">
        <v>42968.800000000003</v>
      </c>
      <c r="Z37" s="23">
        <v>44142.7</v>
      </c>
      <c r="AA37" s="23">
        <v>45924.890857865263</v>
      </c>
    </row>
    <row r="38" spans="1:27" ht="12.75" customHeight="1" x14ac:dyDescent="0.2">
      <c r="A38" s="155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6"/>
      <c r="B39" s="28" t="s">
        <v>52</v>
      </c>
      <c r="C39" s="29" t="s">
        <v>53</v>
      </c>
      <c r="D39" s="30">
        <f>SUM(D18:D38)</f>
        <v>7058268</v>
      </c>
      <c r="E39" s="30">
        <f t="shared" ref="E39:S39" si="3">SUM(E18:E38)</f>
        <v>7408900.9000000022</v>
      </c>
      <c r="F39" s="30">
        <f t="shared" si="3"/>
        <v>7675442.9000000004</v>
      </c>
      <c r="G39" s="30">
        <f t="shared" si="3"/>
        <v>7881950.2000000002</v>
      </c>
      <c r="H39" s="30">
        <f t="shared" si="3"/>
        <v>8235939.1000000006</v>
      </c>
      <c r="I39" s="30">
        <f t="shared" si="3"/>
        <v>8577576.9000000004</v>
      </c>
      <c r="J39" s="30">
        <f t="shared" si="3"/>
        <v>9057522.4000000004</v>
      </c>
      <c r="K39" s="30">
        <f t="shared" si="3"/>
        <v>9619859.8999999985</v>
      </c>
      <c r="L39" s="30">
        <f t="shared" si="3"/>
        <v>9969074.5000000019</v>
      </c>
      <c r="M39" s="30">
        <f t="shared" si="3"/>
        <v>9563477.0999999978</v>
      </c>
      <c r="N39" s="30">
        <f t="shared" si="3"/>
        <v>9887641.5000000019</v>
      </c>
      <c r="O39" s="30">
        <f t="shared" si="3"/>
        <v>10192266.999999998</v>
      </c>
      <c r="P39" s="30">
        <f t="shared" si="3"/>
        <v>10240610</v>
      </c>
      <c r="Q39" s="30">
        <f t="shared" si="3"/>
        <v>10345547.100000001</v>
      </c>
      <c r="R39" s="30">
        <f t="shared" si="3"/>
        <v>10581402.099999998</v>
      </c>
      <c r="S39" s="30">
        <f t="shared" si="3"/>
        <v>10972895.800000003</v>
      </c>
      <c r="T39" s="30">
        <f t="shared" ref="T39:Y39" si="4">SUM(T18:T38)</f>
        <v>11255714.500000002</v>
      </c>
      <c r="U39" s="30">
        <f t="shared" si="4"/>
        <v>11723729.5</v>
      </c>
      <c r="V39" s="30">
        <f t="shared" si="4"/>
        <v>12131448.9</v>
      </c>
      <c r="W39" s="30">
        <f t="shared" si="4"/>
        <v>12579254.000000002</v>
      </c>
      <c r="X39" s="30">
        <f t="shared" si="4"/>
        <v>12145126.899999997</v>
      </c>
      <c r="Y39" s="30">
        <f t="shared" si="4"/>
        <v>13175164.700000001</v>
      </c>
      <c r="Z39" s="30">
        <f t="shared" ref="Z39:AA39" si="5">SUM(Z18:Z38)</f>
        <v>14523011.700000001</v>
      </c>
      <c r="AA39" s="30">
        <f t="shared" si="5"/>
        <v>15592421.600000001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4" t="s">
        <v>87</v>
      </c>
      <c r="B41" s="17" t="s">
        <v>88</v>
      </c>
      <c r="C41" s="18" t="s">
        <v>89</v>
      </c>
      <c r="D41" s="19">
        <v>155989.20000000001</v>
      </c>
      <c r="E41" s="19">
        <v>162316</v>
      </c>
      <c r="F41" s="19">
        <v>169617.09999999998</v>
      </c>
      <c r="G41" s="19">
        <v>173575.99999999997</v>
      </c>
      <c r="H41" s="19">
        <v>178640.39999999997</v>
      </c>
      <c r="I41" s="19">
        <v>182005.3</v>
      </c>
      <c r="J41" s="19">
        <v>183827.70000000004</v>
      </c>
      <c r="K41" s="19">
        <v>192582.80000000002</v>
      </c>
      <c r="L41" s="19">
        <v>197040.90000000002</v>
      </c>
      <c r="M41" s="19">
        <v>195354.99999999997</v>
      </c>
      <c r="N41" s="19">
        <v>198446.69999999998</v>
      </c>
      <c r="O41" s="19">
        <v>201651.69999999998</v>
      </c>
      <c r="P41" s="19">
        <v>203669.39999999997</v>
      </c>
      <c r="Q41" s="19">
        <v>206055</v>
      </c>
      <c r="R41" s="19">
        <v>213213.19999999998</v>
      </c>
      <c r="S41" s="19">
        <v>222170.10000000003</v>
      </c>
      <c r="T41" s="19">
        <v>227150.5</v>
      </c>
      <c r="U41" s="19">
        <v>230481.4</v>
      </c>
      <c r="V41" s="19">
        <v>235855.9</v>
      </c>
      <c r="W41" s="19">
        <v>242500.43635724095</v>
      </c>
      <c r="X41" s="19">
        <v>242401.75054102039</v>
      </c>
      <c r="Y41" s="19">
        <v>246153.4014337878</v>
      </c>
      <c r="Z41" s="19">
        <v>259066.19596328429</v>
      </c>
      <c r="AA41" s="19">
        <v>292676.83146220533</v>
      </c>
    </row>
    <row r="42" spans="1:27" ht="12.75" customHeight="1" x14ac:dyDescent="0.2">
      <c r="A42" s="155"/>
      <c r="B42" s="21" t="s">
        <v>90</v>
      </c>
      <c r="C42" s="22" t="s">
        <v>91</v>
      </c>
      <c r="D42" s="23">
        <v>72912.099999999991</v>
      </c>
      <c r="E42" s="23">
        <v>75160.3</v>
      </c>
      <c r="F42" s="23">
        <v>73751.599999999977</v>
      </c>
      <c r="G42" s="23">
        <v>71356.399999999994</v>
      </c>
      <c r="H42" s="23">
        <v>69417.300000000017</v>
      </c>
      <c r="I42" s="23">
        <v>67269.399999999994</v>
      </c>
      <c r="J42" s="23">
        <v>67667.3</v>
      </c>
      <c r="K42" s="23">
        <v>70476.100000000006</v>
      </c>
      <c r="L42" s="23">
        <v>68829.600000000006</v>
      </c>
      <c r="M42" s="23">
        <v>58679.400000000009</v>
      </c>
      <c r="N42" s="23">
        <v>61989.500000000007</v>
      </c>
      <c r="O42" s="23">
        <v>66468.800000000003</v>
      </c>
      <c r="P42" s="23">
        <v>62800.400000000023</v>
      </c>
      <c r="Q42" s="23">
        <v>62653.100000000006</v>
      </c>
      <c r="R42" s="23">
        <v>64274.599999999991</v>
      </c>
      <c r="S42" s="23">
        <v>65387.3</v>
      </c>
      <c r="T42" s="23">
        <v>66630.2</v>
      </c>
      <c r="U42" s="23">
        <v>68233.500000000015</v>
      </c>
      <c r="V42" s="23">
        <v>69102.299999999988</v>
      </c>
      <c r="W42" s="23">
        <v>69258.400000000009</v>
      </c>
      <c r="X42" s="23">
        <v>59966.200000000004</v>
      </c>
      <c r="Y42" s="23">
        <v>67233</v>
      </c>
      <c r="Z42" s="23">
        <v>71423.5</v>
      </c>
      <c r="AA42" s="23">
        <v>73909.383570596678</v>
      </c>
    </row>
    <row r="43" spans="1:27" ht="12.75" customHeight="1" x14ac:dyDescent="0.2">
      <c r="A43" s="155"/>
      <c r="B43" s="21" t="s">
        <v>92</v>
      </c>
      <c r="C43" s="22" t="s">
        <v>93</v>
      </c>
      <c r="D43" s="23">
        <v>113712.20000000001</v>
      </c>
      <c r="E43" s="23">
        <v>116052.30000000002</v>
      </c>
      <c r="F43" s="23">
        <v>114252.79999999999</v>
      </c>
      <c r="G43" s="23">
        <v>110261.90000000002</v>
      </c>
      <c r="H43" s="23">
        <v>112074.40000000001</v>
      </c>
      <c r="I43" s="23">
        <v>111914.89999999998</v>
      </c>
      <c r="J43" s="23">
        <v>115294.90000000002</v>
      </c>
      <c r="K43" s="23">
        <v>120152.59999999998</v>
      </c>
      <c r="L43" s="23">
        <v>113435.9</v>
      </c>
      <c r="M43" s="23">
        <v>100395.90000000001</v>
      </c>
      <c r="N43" s="23">
        <v>104423.09999999999</v>
      </c>
      <c r="O43" s="23">
        <v>105250</v>
      </c>
      <c r="P43" s="23">
        <v>101634.6</v>
      </c>
      <c r="Q43" s="23">
        <v>98553.900000000009</v>
      </c>
      <c r="R43" s="23">
        <v>100868</v>
      </c>
      <c r="S43" s="23">
        <v>104090.70000000001</v>
      </c>
      <c r="T43" s="23">
        <v>105540.1</v>
      </c>
      <c r="U43" s="23">
        <v>107538.90000000001</v>
      </c>
      <c r="V43" s="23">
        <v>110808.70000000001</v>
      </c>
      <c r="W43" s="23">
        <v>112755.80071019396</v>
      </c>
      <c r="X43" s="23">
        <v>107477.7018257345</v>
      </c>
      <c r="Y43" s="23">
        <v>118152.86459080098</v>
      </c>
      <c r="Z43" s="23">
        <v>132056.02445814211</v>
      </c>
      <c r="AA43" s="23">
        <v>133324.04687412712</v>
      </c>
    </row>
    <row r="44" spans="1:27" ht="12.75" customHeight="1" x14ac:dyDescent="0.2">
      <c r="A44" s="155"/>
      <c r="B44" s="21" t="s">
        <v>94</v>
      </c>
      <c r="C44" s="22" t="s">
        <v>95</v>
      </c>
      <c r="D44" s="23">
        <v>20959.499999999993</v>
      </c>
      <c r="E44" s="23">
        <v>22291.9</v>
      </c>
      <c r="F44" s="23">
        <v>18216.8</v>
      </c>
      <c r="G44" s="23">
        <v>19174.900000000001</v>
      </c>
      <c r="H44" s="23">
        <v>25200.199999999997</v>
      </c>
      <c r="I44" s="23">
        <v>27805.5</v>
      </c>
      <c r="J44" s="23">
        <v>27501.200000000001</v>
      </c>
      <c r="K44" s="23">
        <v>27475.7</v>
      </c>
      <c r="L44" s="23">
        <v>27090.199999999997</v>
      </c>
      <c r="M44" s="23">
        <v>17984.7</v>
      </c>
      <c r="N44" s="23">
        <v>22197.699999999997</v>
      </c>
      <c r="O44" s="23">
        <v>28229.399999999994</v>
      </c>
      <c r="P44" s="23">
        <v>28624.999999999993</v>
      </c>
      <c r="Q44" s="23">
        <v>25151.599999999995</v>
      </c>
      <c r="R44" s="23">
        <v>22307.100000000002</v>
      </c>
      <c r="S44" s="23">
        <v>30215</v>
      </c>
      <c r="T44" s="23">
        <v>29045.399999999998</v>
      </c>
      <c r="U44" s="23">
        <v>31815.100000000002</v>
      </c>
      <c r="V44" s="23">
        <v>29386.799999999999</v>
      </c>
      <c r="W44" s="23">
        <v>26836.399999999994</v>
      </c>
      <c r="X44" s="23">
        <v>11593.699999999999</v>
      </c>
      <c r="Y44" s="23">
        <v>22556.000000000004</v>
      </c>
      <c r="Z44" s="23">
        <v>62544.3</v>
      </c>
      <c r="AA44" s="23">
        <v>69090.550260595366</v>
      </c>
    </row>
    <row r="45" spans="1:27" ht="12.75" customHeight="1" x14ac:dyDescent="0.2">
      <c r="A45" s="155"/>
      <c r="B45" s="21" t="s">
        <v>96</v>
      </c>
      <c r="C45" s="22" t="s">
        <v>97</v>
      </c>
      <c r="D45" s="23">
        <v>94195.199999999997</v>
      </c>
      <c r="E45" s="23">
        <v>94629.305137157993</v>
      </c>
      <c r="F45" s="23">
        <v>95538.851072168211</v>
      </c>
      <c r="G45" s="23">
        <v>93429.89911971298</v>
      </c>
      <c r="H45" s="23">
        <v>96498.498401927747</v>
      </c>
      <c r="I45" s="23">
        <v>98553.977129221108</v>
      </c>
      <c r="J45" s="23">
        <v>102114.36091170461</v>
      </c>
      <c r="K45" s="23">
        <v>108369.47683893701</v>
      </c>
      <c r="L45" s="23">
        <v>107506.10053943406</v>
      </c>
      <c r="M45" s="23">
        <v>97752.353310431208</v>
      </c>
      <c r="N45" s="23">
        <v>108464.91985557885</v>
      </c>
      <c r="O45" s="23">
        <v>113696.71457255521</v>
      </c>
      <c r="P45" s="23">
        <v>112372.31140411001</v>
      </c>
      <c r="Q45" s="23">
        <v>112150.45428649135</v>
      </c>
      <c r="R45" s="23">
        <v>117614.87023208287</v>
      </c>
      <c r="S45" s="23">
        <v>129901.22987733113</v>
      </c>
      <c r="T45" s="23">
        <v>132922.99460170767</v>
      </c>
      <c r="U45" s="23">
        <v>140333.1558517323</v>
      </c>
      <c r="V45" s="23">
        <v>136272.80754239194</v>
      </c>
      <c r="W45" s="23">
        <v>137917.29360483508</v>
      </c>
      <c r="X45" s="23">
        <v>138395.37945363979</v>
      </c>
      <c r="Y45" s="23">
        <v>146805.67862196313</v>
      </c>
      <c r="Z45" s="23">
        <v>150368.55124617618</v>
      </c>
      <c r="AA45" s="23">
        <v>149028.25135881826</v>
      </c>
    </row>
    <row r="46" spans="1:27" ht="12.75" customHeight="1" x14ac:dyDescent="0.2">
      <c r="A46" s="155"/>
      <c r="B46" s="21" t="s">
        <v>98</v>
      </c>
      <c r="C46" s="22" t="s">
        <v>99</v>
      </c>
      <c r="D46" s="23">
        <v>55592.888935883006</v>
      </c>
      <c r="E46" s="23">
        <v>64565.603634771847</v>
      </c>
      <c r="F46" s="23">
        <v>71431.744459519134</v>
      </c>
      <c r="G46" s="23">
        <v>71161.444837761519</v>
      </c>
      <c r="H46" s="23">
        <v>70023.308927649006</v>
      </c>
      <c r="I46" s="23">
        <v>74225.417921614979</v>
      </c>
      <c r="J46" s="23">
        <v>76094.715748888411</v>
      </c>
      <c r="K46" s="23">
        <v>80094.764462026782</v>
      </c>
      <c r="L46" s="23">
        <v>80959.464311565578</v>
      </c>
      <c r="M46" s="23">
        <v>83521.534265943556</v>
      </c>
      <c r="N46" s="23">
        <v>84927.972680033694</v>
      </c>
      <c r="O46" s="23">
        <v>86836.397869430613</v>
      </c>
      <c r="P46" s="23">
        <v>88470.582774525974</v>
      </c>
      <c r="Q46" s="23">
        <v>88082.208358224074</v>
      </c>
      <c r="R46" s="23">
        <v>91155.584918970693</v>
      </c>
      <c r="S46" s="23">
        <v>145729.91986540487</v>
      </c>
      <c r="T46" s="23">
        <v>147391.45672963385</v>
      </c>
      <c r="U46" s="23">
        <v>153620.50009599389</v>
      </c>
      <c r="V46" s="23">
        <v>168560.92741394299</v>
      </c>
      <c r="W46" s="23">
        <v>179433.70602312905</v>
      </c>
      <c r="X46" s="23">
        <v>193158.38567135821</v>
      </c>
      <c r="Y46" s="23">
        <v>218896.55212350644</v>
      </c>
      <c r="Z46" s="23">
        <v>261594.62785787391</v>
      </c>
      <c r="AA46" s="23">
        <v>238062.72418970909</v>
      </c>
    </row>
    <row r="47" spans="1:27" ht="12.75" customHeight="1" x14ac:dyDescent="0.2">
      <c r="A47" s="155"/>
      <c r="B47" s="21" t="s">
        <v>100</v>
      </c>
      <c r="C47" s="22" t="s">
        <v>101</v>
      </c>
      <c r="D47" s="23">
        <v>126001.80000000003</v>
      </c>
      <c r="E47" s="23">
        <v>128684.1</v>
      </c>
      <c r="F47" s="23">
        <v>132166.6</v>
      </c>
      <c r="G47" s="23">
        <v>130968.09999999998</v>
      </c>
      <c r="H47" s="23">
        <v>133964.4</v>
      </c>
      <c r="I47" s="23">
        <v>136630.6</v>
      </c>
      <c r="J47" s="23">
        <v>143456.4</v>
      </c>
      <c r="K47" s="23">
        <v>152463.20000000004</v>
      </c>
      <c r="L47" s="23">
        <v>150191.39999999994</v>
      </c>
      <c r="M47" s="23">
        <v>130312.29999999999</v>
      </c>
      <c r="N47" s="23">
        <v>131903.6</v>
      </c>
      <c r="O47" s="23">
        <v>136826.6</v>
      </c>
      <c r="P47" s="23">
        <v>134908</v>
      </c>
      <c r="Q47" s="23">
        <v>136021.70000000004</v>
      </c>
      <c r="R47" s="23">
        <v>141632.40000000005</v>
      </c>
      <c r="S47" s="23">
        <v>147388.20000000004</v>
      </c>
      <c r="T47" s="23">
        <v>154735.70000000001</v>
      </c>
      <c r="U47" s="23">
        <v>156831.10000000003</v>
      </c>
      <c r="V47" s="23">
        <v>161692.90000000002</v>
      </c>
      <c r="W47" s="23">
        <v>167766.61721550365</v>
      </c>
      <c r="X47" s="23">
        <v>161692.70793608253</v>
      </c>
      <c r="Y47" s="23">
        <v>172439.16901946338</v>
      </c>
      <c r="Z47" s="23">
        <v>179724.63769052961</v>
      </c>
      <c r="AA47" s="23">
        <v>196553.39248761142</v>
      </c>
    </row>
    <row r="48" spans="1:27" ht="12.75" customHeight="1" x14ac:dyDescent="0.2">
      <c r="A48" s="155"/>
      <c r="B48" s="21" t="s">
        <v>102</v>
      </c>
      <c r="C48" s="22" t="s">
        <v>103</v>
      </c>
      <c r="D48" s="23">
        <v>177487.9</v>
      </c>
      <c r="E48" s="23">
        <v>180924.6</v>
      </c>
      <c r="F48" s="23">
        <v>178657.3</v>
      </c>
      <c r="G48" s="23">
        <v>181329.89999999997</v>
      </c>
      <c r="H48" s="23">
        <v>192357.4</v>
      </c>
      <c r="I48" s="23">
        <v>203025.19999999998</v>
      </c>
      <c r="J48" s="23">
        <v>221489.09999999998</v>
      </c>
      <c r="K48" s="23">
        <v>242700.09999999998</v>
      </c>
      <c r="L48" s="23">
        <v>241841.9</v>
      </c>
      <c r="M48" s="23">
        <v>187627</v>
      </c>
      <c r="N48" s="23">
        <v>205044.1</v>
      </c>
      <c r="O48" s="23">
        <v>220500.39999999997</v>
      </c>
      <c r="P48" s="23">
        <v>217243.4</v>
      </c>
      <c r="Q48" s="23">
        <v>215702.19999999998</v>
      </c>
      <c r="R48" s="23">
        <v>222024.4</v>
      </c>
      <c r="S48" s="23">
        <v>228844.40000000002</v>
      </c>
      <c r="T48" s="23">
        <v>236297.69999999998</v>
      </c>
      <c r="U48" s="23">
        <v>246163.3</v>
      </c>
      <c r="V48" s="23">
        <v>257286.79999999996</v>
      </c>
      <c r="W48" s="23">
        <v>253193.84471876986</v>
      </c>
      <c r="X48" s="23">
        <v>230221.0003383471</v>
      </c>
      <c r="Y48" s="23">
        <v>264119.24114435026</v>
      </c>
      <c r="Z48" s="23">
        <v>293932.15939499519</v>
      </c>
      <c r="AA48" s="23">
        <v>294354.50424143381</v>
      </c>
    </row>
    <row r="49" spans="1:27" ht="12.75" customHeight="1" x14ac:dyDescent="0.2">
      <c r="A49" s="155"/>
      <c r="B49" s="21" t="s">
        <v>104</v>
      </c>
      <c r="C49" s="22" t="s">
        <v>105</v>
      </c>
      <c r="D49" s="23">
        <v>88971.911064116983</v>
      </c>
      <c r="E49" s="23">
        <v>82865.191228070165</v>
      </c>
      <c r="F49" s="23">
        <v>82563.80446831265</v>
      </c>
      <c r="G49" s="23">
        <v>82523.356042525498</v>
      </c>
      <c r="H49" s="23">
        <v>86613.292670423223</v>
      </c>
      <c r="I49" s="23">
        <v>88118.604949163928</v>
      </c>
      <c r="J49" s="23">
        <v>92428.623339407</v>
      </c>
      <c r="K49" s="23">
        <v>98212.158699036212</v>
      </c>
      <c r="L49" s="23">
        <v>92072.735149000364</v>
      </c>
      <c r="M49" s="23">
        <v>75981.51242362526</v>
      </c>
      <c r="N49" s="23">
        <v>83323.60746438746</v>
      </c>
      <c r="O49" s="23">
        <v>84787.287558014184</v>
      </c>
      <c r="P49" s="23">
        <v>80366.905821364009</v>
      </c>
      <c r="Q49" s="23">
        <v>82413.037355284599</v>
      </c>
      <c r="R49" s="23">
        <v>84360.744848946459</v>
      </c>
      <c r="S49" s="23">
        <v>90064.68786408208</v>
      </c>
      <c r="T49" s="23">
        <v>93390.247307453523</v>
      </c>
      <c r="U49" s="23">
        <v>95612.029892629536</v>
      </c>
      <c r="V49" s="23">
        <v>100173.65664915042</v>
      </c>
      <c r="W49" s="23">
        <v>103565.83410194871</v>
      </c>
      <c r="X49" s="23">
        <v>103138.66039449314</v>
      </c>
      <c r="Y49" s="23">
        <v>111867.43205521251</v>
      </c>
      <c r="Z49" s="23">
        <v>122177.73817202506</v>
      </c>
      <c r="AA49" s="23">
        <v>131402.16816513176</v>
      </c>
    </row>
    <row r="50" spans="1:27" ht="12.75" customHeight="1" x14ac:dyDescent="0.2">
      <c r="A50" s="155"/>
      <c r="B50" s="21" t="s">
        <v>106</v>
      </c>
      <c r="C50" s="22" t="s">
        <v>107</v>
      </c>
      <c r="D50" s="23">
        <v>73599.799999999988</v>
      </c>
      <c r="E50" s="23">
        <v>70850.400000000023</v>
      </c>
      <c r="F50" s="23">
        <v>70386.10000000002</v>
      </c>
      <c r="G50" s="23">
        <v>70601.000000000015</v>
      </c>
      <c r="H50" s="23">
        <v>74124.10000000002</v>
      </c>
      <c r="I50" s="23">
        <v>73634.299999999988</v>
      </c>
      <c r="J50" s="23">
        <v>80723.700000000012</v>
      </c>
      <c r="K50" s="23">
        <v>84235.799999999974</v>
      </c>
      <c r="L50" s="23">
        <v>88375.5</v>
      </c>
      <c r="M50" s="23">
        <v>77339.8</v>
      </c>
      <c r="N50" s="23">
        <v>86462.700000000026</v>
      </c>
      <c r="O50" s="23">
        <v>89504.599999999977</v>
      </c>
      <c r="P50" s="23">
        <v>88117.900000000009</v>
      </c>
      <c r="Q50" s="23">
        <v>86842.89999999998</v>
      </c>
      <c r="R50" s="23">
        <v>89073.900000000009</v>
      </c>
      <c r="S50" s="23">
        <v>90852.200000000012</v>
      </c>
      <c r="T50" s="23">
        <v>93258.3</v>
      </c>
      <c r="U50" s="23">
        <v>97142.3</v>
      </c>
      <c r="V50" s="23">
        <v>98666.10000000002</v>
      </c>
      <c r="W50" s="23">
        <v>98367.89999999998</v>
      </c>
      <c r="X50" s="23">
        <v>95060.599999999991</v>
      </c>
      <c r="Y50" s="23">
        <v>103615.90000000001</v>
      </c>
      <c r="Z50" s="23">
        <v>108553.2</v>
      </c>
      <c r="AA50" s="23">
        <v>119992.95746118495</v>
      </c>
    </row>
    <row r="51" spans="1:27" ht="12.75" customHeight="1" x14ac:dyDescent="0.2">
      <c r="A51" s="155"/>
      <c r="B51" s="21" t="s">
        <v>108</v>
      </c>
      <c r="C51" s="22" t="s">
        <v>109</v>
      </c>
      <c r="D51" s="23">
        <v>136289.09999999998</v>
      </c>
      <c r="E51" s="23">
        <v>142282.40000000002</v>
      </c>
      <c r="F51" s="23">
        <v>141556.99999999997</v>
      </c>
      <c r="G51" s="23">
        <v>142287.79999999996</v>
      </c>
      <c r="H51" s="23">
        <v>150642.19999999998</v>
      </c>
      <c r="I51" s="23">
        <v>155382.80000000002</v>
      </c>
      <c r="J51" s="23">
        <v>169549.49999999997</v>
      </c>
      <c r="K51" s="23">
        <v>186530.00000000003</v>
      </c>
      <c r="L51" s="23">
        <v>192608.79999999996</v>
      </c>
      <c r="M51" s="23">
        <v>154564.00000000003</v>
      </c>
      <c r="N51" s="23">
        <v>173514.80000000005</v>
      </c>
      <c r="O51" s="23">
        <v>192416.59999999998</v>
      </c>
      <c r="P51" s="23">
        <v>194419.59999999998</v>
      </c>
      <c r="Q51" s="23">
        <v>194082.10000000003</v>
      </c>
      <c r="R51" s="23">
        <v>203646.60000000006</v>
      </c>
      <c r="S51" s="23">
        <v>206733.4</v>
      </c>
      <c r="T51" s="23">
        <v>212901.59999999998</v>
      </c>
      <c r="U51" s="23">
        <v>226498.2</v>
      </c>
      <c r="V51" s="23">
        <v>233228.5</v>
      </c>
      <c r="W51" s="23">
        <v>238299.7</v>
      </c>
      <c r="X51" s="23">
        <v>217308.3</v>
      </c>
      <c r="Y51" s="23">
        <v>243436.29999999996</v>
      </c>
      <c r="Z51" s="23">
        <v>249032</v>
      </c>
      <c r="AA51" s="23">
        <v>273829.98446806148</v>
      </c>
    </row>
    <row r="52" spans="1:27" ht="12.75" customHeight="1" x14ac:dyDescent="0.2">
      <c r="A52" s="155"/>
      <c r="B52" s="21" t="s">
        <v>110</v>
      </c>
      <c r="C52" s="22" t="s">
        <v>111</v>
      </c>
      <c r="D52" s="23">
        <v>146218.59999999998</v>
      </c>
      <c r="E52" s="23">
        <v>156424.09999999998</v>
      </c>
      <c r="F52" s="23">
        <v>159451.1</v>
      </c>
      <c r="G52" s="23">
        <v>164360.70000000007</v>
      </c>
      <c r="H52" s="23">
        <v>166567.90000000002</v>
      </c>
      <c r="I52" s="23">
        <v>170320.70000000004</v>
      </c>
      <c r="J52" s="23">
        <v>184676.80000000005</v>
      </c>
      <c r="K52" s="23">
        <v>197784.90000000002</v>
      </c>
      <c r="L52" s="23">
        <v>189873.20000000004</v>
      </c>
      <c r="M52" s="23">
        <v>155543.39999999997</v>
      </c>
      <c r="N52" s="23">
        <v>193745.20000000004</v>
      </c>
      <c r="O52" s="23">
        <v>209817.49999999994</v>
      </c>
      <c r="P52" s="23">
        <v>206793.1</v>
      </c>
      <c r="Q52" s="23">
        <v>214485.40000000002</v>
      </c>
      <c r="R52" s="23">
        <v>235294.99999999994</v>
      </c>
      <c r="S52" s="23">
        <v>252696.40000000002</v>
      </c>
      <c r="T52" s="23">
        <v>273898.3</v>
      </c>
      <c r="U52" s="23">
        <v>286780</v>
      </c>
      <c r="V52" s="23">
        <v>292582.10000000003</v>
      </c>
      <c r="W52" s="23">
        <v>295364.42510468658</v>
      </c>
      <c r="X52" s="23">
        <v>248982.43340591606</v>
      </c>
      <c r="Y52" s="23">
        <v>285144.38605406863</v>
      </c>
      <c r="Z52" s="23">
        <v>314130.13155338191</v>
      </c>
      <c r="AA52" s="23">
        <v>356068.41190344928</v>
      </c>
    </row>
    <row r="53" spans="1:27" ht="12.75" customHeight="1" x14ac:dyDescent="0.2">
      <c r="A53" s="155"/>
      <c r="B53" s="21" t="s">
        <v>112</v>
      </c>
      <c r="C53" s="22" t="s">
        <v>113</v>
      </c>
      <c r="D53" s="23">
        <v>109093.30000000003</v>
      </c>
      <c r="E53" s="23">
        <v>112837.90000000001</v>
      </c>
      <c r="F53" s="23">
        <v>112837.70000000001</v>
      </c>
      <c r="G53" s="23">
        <v>112022.09999999993</v>
      </c>
      <c r="H53" s="23">
        <v>115255.19999999998</v>
      </c>
      <c r="I53" s="23">
        <v>120554.70000000003</v>
      </c>
      <c r="J53" s="23">
        <v>127871.10000000003</v>
      </c>
      <c r="K53" s="23">
        <v>135937.40000000005</v>
      </c>
      <c r="L53" s="23">
        <v>138795.30000000005</v>
      </c>
      <c r="M53" s="23">
        <v>130095.20000000001</v>
      </c>
      <c r="N53" s="23">
        <v>134297.49999999994</v>
      </c>
      <c r="O53" s="23">
        <v>141419.29999999999</v>
      </c>
      <c r="P53" s="23">
        <v>143447.00000000003</v>
      </c>
      <c r="Q53" s="23">
        <v>141972.50000000003</v>
      </c>
      <c r="R53" s="23">
        <v>147478.90000000005</v>
      </c>
      <c r="S53" s="23">
        <v>156139.96239318186</v>
      </c>
      <c r="T53" s="23">
        <v>156205.30136120509</v>
      </c>
      <c r="U53" s="23">
        <v>159923.51415964434</v>
      </c>
      <c r="V53" s="23">
        <v>162424.20839451463</v>
      </c>
      <c r="W53" s="23">
        <v>175968.54216369204</v>
      </c>
      <c r="X53" s="23">
        <v>165915.38043340822</v>
      </c>
      <c r="Y53" s="23">
        <v>176685.67495684704</v>
      </c>
      <c r="Z53" s="23">
        <v>201354.53366359181</v>
      </c>
      <c r="AA53" s="23">
        <v>229160.79355707567</v>
      </c>
    </row>
    <row r="54" spans="1:27" ht="12.75" customHeight="1" x14ac:dyDescent="0.2">
      <c r="A54" s="156"/>
      <c r="B54" s="28" t="s">
        <v>52</v>
      </c>
      <c r="C54" s="31" t="s">
        <v>58</v>
      </c>
      <c r="D54" s="30">
        <f>SUM(D41:D53)</f>
        <v>1371023.5000000002</v>
      </c>
      <c r="E54" s="30">
        <f t="shared" ref="E54:S54" si="6">SUM(E41:E53)</f>
        <v>1409884.1</v>
      </c>
      <c r="F54" s="30">
        <f t="shared" si="6"/>
        <v>1420428.5</v>
      </c>
      <c r="G54" s="30">
        <f t="shared" si="6"/>
        <v>1423053.4999999998</v>
      </c>
      <c r="H54" s="30">
        <f t="shared" si="6"/>
        <v>1471378.5999999999</v>
      </c>
      <c r="I54" s="30">
        <f t="shared" si="6"/>
        <v>1509441.4</v>
      </c>
      <c r="J54" s="30">
        <f t="shared" si="6"/>
        <v>1592695.4000000004</v>
      </c>
      <c r="K54" s="30">
        <f t="shared" si="6"/>
        <v>1697015.0000000002</v>
      </c>
      <c r="L54" s="30">
        <f t="shared" si="6"/>
        <v>1688621</v>
      </c>
      <c r="M54" s="30">
        <f t="shared" si="6"/>
        <v>1465152.0999999999</v>
      </c>
      <c r="N54" s="30">
        <f t="shared" si="6"/>
        <v>1588741.4</v>
      </c>
      <c r="O54" s="30">
        <f t="shared" si="6"/>
        <v>1677405.3</v>
      </c>
      <c r="P54" s="30">
        <f t="shared" si="6"/>
        <v>1662868.2000000002</v>
      </c>
      <c r="Q54" s="30">
        <f t="shared" si="6"/>
        <v>1664166.1</v>
      </c>
      <c r="R54" s="30">
        <f t="shared" si="6"/>
        <v>1732945.3</v>
      </c>
      <c r="S54" s="30">
        <f t="shared" si="6"/>
        <v>1870213.5</v>
      </c>
      <c r="T54" s="30">
        <f t="shared" ref="T54:Y54" si="7">SUM(T41:T53)</f>
        <v>1929367.8</v>
      </c>
      <c r="U54" s="30">
        <f t="shared" si="7"/>
        <v>2000973</v>
      </c>
      <c r="V54" s="30">
        <f t="shared" si="7"/>
        <v>2056041.7000000002</v>
      </c>
      <c r="W54" s="30">
        <f t="shared" si="7"/>
        <v>2101228.9</v>
      </c>
      <c r="X54" s="30">
        <f t="shared" si="7"/>
        <v>1975312.2</v>
      </c>
      <c r="Y54" s="30">
        <f t="shared" si="7"/>
        <v>2177105.6</v>
      </c>
      <c r="Z54" s="30">
        <f t="shared" ref="Z54:AA54" si="8">SUM(Z41:Z53)</f>
        <v>2405957.6</v>
      </c>
      <c r="AA54" s="30">
        <f t="shared" si="8"/>
        <v>2557454.0000000005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4" t="s">
        <v>114</v>
      </c>
      <c r="B56" s="17" t="s">
        <v>88</v>
      </c>
      <c r="C56" s="18" t="s">
        <v>89</v>
      </c>
      <c r="D56" s="19">
        <v>155989.20000000001</v>
      </c>
      <c r="E56" s="19">
        <v>162316</v>
      </c>
      <c r="F56" s="19">
        <v>169617.09999999998</v>
      </c>
      <c r="G56" s="19">
        <v>173575.99999999997</v>
      </c>
      <c r="H56" s="19">
        <v>178640.39999999997</v>
      </c>
      <c r="I56" s="19">
        <v>182005.3</v>
      </c>
      <c r="J56" s="19">
        <v>183827.70000000004</v>
      </c>
      <c r="K56" s="19">
        <v>192582.80000000002</v>
      </c>
      <c r="L56" s="19">
        <v>197040.90000000002</v>
      </c>
      <c r="M56" s="19">
        <v>195354.99999999997</v>
      </c>
      <c r="N56" s="19">
        <v>198446.69999999998</v>
      </c>
      <c r="O56" s="19">
        <v>201651.69999999998</v>
      </c>
      <c r="P56" s="19">
        <v>203669.39999999997</v>
      </c>
      <c r="Q56" s="19">
        <v>206055</v>
      </c>
      <c r="R56" s="19">
        <v>213213.19999999998</v>
      </c>
      <c r="S56" s="19">
        <v>222170.10000000003</v>
      </c>
      <c r="T56" s="19">
        <v>227150.5</v>
      </c>
      <c r="U56" s="19">
        <v>230481.4</v>
      </c>
      <c r="V56" s="19">
        <v>235855.9</v>
      </c>
      <c r="W56" s="19">
        <v>242500.43635724095</v>
      </c>
      <c r="X56" s="19">
        <v>242401.75054102039</v>
      </c>
      <c r="Y56" s="19">
        <v>246153.4014337878</v>
      </c>
      <c r="Z56" s="19">
        <v>259066.19596328429</v>
      </c>
      <c r="AA56" s="19">
        <v>292676.83146220533</v>
      </c>
    </row>
    <row r="57" spans="1:27" ht="12.75" customHeight="1" x14ac:dyDescent="0.2">
      <c r="A57" s="155"/>
      <c r="B57" s="21" t="s">
        <v>90</v>
      </c>
      <c r="C57" s="22" t="s">
        <v>91</v>
      </c>
      <c r="D57" s="23">
        <v>72912.099999999991</v>
      </c>
      <c r="E57" s="23">
        <v>75160.3</v>
      </c>
      <c r="F57" s="23">
        <v>73751.599999999977</v>
      </c>
      <c r="G57" s="23">
        <v>71356.399999999994</v>
      </c>
      <c r="H57" s="23">
        <v>69417.300000000017</v>
      </c>
      <c r="I57" s="23">
        <v>67269.399999999994</v>
      </c>
      <c r="J57" s="23">
        <v>67667.3</v>
      </c>
      <c r="K57" s="23">
        <v>70476.100000000006</v>
      </c>
      <c r="L57" s="23">
        <v>68829.600000000006</v>
      </c>
      <c r="M57" s="23">
        <v>58679.400000000009</v>
      </c>
      <c r="N57" s="23">
        <v>61989.500000000007</v>
      </c>
      <c r="O57" s="23">
        <v>66468.800000000003</v>
      </c>
      <c r="P57" s="23">
        <v>62800.400000000023</v>
      </c>
      <c r="Q57" s="23">
        <v>62653.100000000006</v>
      </c>
      <c r="R57" s="23">
        <v>64274.599999999991</v>
      </c>
      <c r="S57" s="23">
        <v>65387.3</v>
      </c>
      <c r="T57" s="23">
        <v>66630.2</v>
      </c>
      <c r="U57" s="23">
        <v>68233.500000000015</v>
      </c>
      <c r="V57" s="23">
        <v>69102.299999999988</v>
      </c>
      <c r="W57" s="23">
        <v>69258.400000000009</v>
      </c>
      <c r="X57" s="23">
        <v>59966.200000000004</v>
      </c>
      <c r="Y57" s="23">
        <v>67233</v>
      </c>
      <c r="Z57" s="23">
        <v>71423.5</v>
      </c>
      <c r="AA57" s="23">
        <v>73909.383570596678</v>
      </c>
    </row>
    <row r="58" spans="1:27" ht="12.75" customHeight="1" x14ac:dyDescent="0.2">
      <c r="A58" s="155"/>
      <c r="B58" s="21" t="s">
        <v>115</v>
      </c>
      <c r="C58" s="22" t="s">
        <v>116</v>
      </c>
      <c r="D58" s="23">
        <v>32383.599999999999</v>
      </c>
      <c r="E58" s="23">
        <v>33055.600000000006</v>
      </c>
      <c r="F58" s="23">
        <v>32727</v>
      </c>
      <c r="G58" s="23">
        <v>32983.5</v>
      </c>
      <c r="H58" s="23">
        <v>33929.799999999996</v>
      </c>
      <c r="I58" s="23">
        <v>34259.899999999994</v>
      </c>
      <c r="J58" s="23">
        <v>36333.1</v>
      </c>
      <c r="K58" s="23">
        <v>39519.4</v>
      </c>
      <c r="L58" s="23">
        <v>36807</v>
      </c>
      <c r="M58" s="23">
        <v>31346.7</v>
      </c>
      <c r="N58" s="23">
        <v>33567.199999999997</v>
      </c>
      <c r="O58" s="23">
        <v>33780.699999999997</v>
      </c>
      <c r="P58" s="23">
        <v>31513.899999999998</v>
      </c>
      <c r="Q58" s="23">
        <v>30964.200000000012</v>
      </c>
      <c r="R58" s="23">
        <v>31806.799999999999</v>
      </c>
      <c r="S58" s="23">
        <v>33818.6</v>
      </c>
      <c r="T58" s="23">
        <v>34004.940997229918</v>
      </c>
      <c r="U58" s="23">
        <v>35729.225761772854</v>
      </c>
      <c r="V58" s="23">
        <v>36761.898337950144</v>
      </c>
      <c r="W58" s="23">
        <v>38333.99356426856</v>
      </c>
      <c r="X58" s="23">
        <v>38527.722983876243</v>
      </c>
      <c r="Y58" s="23">
        <v>47983.305196139918</v>
      </c>
      <c r="Z58" s="23">
        <v>53637.485156452487</v>
      </c>
      <c r="AA58" s="23">
        <v>53113.930089706126</v>
      </c>
    </row>
    <row r="59" spans="1:27" ht="12.75" customHeight="1" x14ac:dyDescent="0.2">
      <c r="A59" s="155"/>
      <c r="B59" s="21" t="s">
        <v>117</v>
      </c>
      <c r="C59" s="22" t="s">
        <v>118</v>
      </c>
      <c r="D59" s="23">
        <v>43912.200000000004</v>
      </c>
      <c r="E59" s="23">
        <v>45373.5</v>
      </c>
      <c r="F59" s="23">
        <v>44100.599999999991</v>
      </c>
      <c r="G59" s="23">
        <v>42060.1</v>
      </c>
      <c r="H59" s="23">
        <v>42019.199999999997</v>
      </c>
      <c r="I59" s="23">
        <v>40375.4</v>
      </c>
      <c r="J59" s="23">
        <v>41155.100000000006</v>
      </c>
      <c r="K59" s="23">
        <v>42810.499999999993</v>
      </c>
      <c r="L59" s="23">
        <v>40020.900000000009</v>
      </c>
      <c r="M59" s="23">
        <v>36756.30000000001</v>
      </c>
      <c r="N59" s="23">
        <v>38621.9</v>
      </c>
      <c r="O59" s="23">
        <v>39882.099999999991</v>
      </c>
      <c r="P59" s="23">
        <v>40010.699999999997</v>
      </c>
      <c r="Q59" s="23">
        <v>39179.299999999988</v>
      </c>
      <c r="R59" s="23">
        <v>41122</v>
      </c>
      <c r="S59" s="23">
        <v>42829</v>
      </c>
      <c r="T59" s="23">
        <v>43757.700000000012</v>
      </c>
      <c r="U59" s="23">
        <v>44648.1</v>
      </c>
      <c r="V59" s="23">
        <v>47637.600000000006</v>
      </c>
      <c r="W59" s="23">
        <v>48173.80000000001</v>
      </c>
      <c r="X59" s="23">
        <v>45371.7</v>
      </c>
      <c r="Y59" s="23">
        <v>45684.69999999999</v>
      </c>
      <c r="Z59" s="23">
        <v>53450.200000000004</v>
      </c>
      <c r="AA59" s="23">
        <v>54961.597969358088</v>
      </c>
    </row>
    <row r="60" spans="1:27" ht="12.75" customHeight="1" x14ac:dyDescent="0.2">
      <c r="A60" s="155"/>
      <c r="B60" s="21" t="s">
        <v>119</v>
      </c>
      <c r="C60" s="22" t="s">
        <v>7</v>
      </c>
      <c r="D60" s="23">
        <v>37416.400000000001</v>
      </c>
      <c r="E60" s="23">
        <v>37623.199999999997</v>
      </c>
      <c r="F60" s="23">
        <v>37425.19999999999</v>
      </c>
      <c r="G60" s="23">
        <v>35218.300000000003</v>
      </c>
      <c r="H60" s="23">
        <v>36125.400000000009</v>
      </c>
      <c r="I60" s="23">
        <v>37279.599999999999</v>
      </c>
      <c r="J60" s="23">
        <v>37806.700000000004</v>
      </c>
      <c r="K60" s="23">
        <v>37822.69999999999</v>
      </c>
      <c r="L60" s="23">
        <v>36608.000000000007</v>
      </c>
      <c r="M60" s="23">
        <v>32292.899999999998</v>
      </c>
      <c r="N60" s="23">
        <v>32234.000000000004</v>
      </c>
      <c r="O60" s="23">
        <v>31587.200000000001</v>
      </c>
      <c r="P60" s="23">
        <v>30109.999999999996</v>
      </c>
      <c r="Q60" s="23">
        <v>28410.400000000001</v>
      </c>
      <c r="R60" s="23">
        <v>27939.200000000008</v>
      </c>
      <c r="S60" s="23">
        <v>27443.1</v>
      </c>
      <c r="T60" s="23">
        <v>27777.459002770083</v>
      </c>
      <c r="U60" s="23">
        <v>27161.574238227149</v>
      </c>
      <c r="V60" s="23">
        <v>26409.201662049862</v>
      </c>
      <c r="W60" s="23">
        <v>26248.007145925403</v>
      </c>
      <c r="X60" s="23">
        <v>23578.27884185825</v>
      </c>
      <c r="Y60" s="23">
        <v>24484.859394661074</v>
      </c>
      <c r="Z60" s="23">
        <v>24968.33930168963</v>
      </c>
      <c r="AA60" s="23">
        <v>25248.518815062878</v>
      </c>
    </row>
    <row r="61" spans="1:27" ht="12.75" customHeight="1" x14ac:dyDescent="0.2">
      <c r="A61" s="155"/>
      <c r="B61" s="21" t="s">
        <v>94</v>
      </c>
      <c r="C61" s="22" t="s">
        <v>95</v>
      </c>
      <c r="D61" s="23">
        <v>20959.499999999993</v>
      </c>
      <c r="E61" s="23">
        <v>22291.9</v>
      </c>
      <c r="F61" s="23">
        <v>18216.8</v>
      </c>
      <c r="G61" s="23">
        <v>19174.900000000001</v>
      </c>
      <c r="H61" s="23">
        <v>25200.199999999997</v>
      </c>
      <c r="I61" s="23">
        <v>27805.5</v>
      </c>
      <c r="J61" s="23">
        <v>27501.200000000001</v>
      </c>
      <c r="K61" s="23">
        <v>27475.7</v>
      </c>
      <c r="L61" s="23">
        <v>27090.199999999997</v>
      </c>
      <c r="M61" s="23">
        <v>17984.7</v>
      </c>
      <c r="N61" s="23">
        <v>22197.699999999997</v>
      </c>
      <c r="O61" s="23">
        <v>28229.399999999994</v>
      </c>
      <c r="P61" s="23">
        <v>28624.999999999993</v>
      </c>
      <c r="Q61" s="23">
        <v>25151.599999999995</v>
      </c>
      <c r="R61" s="23">
        <v>22307.100000000002</v>
      </c>
      <c r="S61" s="23">
        <v>30215</v>
      </c>
      <c r="T61" s="23">
        <v>29045.399999999998</v>
      </c>
      <c r="U61" s="23">
        <v>31815.100000000002</v>
      </c>
      <c r="V61" s="23">
        <v>29386.799999999999</v>
      </c>
      <c r="W61" s="23">
        <v>26836.399999999994</v>
      </c>
      <c r="X61" s="23">
        <v>11593.699999999999</v>
      </c>
      <c r="Y61" s="23">
        <v>22556.000000000004</v>
      </c>
      <c r="Z61" s="23">
        <v>62544.3</v>
      </c>
      <c r="AA61" s="23">
        <v>69090.550260595366</v>
      </c>
    </row>
    <row r="62" spans="1:27" ht="12.75" customHeight="1" x14ac:dyDescent="0.2">
      <c r="A62" s="155"/>
      <c r="B62" s="21" t="s">
        <v>96</v>
      </c>
      <c r="C62" s="22" t="s">
        <v>97</v>
      </c>
      <c r="D62" s="23">
        <v>94195.199999999997</v>
      </c>
      <c r="E62" s="23">
        <v>94629.305137157993</v>
      </c>
      <c r="F62" s="23">
        <v>95538.851072168211</v>
      </c>
      <c r="G62" s="23">
        <v>93429.89911971298</v>
      </c>
      <c r="H62" s="23">
        <v>96498.498401927747</v>
      </c>
      <c r="I62" s="23">
        <v>98553.977129221108</v>
      </c>
      <c r="J62" s="23">
        <v>102114.36091170461</v>
      </c>
      <c r="K62" s="23">
        <v>108369.47683893701</v>
      </c>
      <c r="L62" s="23">
        <v>107506.10053943406</v>
      </c>
      <c r="M62" s="23">
        <v>97752.353310431208</v>
      </c>
      <c r="N62" s="23">
        <v>108464.91985557885</v>
      </c>
      <c r="O62" s="23">
        <v>113696.71457255521</v>
      </c>
      <c r="P62" s="23">
        <v>112372.31140411001</v>
      </c>
      <c r="Q62" s="23">
        <v>112150.45428649135</v>
      </c>
      <c r="R62" s="23">
        <v>117614.87023208287</v>
      </c>
      <c r="S62" s="23">
        <v>129901.22987733113</v>
      </c>
      <c r="T62" s="23">
        <v>132922.99460170767</v>
      </c>
      <c r="U62" s="23">
        <v>140333.1558517323</v>
      </c>
      <c r="V62" s="23">
        <v>136272.80754239194</v>
      </c>
      <c r="W62" s="23">
        <v>137917.29360483508</v>
      </c>
      <c r="X62" s="23">
        <v>138395.37945363979</v>
      </c>
      <c r="Y62" s="23">
        <v>146805.67862196313</v>
      </c>
      <c r="Z62" s="23">
        <v>150368.55124617618</v>
      </c>
      <c r="AA62" s="23">
        <v>149028.25135881826</v>
      </c>
    </row>
    <row r="63" spans="1:27" ht="12.75" customHeight="1" x14ac:dyDescent="0.2">
      <c r="A63" s="155"/>
      <c r="B63" s="21" t="s">
        <v>98</v>
      </c>
      <c r="C63" s="22" t="s">
        <v>99</v>
      </c>
      <c r="D63" s="23">
        <v>55592.888935883006</v>
      </c>
      <c r="E63" s="23">
        <v>64565.603634771847</v>
      </c>
      <c r="F63" s="23">
        <v>71431.744459519134</v>
      </c>
      <c r="G63" s="23">
        <v>71161.444837761519</v>
      </c>
      <c r="H63" s="23">
        <v>70023.308927649006</v>
      </c>
      <c r="I63" s="23">
        <v>74225.417921614979</v>
      </c>
      <c r="J63" s="23">
        <v>76094.715748888411</v>
      </c>
      <c r="K63" s="23">
        <v>80094.764462026782</v>
      </c>
      <c r="L63" s="23">
        <v>80959.464311565578</v>
      </c>
      <c r="M63" s="23">
        <v>83521.534265943556</v>
      </c>
      <c r="N63" s="23">
        <v>84927.972680033694</v>
      </c>
      <c r="O63" s="23">
        <v>86836.397869430613</v>
      </c>
      <c r="P63" s="23">
        <v>88470.582774525974</v>
      </c>
      <c r="Q63" s="23">
        <v>88082.208358224074</v>
      </c>
      <c r="R63" s="23">
        <v>91155.584918970693</v>
      </c>
      <c r="S63" s="23">
        <v>145729.91986540487</v>
      </c>
      <c r="T63" s="23">
        <v>147391.45672963385</v>
      </c>
      <c r="U63" s="23">
        <v>153620.50009599389</v>
      </c>
      <c r="V63" s="23">
        <v>168560.92741394299</v>
      </c>
      <c r="W63" s="23">
        <v>179433.70602312905</v>
      </c>
      <c r="X63" s="23">
        <v>193158.38567135821</v>
      </c>
      <c r="Y63" s="23">
        <v>218896.55212350644</v>
      </c>
      <c r="Z63" s="23">
        <v>261594.62785787391</v>
      </c>
      <c r="AA63" s="23">
        <v>238062.72418970909</v>
      </c>
    </row>
    <row r="64" spans="1:27" ht="12.75" customHeight="1" x14ac:dyDescent="0.2">
      <c r="A64" s="155"/>
      <c r="B64" s="21" t="s">
        <v>120</v>
      </c>
      <c r="C64" s="22" t="s">
        <v>121</v>
      </c>
      <c r="D64" s="23">
        <v>62164.800000000003</v>
      </c>
      <c r="E64" s="23">
        <v>64007.8</v>
      </c>
      <c r="F64" s="23">
        <v>66495.500000000015</v>
      </c>
      <c r="G64" s="23">
        <v>66347.3</v>
      </c>
      <c r="H64" s="23">
        <v>68070.900000000009</v>
      </c>
      <c r="I64" s="23">
        <v>68867.199999999997</v>
      </c>
      <c r="J64" s="23">
        <v>71787.60000000002</v>
      </c>
      <c r="K64" s="23">
        <v>74777.5</v>
      </c>
      <c r="L64" s="23">
        <v>74719</v>
      </c>
      <c r="M64" s="23">
        <v>67762.8</v>
      </c>
      <c r="N64" s="23">
        <v>70470.099999999991</v>
      </c>
      <c r="O64" s="23">
        <v>74173.3</v>
      </c>
      <c r="P64" s="23">
        <v>75160.7</v>
      </c>
      <c r="Q64" s="23">
        <v>77353.100000000006</v>
      </c>
      <c r="R64" s="23">
        <v>80480.600000000006</v>
      </c>
      <c r="S64" s="23">
        <v>85145.9</v>
      </c>
      <c r="T64" s="23">
        <v>89239</v>
      </c>
      <c r="U64" s="23">
        <v>89928.6</v>
      </c>
      <c r="V64" s="23">
        <v>92139.400000000009</v>
      </c>
      <c r="W64" s="23">
        <v>94725.700000000012</v>
      </c>
      <c r="X64" s="23">
        <v>91187.699999999983</v>
      </c>
      <c r="Y64" s="23">
        <v>97109.500000000015</v>
      </c>
      <c r="Z64" s="23">
        <v>100433.59999999999</v>
      </c>
      <c r="AA64" s="23">
        <v>109665.71331349465</v>
      </c>
    </row>
    <row r="65" spans="1:27" ht="12.75" customHeight="1" x14ac:dyDescent="0.2">
      <c r="A65" s="155"/>
      <c r="B65" s="21" t="s">
        <v>122</v>
      </c>
      <c r="C65" s="22" t="s">
        <v>123</v>
      </c>
      <c r="D65" s="23">
        <v>63836.999999999993</v>
      </c>
      <c r="E65" s="23">
        <v>64676.299999999996</v>
      </c>
      <c r="F65" s="23">
        <v>65671.099999999991</v>
      </c>
      <c r="G65" s="23">
        <v>64620.799999999996</v>
      </c>
      <c r="H65" s="23">
        <v>65893.5</v>
      </c>
      <c r="I65" s="23">
        <v>67763.400000000023</v>
      </c>
      <c r="J65" s="23">
        <v>71668.800000000003</v>
      </c>
      <c r="K65" s="23">
        <v>77685.7</v>
      </c>
      <c r="L65" s="23">
        <v>75472.39999999998</v>
      </c>
      <c r="M65" s="23">
        <v>62549.5</v>
      </c>
      <c r="N65" s="23">
        <v>61433.499999999985</v>
      </c>
      <c r="O65" s="23">
        <v>62653.30000000001</v>
      </c>
      <c r="P65" s="23">
        <v>59747.30000000001</v>
      </c>
      <c r="Q65" s="23">
        <v>58668.6</v>
      </c>
      <c r="R65" s="23">
        <v>61151.799999999988</v>
      </c>
      <c r="S65" s="23">
        <v>62242.3</v>
      </c>
      <c r="T65" s="23">
        <v>65496.7</v>
      </c>
      <c r="U65" s="23">
        <v>66902.5</v>
      </c>
      <c r="V65" s="23">
        <v>69553.5</v>
      </c>
      <c r="W65" s="23">
        <v>73040.917215503665</v>
      </c>
      <c r="X65" s="23">
        <v>70505.007936082548</v>
      </c>
      <c r="Y65" s="23">
        <v>75329.669019463327</v>
      </c>
      <c r="Z65" s="23">
        <v>79291.037690529614</v>
      </c>
      <c r="AA65" s="23">
        <v>86887.67917411674</v>
      </c>
    </row>
    <row r="66" spans="1:27" ht="12.75" customHeight="1" x14ac:dyDescent="0.2">
      <c r="A66" s="155"/>
      <c r="B66" s="21" t="s">
        <v>124</v>
      </c>
      <c r="C66" s="22" t="s">
        <v>125</v>
      </c>
      <c r="D66" s="23">
        <v>56212.500000000007</v>
      </c>
      <c r="E66" s="23">
        <v>54964.700000000012</v>
      </c>
      <c r="F66" s="23">
        <v>53187.199999999997</v>
      </c>
      <c r="G66" s="23">
        <v>53658.099999999991</v>
      </c>
      <c r="H66" s="23">
        <v>60565.299999999988</v>
      </c>
      <c r="I66" s="23">
        <v>64695.80000000001</v>
      </c>
      <c r="J66" s="23">
        <v>70561.199999999983</v>
      </c>
      <c r="K66" s="23">
        <v>80126.699999999983</v>
      </c>
      <c r="L66" s="23">
        <v>74896.7</v>
      </c>
      <c r="M66" s="23">
        <v>49254.1</v>
      </c>
      <c r="N66" s="23">
        <v>57147.8</v>
      </c>
      <c r="O66" s="23">
        <v>63278.9</v>
      </c>
      <c r="P66" s="23">
        <v>59931.200000000004</v>
      </c>
      <c r="Q66" s="23">
        <v>58314.299999999996</v>
      </c>
      <c r="R66" s="23">
        <v>59859.600000000013</v>
      </c>
      <c r="S66" s="23">
        <v>62803.799999999996</v>
      </c>
      <c r="T66" s="23">
        <v>63275.300000000017</v>
      </c>
      <c r="U66" s="23">
        <v>67533.100000000006</v>
      </c>
      <c r="V66" s="23">
        <v>71678.400000000009</v>
      </c>
      <c r="W66" s="23">
        <v>64364.344718769898</v>
      </c>
      <c r="X66" s="23">
        <v>55672.400338347114</v>
      </c>
      <c r="Y66" s="23">
        <v>68934.941144350276</v>
      </c>
      <c r="Z66" s="23">
        <v>84792.359394995132</v>
      </c>
      <c r="AA66" s="23">
        <v>82844.601076114675</v>
      </c>
    </row>
    <row r="67" spans="1:27" ht="12.75" customHeight="1" x14ac:dyDescent="0.2">
      <c r="A67" s="155"/>
      <c r="B67" s="21" t="s">
        <v>126</v>
      </c>
      <c r="C67" s="22" t="s">
        <v>127</v>
      </c>
      <c r="D67" s="23">
        <v>121275.39999999998</v>
      </c>
      <c r="E67" s="23">
        <v>125959.90000000002</v>
      </c>
      <c r="F67" s="23">
        <v>125470.09999999998</v>
      </c>
      <c r="G67" s="23">
        <v>127671.79999999999</v>
      </c>
      <c r="H67" s="23">
        <v>131792.1</v>
      </c>
      <c r="I67" s="23">
        <v>138329.39999999997</v>
      </c>
      <c r="J67" s="23">
        <v>150927.89999999997</v>
      </c>
      <c r="K67" s="23">
        <v>162573.4</v>
      </c>
      <c r="L67" s="23">
        <v>166945.19999999998</v>
      </c>
      <c r="M67" s="23">
        <v>138372.90000000002</v>
      </c>
      <c r="N67" s="23">
        <v>147896.30000000002</v>
      </c>
      <c r="O67" s="23">
        <v>157221.5</v>
      </c>
      <c r="P67" s="23">
        <v>157312.19999999998</v>
      </c>
      <c r="Q67" s="23">
        <v>157329.20000000001</v>
      </c>
      <c r="R67" s="23">
        <v>162164.80000000002</v>
      </c>
      <c r="S67" s="23">
        <v>166040.6</v>
      </c>
      <c r="T67" s="23">
        <v>173022.40000000002</v>
      </c>
      <c r="U67" s="23">
        <v>178630.2</v>
      </c>
      <c r="V67" s="23">
        <v>185608.39999999997</v>
      </c>
      <c r="W67" s="23">
        <v>188829.50000000003</v>
      </c>
      <c r="X67" s="23">
        <v>174548.60000000003</v>
      </c>
      <c r="Y67" s="23">
        <v>195184.30000000002</v>
      </c>
      <c r="Z67" s="23">
        <v>209139.80000000002</v>
      </c>
      <c r="AA67" s="23">
        <v>211509.90316531915</v>
      </c>
    </row>
    <row r="68" spans="1:27" ht="12.75" customHeight="1" x14ac:dyDescent="0.2">
      <c r="A68" s="155"/>
      <c r="B68" s="21" t="s">
        <v>104</v>
      </c>
      <c r="C68" s="22" t="s">
        <v>105</v>
      </c>
      <c r="D68" s="23">
        <v>88971.911064116983</v>
      </c>
      <c r="E68" s="23">
        <v>82865.191228070165</v>
      </c>
      <c r="F68" s="23">
        <v>82563.80446831265</v>
      </c>
      <c r="G68" s="23">
        <v>82523.356042525498</v>
      </c>
      <c r="H68" s="23">
        <v>86613.292670423223</v>
      </c>
      <c r="I68" s="23">
        <v>88118.604949163928</v>
      </c>
      <c r="J68" s="23">
        <v>92428.623339407</v>
      </c>
      <c r="K68" s="23">
        <v>98212.158699036212</v>
      </c>
      <c r="L68" s="23">
        <v>92072.735149000364</v>
      </c>
      <c r="M68" s="23">
        <v>75981.51242362526</v>
      </c>
      <c r="N68" s="23">
        <v>83323.60746438746</v>
      </c>
      <c r="O68" s="23">
        <v>84787.287558014184</v>
      </c>
      <c r="P68" s="23">
        <v>80366.905821364009</v>
      </c>
      <c r="Q68" s="23">
        <v>82413.037355284599</v>
      </c>
      <c r="R68" s="23">
        <v>84360.744848946459</v>
      </c>
      <c r="S68" s="23">
        <v>90064.68786408208</v>
      </c>
      <c r="T68" s="23">
        <v>93390.247307453523</v>
      </c>
      <c r="U68" s="23">
        <v>95612.029892629536</v>
      </c>
      <c r="V68" s="23">
        <v>100173.65664915042</v>
      </c>
      <c r="W68" s="23">
        <v>103565.83410194871</v>
      </c>
      <c r="X68" s="23">
        <v>103138.66039449314</v>
      </c>
      <c r="Y68" s="23">
        <v>111867.43205521251</v>
      </c>
      <c r="Z68" s="23">
        <v>122177.73817202506</v>
      </c>
      <c r="AA68" s="23">
        <v>131402.16816513176</v>
      </c>
    </row>
    <row r="69" spans="1:27" ht="12.75" customHeight="1" x14ac:dyDescent="0.2">
      <c r="A69" s="155"/>
      <c r="B69" s="21" t="s">
        <v>106</v>
      </c>
      <c r="C69" s="22" t="s">
        <v>107</v>
      </c>
      <c r="D69" s="23">
        <v>73599.799999999988</v>
      </c>
      <c r="E69" s="23">
        <v>70850.400000000023</v>
      </c>
      <c r="F69" s="23">
        <v>70386.10000000002</v>
      </c>
      <c r="G69" s="23">
        <v>70601.000000000015</v>
      </c>
      <c r="H69" s="23">
        <v>74124.10000000002</v>
      </c>
      <c r="I69" s="23">
        <v>73634.299999999988</v>
      </c>
      <c r="J69" s="23">
        <v>80723.700000000012</v>
      </c>
      <c r="K69" s="23">
        <v>84235.799999999974</v>
      </c>
      <c r="L69" s="23">
        <v>88375.5</v>
      </c>
      <c r="M69" s="23">
        <v>77339.8</v>
      </c>
      <c r="N69" s="23">
        <v>86462.700000000026</v>
      </c>
      <c r="O69" s="23">
        <v>89504.599999999977</v>
      </c>
      <c r="P69" s="23">
        <v>88117.900000000009</v>
      </c>
      <c r="Q69" s="23">
        <v>86842.89999999998</v>
      </c>
      <c r="R69" s="23">
        <v>89073.900000000009</v>
      </c>
      <c r="S69" s="23">
        <v>90852.200000000012</v>
      </c>
      <c r="T69" s="23">
        <v>93258.3</v>
      </c>
      <c r="U69" s="23">
        <v>97142.3</v>
      </c>
      <c r="V69" s="23">
        <v>98666.10000000002</v>
      </c>
      <c r="W69" s="23">
        <v>98367.89999999998</v>
      </c>
      <c r="X69" s="23">
        <v>95060.599999999991</v>
      </c>
      <c r="Y69" s="23">
        <v>103615.90000000001</v>
      </c>
      <c r="Z69" s="23">
        <v>108553.2</v>
      </c>
      <c r="AA69" s="23">
        <v>119992.95746118495</v>
      </c>
    </row>
    <row r="70" spans="1:27" ht="12.75" customHeight="1" x14ac:dyDescent="0.2">
      <c r="A70" s="155"/>
      <c r="B70" s="21" t="s">
        <v>108</v>
      </c>
      <c r="C70" s="22" t="s">
        <v>109</v>
      </c>
      <c r="D70" s="23">
        <v>136289.09999999998</v>
      </c>
      <c r="E70" s="23">
        <v>142282.40000000002</v>
      </c>
      <c r="F70" s="23">
        <v>141556.99999999997</v>
      </c>
      <c r="G70" s="23">
        <v>142287.79999999996</v>
      </c>
      <c r="H70" s="23">
        <v>150642.19999999998</v>
      </c>
      <c r="I70" s="23">
        <v>155382.80000000002</v>
      </c>
      <c r="J70" s="23">
        <v>169549.49999999997</v>
      </c>
      <c r="K70" s="23">
        <v>186530.00000000003</v>
      </c>
      <c r="L70" s="23">
        <v>192608.79999999996</v>
      </c>
      <c r="M70" s="23">
        <v>154564.00000000003</v>
      </c>
      <c r="N70" s="23">
        <v>173514.80000000005</v>
      </c>
      <c r="O70" s="23">
        <v>192416.59999999998</v>
      </c>
      <c r="P70" s="23">
        <v>194419.59999999998</v>
      </c>
      <c r="Q70" s="23">
        <v>194082.10000000003</v>
      </c>
      <c r="R70" s="23">
        <v>203646.60000000006</v>
      </c>
      <c r="S70" s="23">
        <v>206733.4</v>
      </c>
      <c r="T70" s="23">
        <v>212901.59999999998</v>
      </c>
      <c r="U70" s="23">
        <v>226498.2</v>
      </c>
      <c r="V70" s="23">
        <v>233228.5</v>
      </c>
      <c r="W70" s="23">
        <v>238299.7</v>
      </c>
      <c r="X70" s="23">
        <v>217308.3</v>
      </c>
      <c r="Y70" s="23">
        <v>243436.29999999996</v>
      </c>
      <c r="Z70" s="23">
        <v>249032</v>
      </c>
      <c r="AA70" s="23">
        <v>273829.98446806148</v>
      </c>
    </row>
    <row r="71" spans="1:27" ht="12.75" customHeight="1" x14ac:dyDescent="0.2">
      <c r="A71" s="155"/>
      <c r="B71" s="21" t="s">
        <v>128</v>
      </c>
      <c r="C71" s="22" t="s">
        <v>129</v>
      </c>
      <c r="D71" s="23">
        <v>116852</v>
      </c>
      <c r="E71" s="23">
        <v>124511.2</v>
      </c>
      <c r="F71" s="23">
        <v>126959.09999999999</v>
      </c>
      <c r="G71" s="23">
        <v>132204</v>
      </c>
      <c r="H71" s="23">
        <v>136485.4</v>
      </c>
      <c r="I71" s="23">
        <v>135480.20000000001</v>
      </c>
      <c r="J71" s="23">
        <v>147067.50000000003</v>
      </c>
      <c r="K71" s="23">
        <v>157739.6</v>
      </c>
      <c r="L71" s="23">
        <v>146161.09999999998</v>
      </c>
      <c r="M71" s="23">
        <v>115172.60000000002</v>
      </c>
      <c r="N71" s="23">
        <v>152675.79999999999</v>
      </c>
      <c r="O71" s="23">
        <v>168288.40000000002</v>
      </c>
      <c r="P71" s="23">
        <v>162857.29999999996</v>
      </c>
      <c r="Q71" s="23">
        <v>167837.2</v>
      </c>
      <c r="R71" s="23">
        <v>185320.89999999997</v>
      </c>
      <c r="S71" s="23">
        <v>201027.24223285611</v>
      </c>
      <c r="T71" s="23">
        <v>220151.29559252801</v>
      </c>
      <c r="U71" s="23">
        <v>229871.93757701438</v>
      </c>
      <c r="V71" s="23">
        <v>231476.50516561556</v>
      </c>
      <c r="W71" s="23">
        <v>231103.4757731217</v>
      </c>
      <c r="X71" s="23">
        <v>196618.419666854</v>
      </c>
      <c r="Y71" s="23">
        <v>229451.55798089612</v>
      </c>
      <c r="Z71" s="23">
        <v>250462.44577485131</v>
      </c>
      <c r="AA71" s="23">
        <v>285778.14436738065</v>
      </c>
    </row>
    <row r="72" spans="1:27" ht="12.75" customHeight="1" x14ac:dyDescent="0.2">
      <c r="A72" s="155"/>
      <c r="B72" s="21" t="s">
        <v>130</v>
      </c>
      <c r="C72" s="22" t="s">
        <v>131</v>
      </c>
      <c r="D72" s="23">
        <v>29366.600000000002</v>
      </c>
      <c r="E72" s="23">
        <v>31912.9</v>
      </c>
      <c r="F72" s="23">
        <v>32492.000000000004</v>
      </c>
      <c r="G72" s="23">
        <v>32156.7</v>
      </c>
      <c r="H72" s="23">
        <v>30082.500000000004</v>
      </c>
      <c r="I72" s="23">
        <v>34840.500000000007</v>
      </c>
      <c r="J72" s="23">
        <v>37609.300000000003</v>
      </c>
      <c r="K72" s="23">
        <v>40045.299999999996</v>
      </c>
      <c r="L72" s="23">
        <v>43712.099999999991</v>
      </c>
      <c r="M72" s="23">
        <v>40370.799999999996</v>
      </c>
      <c r="N72" s="23">
        <v>41069.399999999994</v>
      </c>
      <c r="O72" s="23">
        <v>41529.100000000006</v>
      </c>
      <c r="P72" s="23">
        <v>43935.8</v>
      </c>
      <c r="Q72" s="23">
        <v>46648.199999999983</v>
      </c>
      <c r="R72" s="23">
        <v>49974.100000000013</v>
      </c>
      <c r="S72" s="23">
        <v>51669.157767143901</v>
      </c>
      <c r="T72" s="23">
        <v>53747.004407471984</v>
      </c>
      <c r="U72" s="23">
        <v>56908.062422985575</v>
      </c>
      <c r="V72" s="23">
        <v>61105.594834384414</v>
      </c>
      <c r="W72" s="23">
        <v>64260.949331564865</v>
      </c>
      <c r="X72" s="23">
        <v>52364.013739062088</v>
      </c>
      <c r="Y72" s="23">
        <v>55692.828073172415</v>
      </c>
      <c r="Z72" s="23">
        <v>63667.685778530504</v>
      </c>
      <c r="AA72" s="23">
        <v>70290.267536068612</v>
      </c>
    </row>
    <row r="73" spans="1:27" ht="12.75" customHeight="1" x14ac:dyDescent="0.2">
      <c r="A73" s="155"/>
      <c r="B73" s="21" t="s">
        <v>132</v>
      </c>
      <c r="C73" s="22" t="s">
        <v>133</v>
      </c>
      <c r="D73" s="23">
        <v>62233.211462450592</v>
      </c>
      <c r="E73" s="23">
        <v>65130.04265232975</v>
      </c>
      <c r="F73" s="23">
        <v>64657.535714285717</v>
      </c>
      <c r="G73" s="23">
        <v>64338.061943319844</v>
      </c>
      <c r="H73" s="23">
        <v>66090.241463414641</v>
      </c>
      <c r="I73" s="23">
        <v>67843.778770949706</v>
      </c>
      <c r="J73" s="23">
        <v>72322.751697127955</v>
      </c>
      <c r="K73" s="23">
        <v>74690.494966442944</v>
      </c>
      <c r="L73" s="23">
        <v>75151.403180212015</v>
      </c>
      <c r="M73" s="23">
        <v>68986.046319569112</v>
      </c>
      <c r="N73" s="23">
        <v>69966.094297082222</v>
      </c>
      <c r="O73" s="23">
        <v>74095.845187601954</v>
      </c>
      <c r="P73" s="23">
        <v>72312.106851549746</v>
      </c>
      <c r="Q73" s="23">
        <v>71373.745187601962</v>
      </c>
      <c r="R73" s="23">
        <v>75631.065579119066</v>
      </c>
      <c r="S73" s="23">
        <v>79613.067047308316</v>
      </c>
      <c r="T73" s="23">
        <v>79695.267373572569</v>
      </c>
      <c r="U73" s="23">
        <v>85277.93425774877</v>
      </c>
      <c r="V73" s="23">
        <v>84257.890946166401</v>
      </c>
      <c r="W73" s="23">
        <v>91854.745223965248</v>
      </c>
      <c r="X73" s="23">
        <v>88398.013004004708</v>
      </c>
      <c r="Y73" s="23">
        <v>98048.872621404094</v>
      </c>
      <c r="Z73" s="23">
        <v>104522.54951941026</v>
      </c>
      <c r="AA73" s="23">
        <v>115271.34714519136</v>
      </c>
    </row>
    <row r="74" spans="1:27" ht="12.75" customHeight="1" x14ac:dyDescent="0.2">
      <c r="A74" s="155"/>
      <c r="B74" s="21" t="s">
        <v>134</v>
      </c>
      <c r="C74" s="22" t="s">
        <v>135</v>
      </c>
      <c r="D74" s="23">
        <v>46860.08853754944</v>
      </c>
      <c r="E74" s="23">
        <v>47707.857347670273</v>
      </c>
      <c r="F74" s="23">
        <v>48180.164285714294</v>
      </c>
      <c r="G74" s="23">
        <v>47684.038056680081</v>
      </c>
      <c r="H74" s="23">
        <v>49164.958536585335</v>
      </c>
      <c r="I74" s="23">
        <v>52710.921229050306</v>
      </c>
      <c r="J74" s="23">
        <v>55548.348302872088</v>
      </c>
      <c r="K74" s="23">
        <v>61246.905033557086</v>
      </c>
      <c r="L74" s="23">
        <v>63643.896819788009</v>
      </c>
      <c r="M74" s="23">
        <v>61109.153680430878</v>
      </c>
      <c r="N74" s="23">
        <v>64331.40570291772</v>
      </c>
      <c r="O74" s="23">
        <v>67323.454812398035</v>
      </c>
      <c r="P74" s="23">
        <v>71134.893148450312</v>
      </c>
      <c r="Q74" s="23">
        <v>70657.454812398006</v>
      </c>
      <c r="R74" s="23">
        <v>71847.834420880972</v>
      </c>
      <c r="S74" s="23">
        <v>76526.895345873534</v>
      </c>
      <c r="T74" s="23">
        <v>76510.033987632487</v>
      </c>
      <c r="U74" s="23">
        <v>74645.579901895559</v>
      </c>
      <c r="V74" s="23">
        <v>78166.317448348229</v>
      </c>
      <c r="W74" s="23">
        <v>84113.79693972673</v>
      </c>
      <c r="X74" s="23">
        <v>77517.36742940353</v>
      </c>
      <c r="Y74" s="23">
        <v>78636.802335442888</v>
      </c>
      <c r="Z74" s="23">
        <v>96831.984144181566</v>
      </c>
      <c r="AA74" s="23">
        <v>113889.44641188436</v>
      </c>
    </row>
    <row r="75" spans="1:27" ht="12.75" customHeight="1" x14ac:dyDescent="0.2">
      <c r="A75" s="156"/>
      <c r="B75" s="28" t="s">
        <v>52</v>
      </c>
      <c r="C75" s="31" t="s">
        <v>58</v>
      </c>
      <c r="D75" s="30">
        <f>SUM(D56:D74)</f>
        <v>1371023.5000000002</v>
      </c>
      <c r="E75" s="30">
        <f t="shared" ref="E75:S75" si="9">SUM(E56:E74)</f>
        <v>1409884.1</v>
      </c>
      <c r="F75" s="30">
        <f t="shared" si="9"/>
        <v>1420428.4999999998</v>
      </c>
      <c r="G75" s="30">
        <f t="shared" si="9"/>
        <v>1423053.4999999998</v>
      </c>
      <c r="H75" s="30">
        <f t="shared" si="9"/>
        <v>1471378.6</v>
      </c>
      <c r="I75" s="30">
        <f t="shared" si="9"/>
        <v>1509441.4</v>
      </c>
      <c r="J75" s="30">
        <f t="shared" si="9"/>
        <v>1592695.4000000004</v>
      </c>
      <c r="K75" s="30">
        <f t="shared" si="9"/>
        <v>1697015</v>
      </c>
      <c r="L75" s="30">
        <f t="shared" si="9"/>
        <v>1688621.0000000002</v>
      </c>
      <c r="M75" s="30">
        <f t="shared" si="9"/>
        <v>1465152.1000000003</v>
      </c>
      <c r="N75" s="30">
        <f t="shared" si="9"/>
        <v>1588741.4</v>
      </c>
      <c r="O75" s="30">
        <f t="shared" si="9"/>
        <v>1677405.2999999998</v>
      </c>
      <c r="P75" s="30">
        <f t="shared" si="9"/>
        <v>1662868.2000000004</v>
      </c>
      <c r="Q75" s="30">
        <f t="shared" si="9"/>
        <v>1664166.0999999999</v>
      </c>
      <c r="R75" s="30">
        <f t="shared" si="9"/>
        <v>1732945.3</v>
      </c>
      <c r="S75" s="30">
        <f t="shared" si="9"/>
        <v>1870213.4999999998</v>
      </c>
      <c r="T75" s="30">
        <f t="shared" ref="T75:Y75" si="10">SUM(T56:T74)</f>
        <v>1929367.8000000005</v>
      </c>
      <c r="U75" s="30">
        <f t="shared" si="10"/>
        <v>2000972.9999999998</v>
      </c>
      <c r="V75" s="30">
        <f t="shared" si="10"/>
        <v>2056041.7</v>
      </c>
      <c r="W75" s="30">
        <f t="shared" si="10"/>
        <v>2101228.9</v>
      </c>
      <c r="X75" s="30">
        <f t="shared" si="10"/>
        <v>1975312.2</v>
      </c>
      <c r="Y75" s="30">
        <f t="shared" si="10"/>
        <v>2177105.6</v>
      </c>
      <c r="Z75" s="30">
        <f t="shared" ref="Z75:AA75" si="11">SUM(Z56:Z74)</f>
        <v>2405957.5999999996</v>
      </c>
      <c r="AA75" s="30">
        <f t="shared" si="11"/>
        <v>2557454.0000000005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E2" activePane="bottomRight" state="frozen"/>
      <selection activeCell="AA2" sqref="AA2"/>
      <selection pane="topRight" activeCell="AA2" sqref="AA2"/>
      <selection pane="bottomLeft" activeCell="AA2" sqref="AA2"/>
      <selection pane="bottomRight" activeCell="AA2" sqref="AA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261</v>
      </c>
      <c r="C1" s="15" t="s">
        <v>275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48"/>
      <c r="B2" s="17" t="s">
        <v>24</v>
      </c>
      <c r="C2" s="18" t="s">
        <v>25</v>
      </c>
      <c r="D2" s="19">
        <v>12498759.156787341</v>
      </c>
      <c r="E2" s="19">
        <v>12770207.708801342</v>
      </c>
      <c r="F2" s="19">
        <v>12911345.822217397</v>
      </c>
      <c r="G2" s="19">
        <v>13033633.819342617</v>
      </c>
      <c r="H2" s="19">
        <v>13375129.330620615</v>
      </c>
      <c r="I2" s="19">
        <v>13645217.774766544</v>
      </c>
      <c r="J2" s="19">
        <v>14138782.350320356</v>
      </c>
      <c r="K2" s="19">
        <v>14590749.717234472</v>
      </c>
      <c r="L2" s="19">
        <v>14692309.514861224</v>
      </c>
      <c r="M2" s="19">
        <v>14055525.902416991</v>
      </c>
      <c r="N2" s="19">
        <v>14361991.148063798</v>
      </c>
      <c r="O2" s="19">
        <v>14650595.809612067</v>
      </c>
      <c r="P2" s="19">
        <v>14545469.575130999</v>
      </c>
      <c r="Q2" s="19">
        <v>14542488.984036935</v>
      </c>
      <c r="R2" s="19">
        <v>14784632.613671448</v>
      </c>
      <c r="S2" s="19">
        <v>15136246.721697001</v>
      </c>
      <c r="T2" s="19">
        <v>15431064.668399459</v>
      </c>
      <c r="U2" s="19">
        <v>15873224.604654022</v>
      </c>
      <c r="V2" s="19">
        <v>16205426.018408891</v>
      </c>
      <c r="W2" s="19">
        <v>16513294.462701106</v>
      </c>
      <c r="X2" s="19">
        <v>15600462.965886045</v>
      </c>
      <c r="Y2" s="19">
        <v>16586867.1390261</v>
      </c>
      <c r="Z2" s="19">
        <v>17178245.802106109</v>
      </c>
      <c r="AA2" s="19">
        <v>17252703.5</v>
      </c>
    </row>
    <row r="3" spans="1:27" ht="12.75" customHeight="1" x14ac:dyDescent="0.2">
      <c r="A3" s="149"/>
      <c r="B3" s="21" t="s">
        <v>26</v>
      </c>
      <c r="C3" s="22" t="s">
        <v>27</v>
      </c>
      <c r="D3" s="23">
        <v>6950135.9780574571</v>
      </c>
      <c r="E3" s="23">
        <v>7084322.1413910287</v>
      </c>
      <c r="F3" s="23">
        <v>7178275.1390623515</v>
      </c>
      <c r="G3" s="23">
        <v>7286980.981880405</v>
      </c>
      <c r="H3" s="23">
        <v>7439636.0700829392</v>
      </c>
      <c r="I3" s="23">
        <v>7606644.947900122</v>
      </c>
      <c r="J3" s="23">
        <v>7791374.5284857359</v>
      </c>
      <c r="K3" s="23">
        <v>7968913.2753223535</v>
      </c>
      <c r="L3" s="23">
        <v>8018569.1107910201</v>
      </c>
      <c r="M3" s="23">
        <v>7937199.8840018976</v>
      </c>
      <c r="N3" s="23">
        <v>8015377.1084867464</v>
      </c>
      <c r="O3" s="23">
        <v>8043614.0167380823</v>
      </c>
      <c r="P3" s="23">
        <v>7978382.9165719775</v>
      </c>
      <c r="Q3" s="23">
        <v>7931629.2916701399</v>
      </c>
      <c r="R3" s="23">
        <v>8021725.7539266739</v>
      </c>
      <c r="S3" s="23">
        <v>8205453.3548769997</v>
      </c>
      <c r="T3" s="23">
        <v>8378882.9532850822</v>
      </c>
      <c r="U3" s="23">
        <v>8568540.6476909593</v>
      </c>
      <c r="V3" s="23">
        <v>8731693.3788442239</v>
      </c>
      <c r="W3" s="23">
        <v>8868259.1295936331</v>
      </c>
      <c r="X3" s="23">
        <v>8238144.6397324903</v>
      </c>
      <c r="Y3" s="23">
        <v>8634581.1139724292</v>
      </c>
      <c r="Z3" s="23">
        <v>9066113.6726165675</v>
      </c>
      <c r="AA3" s="23">
        <v>9094195.200000003</v>
      </c>
    </row>
    <row r="4" spans="1:27" ht="12.75" customHeight="1" x14ac:dyDescent="0.2">
      <c r="A4" s="150"/>
      <c r="B4" s="25" t="s">
        <v>28</v>
      </c>
      <c r="C4" s="26" t="s">
        <v>29</v>
      </c>
      <c r="D4" s="27">
        <v>11121597.51685543</v>
      </c>
      <c r="E4" s="27">
        <v>11373968.959324721</v>
      </c>
      <c r="F4" s="27">
        <v>11507872.321735566</v>
      </c>
      <c r="G4" s="27">
        <v>11606592.916551739</v>
      </c>
      <c r="H4" s="27">
        <v>11924844.717846917</v>
      </c>
      <c r="I4" s="27">
        <v>12157423.08057523</v>
      </c>
      <c r="J4" s="27">
        <v>12604481.261252409</v>
      </c>
      <c r="K4" s="27">
        <v>13039282.72607624</v>
      </c>
      <c r="L4" s="27">
        <v>13161793.161896292</v>
      </c>
      <c r="M4" s="27">
        <v>12580803.817130545</v>
      </c>
      <c r="N4" s="27">
        <v>12867793.629699856</v>
      </c>
      <c r="O4" s="27">
        <v>13145869.324073812</v>
      </c>
      <c r="P4" s="27">
        <v>13063429.080372807</v>
      </c>
      <c r="Q4" s="27">
        <v>13075817.561510006</v>
      </c>
      <c r="R4" s="27">
        <v>13294540.339151319</v>
      </c>
      <c r="S4" s="27">
        <v>13586162.630198998</v>
      </c>
      <c r="T4" s="27">
        <v>13841011.628719138</v>
      </c>
      <c r="U4" s="27">
        <v>14241112.76653369</v>
      </c>
      <c r="V4" s="27">
        <v>14549248.493522158</v>
      </c>
      <c r="W4" s="27">
        <v>14824245.479224434</v>
      </c>
      <c r="X4" s="27">
        <v>14018481.791443957</v>
      </c>
      <c r="Y4" s="27">
        <v>14896095.690585317</v>
      </c>
      <c r="Z4" s="27">
        <v>15479212.479447233</v>
      </c>
      <c r="AA4" s="27">
        <v>15592421.6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4" t="s">
        <v>31</v>
      </c>
      <c r="B6" s="17" t="s">
        <v>32</v>
      </c>
      <c r="C6" s="18" t="s">
        <v>33</v>
      </c>
      <c r="D6" s="19">
        <v>283595.7874449662</v>
      </c>
      <c r="E6" s="19">
        <v>292875.35475752939</v>
      </c>
      <c r="F6" s="19">
        <v>273563.83585996839</v>
      </c>
      <c r="G6" s="19">
        <v>267137.0461146569</v>
      </c>
      <c r="H6" s="19">
        <v>277262.6804072854</v>
      </c>
      <c r="I6" s="19">
        <v>243832.47770055608</v>
      </c>
      <c r="J6" s="19">
        <v>237325.18180331291</v>
      </c>
      <c r="K6" s="19">
        <v>248287.41197299381</v>
      </c>
      <c r="L6" s="19">
        <v>240143.75937766628</v>
      </c>
      <c r="M6" s="19">
        <v>209614.17530349697</v>
      </c>
      <c r="N6" s="19">
        <v>230445.18420817982</v>
      </c>
      <c r="O6" s="19">
        <v>248997.08375018495</v>
      </c>
      <c r="P6" s="19">
        <v>245263.12231975814</v>
      </c>
      <c r="Q6" s="19">
        <v>250741.63029328562</v>
      </c>
      <c r="R6" s="19">
        <v>251397.30011196362</v>
      </c>
      <c r="S6" s="19">
        <v>246163.21213</v>
      </c>
      <c r="T6" s="19">
        <v>245452.10186341213</v>
      </c>
      <c r="U6" s="19">
        <v>268401.60766438441</v>
      </c>
      <c r="V6" s="19">
        <v>260370.07552670877</v>
      </c>
      <c r="W6" s="19">
        <v>262609.05463492742</v>
      </c>
      <c r="X6" s="19">
        <v>251362.95367721573</v>
      </c>
      <c r="Y6" s="19">
        <v>265308.34246249561</v>
      </c>
      <c r="Z6" s="19">
        <v>291619.48934314452</v>
      </c>
      <c r="AA6" s="19">
        <v>283140.60000000003</v>
      </c>
    </row>
    <row r="7" spans="1:27" ht="12.75" customHeight="1" x14ac:dyDescent="0.2">
      <c r="A7" s="155"/>
      <c r="B7" s="21" t="s">
        <v>34</v>
      </c>
      <c r="C7" s="22" t="s">
        <v>35</v>
      </c>
      <c r="D7" s="23">
        <v>2508600.8916918309</v>
      </c>
      <c r="E7" s="23">
        <v>2522413.2562255482</v>
      </c>
      <c r="F7" s="23">
        <v>2496498.2568138111</v>
      </c>
      <c r="G7" s="23">
        <v>2468012.6193881636</v>
      </c>
      <c r="H7" s="23">
        <v>2528508.6050243997</v>
      </c>
      <c r="I7" s="23">
        <v>2553824.5771952416</v>
      </c>
      <c r="J7" s="23">
        <v>2659523.6467797542</v>
      </c>
      <c r="K7" s="23">
        <v>2747066.774287093</v>
      </c>
      <c r="L7" s="23">
        <v>2709490.0497753737</v>
      </c>
      <c r="M7" s="23">
        <v>2391063.7414498408</v>
      </c>
      <c r="N7" s="23">
        <v>2560400.7874260629</v>
      </c>
      <c r="O7" s="23">
        <v>2655954.1053771689</v>
      </c>
      <c r="P7" s="23">
        <v>2625019.434035128</v>
      </c>
      <c r="Q7" s="23">
        <v>2585436.995690641</v>
      </c>
      <c r="R7" s="23">
        <v>2635861.6884250771</v>
      </c>
      <c r="S7" s="23">
        <v>2751405.6981640002</v>
      </c>
      <c r="T7" s="23">
        <v>2799094.056507525</v>
      </c>
      <c r="U7" s="23">
        <v>2857301.4032406723</v>
      </c>
      <c r="V7" s="23">
        <v>2897415.5439591981</v>
      </c>
      <c r="W7" s="23">
        <v>2917057.976419766</v>
      </c>
      <c r="X7" s="23">
        <v>2709192.5723309591</v>
      </c>
      <c r="Y7" s="23">
        <v>2920004.5174172749</v>
      </c>
      <c r="Z7" s="23">
        <v>3111642.4832959422</v>
      </c>
      <c r="AA7" s="23">
        <v>3145242.4000000004</v>
      </c>
    </row>
    <row r="8" spans="1:27" ht="12.75" customHeight="1" x14ac:dyDescent="0.2">
      <c r="A8" s="155"/>
      <c r="B8" s="21" t="s">
        <v>36</v>
      </c>
      <c r="C8" s="22" t="s">
        <v>37</v>
      </c>
      <c r="D8" s="23">
        <v>637891.55311009742</v>
      </c>
      <c r="E8" s="23">
        <v>651953.49235566868</v>
      </c>
      <c r="F8" s="23">
        <v>660817.68059533252</v>
      </c>
      <c r="G8" s="23">
        <v>674537.444465801</v>
      </c>
      <c r="H8" s="23">
        <v>701648.66380429</v>
      </c>
      <c r="I8" s="23">
        <v>727493.70151435677</v>
      </c>
      <c r="J8" s="23">
        <v>781344.96393133979</v>
      </c>
      <c r="K8" s="23">
        <v>816482.42074076482</v>
      </c>
      <c r="L8" s="23">
        <v>828065.62758181931</v>
      </c>
      <c r="M8" s="23">
        <v>777646.16888690321</v>
      </c>
      <c r="N8" s="23">
        <v>730309.32048099453</v>
      </c>
      <c r="O8" s="23">
        <v>724436.50040608493</v>
      </c>
      <c r="P8" s="23">
        <v>694610.87127875106</v>
      </c>
      <c r="Q8" s="23">
        <v>674160.91547096777</v>
      </c>
      <c r="R8" s="23">
        <v>671562.88567406603</v>
      </c>
      <c r="S8" s="23">
        <v>678438.36765200004</v>
      </c>
      <c r="T8" s="23">
        <v>692403.63721617509</v>
      </c>
      <c r="U8" s="23">
        <v>717041.91050342412</v>
      </c>
      <c r="V8" s="23">
        <v>754175.86881807714</v>
      </c>
      <c r="W8" s="23">
        <v>786905.77571848559</v>
      </c>
      <c r="X8" s="23">
        <v>761742.75001264375</v>
      </c>
      <c r="Y8" s="23">
        <v>807164.51830512402</v>
      </c>
      <c r="Z8" s="23">
        <v>833161.56473712041</v>
      </c>
      <c r="AA8" s="23">
        <v>860580.69999999984</v>
      </c>
    </row>
    <row r="9" spans="1:27" ht="12.75" customHeight="1" x14ac:dyDescent="0.2">
      <c r="A9" s="155"/>
      <c r="B9" s="21" t="s">
        <v>38</v>
      </c>
      <c r="C9" s="22" t="s">
        <v>39</v>
      </c>
      <c r="D9" s="23">
        <v>2150763.077579888</v>
      </c>
      <c r="E9" s="23">
        <v>2215315.8721604301</v>
      </c>
      <c r="F9" s="23">
        <v>2236043.9946614406</v>
      </c>
      <c r="G9" s="23">
        <v>2256545.1422951496</v>
      </c>
      <c r="H9" s="23">
        <v>2302664.2564542554</v>
      </c>
      <c r="I9" s="23">
        <v>2346177.8292378136</v>
      </c>
      <c r="J9" s="23">
        <v>2407513.4931994448</v>
      </c>
      <c r="K9" s="23">
        <v>2487120.1020793156</v>
      </c>
      <c r="L9" s="23">
        <v>2516203.4290062441</v>
      </c>
      <c r="M9" s="23">
        <v>2406590.8520633401</v>
      </c>
      <c r="N9" s="23">
        <v>2417001.4929786744</v>
      </c>
      <c r="O9" s="23">
        <v>2463267.4657878778</v>
      </c>
      <c r="P9" s="23">
        <v>2455531.2403770098</v>
      </c>
      <c r="Q9" s="23">
        <v>2452511.3855039882</v>
      </c>
      <c r="R9" s="23">
        <v>2499149.15096713</v>
      </c>
      <c r="S9" s="23">
        <v>2570495.5095319999</v>
      </c>
      <c r="T9" s="23">
        <v>2626072.0120525206</v>
      </c>
      <c r="U9" s="23">
        <v>2728621.5834852676</v>
      </c>
      <c r="V9" s="23">
        <v>2778277.6032352746</v>
      </c>
      <c r="W9" s="23">
        <v>2841372.4642888028</v>
      </c>
      <c r="X9" s="23">
        <v>2491260.7548685209</v>
      </c>
      <c r="Y9" s="23">
        <v>2754132.6963563976</v>
      </c>
      <c r="Z9" s="23">
        <v>3012726.2058282285</v>
      </c>
      <c r="AA9" s="23">
        <v>2933508.1</v>
      </c>
    </row>
    <row r="10" spans="1:27" ht="12.75" customHeight="1" x14ac:dyDescent="0.2">
      <c r="A10" s="155"/>
      <c r="B10" s="21" t="s">
        <v>40</v>
      </c>
      <c r="C10" s="22" t="s">
        <v>41</v>
      </c>
      <c r="D10" s="23">
        <v>506919.49110873253</v>
      </c>
      <c r="E10" s="23">
        <v>542922.8098188577</v>
      </c>
      <c r="F10" s="23">
        <v>564748.37061108137</v>
      </c>
      <c r="G10" s="23">
        <v>553189.60719145369</v>
      </c>
      <c r="H10" s="23">
        <v>574834.32094309083</v>
      </c>
      <c r="I10" s="23">
        <v>575754.38751560706</v>
      </c>
      <c r="J10" s="23">
        <v>593767.24321480817</v>
      </c>
      <c r="K10" s="23">
        <v>613112.83915411984</v>
      </c>
      <c r="L10" s="23">
        <v>614901.69279802835</v>
      </c>
      <c r="M10" s="23">
        <v>596514.17459885776</v>
      </c>
      <c r="N10" s="23">
        <v>591188.06638643576</v>
      </c>
      <c r="O10" s="23">
        <v>602984.14034036791</v>
      </c>
      <c r="P10" s="23">
        <v>601472.33392270317</v>
      </c>
      <c r="Q10" s="23">
        <v>603344.48203233292</v>
      </c>
      <c r="R10" s="23">
        <v>609572.70571256569</v>
      </c>
      <c r="S10" s="23">
        <v>625528.52770400012</v>
      </c>
      <c r="T10" s="23">
        <v>641905.27790828352</v>
      </c>
      <c r="U10" s="23">
        <v>670775.78376341588</v>
      </c>
      <c r="V10" s="23">
        <v>706636.08830338996</v>
      </c>
      <c r="W10" s="23">
        <v>744713.35200185585</v>
      </c>
      <c r="X10" s="23">
        <v>750293.42306292895</v>
      </c>
      <c r="Y10" s="23">
        <v>816726.70561901736</v>
      </c>
      <c r="Z10" s="23">
        <v>818044.40877856372</v>
      </c>
      <c r="AA10" s="23">
        <v>839405.2</v>
      </c>
    </row>
    <row r="11" spans="1:27" ht="12.75" customHeight="1" x14ac:dyDescent="0.2">
      <c r="A11" s="155"/>
      <c r="B11" s="21" t="s">
        <v>42</v>
      </c>
      <c r="C11" s="22" t="s">
        <v>43</v>
      </c>
      <c r="D11" s="23">
        <v>526741.98104225891</v>
      </c>
      <c r="E11" s="23">
        <v>530348.62028900243</v>
      </c>
      <c r="F11" s="23">
        <v>536492.14712848538</v>
      </c>
      <c r="G11" s="23">
        <v>561710.50967355003</v>
      </c>
      <c r="H11" s="23">
        <v>598317.02294704877</v>
      </c>
      <c r="I11" s="23">
        <v>612837.39902551111</v>
      </c>
      <c r="J11" s="23">
        <v>629898.85477495461</v>
      </c>
      <c r="K11" s="23">
        <v>650437.48441323987</v>
      </c>
      <c r="L11" s="23">
        <v>632756.06680037943</v>
      </c>
      <c r="M11" s="23">
        <v>649161.96667019511</v>
      </c>
      <c r="N11" s="23">
        <v>673499.1679316368</v>
      </c>
      <c r="O11" s="23">
        <v>671963.45156081312</v>
      </c>
      <c r="P11" s="23">
        <v>670117.37401826738</v>
      </c>
      <c r="Q11" s="23">
        <v>659862.62418700662</v>
      </c>
      <c r="R11" s="23">
        <v>681912.63285934518</v>
      </c>
      <c r="S11" s="23">
        <v>683509.85710200004</v>
      </c>
      <c r="T11" s="23">
        <v>670377.66733155225</v>
      </c>
      <c r="U11" s="23">
        <v>655769.49251652311</v>
      </c>
      <c r="V11" s="23">
        <v>663232.30687766429</v>
      </c>
      <c r="W11" s="23">
        <v>660740.5761383801</v>
      </c>
      <c r="X11" s="23">
        <v>658522.46197816264</v>
      </c>
      <c r="Y11" s="23">
        <v>680882.32706331171</v>
      </c>
      <c r="Z11" s="23">
        <v>683834.83001167793</v>
      </c>
      <c r="AA11" s="23">
        <v>710254.99999999977</v>
      </c>
    </row>
    <row r="12" spans="1:27" ht="12.75" customHeight="1" x14ac:dyDescent="0.2">
      <c r="A12" s="155"/>
      <c r="B12" s="21" t="s">
        <v>44</v>
      </c>
      <c r="C12" s="22" t="s">
        <v>45</v>
      </c>
      <c r="D12" s="23">
        <v>1088571.6463273689</v>
      </c>
      <c r="E12" s="23">
        <v>1113368.7137924156</v>
      </c>
      <c r="F12" s="23">
        <v>1149412.4077590001</v>
      </c>
      <c r="G12" s="23">
        <v>1173057.3632735275</v>
      </c>
      <c r="H12" s="23">
        <v>1213224.6855101909</v>
      </c>
      <c r="I12" s="23">
        <v>1265131.0745764528</v>
      </c>
      <c r="J12" s="23">
        <v>1341880.0308772374</v>
      </c>
      <c r="K12" s="23">
        <v>1409303.2362889322</v>
      </c>
      <c r="L12" s="23">
        <v>1436317.1174186729</v>
      </c>
      <c r="M12" s="23">
        <v>1389789.5731075695</v>
      </c>
      <c r="N12" s="23">
        <v>1420354.5033421244</v>
      </c>
      <c r="O12" s="23">
        <v>1467794.1983871316</v>
      </c>
      <c r="P12" s="23">
        <v>1462233.4075743582</v>
      </c>
      <c r="Q12" s="23">
        <v>1486229.089505116</v>
      </c>
      <c r="R12" s="23">
        <v>1500222.619739363</v>
      </c>
      <c r="S12" s="23">
        <v>1516978.982719</v>
      </c>
      <c r="T12" s="23">
        <v>1543351.7347225819</v>
      </c>
      <c r="U12" s="23">
        <v>1574345.2194088916</v>
      </c>
      <c r="V12" s="23">
        <v>1598973.0787916479</v>
      </c>
      <c r="W12" s="23">
        <v>1630457.6784768726</v>
      </c>
      <c r="X12" s="23">
        <v>1605670.768084524</v>
      </c>
      <c r="Y12" s="23">
        <v>1625176.5355864142</v>
      </c>
      <c r="Z12" s="23">
        <v>1621259.9141579298</v>
      </c>
      <c r="AA12" s="23">
        <v>1672383.0000000005</v>
      </c>
    </row>
    <row r="13" spans="1:27" ht="12.75" customHeight="1" x14ac:dyDescent="0.2">
      <c r="A13" s="155"/>
      <c r="B13" s="21" t="s">
        <v>46</v>
      </c>
      <c r="C13" s="22" t="s">
        <v>47</v>
      </c>
      <c r="D13" s="23">
        <v>1074701.4365297048</v>
      </c>
      <c r="E13" s="23">
        <v>1108978.0846917392</v>
      </c>
      <c r="F13" s="23">
        <v>1121982.63545602</v>
      </c>
      <c r="G13" s="23">
        <v>1136700.1351058709</v>
      </c>
      <c r="H13" s="23">
        <v>1155862.1334113467</v>
      </c>
      <c r="I13" s="23">
        <v>1200553.1044800875</v>
      </c>
      <c r="J13" s="23">
        <v>1258665.0994740678</v>
      </c>
      <c r="K13" s="23">
        <v>1331110.437200628</v>
      </c>
      <c r="L13" s="23">
        <v>1371863.1644766331</v>
      </c>
      <c r="M13" s="23">
        <v>1289329.7958951434</v>
      </c>
      <c r="N13" s="23">
        <v>1322669.48108632</v>
      </c>
      <c r="O13" s="23">
        <v>1358686.3521705128</v>
      </c>
      <c r="P13" s="23">
        <v>1359173.4458675268</v>
      </c>
      <c r="Q13" s="23">
        <v>1392512.2582679715</v>
      </c>
      <c r="R13" s="23">
        <v>1435196.9114197078</v>
      </c>
      <c r="S13" s="23">
        <v>1488653.2910780001</v>
      </c>
      <c r="T13" s="23">
        <v>1543376.7448270966</v>
      </c>
      <c r="U13" s="23">
        <v>1619714.8993032787</v>
      </c>
      <c r="V13" s="23">
        <v>1684379.0290540166</v>
      </c>
      <c r="W13" s="23">
        <v>1710420.5298510888</v>
      </c>
      <c r="X13" s="23">
        <v>1608487.360723055</v>
      </c>
      <c r="Y13" s="23">
        <v>1736002.1327893655</v>
      </c>
      <c r="Z13" s="23">
        <v>1793815.2224950467</v>
      </c>
      <c r="AA13" s="23">
        <v>1833012.0000000005</v>
      </c>
    </row>
    <row r="14" spans="1:27" ht="12.75" customHeight="1" x14ac:dyDescent="0.2">
      <c r="A14" s="155"/>
      <c r="B14" s="21" t="s">
        <v>48</v>
      </c>
      <c r="C14" s="22" t="s">
        <v>49</v>
      </c>
      <c r="D14" s="23">
        <v>1975795.3854882221</v>
      </c>
      <c r="E14" s="23">
        <v>2021738.9515852295</v>
      </c>
      <c r="F14" s="23">
        <v>2087390.5386449753</v>
      </c>
      <c r="G14" s="23">
        <v>2132513.0054317419</v>
      </c>
      <c r="H14" s="23">
        <v>2179038.0142375864</v>
      </c>
      <c r="I14" s="23">
        <v>2227560.7427190323</v>
      </c>
      <c r="J14" s="23">
        <v>2277138.7632599967</v>
      </c>
      <c r="K14" s="23">
        <v>2310426.7209788454</v>
      </c>
      <c r="L14" s="23">
        <v>2375662.6336773634</v>
      </c>
      <c r="M14" s="23">
        <v>2436112.1252653832</v>
      </c>
      <c r="N14" s="23">
        <v>2482094.6650192849</v>
      </c>
      <c r="O14" s="23">
        <v>2503391.3368550963</v>
      </c>
      <c r="P14" s="23">
        <v>2504537.8322167248</v>
      </c>
      <c r="Q14" s="23">
        <v>2528227.0620032037</v>
      </c>
      <c r="R14" s="23">
        <v>2560772.452188347</v>
      </c>
      <c r="S14" s="23">
        <v>2568377.8894799999</v>
      </c>
      <c r="T14" s="23">
        <v>2619278.7715911381</v>
      </c>
      <c r="U14" s="23">
        <v>2677726.9801723296</v>
      </c>
      <c r="V14" s="23">
        <v>2728839.4617591803</v>
      </c>
      <c r="W14" s="23">
        <v>2786266.9147915943</v>
      </c>
      <c r="X14" s="23">
        <v>2773523.2597006527</v>
      </c>
      <c r="Y14" s="23">
        <v>2871291.9117591726</v>
      </c>
      <c r="Z14" s="23">
        <v>2851482.5955488151</v>
      </c>
      <c r="AA14" s="23">
        <v>2846379.2999999993</v>
      </c>
    </row>
    <row r="15" spans="1:27" ht="12.75" customHeight="1" x14ac:dyDescent="0.2">
      <c r="A15" s="155"/>
      <c r="B15" s="21" t="s">
        <v>50</v>
      </c>
      <c r="C15" s="22" t="s">
        <v>51</v>
      </c>
      <c r="D15" s="23">
        <v>368016.26653235848</v>
      </c>
      <c r="E15" s="23">
        <v>374053.80364829872</v>
      </c>
      <c r="F15" s="23">
        <v>380922.45420545276</v>
      </c>
      <c r="G15" s="23">
        <v>383190.04361182707</v>
      </c>
      <c r="H15" s="23">
        <v>393484.33510742034</v>
      </c>
      <c r="I15" s="23">
        <v>404257.78661057394</v>
      </c>
      <c r="J15" s="23">
        <v>417423.98393749126</v>
      </c>
      <c r="K15" s="23">
        <v>425935.29896030627</v>
      </c>
      <c r="L15" s="23">
        <v>436389.62098411261</v>
      </c>
      <c r="M15" s="23">
        <v>434981.243889815</v>
      </c>
      <c r="N15" s="23">
        <v>439830.96084014431</v>
      </c>
      <c r="O15" s="23">
        <v>448394.68943857192</v>
      </c>
      <c r="P15" s="23">
        <v>445470.01876258187</v>
      </c>
      <c r="Q15" s="23">
        <v>442791.11855549517</v>
      </c>
      <c r="R15" s="23">
        <v>448891.99205375114</v>
      </c>
      <c r="S15" s="23">
        <v>456611.29463800014</v>
      </c>
      <c r="T15" s="23">
        <v>459699.62469885219</v>
      </c>
      <c r="U15" s="23">
        <v>471413.88647549722</v>
      </c>
      <c r="V15" s="23">
        <v>476949.43719699985</v>
      </c>
      <c r="W15" s="23">
        <v>483701.15690266155</v>
      </c>
      <c r="X15" s="23">
        <v>408425.48700529383</v>
      </c>
      <c r="Y15" s="23">
        <v>419406.00322674459</v>
      </c>
      <c r="Z15" s="23">
        <v>461625.76525076537</v>
      </c>
      <c r="AA15" s="23">
        <v>468515.30000000005</v>
      </c>
    </row>
    <row r="16" spans="1:27" ht="12.75" customHeight="1" x14ac:dyDescent="0.2">
      <c r="A16" s="156"/>
      <c r="B16" s="28" t="s">
        <v>52</v>
      </c>
      <c r="C16" s="29" t="s">
        <v>53</v>
      </c>
      <c r="D16" s="30">
        <f>SUM(D6:D15)</f>
        <v>11121597.516855428</v>
      </c>
      <c r="E16" s="30">
        <f t="shared" ref="E16:Y16" si="0">SUM(E6:E15)</f>
        <v>11373968.959324719</v>
      </c>
      <c r="F16" s="30">
        <f t="shared" si="0"/>
        <v>11507872.321735566</v>
      </c>
      <c r="G16" s="30">
        <f t="shared" si="0"/>
        <v>11606592.916551741</v>
      </c>
      <c r="H16" s="30">
        <f t="shared" si="0"/>
        <v>11924844.717846913</v>
      </c>
      <c r="I16" s="30">
        <f t="shared" si="0"/>
        <v>12157423.080575233</v>
      </c>
      <c r="J16" s="30">
        <f t="shared" si="0"/>
        <v>12604481.261252407</v>
      </c>
      <c r="K16" s="30">
        <f t="shared" si="0"/>
        <v>13039282.726076238</v>
      </c>
      <c r="L16" s="30">
        <f t="shared" si="0"/>
        <v>13161793.161896294</v>
      </c>
      <c r="M16" s="30">
        <f t="shared" si="0"/>
        <v>12580803.817130545</v>
      </c>
      <c r="N16" s="30">
        <f t="shared" si="0"/>
        <v>12867793.629699858</v>
      </c>
      <c r="O16" s="30">
        <f t="shared" si="0"/>
        <v>13145869.32407381</v>
      </c>
      <c r="P16" s="30">
        <f t="shared" si="0"/>
        <v>13063429.080372809</v>
      </c>
      <c r="Q16" s="30">
        <f t="shared" si="0"/>
        <v>13075817.56151001</v>
      </c>
      <c r="R16" s="30">
        <f t="shared" si="0"/>
        <v>13294540.339151317</v>
      </c>
      <c r="S16" s="30">
        <f t="shared" si="0"/>
        <v>13586162.630199</v>
      </c>
      <c r="T16" s="30">
        <f t="shared" si="0"/>
        <v>13841011.628719136</v>
      </c>
      <c r="U16" s="30">
        <f t="shared" si="0"/>
        <v>14241112.766533686</v>
      </c>
      <c r="V16" s="30">
        <f t="shared" si="0"/>
        <v>14549248.493522156</v>
      </c>
      <c r="W16" s="30">
        <f t="shared" si="0"/>
        <v>14824245.479224434</v>
      </c>
      <c r="X16" s="30">
        <f t="shared" si="0"/>
        <v>14018481.791443955</v>
      </c>
      <c r="Y16" s="30">
        <f t="shared" si="0"/>
        <v>14896095.690585317</v>
      </c>
      <c r="Z16" s="30">
        <f t="shared" ref="Z16" si="1">SUM(Z6:Z15)</f>
        <v>15479212.479447234</v>
      </c>
      <c r="AA16" s="30">
        <f t="shared" ref="AA16" si="2">SUM(AA6:AA15)</f>
        <v>15592421.6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4" t="s">
        <v>54</v>
      </c>
      <c r="B18" s="17" t="s">
        <v>32</v>
      </c>
      <c r="C18" s="18" t="s">
        <v>33</v>
      </c>
      <c r="D18" s="19">
        <v>283595.7874449662</v>
      </c>
      <c r="E18" s="19">
        <v>292875.35475752939</v>
      </c>
      <c r="F18" s="19">
        <v>273563.83585996839</v>
      </c>
      <c r="G18" s="19">
        <v>267137.0461146569</v>
      </c>
      <c r="H18" s="19">
        <v>277262.6804072854</v>
      </c>
      <c r="I18" s="19">
        <v>243832.47770055608</v>
      </c>
      <c r="J18" s="19">
        <v>237325.18180331291</v>
      </c>
      <c r="K18" s="19">
        <v>248287.41197299381</v>
      </c>
      <c r="L18" s="19">
        <v>240143.75937766628</v>
      </c>
      <c r="M18" s="19">
        <v>209614.17530349697</v>
      </c>
      <c r="N18" s="19">
        <v>230445.18420817982</v>
      </c>
      <c r="O18" s="19">
        <v>248997.08375018495</v>
      </c>
      <c r="P18" s="19">
        <v>245263.12231975814</v>
      </c>
      <c r="Q18" s="19">
        <v>250741.63029328562</v>
      </c>
      <c r="R18" s="19">
        <v>251397.30011196362</v>
      </c>
      <c r="S18" s="19">
        <v>246163.21213</v>
      </c>
      <c r="T18" s="19">
        <v>245452.10186341213</v>
      </c>
      <c r="U18" s="19">
        <v>268401.60766438441</v>
      </c>
      <c r="V18" s="19">
        <v>260370.07552670877</v>
      </c>
      <c r="W18" s="19">
        <v>262609.05463492742</v>
      </c>
      <c r="X18" s="19">
        <v>251362.95367721573</v>
      </c>
      <c r="Y18" s="19">
        <v>265308.34246249561</v>
      </c>
      <c r="Z18" s="19">
        <v>291619.48934314452</v>
      </c>
      <c r="AA18" s="19">
        <v>283140.60000000003</v>
      </c>
    </row>
    <row r="19" spans="1:27" ht="12.75" customHeight="1" x14ac:dyDescent="0.2">
      <c r="A19" s="155"/>
      <c r="B19" s="21" t="s">
        <v>55</v>
      </c>
      <c r="C19" s="22" t="s">
        <v>56</v>
      </c>
      <c r="D19" s="23">
        <v>65260.779930702913</v>
      </c>
      <c r="E19" s="23">
        <v>64990.328395605829</v>
      </c>
      <c r="F19" s="23">
        <v>63205.398262016686</v>
      </c>
      <c r="G19" s="23">
        <v>60531.35918435685</v>
      </c>
      <c r="H19" s="23">
        <v>65755.89168243506</v>
      </c>
      <c r="I19" s="23">
        <v>71847.120482474813</v>
      </c>
      <c r="J19" s="23">
        <v>81639.346526589085</v>
      </c>
      <c r="K19" s="23">
        <v>80319.716021513203</v>
      </c>
      <c r="L19" s="23">
        <v>92157.494689615283</v>
      </c>
      <c r="M19" s="23">
        <v>71857.051715846828</v>
      </c>
      <c r="N19" s="23">
        <v>79174.720598983011</v>
      </c>
      <c r="O19" s="23">
        <v>84407.299318669902</v>
      </c>
      <c r="P19" s="23">
        <v>89071.996570751086</v>
      </c>
      <c r="Q19" s="23">
        <v>82087.957314253363</v>
      </c>
      <c r="R19" s="23">
        <v>69765.032941779704</v>
      </c>
      <c r="S19" s="23">
        <v>57469.341462599921</v>
      </c>
      <c r="T19" s="23">
        <v>48082.022567144777</v>
      </c>
      <c r="U19" s="23">
        <v>52703.865123539086</v>
      </c>
      <c r="V19" s="23">
        <v>54213.149208955649</v>
      </c>
      <c r="W19" s="23">
        <v>50830.992646820225</v>
      </c>
      <c r="X19" s="23">
        <v>40393.809759783093</v>
      </c>
      <c r="Y19" s="23">
        <v>53903.746606146393</v>
      </c>
      <c r="Z19" s="23">
        <v>72290.926799373759</v>
      </c>
      <c r="AA19" s="23">
        <v>50710.436019570087</v>
      </c>
    </row>
    <row r="20" spans="1:27" ht="12.75" customHeight="1" x14ac:dyDescent="0.2">
      <c r="A20" s="155"/>
      <c r="B20" s="21" t="s">
        <v>57</v>
      </c>
      <c r="C20" s="22" t="s">
        <v>58</v>
      </c>
      <c r="D20" s="23">
        <v>2167781.0041213594</v>
      </c>
      <c r="E20" s="23">
        <v>2177686.1740367427</v>
      </c>
      <c r="F20" s="23">
        <v>2143053.0053013489</v>
      </c>
      <c r="G20" s="23">
        <v>2112106.6573928385</v>
      </c>
      <c r="H20" s="23">
        <v>2152369.3974777949</v>
      </c>
      <c r="I20" s="23">
        <v>2164485.9767571907</v>
      </c>
      <c r="J20" s="23">
        <v>2246781.806260169</v>
      </c>
      <c r="K20" s="23">
        <v>2333869.3971638419</v>
      </c>
      <c r="L20" s="23">
        <v>2264618.5839612707</v>
      </c>
      <c r="M20" s="23">
        <v>1960336.3521453778</v>
      </c>
      <c r="N20" s="23">
        <v>2104272.4357576077</v>
      </c>
      <c r="O20" s="23">
        <v>2203296.0628351406</v>
      </c>
      <c r="P20" s="23">
        <v>2157969.7458339469</v>
      </c>
      <c r="Q20" s="23">
        <v>2136091.0195920914</v>
      </c>
      <c r="R20" s="23">
        <v>2210487.3929212308</v>
      </c>
      <c r="S20" s="23">
        <v>2341488.581913</v>
      </c>
      <c r="T20" s="23">
        <v>2398279.1362541514</v>
      </c>
      <c r="U20" s="23">
        <v>2450678.1784407469</v>
      </c>
      <c r="V20" s="23">
        <v>2481710.9063289519</v>
      </c>
      <c r="W20" s="23">
        <v>2487379.4096828611</v>
      </c>
      <c r="X20" s="23">
        <v>2293157.2653324273</v>
      </c>
      <c r="Y20" s="23">
        <v>2473767.3427478396</v>
      </c>
      <c r="Z20" s="23">
        <v>2567868.1761618145</v>
      </c>
      <c r="AA20" s="23">
        <v>2557454.0000000005</v>
      </c>
    </row>
    <row r="21" spans="1:27" ht="12.75" customHeight="1" x14ac:dyDescent="0.2">
      <c r="A21" s="155"/>
      <c r="B21" s="21" t="s">
        <v>59</v>
      </c>
      <c r="C21" s="22" t="s">
        <v>60</v>
      </c>
      <c r="D21" s="23">
        <v>186354.67733612863</v>
      </c>
      <c r="E21" s="23">
        <v>189978.29442539663</v>
      </c>
      <c r="F21" s="23">
        <v>197666.08021012921</v>
      </c>
      <c r="G21" s="23">
        <v>200630.10180514079</v>
      </c>
      <c r="H21" s="23">
        <v>210934.46851535086</v>
      </c>
      <c r="I21" s="23">
        <v>216567.96968238347</v>
      </c>
      <c r="J21" s="23">
        <v>226643.31874864991</v>
      </c>
      <c r="K21" s="23">
        <v>224672.26770037613</v>
      </c>
      <c r="L21" s="23">
        <v>241043.15320016694</v>
      </c>
      <c r="M21" s="23">
        <v>248979.76708562879</v>
      </c>
      <c r="N21" s="23">
        <v>258616.64096410768</v>
      </c>
      <c r="O21" s="23">
        <v>245147.15861781617</v>
      </c>
      <c r="P21" s="23">
        <v>255233.58760252674</v>
      </c>
      <c r="Q21" s="23">
        <v>243702.68299404555</v>
      </c>
      <c r="R21" s="23">
        <v>229739.82032096206</v>
      </c>
      <c r="S21" s="23">
        <v>225176.37329450421</v>
      </c>
      <c r="T21" s="23">
        <v>223100.80207730754</v>
      </c>
      <c r="U21" s="23">
        <v>221682.58713030451</v>
      </c>
      <c r="V21" s="23">
        <v>226757.15396491048</v>
      </c>
      <c r="W21" s="23">
        <v>242875.34471528945</v>
      </c>
      <c r="X21" s="23">
        <v>241570.33165315326</v>
      </c>
      <c r="Y21" s="23">
        <v>249714.75318937202</v>
      </c>
      <c r="Z21" s="23">
        <v>333292.30304598057</v>
      </c>
      <c r="AA21" s="23">
        <v>398891.4345756073</v>
      </c>
    </row>
    <row r="22" spans="1:27" ht="12.75" customHeight="1" x14ac:dyDescent="0.2">
      <c r="A22" s="155"/>
      <c r="B22" s="21" t="s">
        <v>61</v>
      </c>
      <c r="C22" s="22" t="s">
        <v>62</v>
      </c>
      <c r="D22" s="23">
        <v>89204.430303640431</v>
      </c>
      <c r="E22" s="23">
        <v>89758.459367803764</v>
      </c>
      <c r="F22" s="23">
        <v>92573.77304031729</v>
      </c>
      <c r="G22" s="23">
        <v>94744.501005828308</v>
      </c>
      <c r="H22" s="23">
        <v>99448.84734881825</v>
      </c>
      <c r="I22" s="23">
        <v>100923.51027319297</v>
      </c>
      <c r="J22" s="23">
        <v>104459.17524434607</v>
      </c>
      <c r="K22" s="23">
        <v>108205.39340136127</v>
      </c>
      <c r="L22" s="23">
        <v>111670.81792432189</v>
      </c>
      <c r="M22" s="23">
        <v>109890.57050298694</v>
      </c>
      <c r="N22" s="23">
        <v>118336.99010536342</v>
      </c>
      <c r="O22" s="23">
        <v>123103.584605542</v>
      </c>
      <c r="P22" s="23">
        <v>122744.1040279022</v>
      </c>
      <c r="Q22" s="23">
        <v>123555.33579025119</v>
      </c>
      <c r="R22" s="23">
        <v>125869.44224110522</v>
      </c>
      <c r="S22" s="23">
        <v>127271.40149389584</v>
      </c>
      <c r="T22" s="23">
        <v>129632.09560892201</v>
      </c>
      <c r="U22" s="23">
        <v>132236.77254608259</v>
      </c>
      <c r="V22" s="23">
        <v>134734.33445637944</v>
      </c>
      <c r="W22" s="23">
        <v>135972.22937479467</v>
      </c>
      <c r="X22" s="23">
        <v>134071.16558559617</v>
      </c>
      <c r="Y22" s="23">
        <v>142618.67487391707</v>
      </c>
      <c r="Z22" s="23">
        <v>138191.07728877358</v>
      </c>
      <c r="AA22" s="23">
        <v>138186.52940482253</v>
      </c>
    </row>
    <row r="23" spans="1:27" ht="12.75" customHeight="1" x14ac:dyDescent="0.2">
      <c r="A23" s="155"/>
      <c r="B23" s="21" t="s">
        <v>36</v>
      </c>
      <c r="C23" s="22" t="s">
        <v>37</v>
      </c>
      <c r="D23" s="23">
        <v>637891.55311009742</v>
      </c>
      <c r="E23" s="23">
        <v>651953.49235566868</v>
      </c>
      <c r="F23" s="23">
        <v>660817.68059533252</v>
      </c>
      <c r="G23" s="23">
        <v>674537.444465801</v>
      </c>
      <c r="H23" s="23">
        <v>701648.66380429</v>
      </c>
      <c r="I23" s="23">
        <v>727493.70151435677</v>
      </c>
      <c r="J23" s="23">
        <v>781344.96393133979</v>
      </c>
      <c r="K23" s="23">
        <v>816482.42074076482</v>
      </c>
      <c r="L23" s="23">
        <v>828065.62758181931</v>
      </c>
      <c r="M23" s="23">
        <v>777646.16888690321</v>
      </c>
      <c r="N23" s="23">
        <v>730309.32048099453</v>
      </c>
      <c r="O23" s="23">
        <v>724436.50040608493</v>
      </c>
      <c r="P23" s="23">
        <v>694610.87127875106</v>
      </c>
      <c r="Q23" s="23">
        <v>674160.91547096777</v>
      </c>
      <c r="R23" s="23">
        <v>671562.88567406603</v>
      </c>
      <c r="S23" s="23">
        <v>678438.36765200004</v>
      </c>
      <c r="T23" s="23">
        <v>692403.63721617509</v>
      </c>
      <c r="U23" s="23">
        <v>717041.91050342412</v>
      </c>
      <c r="V23" s="23">
        <v>754175.86881807714</v>
      </c>
      <c r="W23" s="23">
        <v>786905.77571848559</v>
      </c>
      <c r="X23" s="23">
        <v>761742.75001264375</v>
      </c>
      <c r="Y23" s="23">
        <v>807164.51830512402</v>
      </c>
      <c r="Z23" s="23">
        <v>833161.56473712041</v>
      </c>
      <c r="AA23" s="23">
        <v>860580.69999999984</v>
      </c>
    </row>
    <row r="24" spans="1:27" ht="12.75" customHeight="1" x14ac:dyDescent="0.2">
      <c r="A24" s="155"/>
      <c r="B24" s="21" t="s">
        <v>63</v>
      </c>
      <c r="C24" s="22" t="s">
        <v>64</v>
      </c>
      <c r="D24" s="23">
        <v>1305971.0967348646</v>
      </c>
      <c r="E24" s="23">
        <v>1346599.0884157117</v>
      </c>
      <c r="F24" s="23">
        <v>1361224.4273902725</v>
      </c>
      <c r="G24" s="23">
        <v>1372101.6598608384</v>
      </c>
      <c r="H24" s="23">
        <v>1394740.2243046081</v>
      </c>
      <c r="I24" s="23">
        <v>1415357.994172839</v>
      </c>
      <c r="J24" s="23">
        <v>1451902.3173390962</v>
      </c>
      <c r="K24" s="23">
        <v>1492719.1543559185</v>
      </c>
      <c r="L24" s="23">
        <v>1520263.5705682086</v>
      </c>
      <c r="M24" s="23">
        <v>1455651.4454789802</v>
      </c>
      <c r="N24" s="23">
        <v>1446243.5126044753</v>
      </c>
      <c r="O24" s="23">
        <v>1487877.3331836611</v>
      </c>
      <c r="P24" s="23">
        <v>1474983.1350454506</v>
      </c>
      <c r="Q24" s="23">
        <v>1465105.4800808218</v>
      </c>
      <c r="R24" s="23">
        <v>1489211.299331815</v>
      </c>
      <c r="S24" s="23">
        <v>1529812.7881880002</v>
      </c>
      <c r="T24" s="23">
        <v>1569972.6403163988</v>
      </c>
      <c r="U24" s="23">
        <v>1628064.8953989672</v>
      </c>
      <c r="V24" s="23">
        <v>1656006.9966295233</v>
      </c>
      <c r="W24" s="23">
        <v>1689006.6569035449</v>
      </c>
      <c r="X24" s="23">
        <v>1629929.8378584872</v>
      </c>
      <c r="Y24" s="23">
        <v>1761851.6809930548</v>
      </c>
      <c r="Z24" s="23">
        <v>1826424.8331189104</v>
      </c>
      <c r="AA24" s="23">
        <v>1762814.6958208319</v>
      </c>
    </row>
    <row r="25" spans="1:27" ht="12.75" customHeight="1" x14ac:dyDescent="0.2">
      <c r="A25" s="155"/>
      <c r="B25" s="21" t="s">
        <v>65</v>
      </c>
      <c r="C25" s="22" t="s">
        <v>66</v>
      </c>
      <c r="D25" s="23">
        <v>541522.45650527661</v>
      </c>
      <c r="E25" s="23">
        <v>560204.24507667427</v>
      </c>
      <c r="F25" s="23">
        <v>566061.3024908551</v>
      </c>
      <c r="G25" s="23">
        <v>575611.47875388747</v>
      </c>
      <c r="H25" s="23">
        <v>593615.15058829973</v>
      </c>
      <c r="I25" s="23">
        <v>608535.64009321167</v>
      </c>
      <c r="J25" s="23">
        <v>626185.27124912094</v>
      </c>
      <c r="K25" s="23">
        <v>657672.60404043342</v>
      </c>
      <c r="L25" s="23">
        <v>659322.97578276997</v>
      </c>
      <c r="M25" s="23">
        <v>625304.73312987352</v>
      </c>
      <c r="N25" s="23">
        <v>641991.05350211274</v>
      </c>
      <c r="O25" s="23">
        <v>638906.04941763822</v>
      </c>
      <c r="P25" s="23">
        <v>642048.97404702648</v>
      </c>
      <c r="Q25" s="23">
        <v>652111.94639511185</v>
      </c>
      <c r="R25" s="23">
        <v>666736.70121286577</v>
      </c>
      <c r="S25" s="23">
        <v>684969.21001700021</v>
      </c>
      <c r="T25" s="23">
        <v>683414.70505232993</v>
      </c>
      <c r="U25" s="23">
        <v>707711.53766280354</v>
      </c>
      <c r="V25" s="23">
        <v>715012.84700169624</v>
      </c>
      <c r="W25" s="23">
        <v>730582.14936501463</v>
      </c>
      <c r="X25" s="23">
        <v>631115.93814851902</v>
      </c>
      <c r="Y25" s="23">
        <v>716244.12161826843</v>
      </c>
      <c r="Z25" s="23">
        <v>807901.13136383076</v>
      </c>
      <c r="AA25" s="23">
        <v>743852.85141167731</v>
      </c>
    </row>
    <row r="26" spans="1:27" ht="12.75" customHeight="1" x14ac:dyDescent="0.2">
      <c r="A26" s="155"/>
      <c r="B26" s="21" t="s">
        <v>67</v>
      </c>
      <c r="C26" s="22" t="s">
        <v>68</v>
      </c>
      <c r="D26" s="23">
        <v>303269.52433974674</v>
      </c>
      <c r="E26" s="23">
        <v>308512.53866804473</v>
      </c>
      <c r="F26" s="23">
        <v>308758.26478031266</v>
      </c>
      <c r="G26" s="23">
        <v>308832.0036804236</v>
      </c>
      <c r="H26" s="23">
        <v>314308.88156134787</v>
      </c>
      <c r="I26" s="23">
        <v>322284.19497176289</v>
      </c>
      <c r="J26" s="23">
        <v>329425.90461122699</v>
      </c>
      <c r="K26" s="23">
        <v>336728.34368296328</v>
      </c>
      <c r="L26" s="23">
        <v>336616.88265526632</v>
      </c>
      <c r="M26" s="23">
        <v>325634.67345448583</v>
      </c>
      <c r="N26" s="23">
        <v>328766.92687208625</v>
      </c>
      <c r="O26" s="23">
        <v>336484.08318657888</v>
      </c>
      <c r="P26" s="23">
        <v>338499.13128453249</v>
      </c>
      <c r="Q26" s="23">
        <v>335293.9590280542</v>
      </c>
      <c r="R26" s="23">
        <v>343201.15042244917</v>
      </c>
      <c r="S26" s="23">
        <v>355713.51132700004</v>
      </c>
      <c r="T26" s="23">
        <v>372684.66668379295</v>
      </c>
      <c r="U26" s="23">
        <v>392845.15042349731</v>
      </c>
      <c r="V26" s="23">
        <v>407257.75960405555</v>
      </c>
      <c r="W26" s="23">
        <v>421783.65802024398</v>
      </c>
      <c r="X26" s="23">
        <v>230214.97886151433</v>
      </c>
      <c r="Y26" s="23">
        <v>276036.89374507527</v>
      </c>
      <c r="Z26" s="23">
        <v>378400.24134548724</v>
      </c>
      <c r="AA26" s="23">
        <v>426840.55276749062</v>
      </c>
    </row>
    <row r="27" spans="1:27" ht="12.75" customHeight="1" x14ac:dyDescent="0.2">
      <c r="A27" s="155"/>
      <c r="B27" s="21" t="s">
        <v>40</v>
      </c>
      <c r="C27" s="22" t="s">
        <v>41</v>
      </c>
      <c r="D27" s="23">
        <v>506919.49110873253</v>
      </c>
      <c r="E27" s="23">
        <v>542922.8098188577</v>
      </c>
      <c r="F27" s="23">
        <v>564748.37061108137</v>
      </c>
      <c r="G27" s="23">
        <v>553189.60719145369</v>
      </c>
      <c r="H27" s="23">
        <v>574834.32094309083</v>
      </c>
      <c r="I27" s="23">
        <v>575754.38751560706</v>
      </c>
      <c r="J27" s="23">
        <v>593767.24321480817</v>
      </c>
      <c r="K27" s="23">
        <v>613112.83915411984</v>
      </c>
      <c r="L27" s="23">
        <v>614901.69279802835</v>
      </c>
      <c r="M27" s="23">
        <v>596514.17459885776</v>
      </c>
      <c r="N27" s="23">
        <v>591188.06638643576</v>
      </c>
      <c r="O27" s="23">
        <v>602984.14034036791</v>
      </c>
      <c r="P27" s="23">
        <v>601472.33392270317</v>
      </c>
      <c r="Q27" s="23">
        <v>603344.48203233292</v>
      </c>
      <c r="R27" s="23">
        <v>609572.70571256569</v>
      </c>
      <c r="S27" s="23">
        <v>625528.52770400012</v>
      </c>
      <c r="T27" s="23">
        <v>641905.27790828352</v>
      </c>
      <c r="U27" s="23">
        <v>670775.78376341588</v>
      </c>
      <c r="V27" s="23">
        <v>706636.08830338996</v>
      </c>
      <c r="W27" s="23">
        <v>744713.35200185585</v>
      </c>
      <c r="X27" s="23">
        <v>750293.42306292895</v>
      </c>
      <c r="Y27" s="23">
        <v>816726.70561901736</v>
      </c>
      <c r="Z27" s="23">
        <v>818044.40877856372</v>
      </c>
      <c r="AA27" s="23">
        <v>839405.2</v>
      </c>
    </row>
    <row r="28" spans="1:27" ht="12.75" customHeight="1" x14ac:dyDescent="0.2">
      <c r="A28" s="155"/>
      <c r="B28" s="21" t="s">
        <v>42</v>
      </c>
      <c r="C28" s="22" t="s">
        <v>43</v>
      </c>
      <c r="D28" s="23">
        <v>526741.98104225891</v>
      </c>
      <c r="E28" s="23">
        <v>530348.62028900243</v>
      </c>
      <c r="F28" s="23">
        <v>536492.14712848538</v>
      </c>
      <c r="G28" s="23">
        <v>561710.50967355003</v>
      </c>
      <c r="H28" s="23">
        <v>598317.02294704877</v>
      </c>
      <c r="I28" s="23">
        <v>612837.39902551111</v>
      </c>
      <c r="J28" s="23">
        <v>629898.85477495461</v>
      </c>
      <c r="K28" s="23">
        <v>650437.48441323987</v>
      </c>
      <c r="L28" s="23">
        <v>632756.06680037943</v>
      </c>
      <c r="M28" s="23">
        <v>649161.96667019511</v>
      </c>
      <c r="N28" s="23">
        <v>673499.1679316368</v>
      </c>
      <c r="O28" s="23">
        <v>671963.45156081312</v>
      </c>
      <c r="P28" s="23">
        <v>670117.37401826738</v>
      </c>
      <c r="Q28" s="23">
        <v>659862.62418700662</v>
      </c>
      <c r="R28" s="23">
        <v>681912.63285934518</v>
      </c>
      <c r="S28" s="23">
        <v>683509.85710200004</v>
      </c>
      <c r="T28" s="23">
        <v>670377.66733155225</v>
      </c>
      <c r="U28" s="23">
        <v>655769.49251652311</v>
      </c>
      <c r="V28" s="23">
        <v>663232.30687766429</v>
      </c>
      <c r="W28" s="23">
        <v>660740.5761383801</v>
      </c>
      <c r="X28" s="23">
        <v>658522.46197816264</v>
      </c>
      <c r="Y28" s="23">
        <v>680882.32706331171</v>
      </c>
      <c r="Z28" s="23">
        <v>683834.83001167793</v>
      </c>
      <c r="AA28" s="23">
        <v>710254.99999999977</v>
      </c>
    </row>
    <row r="29" spans="1:27" ht="12.75" customHeight="1" x14ac:dyDescent="0.2">
      <c r="A29" s="155"/>
      <c r="B29" s="21" t="s">
        <v>44</v>
      </c>
      <c r="C29" s="22" t="s">
        <v>45</v>
      </c>
      <c r="D29" s="23">
        <v>1088571.6463273689</v>
      </c>
      <c r="E29" s="23">
        <v>1113368.7137924156</v>
      </c>
      <c r="F29" s="23">
        <v>1149412.4077590001</v>
      </c>
      <c r="G29" s="23">
        <v>1173057.3632735275</v>
      </c>
      <c r="H29" s="23">
        <v>1213224.6855101909</v>
      </c>
      <c r="I29" s="23">
        <v>1265131.0745764528</v>
      </c>
      <c r="J29" s="23">
        <v>1341880.0308772374</v>
      </c>
      <c r="K29" s="23">
        <v>1409303.2362889322</v>
      </c>
      <c r="L29" s="23">
        <v>1436317.1174186729</v>
      </c>
      <c r="M29" s="23">
        <v>1389789.5731075695</v>
      </c>
      <c r="N29" s="23">
        <v>1420354.5033421244</v>
      </c>
      <c r="O29" s="23">
        <v>1467794.1983871316</v>
      </c>
      <c r="P29" s="23">
        <v>1462233.4075743582</v>
      </c>
      <c r="Q29" s="23">
        <v>1486229.089505116</v>
      </c>
      <c r="R29" s="23">
        <v>1500222.619739363</v>
      </c>
      <c r="S29" s="23">
        <v>1516978.982719</v>
      </c>
      <c r="T29" s="23">
        <v>1543351.7347225819</v>
      </c>
      <c r="U29" s="23">
        <v>1574345.2194088916</v>
      </c>
      <c r="V29" s="23">
        <v>1598973.0787916479</v>
      </c>
      <c r="W29" s="23">
        <v>1630457.6784768726</v>
      </c>
      <c r="X29" s="23">
        <v>1605670.768084524</v>
      </c>
      <c r="Y29" s="23">
        <v>1625176.5355864142</v>
      </c>
      <c r="Z29" s="23">
        <v>1621259.9141579298</v>
      </c>
      <c r="AA29" s="23">
        <v>1672383.0000000005</v>
      </c>
    </row>
    <row r="30" spans="1:27" ht="12.75" customHeight="1" x14ac:dyDescent="0.2">
      <c r="A30" s="155"/>
      <c r="B30" s="21" t="s">
        <v>69</v>
      </c>
      <c r="C30" s="22" t="s">
        <v>70</v>
      </c>
      <c r="D30" s="23">
        <v>675046.42827007116</v>
      </c>
      <c r="E30" s="23">
        <v>695569.54992574337</v>
      </c>
      <c r="F30" s="23">
        <v>704658.66567130375</v>
      </c>
      <c r="G30" s="23">
        <v>714146.11363881349</v>
      </c>
      <c r="H30" s="23">
        <v>723626.75975895301</v>
      </c>
      <c r="I30" s="23">
        <v>748136.13849204883</v>
      </c>
      <c r="J30" s="23">
        <v>782757.89893689333</v>
      </c>
      <c r="K30" s="23">
        <v>818702.90225215757</v>
      </c>
      <c r="L30" s="23">
        <v>846519.66689827852</v>
      </c>
      <c r="M30" s="23">
        <v>796442.16353342391</v>
      </c>
      <c r="N30" s="23">
        <v>808744.81864734553</v>
      </c>
      <c r="O30" s="23">
        <v>830828.77765608672</v>
      </c>
      <c r="P30" s="23">
        <v>831587.31708026351</v>
      </c>
      <c r="Q30" s="23">
        <v>849885.06025569933</v>
      </c>
      <c r="R30" s="23">
        <v>863781.9556792028</v>
      </c>
      <c r="S30" s="23">
        <v>895190.86192699999</v>
      </c>
      <c r="T30" s="23">
        <v>923375.63618835411</v>
      </c>
      <c r="U30" s="23">
        <v>970568.29004898225</v>
      </c>
      <c r="V30" s="23">
        <v>1004162.6222240275</v>
      </c>
      <c r="W30" s="23">
        <v>1014717.1898261675</v>
      </c>
      <c r="X30" s="23">
        <v>992470.82223026094</v>
      </c>
      <c r="Y30" s="23">
        <v>1067107.1401034885</v>
      </c>
      <c r="Z30" s="23">
        <v>1084359.4786927756</v>
      </c>
      <c r="AA30" s="23">
        <v>1103760.9562699578</v>
      </c>
    </row>
    <row r="31" spans="1:27" ht="12.75" customHeight="1" x14ac:dyDescent="0.2">
      <c r="A31" s="155"/>
      <c r="B31" s="21" t="s">
        <v>71</v>
      </c>
      <c r="C31" s="22" t="s">
        <v>72</v>
      </c>
      <c r="D31" s="23">
        <v>399655.00825963367</v>
      </c>
      <c r="E31" s="23">
        <v>413408.53476599569</v>
      </c>
      <c r="F31" s="23">
        <v>417323.96978471632</v>
      </c>
      <c r="G31" s="23">
        <v>422554.02146705735</v>
      </c>
      <c r="H31" s="23">
        <v>432235.37365239341</v>
      </c>
      <c r="I31" s="23">
        <v>452416.96598803869</v>
      </c>
      <c r="J31" s="23">
        <v>475907.20053717482</v>
      </c>
      <c r="K31" s="23">
        <v>512407.53494847094</v>
      </c>
      <c r="L31" s="23">
        <v>525343.49757835444</v>
      </c>
      <c r="M31" s="23">
        <v>492887.6323617195</v>
      </c>
      <c r="N31" s="23">
        <v>513924.66243897437</v>
      </c>
      <c r="O31" s="23">
        <v>527857.57451442594</v>
      </c>
      <c r="P31" s="23">
        <v>527586.12878726341</v>
      </c>
      <c r="Q31" s="23">
        <v>542627.19801227201</v>
      </c>
      <c r="R31" s="23">
        <v>571414.95574050513</v>
      </c>
      <c r="S31" s="23">
        <v>593462.42915099999</v>
      </c>
      <c r="T31" s="23">
        <v>620001.10863874201</v>
      </c>
      <c r="U31" s="23">
        <v>649146.60925429664</v>
      </c>
      <c r="V31" s="23">
        <v>680216.40682998905</v>
      </c>
      <c r="W31" s="23">
        <v>695703.34002492123</v>
      </c>
      <c r="X31" s="23">
        <v>616016.53849279473</v>
      </c>
      <c r="Y31" s="23">
        <v>668894.99268587725</v>
      </c>
      <c r="Z31" s="23">
        <v>709455.74380227085</v>
      </c>
      <c r="AA31" s="23">
        <v>729251.04373004218</v>
      </c>
    </row>
    <row r="32" spans="1:27" ht="12.75" customHeight="1" x14ac:dyDescent="0.2">
      <c r="A32" s="155"/>
      <c r="B32" s="21" t="s">
        <v>73</v>
      </c>
      <c r="C32" s="22" t="s">
        <v>74</v>
      </c>
      <c r="D32" s="23">
        <v>755750.38358275685</v>
      </c>
      <c r="E32" s="23">
        <v>762472.29861692037</v>
      </c>
      <c r="F32" s="23">
        <v>775254.80966475909</v>
      </c>
      <c r="G32" s="23">
        <v>793520.45724969811</v>
      </c>
      <c r="H32" s="23">
        <v>806570.08006403921</v>
      </c>
      <c r="I32" s="23">
        <v>818885.71246699989</v>
      </c>
      <c r="J32" s="23">
        <v>835207.73365666694</v>
      </c>
      <c r="K32" s="23">
        <v>840127.22116969537</v>
      </c>
      <c r="L32" s="23">
        <v>858932.98141563602</v>
      </c>
      <c r="M32" s="23">
        <v>877502.49015113467</v>
      </c>
      <c r="N32" s="23">
        <v>889215.79964343878</v>
      </c>
      <c r="O32" s="23">
        <v>893303.75348679849</v>
      </c>
      <c r="P32" s="23">
        <v>888716.90411096148</v>
      </c>
      <c r="Q32" s="23">
        <v>893427.2679343319</v>
      </c>
      <c r="R32" s="23">
        <v>891721.1337246584</v>
      </c>
      <c r="S32" s="23">
        <v>886341.29425300006</v>
      </c>
      <c r="T32" s="23">
        <v>897869.45971557836</v>
      </c>
      <c r="U32" s="23">
        <v>912624.87696182611</v>
      </c>
      <c r="V32" s="23">
        <v>928723.45772468077</v>
      </c>
      <c r="W32" s="23">
        <v>945304.41848346905</v>
      </c>
      <c r="X32" s="23">
        <v>946657.86331074976</v>
      </c>
      <c r="Y32" s="23">
        <v>961688.44628017349</v>
      </c>
      <c r="Z32" s="23">
        <v>960177.91871428897</v>
      </c>
      <c r="AA32" s="23">
        <v>956441.45265319129</v>
      </c>
    </row>
    <row r="33" spans="1:27" ht="12.75" customHeight="1" x14ac:dyDescent="0.2">
      <c r="A33" s="155"/>
      <c r="B33" s="21" t="s">
        <v>75</v>
      </c>
      <c r="C33" s="22" t="s">
        <v>76</v>
      </c>
      <c r="D33" s="23">
        <v>544934.84455792175</v>
      </c>
      <c r="E33" s="23">
        <v>560903.10203038354</v>
      </c>
      <c r="F33" s="23">
        <v>578613.30042406044</v>
      </c>
      <c r="G33" s="23">
        <v>587988.13806732057</v>
      </c>
      <c r="H33" s="23">
        <v>593113.09240744531</v>
      </c>
      <c r="I33" s="23">
        <v>605692.37259623921</v>
      </c>
      <c r="J33" s="23">
        <v>614032.94627596706</v>
      </c>
      <c r="K33" s="23">
        <v>626236.12782777601</v>
      </c>
      <c r="L33" s="23">
        <v>639854.18311586359</v>
      </c>
      <c r="M33" s="23">
        <v>652747.83082936727</v>
      </c>
      <c r="N33" s="23">
        <v>660665.15657270618</v>
      </c>
      <c r="O33" s="23">
        <v>661789.50523251714</v>
      </c>
      <c r="P33" s="23">
        <v>660073.71446849918</v>
      </c>
      <c r="Q33" s="23">
        <v>663858.69500057353</v>
      </c>
      <c r="R33" s="23">
        <v>671869.45008011605</v>
      </c>
      <c r="S33" s="23">
        <v>676090.52306799986</v>
      </c>
      <c r="T33" s="23">
        <v>689352.21884152479</v>
      </c>
      <c r="U33" s="23">
        <v>704903.22036815831</v>
      </c>
      <c r="V33" s="23">
        <v>717765.68247791624</v>
      </c>
      <c r="W33" s="23">
        <v>733108.10408804961</v>
      </c>
      <c r="X33" s="23">
        <v>725719.41353266803</v>
      </c>
      <c r="Y33" s="23">
        <v>744075.88210093253</v>
      </c>
      <c r="Z33" s="23">
        <v>743076.30118765135</v>
      </c>
      <c r="AA33" s="23">
        <v>739975.62624076707</v>
      </c>
    </row>
    <row r="34" spans="1:27" ht="12.75" customHeight="1" x14ac:dyDescent="0.2">
      <c r="A34" s="155"/>
      <c r="B34" s="21" t="s">
        <v>77</v>
      </c>
      <c r="C34" s="22" t="s">
        <v>78</v>
      </c>
      <c r="D34" s="23">
        <v>675110.15734754375</v>
      </c>
      <c r="E34" s="23">
        <v>698363.55093792512</v>
      </c>
      <c r="F34" s="23">
        <v>733522.42855615518</v>
      </c>
      <c r="G34" s="23">
        <v>751004.41011472337</v>
      </c>
      <c r="H34" s="23">
        <v>779354.84176610189</v>
      </c>
      <c r="I34" s="23">
        <v>802982.65765579417</v>
      </c>
      <c r="J34" s="23">
        <v>827898.08332736243</v>
      </c>
      <c r="K34" s="23">
        <v>844063.37198137445</v>
      </c>
      <c r="L34" s="23">
        <v>876875.46914586367</v>
      </c>
      <c r="M34" s="23">
        <v>905861.8042848811</v>
      </c>
      <c r="N34" s="23">
        <v>932213.70880313974</v>
      </c>
      <c r="O34" s="23">
        <v>948298.07813578006</v>
      </c>
      <c r="P34" s="23">
        <v>955747.21363726479</v>
      </c>
      <c r="Q34" s="23">
        <v>970941.09906829894</v>
      </c>
      <c r="R34" s="23">
        <v>997181.8683835729</v>
      </c>
      <c r="S34" s="23">
        <v>1005946.0721590002</v>
      </c>
      <c r="T34" s="23">
        <v>1032057.0930340355</v>
      </c>
      <c r="U34" s="23">
        <v>1060198.8828423449</v>
      </c>
      <c r="V34" s="23">
        <v>1082350.3215565833</v>
      </c>
      <c r="W34" s="23">
        <v>1107854.392220075</v>
      </c>
      <c r="X34" s="23">
        <v>1101145.9828572362</v>
      </c>
      <c r="Y34" s="23">
        <v>1165527.5833780656</v>
      </c>
      <c r="Z34" s="23">
        <v>1148228.3756468745</v>
      </c>
      <c r="AA34" s="23">
        <v>1149962.2211060417</v>
      </c>
    </row>
    <row r="35" spans="1:27" ht="12.75" customHeight="1" x14ac:dyDescent="0.2">
      <c r="A35" s="155"/>
      <c r="B35" s="21" t="s">
        <v>79</v>
      </c>
      <c r="C35" s="22" t="s">
        <v>80</v>
      </c>
      <c r="D35" s="23">
        <v>125770.14587964359</v>
      </c>
      <c r="E35" s="23">
        <v>128760.88149735628</v>
      </c>
      <c r="F35" s="23">
        <v>134165.02509770406</v>
      </c>
      <c r="G35" s="23">
        <v>135623.28361633737</v>
      </c>
      <c r="H35" s="23">
        <v>139034.23468172236</v>
      </c>
      <c r="I35" s="23">
        <v>144728.2836845486</v>
      </c>
      <c r="J35" s="23">
        <v>149017.48098031429</v>
      </c>
      <c r="K35" s="23">
        <v>155174.19998149024</v>
      </c>
      <c r="L35" s="23">
        <v>158893.61838245587</v>
      </c>
      <c r="M35" s="23">
        <v>159730.24512826744</v>
      </c>
      <c r="N35" s="23">
        <v>162660.50965293412</v>
      </c>
      <c r="O35" s="23">
        <v>167060.12175274102</v>
      </c>
      <c r="P35" s="23">
        <v>164444.94746254859</v>
      </c>
      <c r="Q35" s="23">
        <v>165253.45059046382</v>
      </c>
      <c r="R35" s="23">
        <v>168522.40863026894</v>
      </c>
      <c r="S35" s="23">
        <v>174870.58105199999</v>
      </c>
      <c r="T35" s="23">
        <v>178190.10763589965</v>
      </c>
      <c r="U35" s="23">
        <v>185765.65004262968</v>
      </c>
      <c r="V35" s="23">
        <v>190728.93676238859</v>
      </c>
      <c r="W35" s="23">
        <v>195121.00942499077</v>
      </c>
      <c r="X35" s="23">
        <v>151401.86483100321</v>
      </c>
      <c r="Y35" s="23">
        <v>154714.84660193711</v>
      </c>
      <c r="Z35" s="23">
        <v>185331.37233328071</v>
      </c>
      <c r="AA35" s="23">
        <v>191809.68699266357</v>
      </c>
    </row>
    <row r="36" spans="1:27" ht="12.75" customHeight="1" x14ac:dyDescent="0.2">
      <c r="A36" s="155"/>
      <c r="B36" s="21" t="s">
        <v>81</v>
      </c>
      <c r="C36" s="22" t="s">
        <v>82</v>
      </c>
      <c r="D36" s="23">
        <v>200538.8002497924</v>
      </c>
      <c r="E36" s="23">
        <v>202841.52246040883</v>
      </c>
      <c r="F36" s="23">
        <v>202596.8886807237</v>
      </c>
      <c r="G36" s="23">
        <v>201968.10922812324</v>
      </c>
      <c r="H36" s="23">
        <v>207102.44747142203</v>
      </c>
      <c r="I36" s="23">
        <v>210888.03739958885</v>
      </c>
      <c r="J36" s="23">
        <v>218499.84420235755</v>
      </c>
      <c r="K36" s="23">
        <v>220828.3318264251</v>
      </c>
      <c r="L36" s="23">
        <v>226434.29818948294</v>
      </c>
      <c r="M36" s="23">
        <v>223300.78873005055</v>
      </c>
      <c r="N36" s="23">
        <v>224440.08734951456</v>
      </c>
      <c r="O36" s="23">
        <v>229200.92089169406</v>
      </c>
      <c r="P36" s="23">
        <v>229731.12309234103</v>
      </c>
      <c r="Q36" s="23">
        <v>226806.96650817932</v>
      </c>
      <c r="R36" s="23">
        <v>229700.37786027705</v>
      </c>
      <c r="S36" s="23">
        <v>231673.82536200003</v>
      </c>
      <c r="T36" s="23">
        <v>231880.83638377223</v>
      </c>
      <c r="U36" s="23">
        <v>236292.39526469572</v>
      </c>
      <c r="V36" s="23">
        <v>236612.2661516837</v>
      </c>
      <c r="W36" s="23">
        <v>239373.52898733784</v>
      </c>
      <c r="X36" s="23">
        <v>210342.18454732909</v>
      </c>
      <c r="Y36" s="23">
        <v>216662.92828650656</v>
      </c>
      <c r="Z36" s="23">
        <v>229342.55836938752</v>
      </c>
      <c r="AA36" s="23">
        <v>230780.72214947117</v>
      </c>
    </row>
    <row r="37" spans="1:27" ht="12.75" customHeight="1" x14ac:dyDescent="0.2">
      <c r="A37" s="155"/>
      <c r="B37" s="21" t="s">
        <v>83</v>
      </c>
      <c r="C37" s="22" t="s">
        <v>84</v>
      </c>
      <c r="D37" s="23">
        <v>41707.320402922451</v>
      </c>
      <c r="E37" s="23">
        <v>42451.399690533632</v>
      </c>
      <c r="F37" s="23">
        <v>44160.540427025</v>
      </c>
      <c r="G37" s="23">
        <v>45598.650767366453</v>
      </c>
      <c r="H37" s="23">
        <v>47347.65295427596</v>
      </c>
      <c r="I37" s="23">
        <v>48641.465526436514</v>
      </c>
      <c r="J37" s="23">
        <v>49906.658754819488</v>
      </c>
      <c r="K37" s="23">
        <v>49932.767152390792</v>
      </c>
      <c r="L37" s="23">
        <v>51061.704412173749</v>
      </c>
      <c r="M37" s="23">
        <v>51950.210031496914</v>
      </c>
      <c r="N37" s="23">
        <v>52730.363837695651</v>
      </c>
      <c r="O37" s="23">
        <v>52133.646794136694</v>
      </c>
      <c r="P37" s="23">
        <v>51293.9482076922</v>
      </c>
      <c r="Q37" s="23">
        <v>50730.701456851879</v>
      </c>
      <c r="R37" s="23">
        <v>50669.20556320544</v>
      </c>
      <c r="S37" s="23">
        <v>50066.888224000002</v>
      </c>
      <c r="T37" s="23">
        <v>49628.680679180288</v>
      </c>
      <c r="U37" s="23">
        <v>49355.841168171813</v>
      </c>
      <c r="V37" s="23">
        <v>49608.234282927551</v>
      </c>
      <c r="W37" s="23">
        <v>49206.618490332919</v>
      </c>
      <c r="X37" s="23">
        <v>46681.437626961459</v>
      </c>
      <c r="Y37" s="23">
        <v>48028.228338300869</v>
      </c>
      <c r="Z37" s="23">
        <v>46951.834548097031</v>
      </c>
      <c r="AA37" s="23">
        <v>45924.890857865263</v>
      </c>
    </row>
    <row r="38" spans="1:27" ht="12.75" customHeight="1" x14ac:dyDescent="0.2">
      <c r="A38" s="155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6"/>
      <c r="B39" s="28" t="s">
        <v>52</v>
      </c>
      <c r="C39" s="29" t="s">
        <v>53</v>
      </c>
      <c r="D39" s="30">
        <f>SUM(D18:D38)</f>
        <v>11121597.516855428</v>
      </c>
      <c r="E39" s="30">
        <f t="shared" ref="E39:Y39" si="3">SUM(E18:E38)</f>
        <v>11373968.959324718</v>
      </c>
      <c r="F39" s="30">
        <f t="shared" si="3"/>
        <v>11507872.321735568</v>
      </c>
      <c r="G39" s="30">
        <f t="shared" si="3"/>
        <v>11606592.916551745</v>
      </c>
      <c r="H39" s="30">
        <f t="shared" si="3"/>
        <v>11924844.717846913</v>
      </c>
      <c r="I39" s="30">
        <f t="shared" si="3"/>
        <v>12157423.080575233</v>
      </c>
      <c r="J39" s="30">
        <f t="shared" si="3"/>
        <v>12604481.261252409</v>
      </c>
      <c r="K39" s="30">
        <f t="shared" si="3"/>
        <v>13039282.72607624</v>
      </c>
      <c r="L39" s="30">
        <f t="shared" si="3"/>
        <v>13161793.161896298</v>
      </c>
      <c r="M39" s="30">
        <f t="shared" si="3"/>
        <v>12580803.817130545</v>
      </c>
      <c r="N39" s="30">
        <f t="shared" si="3"/>
        <v>12867793.629699858</v>
      </c>
      <c r="O39" s="30">
        <f t="shared" si="3"/>
        <v>13145869.324073808</v>
      </c>
      <c r="P39" s="30">
        <f t="shared" si="3"/>
        <v>13063429.080372809</v>
      </c>
      <c r="Q39" s="30">
        <f t="shared" si="3"/>
        <v>13075817.56151001</v>
      </c>
      <c r="R39" s="30">
        <f t="shared" si="3"/>
        <v>13294540.339151319</v>
      </c>
      <c r="S39" s="30">
        <f t="shared" si="3"/>
        <v>13586162.630199004</v>
      </c>
      <c r="T39" s="30">
        <f t="shared" si="3"/>
        <v>13841011.628719142</v>
      </c>
      <c r="U39" s="30">
        <f t="shared" si="3"/>
        <v>14241112.766533686</v>
      </c>
      <c r="V39" s="30">
        <f t="shared" si="3"/>
        <v>14549248.493522156</v>
      </c>
      <c r="W39" s="30">
        <f t="shared" si="3"/>
        <v>14824245.479224434</v>
      </c>
      <c r="X39" s="30">
        <f t="shared" si="3"/>
        <v>14018481.791443961</v>
      </c>
      <c r="Y39" s="30">
        <f t="shared" si="3"/>
        <v>14896095.690585317</v>
      </c>
      <c r="Z39" s="30">
        <f t="shared" ref="Z39" si="4">SUM(Z18:Z38)</f>
        <v>15479212.479447233</v>
      </c>
      <c r="AA39" s="30">
        <f t="shared" ref="AA39" si="5">SUM(AA18:AA38)</f>
        <v>15592421.600000001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4" t="s">
        <v>87</v>
      </c>
      <c r="B41" s="17" t="s">
        <v>88</v>
      </c>
      <c r="C41" s="18" t="s">
        <v>89</v>
      </c>
      <c r="D41" s="19">
        <v>252573.08811465374</v>
      </c>
      <c r="E41" s="19">
        <v>256691.44603361993</v>
      </c>
      <c r="F41" s="19">
        <v>260447.34727732788</v>
      </c>
      <c r="G41" s="19">
        <v>261939.62085485956</v>
      </c>
      <c r="H41" s="19">
        <v>264583.60481457529</v>
      </c>
      <c r="I41" s="19">
        <v>262784.07781389554</v>
      </c>
      <c r="J41" s="19">
        <v>259795.71796656796</v>
      </c>
      <c r="K41" s="19">
        <v>263350.10820128006</v>
      </c>
      <c r="L41" s="19">
        <v>261833.24037190693</v>
      </c>
      <c r="M41" s="19">
        <v>260254.26618677648</v>
      </c>
      <c r="N41" s="19">
        <v>261229.70744758929</v>
      </c>
      <c r="O41" s="19">
        <v>263105.72967035766</v>
      </c>
      <c r="P41" s="19">
        <v>263330.28981458093</v>
      </c>
      <c r="Q41" s="19">
        <v>263478.90961951518</v>
      </c>
      <c r="R41" s="19">
        <v>270979.72539515019</v>
      </c>
      <c r="S41" s="19">
        <v>277789.926698</v>
      </c>
      <c r="T41" s="19">
        <v>282008.4528919406</v>
      </c>
      <c r="U41" s="19">
        <v>282286.16446614702</v>
      </c>
      <c r="V41" s="19">
        <v>285170.2362922983</v>
      </c>
      <c r="W41" s="19">
        <v>287698.89322323562</v>
      </c>
      <c r="X41" s="19">
        <v>281782.39149957261</v>
      </c>
      <c r="Y41" s="19">
        <v>279972.06570353633</v>
      </c>
      <c r="Z41" s="19">
        <v>276956.39191302814</v>
      </c>
      <c r="AA41" s="19">
        <v>292676.83146220533</v>
      </c>
    </row>
    <row r="42" spans="1:27" ht="12.75" customHeight="1" x14ac:dyDescent="0.2">
      <c r="A42" s="155"/>
      <c r="B42" s="21" t="s">
        <v>90</v>
      </c>
      <c r="C42" s="22" t="s">
        <v>91</v>
      </c>
      <c r="D42" s="23">
        <v>118599.01254053356</v>
      </c>
      <c r="E42" s="23">
        <v>118720.97614352252</v>
      </c>
      <c r="F42" s="23">
        <v>113492.09866334377</v>
      </c>
      <c r="G42" s="23">
        <v>107619.44670623654</v>
      </c>
      <c r="H42" s="23">
        <v>102696.93310943236</v>
      </c>
      <c r="I42" s="23">
        <v>96687.057538978886</v>
      </c>
      <c r="J42" s="23">
        <v>95092.718660152066</v>
      </c>
      <c r="K42" s="23">
        <v>95550.052975222672</v>
      </c>
      <c r="L42" s="23">
        <v>90227.309643644287</v>
      </c>
      <c r="M42" s="23">
        <v>76688.972468120803</v>
      </c>
      <c r="N42" s="23">
        <v>80762.699288613832</v>
      </c>
      <c r="O42" s="23">
        <v>86152.990165667929</v>
      </c>
      <c r="P42" s="23">
        <v>80534.620438760423</v>
      </c>
      <c r="Q42" s="23">
        <v>79547.893848582185</v>
      </c>
      <c r="R42" s="23">
        <v>81129.268478793834</v>
      </c>
      <c r="S42" s="23">
        <v>81408.436774999995</v>
      </c>
      <c r="T42" s="23">
        <v>82248.510620827714</v>
      </c>
      <c r="U42" s="23">
        <v>83097.170232459423</v>
      </c>
      <c r="V42" s="23">
        <v>82836.762020372917</v>
      </c>
      <c r="W42" s="23">
        <v>81674.172006832712</v>
      </c>
      <c r="X42" s="23">
        <v>69462.431636266236</v>
      </c>
      <c r="Y42" s="23">
        <v>76294.188234142581</v>
      </c>
      <c r="Z42" s="23">
        <v>76544.856055517899</v>
      </c>
      <c r="AA42" s="23">
        <v>73909.383570596678</v>
      </c>
    </row>
    <row r="43" spans="1:27" ht="12.75" customHeight="1" x14ac:dyDescent="0.2">
      <c r="A43" s="155"/>
      <c r="B43" s="21" t="s">
        <v>92</v>
      </c>
      <c r="C43" s="22" t="s">
        <v>93</v>
      </c>
      <c r="D43" s="23">
        <v>178499.87736972686</v>
      </c>
      <c r="E43" s="23">
        <v>178253.53541981897</v>
      </c>
      <c r="F43" s="23">
        <v>171837.97877446696</v>
      </c>
      <c r="G43" s="23">
        <v>163287.412284928</v>
      </c>
      <c r="H43" s="23">
        <v>163746.81010569265</v>
      </c>
      <c r="I43" s="23">
        <v>160081.41142415727</v>
      </c>
      <c r="J43" s="23">
        <v>161910.7946645951</v>
      </c>
      <c r="K43" s="23">
        <v>164134.52824644934</v>
      </c>
      <c r="L43" s="23">
        <v>150847.36681681298</v>
      </c>
      <c r="M43" s="23">
        <v>133927.6778070505</v>
      </c>
      <c r="N43" s="23">
        <v>137537.38019358931</v>
      </c>
      <c r="O43" s="23">
        <v>136940.640406947</v>
      </c>
      <c r="P43" s="23">
        <v>130455.48787275467</v>
      </c>
      <c r="Q43" s="23">
        <v>125248.04769513749</v>
      </c>
      <c r="R43" s="23">
        <v>127342.13651624946</v>
      </c>
      <c r="S43" s="23">
        <v>129822.61605699999</v>
      </c>
      <c r="T43" s="23">
        <v>130854.2759388186</v>
      </c>
      <c r="U43" s="23">
        <v>131499.0595987126</v>
      </c>
      <c r="V43" s="23">
        <v>133722.52981634121</v>
      </c>
      <c r="W43" s="23">
        <v>133840.39355899085</v>
      </c>
      <c r="X43" s="23">
        <v>125099.90095446864</v>
      </c>
      <c r="Y43" s="23">
        <v>134278.40760165427</v>
      </c>
      <c r="Z43" s="23">
        <v>141064.06366876888</v>
      </c>
      <c r="AA43" s="23">
        <v>133324.04687412712</v>
      </c>
    </row>
    <row r="44" spans="1:27" ht="12.75" customHeight="1" x14ac:dyDescent="0.2">
      <c r="A44" s="155"/>
      <c r="B44" s="21" t="s">
        <v>94</v>
      </c>
      <c r="C44" s="22" t="s">
        <v>95</v>
      </c>
      <c r="D44" s="23">
        <v>34968.862115978904</v>
      </c>
      <c r="E44" s="23">
        <v>35801.143293375178</v>
      </c>
      <c r="F44" s="23">
        <v>29232.235355346336</v>
      </c>
      <c r="G44" s="23">
        <v>29889.518154419544</v>
      </c>
      <c r="H44" s="23">
        <v>39140.309679362595</v>
      </c>
      <c r="I44" s="23">
        <v>41432.415351542906</v>
      </c>
      <c r="J44" s="23">
        <v>39974.820055887285</v>
      </c>
      <c r="K44" s="23">
        <v>37796.77330672706</v>
      </c>
      <c r="L44" s="23">
        <v>35918.320655616822</v>
      </c>
      <c r="M44" s="23">
        <v>24636.549028632042</v>
      </c>
      <c r="N44" s="23">
        <v>29702.126183771041</v>
      </c>
      <c r="O44" s="23">
        <v>38171.350466177442</v>
      </c>
      <c r="P44" s="23">
        <v>37849.907716846217</v>
      </c>
      <c r="Q44" s="23">
        <v>33447.366286743927</v>
      </c>
      <c r="R44" s="23">
        <v>30501.595267404293</v>
      </c>
      <c r="S44" s="23">
        <v>38878.139230000008</v>
      </c>
      <c r="T44" s="23">
        <v>37274.185406653407</v>
      </c>
      <c r="U44" s="23">
        <v>39676.191441267074</v>
      </c>
      <c r="V44" s="23">
        <v>36248.68685605318</v>
      </c>
      <c r="W44" s="23">
        <v>32299.941204625316</v>
      </c>
      <c r="X44" s="23">
        <v>13911.850572142759</v>
      </c>
      <c r="Y44" s="23">
        <v>26243.265501629925</v>
      </c>
      <c r="Z44" s="23">
        <v>67354.919706043758</v>
      </c>
      <c r="AA44" s="23">
        <v>69090.550260595366</v>
      </c>
    </row>
    <row r="45" spans="1:27" ht="12.75" customHeight="1" x14ac:dyDescent="0.2">
      <c r="A45" s="155"/>
      <c r="B45" s="21" t="s">
        <v>96</v>
      </c>
      <c r="C45" s="22" t="s">
        <v>97</v>
      </c>
      <c r="D45" s="23">
        <v>147308.30313747755</v>
      </c>
      <c r="E45" s="23">
        <v>144820.83121091512</v>
      </c>
      <c r="F45" s="23">
        <v>142909.42774448203</v>
      </c>
      <c r="G45" s="23">
        <v>137508.17726301021</v>
      </c>
      <c r="H45" s="23">
        <v>140022.45293275316</v>
      </c>
      <c r="I45" s="23">
        <v>140471.8745344856</v>
      </c>
      <c r="J45" s="23">
        <v>143268.81010291012</v>
      </c>
      <c r="K45" s="23">
        <v>148761.74163900292</v>
      </c>
      <c r="L45" s="23">
        <v>144630.57741609006</v>
      </c>
      <c r="M45" s="23">
        <v>130739.3511457909</v>
      </c>
      <c r="N45" s="23">
        <v>143101.23163866237</v>
      </c>
      <c r="O45" s="23">
        <v>148513.8877393677</v>
      </c>
      <c r="P45" s="23">
        <v>144915.46179092993</v>
      </c>
      <c r="Q45" s="23">
        <v>142686.78596645943</v>
      </c>
      <c r="R45" s="23">
        <v>148952.97053711279</v>
      </c>
      <c r="S45" s="23">
        <v>161935.16114202296</v>
      </c>
      <c r="T45" s="23">
        <v>164200.51866222423</v>
      </c>
      <c r="U45" s="23">
        <v>171135.07578374902</v>
      </c>
      <c r="V45" s="23">
        <v>163727.38442961223</v>
      </c>
      <c r="W45" s="23">
        <v>162512.41276764066</v>
      </c>
      <c r="X45" s="23">
        <v>159818.31179918107</v>
      </c>
      <c r="Y45" s="23">
        <v>166061.151352927</v>
      </c>
      <c r="Z45" s="23">
        <v>159852.39880331987</v>
      </c>
      <c r="AA45" s="23">
        <v>149028.25135881826</v>
      </c>
    </row>
    <row r="46" spans="1:27" ht="12.75" customHeight="1" x14ac:dyDescent="0.2">
      <c r="A46" s="155"/>
      <c r="B46" s="21" t="s">
        <v>98</v>
      </c>
      <c r="C46" s="22" t="s">
        <v>99</v>
      </c>
      <c r="D46" s="23">
        <v>88382.219461591303</v>
      </c>
      <c r="E46" s="23">
        <v>99272.395799666818</v>
      </c>
      <c r="F46" s="23">
        <v>106842.06365029927</v>
      </c>
      <c r="G46" s="23">
        <v>103568.02564255829</v>
      </c>
      <c r="H46" s="23">
        <v>100335.88902678185</v>
      </c>
      <c r="I46" s="23">
        <v>104491.41652743547</v>
      </c>
      <c r="J46" s="23">
        <v>104978.23091146357</v>
      </c>
      <c r="K46" s="23">
        <v>108553.1204870147</v>
      </c>
      <c r="L46" s="23">
        <v>108065.5523809788</v>
      </c>
      <c r="M46" s="23">
        <v>111651.24800374896</v>
      </c>
      <c r="N46" s="23">
        <v>112796.34439886388</v>
      </c>
      <c r="O46" s="23">
        <v>114431.48324559361</v>
      </c>
      <c r="P46" s="23">
        <v>114199.41178288982</v>
      </c>
      <c r="Q46" s="23">
        <v>112097.33003166913</v>
      </c>
      <c r="R46" s="23">
        <v>115387.0135680316</v>
      </c>
      <c r="S46" s="23">
        <v>175925.24501107601</v>
      </c>
      <c r="T46" s="23">
        <v>177480.30516585312</v>
      </c>
      <c r="U46" s="23">
        <v>180742.56708642928</v>
      </c>
      <c r="V46" s="23">
        <v>196138.91938160008</v>
      </c>
      <c r="W46" s="23">
        <v>203837.84773015967</v>
      </c>
      <c r="X46" s="23">
        <v>219409.9646842384</v>
      </c>
      <c r="Y46" s="23">
        <v>244421.54779634945</v>
      </c>
      <c r="Z46" s="23">
        <v>271607.22529641504</v>
      </c>
      <c r="AA46" s="23">
        <v>238062.72418970909</v>
      </c>
    </row>
    <row r="47" spans="1:27" ht="12.75" customHeight="1" x14ac:dyDescent="0.2">
      <c r="A47" s="155"/>
      <c r="B47" s="21" t="s">
        <v>100</v>
      </c>
      <c r="C47" s="22" t="s">
        <v>101</v>
      </c>
      <c r="D47" s="23">
        <v>201218.32209439931</v>
      </c>
      <c r="E47" s="23">
        <v>199745.86201510616</v>
      </c>
      <c r="F47" s="23">
        <v>200242.20283022599</v>
      </c>
      <c r="G47" s="23">
        <v>195468.11203546249</v>
      </c>
      <c r="H47" s="23">
        <v>196856.9201270777</v>
      </c>
      <c r="I47" s="23">
        <v>196205.26927881065</v>
      </c>
      <c r="J47" s="23">
        <v>202883.22892692435</v>
      </c>
      <c r="K47" s="23">
        <v>209936.12269550195</v>
      </c>
      <c r="L47" s="23">
        <v>200728.70015768253</v>
      </c>
      <c r="M47" s="23">
        <v>174242.13853980164</v>
      </c>
      <c r="N47" s="23">
        <v>173871.72042403641</v>
      </c>
      <c r="O47" s="23">
        <v>179038.67042173413</v>
      </c>
      <c r="P47" s="23">
        <v>175181.60212219195</v>
      </c>
      <c r="Q47" s="23">
        <v>175252.00427085368</v>
      </c>
      <c r="R47" s="23">
        <v>181366.48589926588</v>
      </c>
      <c r="S47" s="23">
        <v>186159.08193000004</v>
      </c>
      <c r="T47" s="23">
        <v>194238.16887079048</v>
      </c>
      <c r="U47" s="23">
        <v>193809.94075766832</v>
      </c>
      <c r="V47" s="23">
        <v>196873.11893321315</v>
      </c>
      <c r="W47" s="23">
        <v>200461.44905056027</v>
      </c>
      <c r="X47" s="23">
        <v>189342.09989128372</v>
      </c>
      <c r="Y47" s="23">
        <v>197754.98706620198</v>
      </c>
      <c r="Z47" s="23">
        <v>193340.50435510138</v>
      </c>
      <c r="AA47" s="23">
        <v>196553.39248761142</v>
      </c>
    </row>
    <row r="48" spans="1:27" ht="12.75" customHeight="1" x14ac:dyDescent="0.2">
      <c r="A48" s="155"/>
      <c r="B48" s="21" t="s">
        <v>102</v>
      </c>
      <c r="C48" s="22" t="s">
        <v>103</v>
      </c>
      <c r="D48" s="23">
        <v>279771.75154118816</v>
      </c>
      <c r="E48" s="23">
        <v>278742.98053605104</v>
      </c>
      <c r="F48" s="23">
        <v>268682.33436452469</v>
      </c>
      <c r="G48" s="23">
        <v>268298.991481631</v>
      </c>
      <c r="H48" s="23">
        <v>280735.36752340395</v>
      </c>
      <c r="I48" s="23">
        <v>290493.1889263225</v>
      </c>
      <c r="J48" s="23">
        <v>311903.90239707654</v>
      </c>
      <c r="K48" s="23">
        <v>333199.53221304424</v>
      </c>
      <c r="L48" s="23">
        <v>323513.26928107697</v>
      </c>
      <c r="M48" s="23">
        <v>249339.59910020611</v>
      </c>
      <c r="N48" s="23">
        <v>269355.13016804325</v>
      </c>
      <c r="O48" s="23">
        <v>287279.29457557778</v>
      </c>
      <c r="P48" s="23">
        <v>280573.61049263959</v>
      </c>
      <c r="Q48" s="23">
        <v>275528.07687020034</v>
      </c>
      <c r="R48" s="23">
        <v>281777.70880726655</v>
      </c>
      <c r="S48" s="23">
        <v>286556.68473099999</v>
      </c>
      <c r="T48" s="23">
        <v>293788.42668666085</v>
      </c>
      <c r="U48" s="23">
        <v>301810.02383878478</v>
      </c>
      <c r="V48" s="23">
        <v>310845.63653844508</v>
      </c>
      <c r="W48" s="23">
        <v>300558.76015720924</v>
      </c>
      <c r="X48" s="23">
        <v>267448.16763003659</v>
      </c>
      <c r="Y48" s="23">
        <v>300422.06006179005</v>
      </c>
      <c r="Z48" s="23">
        <v>314811.28736611444</v>
      </c>
      <c r="AA48" s="23">
        <v>294354.50424143381</v>
      </c>
    </row>
    <row r="49" spans="1:27" ht="12.75" customHeight="1" x14ac:dyDescent="0.2">
      <c r="A49" s="155"/>
      <c r="B49" s="21" t="s">
        <v>104</v>
      </c>
      <c r="C49" s="22" t="s">
        <v>105</v>
      </c>
      <c r="D49" s="23">
        <v>138481.454113997</v>
      </c>
      <c r="E49" s="23">
        <v>126821.07916498474</v>
      </c>
      <c r="F49" s="23">
        <v>123520.56833894622</v>
      </c>
      <c r="G49" s="23">
        <v>121969.10928538234</v>
      </c>
      <c r="H49" s="23">
        <v>126264.03711262476</v>
      </c>
      <c r="I49" s="23">
        <v>126700.8838922086</v>
      </c>
      <c r="J49" s="23">
        <v>131230.53251211587</v>
      </c>
      <c r="K49" s="23">
        <v>136586.3638252753</v>
      </c>
      <c r="L49" s="23">
        <v>125373.32872358631</v>
      </c>
      <c r="M49" s="23">
        <v>103072.31714284093</v>
      </c>
      <c r="N49" s="23">
        <v>112173.82492100194</v>
      </c>
      <c r="O49" s="23">
        <v>113125.65955076044</v>
      </c>
      <c r="P49" s="23">
        <v>105088.41621687914</v>
      </c>
      <c r="Q49" s="23">
        <v>106609.50644012346</v>
      </c>
      <c r="R49" s="23">
        <v>108243.66642709929</v>
      </c>
      <c r="S49" s="23">
        <v>113553.02390718591</v>
      </c>
      <c r="T49" s="23">
        <v>116811.74173842848</v>
      </c>
      <c r="U49" s="23">
        <v>117808.04440254686</v>
      </c>
      <c r="V49" s="23">
        <v>121658.30366011764</v>
      </c>
      <c r="W49" s="23">
        <v>123019.44002316373</v>
      </c>
      <c r="X49" s="23">
        <v>119964.57486457941</v>
      </c>
      <c r="Y49" s="23">
        <v>127088.34070658317</v>
      </c>
      <c r="Z49" s="23">
        <v>130345.59348761124</v>
      </c>
      <c r="AA49" s="23">
        <v>131402.16816513176</v>
      </c>
    </row>
    <row r="50" spans="1:27" ht="12.75" customHeight="1" x14ac:dyDescent="0.2">
      <c r="A50" s="155"/>
      <c r="B50" s="21" t="s">
        <v>106</v>
      </c>
      <c r="C50" s="22" t="s">
        <v>107</v>
      </c>
      <c r="D50" s="23">
        <v>115817.19133818618</v>
      </c>
      <c r="E50" s="23">
        <v>109072.83115629313</v>
      </c>
      <c r="F50" s="23">
        <v>106079.82635418304</v>
      </c>
      <c r="G50" s="23">
        <v>105020.00686413269</v>
      </c>
      <c r="H50" s="23">
        <v>108598.69426079019</v>
      </c>
      <c r="I50" s="23">
        <v>106414.62087919038</v>
      </c>
      <c r="J50" s="23">
        <v>115288.46607852032</v>
      </c>
      <c r="K50" s="23">
        <v>117401.07440811698</v>
      </c>
      <c r="L50" s="23">
        <v>120288.24581648102</v>
      </c>
      <c r="M50" s="23">
        <v>104804.44744260848</v>
      </c>
      <c r="N50" s="23">
        <v>116597.5611152589</v>
      </c>
      <c r="O50" s="23">
        <v>119607.75668371643</v>
      </c>
      <c r="P50" s="23">
        <v>116282.80181488645</v>
      </c>
      <c r="Q50" s="23">
        <v>113023.28610774891</v>
      </c>
      <c r="R50" s="23">
        <v>115160.30576022486</v>
      </c>
      <c r="S50" s="23">
        <v>115601.025335</v>
      </c>
      <c r="T50" s="23">
        <v>117524.00883946617</v>
      </c>
      <c r="U50" s="23">
        <v>120657.40900979807</v>
      </c>
      <c r="V50" s="23">
        <v>120537.33064476316</v>
      </c>
      <c r="W50" s="23">
        <v>117888.91227585661</v>
      </c>
      <c r="X50" s="23">
        <v>111678.27395096688</v>
      </c>
      <c r="Y50" s="23">
        <v>119066.5139973567</v>
      </c>
      <c r="Z50" s="23">
        <v>117060.59271582386</v>
      </c>
      <c r="AA50" s="23">
        <v>119992.95746118495</v>
      </c>
    </row>
    <row r="51" spans="1:27" ht="12.75" customHeight="1" x14ac:dyDescent="0.2">
      <c r="A51" s="155"/>
      <c r="B51" s="21" t="s">
        <v>108</v>
      </c>
      <c r="C51" s="22" t="s">
        <v>109</v>
      </c>
      <c r="D51" s="23">
        <v>212499.83051588293</v>
      </c>
      <c r="E51" s="23">
        <v>217286.00015145264</v>
      </c>
      <c r="F51" s="23">
        <v>211682.91765406029</v>
      </c>
      <c r="G51" s="23">
        <v>209011.72361911621</v>
      </c>
      <c r="H51" s="23">
        <v>218259.12154561808</v>
      </c>
      <c r="I51" s="23">
        <v>221977.02959934907</v>
      </c>
      <c r="J51" s="23">
        <v>239256.23731663672</v>
      </c>
      <c r="K51" s="23">
        <v>258270.6993746651</v>
      </c>
      <c r="L51" s="23">
        <v>261504.41918574498</v>
      </c>
      <c r="M51" s="23">
        <v>208100.16114286252</v>
      </c>
      <c r="N51" s="23">
        <v>230957.71376507255</v>
      </c>
      <c r="O51" s="23">
        <v>253321.49634110523</v>
      </c>
      <c r="P51" s="23">
        <v>252696.62311056152</v>
      </c>
      <c r="Q51" s="23">
        <v>249449.16960315651</v>
      </c>
      <c r="R51" s="23">
        <v>259303.95813938126</v>
      </c>
      <c r="S51" s="23">
        <v>259146.65260300005</v>
      </c>
      <c r="T51" s="23">
        <v>264149.99631856167</v>
      </c>
      <c r="U51" s="23">
        <v>277270.94933983113</v>
      </c>
      <c r="V51" s="23">
        <v>281395.36089663039</v>
      </c>
      <c r="W51" s="23">
        <v>282303.24187782075</v>
      </c>
      <c r="X51" s="23">
        <v>251661.43507345463</v>
      </c>
      <c r="Y51" s="23">
        <v>275665.21939567843</v>
      </c>
      <c r="Z51" s="23">
        <v>265830.77366295073</v>
      </c>
      <c r="AA51" s="23">
        <v>273829.98446806148</v>
      </c>
    </row>
    <row r="52" spans="1:27" ht="12.75" customHeight="1" x14ac:dyDescent="0.2">
      <c r="A52" s="155"/>
      <c r="B52" s="21" t="s">
        <v>110</v>
      </c>
      <c r="C52" s="22" t="s">
        <v>111</v>
      </c>
      <c r="D52" s="23">
        <v>228101.04544392193</v>
      </c>
      <c r="E52" s="23">
        <v>239731.849212086</v>
      </c>
      <c r="F52" s="23">
        <v>239194.48045655389</v>
      </c>
      <c r="G52" s="23">
        <v>243297.82200619736</v>
      </c>
      <c r="H52" s="23">
        <v>243785.455198362</v>
      </c>
      <c r="I52" s="23">
        <v>245485.23516904938</v>
      </c>
      <c r="J52" s="23">
        <v>262892.27298026957</v>
      </c>
      <c r="K52" s="23">
        <v>275433.65886858298</v>
      </c>
      <c r="L52" s="23">
        <v>257998.1489580647</v>
      </c>
      <c r="M52" s="23">
        <v>210905.40372278937</v>
      </c>
      <c r="N52" s="23">
        <v>260257.81905814703</v>
      </c>
      <c r="O52" s="23">
        <v>279678.67774377554</v>
      </c>
      <c r="P52" s="23">
        <v>272472.85369948094</v>
      </c>
      <c r="Q52" s="23">
        <v>278847.11631361354</v>
      </c>
      <c r="R52" s="23">
        <v>303674.8741413923</v>
      </c>
      <c r="S52" s="23">
        <v>320456.81043700001</v>
      </c>
      <c r="T52" s="23">
        <v>344432.32657832257</v>
      </c>
      <c r="U52" s="23">
        <v>355742.74247358984</v>
      </c>
      <c r="V52" s="23">
        <v>356971.10174752481</v>
      </c>
      <c r="W52" s="23">
        <v>353500.35045602184</v>
      </c>
      <c r="X52" s="23">
        <v>291405.27502520557</v>
      </c>
      <c r="Y52" s="23">
        <v>325494.67452888441</v>
      </c>
      <c r="Z52" s="23">
        <v>337578.47032247426</v>
      </c>
      <c r="AA52" s="23">
        <v>356068.41190344928</v>
      </c>
    </row>
    <row r="53" spans="1:27" ht="12.75" customHeight="1" x14ac:dyDescent="0.2">
      <c r="A53" s="155"/>
      <c r="B53" s="21" t="s">
        <v>112</v>
      </c>
      <c r="C53" s="22" t="s">
        <v>113</v>
      </c>
      <c r="D53" s="23">
        <v>171560.04633382117</v>
      </c>
      <c r="E53" s="23">
        <v>172725.24389985029</v>
      </c>
      <c r="F53" s="23">
        <v>168889.52383758867</v>
      </c>
      <c r="G53" s="23">
        <v>165228.6911949038</v>
      </c>
      <c r="H53" s="23">
        <v>167343.80204132054</v>
      </c>
      <c r="I53" s="23">
        <v>171261.49582176455</v>
      </c>
      <c r="J53" s="23">
        <v>178306.0736870495</v>
      </c>
      <c r="K53" s="23">
        <v>184895.62092295778</v>
      </c>
      <c r="L53" s="23">
        <v>183690.10455358337</v>
      </c>
      <c r="M53" s="23">
        <v>171974.22041414873</v>
      </c>
      <c r="N53" s="23">
        <v>175929.17715495802</v>
      </c>
      <c r="O53" s="23">
        <v>183928.42582436011</v>
      </c>
      <c r="P53" s="23">
        <v>184388.65896054564</v>
      </c>
      <c r="Q53" s="23">
        <v>180875.52653828776</v>
      </c>
      <c r="R53" s="23">
        <v>186667.68398385867</v>
      </c>
      <c r="S53" s="23">
        <v>194255.77805671515</v>
      </c>
      <c r="T53" s="23">
        <v>193268.21853560361</v>
      </c>
      <c r="U53" s="23">
        <v>195142.84000976282</v>
      </c>
      <c r="V53" s="23">
        <v>195585.5351119797</v>
      </c>
      <c r="W53" s="23">
        <v>207783.59535074382</v>
      </c>
      <c r="X53" s="23">
        <v>192172.58775103028</v>
      </c>
      <c r="Y53" s="23">
        <v>201004.92080110495</v>
      </c>
      <c r="Z53" s="23">
        <v>215521.09880864486</v>
      </c>
      <c r="AA53" s="23">
        <v>229160.79355707567</v>
      </c>
    </row>
    <row r="54" spans="1:27" ht="12.75" customHeight="1" x14ac:dyDescent="0.2">
      <c r="A54" s="156"/>
      <c r="B54" s="28" t="s">
        <v>52</v>
      </c>
      <c r="C54" s="31" t="s">
        <v>58</v>
      </c>
      <c r="D54" s="30">
        <f>SUM(D41:D53)</f>
        <v>2167781.0041213585</v>
      </c>
      <c r="E54" s="30">
        <f t="shared" ref="E54:Y54" si="6">SUM(E41:E53)</f>
        <v>2177686.1740367422</v>
      </c>
      <c r="F54" s="30">
        <f t="shared" si="6"/>
        <v>2143053.0053013489</v>
      </c>
      <c r="G54" s="30">
        <f t="shared" si="6"/>
        <v>2112106.657392838</v>
      </c>
      <c r="H54" s="30">
        <f t="shared" si="6"/>
        <v>2152369.3974777954</v>
      </c>
      <c r="I54" s="30">
        <f t="shared" si="6"/>
        <v>2164485.9767571907</v>
      </c>
      <c r="J54" s="30">
        <f t="shared" si="6"/>
        <v>2246781.806260169</v>
      </c>
      <c r="K54" s="30">
        <f t="shared" si="6"/>
        <v>2333869.3971638409</v>
      </c>
      <c r="L54" s="30">
        <f t="shared" si="6"/>
        <v>2264618.5839612698</v>
      </c>
      <c r="M54" s="30">
        <f t="shared" si="6"/>
        <v>1960336.3521453773</v>
      </c>
      <c r="N54" s="30">
        <f t="shared" si="6"/>
        <v>2104272.4357576077</v>
      </c>
      <c r="O54" s="30">
        <f t="shared" si="6"/>
        <v>2203296.0628351411</v>
      </c>
      <c r="P54" s="30">
        <f t="shared" si="6"/>
        <v>2157969.7458339473</v>
      </c>
      <c r="Q54" s="30">
        <f t="shared" si="6"/>
        <v>2136091.0195920919</v>
      </c>
      <c r="R54" s="30">
        <f t="shared" si="6"/>
        <v>2210487.3929212308</v>
      </c>
      <c r="S54" s="30">
        <f t="shared" si="6"/>
        <v>2341488.581913</v>
      </c>
      <c r="T54" s="30">
        <f t="shared" si="6"/>
        <v>2398279.1362541514</v>
      </c>
      <c r="U54" s="30">
        <f t="shared" si="6"/>
        <v>2450678.1784407464</v>
      </c>
      <c r="V54" s="30">
        <f t="shared" si="6"/>
        <v>2481710.9063289515</v>
      </c>
      <c r="W54" s="30">
        <f t="shared" si="6"/>
        <v>2487379.4096828611</v>
      </c>
      <c r="X54" s="30">
        <f t="shared" si="6"/>
        <v>2293157.2653324269</v>
      </c>
      <c r="Y54" s="30">
        <f t="shared" si="6"/>
        <v>2473767.3427478392</v>
      </c>
      <c r="Z54" s="30">
        <f t="shared" ref="Z54" si="7">SUM(Z41:Z53)</f>
        <v>2567868.1761618145</v>
      </c>
      <c r="AA54" s="30">
        <f t="shared" ref="AA54" si="8">SUM(AA41:AA53)</f>
        <v>2557454.0000000005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4" t="s">
        <v>114</v>
      </c>
      <c r="B56" s="17" t="s">
        <v>88</v>
      </c>
      <c r="C56" s="18" t="s">
        <v>89</v>
      </c>
      <c r="D56" s="19">
        <v>252573.08811465374</v>
      </c>
      <c r="E56" s="19">
        <v>256691.44603361993</v>
      </c>
      <c r="F56" s="19">
        <v>260447.34727732788</v>
      </c>
      <c r="G56" s="19">
        <v>261939.62085485956</v>
      </c>
      <c r="H56" s="19">
        <v>264583.60481457529</v>
      </c>
      <c r="I56" s="19">
        <v>262784.07781389554</v>
      </c>
      <c r="J56" s="19">
        <v>259795.71796656796</v>
      </c>
      <c r="K56" s="19">
        <v>263350.10820128006</v>
      </c>
      <c r="L56" s="19">
        <v>261833.24037190693</v>
      </c>
      <c r="M56" s="19">
        <v>260254.26618677648</v>
      </c>
      <c r="N56" s="19">
        <v>261229.70744758929</v>
      </c>
      <c r="O56" s="19">
        <v>263105.72967035766</v>
      </c>
      <c r="P56" s="19">
        <v>263330.28981458093</v>
      </c>
      <c r="Q56" s="19">
        <v>263478.90961951518</v>
      </c>
      <c r="R56" s="19">
        <v>270979.72539515019</v>
      </c>
      <c r="S56" s="19">
        <v>277789.926698</v>
      </c>
      <c r="T56" s="19">
        <v>282008.4528919406</v>
      </c>
      <c r="U56" s="19">
        <v>282286.16446614702</v>
      </c>
      <c r="V56" s="19">
        <v>285170.2362922983</v>
      </c>
      <c r="W56" s="19">
        <v>287698.89322323562</v>
      </c>
      <c r="X56" s="19">
        <v>281782.39149957261</v>
      </c>
      <c r="Y56" s="19">
        <v>279972.06570353633</v>
      </c>
      <c r="Z56" s="19">
        <v>276956.39191302814</v>
      </c>
      <c r="AA56" s="19">
        <v>292676.83146220533</v>
      </c>
    </row>
    <row r="57" spans="1:27" ht="12.75" customHeight="1" x14ac:dyDescent="0.2">
      <c r="A57" s="155"/>
      <c r="B57" s="21" t="s">
        <v>90</v>
      </c>
      <c r="C57" s="22" t="s">
        <v>91</v>
      </c>
      <c r="D57" s="23">
        <v>118599.01254053356</v>
      </c>
      <c r="E57" s="23">
        <v>118720.97614352252</v>
      </c>
      <c r="F57" s="23">
        <v>113492.09866334377</v>
      </c>
      <c r="G57" s="23">
        <v>107619.44670623654</v>
      </c>
      <c r="H57" s="23">
        <v>102696.93310943236</v>
      </c>
      <c r="I57" s="23">
        <v>96687.057538978886</v>
      </c>
      <c r="J57" s="23">
        <v>95092.718660152066</v>
      </c>
      <c r="K57" s="23">
        <v>95550.052975222672</v>
      </c>
      <c r="L57" s="23">
        <v>90227.309643644287</v>
      </c>
      <c r="M57" s="23">
        <v>76688.972468120803</v>
      </c>
      <c r="N57" s="23">
        <v>80762.699288613832</v>
      </c>
      <c r="O57" s="23">
        <v>86152.990165667929</v>
      </c>
      <c r="P57" s="23">
        <v>80534.620438760423</v>
      </c>
      <c r="Q57" s="23">
        <v>79547.893848582185</v>
      </c>
      <c r="R57" s="23">
        <v>81129.268478793834</v>
      </c>
      <c r="S57" s="23">
        <v>81408.436774999995</v>
      </c>
      <c r="T57" s="23">
        <v>82248.510620827714</v>
      </c>
      <c r="U57" s="23">
        <v>83097.170232459423</v>
      </c>
      <c r="V57" s="23">
        <v>82836.762020372917</v>
      </c>
      <c r="W57" s="23">
        <v>81674.172006832712</v>
      </c>
      <c r="X57" s="23">
        <v>69462.431636266236</v>
      </c>
      <c r="Y57" s="23">
        <v>76294.188234142581</v>
      </c>
      <c r="Z57" s="23">
        <v>76544.856055517899</v>
      </c>
      <c r="AA57" s="23">
        <v>73909.383570596678</v>
      </c>
    </row>
    <row r="58" spans="1:27" ht="12.75" customHeight="1" x14ac:dyDescent="0.2">
      <c r="A58" s="155"/>
      <c r="B58" s="21" t="s">
        <v>115</v>
      </c>
      <c r="C58" s="22" t="s">
        <v>116</v>
      </c>
      <c r="D58" s="23">
        <v>52106.28550313013</v>
      </c>
      <c r="E58" s="23">
        <v>51943.009086562546</v>
      </c>
      <c r="F58" s="23">
        <v>50352.989306053802</v>
      </c>
      <c r="G58" s="23">
        <v>50085.282240698478</v>
      </c>
      <c r="H58" s="23">
        <v>50992.44639135513</v>
      </c>
      <c r="I58" s="23">
        <v>50046.23051933531</v>
      </c>
      <c r="J58" s="23">
        <v>51864.109826268381</v>
      </c>
      <c r="K58" s="23">
        <v>54543.246449205828</v>
      </c>
      <c r="L58" s="23">
        <v>49124.619189451834</v>
      </c>
      <c r="M58" s="23">
        <v>42256.09791466836</v>
      </c>
      <c r="N58" s="23">
        <v>44880.316317512203</v>
      </c>
      <c r="O58" s="23">
        <v>44599.21898352023</v>
      </c>
      <c r="P58" s="23">
        <v>40992.838524960192</v>
      </c>
      <c r="Q58" s="23">
        <v>39864.523528536498</v>
      </c>
      <c r="R58" s="23">
        <v>40687.096198845727</v>
      </c>
      <c r="S58" s="23">
        <v>42702.757366000005</v>
      </c>
      <c r="T58" s="23">
        <v>42700.030914103052</v>
      </c>
      <c r="U58" s="23">
        <v>44154.434262483817</v>
      </c>
      <c r="V58" s="23">
        <v>44826.10094847202</v>
      </c>
      <c r="W58" s="23">
        <v>45895.340566263963</v>
      </c>
      <c r="X58" s="23">
        <v>45226.237905856433</v>
      </c>
      <c r="Y58" s="23">
        <v>54804.037618772032</v>
      </c>
      <c r="Z58" s="23">
        <v>57395.878326785787</v>
      </c>
      <c r="AA58" s="23">
        <v>53113.930089706126</v>
      </c>
    </row>
    <row r="59" spans="1:27" ht="12.75" customHeight="1" x14ac:dyDescent="0.2">
      <c r="A59" s="155"/>
      <c r="B59" s="21" t="s">
        <v>117</v>
      </c>
      <c r="C59" s="22" t="s">
        <v>118</v>
      </c>
      <c r="D59" s="23">
        <v>67702.576089734255</v>
      </c>
      <c r="E59" s="23">
        <v>68745.437755562292</v>
      </c>
      <c r="F59" s="23">
        <v>65537.647331613189</v>
      </c>
      <c r="G59" s="23">
        <v>61510.74131969022</v>
      </c>
      <c r="H59" s="23">
        <v>60600.679570503264</v>
      </c>
      <c r="I59" s="23">
        <v>57209.017251776051</v>
      </c>
      <c r="J59" s="23">
        <v>57421.050666506308</v>
      </c>
      <c r="K59" s="23">
        <v>58245.652750241963</v>
      </c>
      <c r="L59" s="23">
        <v>53137.800615515167</v>
      </c>
      <c r="M59" s="23">
        <v>48852.440248824496</v>
      </c>
      <c r="N59" s="23">
        <v>50338.001829664441</v>
      </c>
      <c r="O59" s="23">
        <v>51184.592572490561</v>
      </c>
      <c r="P59" s="23">
        <v>50685.875208991944</v>
      </c>
      <c r="Q59" s="23">
        <v>49121.570803939867</v>
      </c>
      <c r="R59" s="23">
        <v>51292.728982345499</v>
      </c>
      <c r="S59" s="23">
        <v>52793.215746000009</v>
      </c>
      <c r="T59" s="23">
        <v>53673.181195634905</v>
      </c>
      <c r="U59" s="23">
        <v>54060.664890461288</v>
      </c>
      <c r="V59" s="23">
        <v>56992.908944019066</v>
      </c>
      <c r="W59" s="23">
        <v>56765.530783570597</v>
      </c>
      <c r="X59" s="23">
        <v>52381.59952365698</v>
      </c>
      <c r="Y59" s="23">
        <v>51514.434650787043</v>
      </c>
      <c r="Z59" s="23">
        <v>56860.170511363453</v>
      </c>
      <c r="AA59" s="23">
        <v>54961.597969358088</v>
      </c>
    </row>
    <row r="60" spans="1:27" ht="12.75" customHeight="1" x14ac:dyDescent="0.2">
      <c r="A60" s="155"/>
      <c r="B60" s="21" t="s">
        <v>119</v>
      </c>
      <c r="C60" s="22" t="s">
        <v>7</v>
      </c>
      <c r="D60" s="23">
        <v>58691.015776862456</v>
      </c>
      <c r="E60" s="23">
        <v>57565.08857769418</v>
      </c>
      <c r="F60" s="23">
        <v>55947.342136799933</v>
      </c>
      <c r="G60" s="23">
        <v>51691.388724539283</v>
      </c>
      <c r="H60" s="23">
        <v>52153.68414383434</v>
      </c>
      <c r="I60" s="23">
        <v>52826.163653045885</v>
      </c>
      <c r="J60" s="23">
        <v>52625.634171820435</v>
      </c>
      <c r="K60" s="23">
        <v>51345.629047001516</v>
      </c>
      <c r="L60" s="23">
        <v>48584.947011845979</v>
      </c>
      <c r="M60" s="23">
        <v>42819.139643557624</v>
      </c>
      <c r="N60" s="23">
        <v>42319.062046412691</v>
      </c>
      <c r="O60" s="23">
        <v>41156.828850936225</v>
      </c>
      <c r="P60" s="23">
        <v>38776.774138802524</v>
      </c>
      <c r="Q60" s="23">
        <v>36261.953362661108</v>
      </c>
      <c r="R60" s="23">
        <v>35362.311335058235</v>
      </c>
      <c r="S60" s="23">
        <v>34326.642944999992</v>
      </c>
      <c r="T60" s="23">
        <v>34481.063829080609</v>
      </c>
      <c r="U60" s="23">
        <v>33283.960445767516</v>
      </c>
      <c r="V60" s="23">
        <v>31903.519923850159</v>
      </c>
      <c r="W60" s="23">
        <v>31179.522209156279</v>
      </c>
      <c r="X60" s="23">
        <v>27492.063524955236</v>
      </c>
      <c r="Y60" s="23">
        <v>27959.935332095203</v>
      </c>
      <c r="Z60" s="23">
        <v>26808.014830619672</v>
      </c>
      <c r="AA60" s="23">
        <v>25248.518815062878</v>
      </c>
    </row>
    <row r="61" spans="1:27" ht="12.75" customHeight="1" x14ac:dyDescent="0.2">
      <c r="A61" s="155"/>
      <c r="B61" s="21" t="s">
        <v>94</v>
      </c>
      <c r="C61" s="22" t="s">
        <v>95</v>
      </c>
      <c r="D61" s="23">
        <v>34968.862115978904</v>
      </c>
      <c r="E61" s="23">
        <v>35801.143293375178</v>
      </c>
      <c r="F61" s="23">
        <v>29232.235355346336</v>
      </c>
      <c r="G61" s="23">
        <v>29889.518154419544</v>
      </c>
      <c r="H61" s="23">
        <v>39140.309679362595</v>
      </c>
      <c r="I61" s="23">
        <v>41432.415351542906</v>
      </c>
      <c r="J61" s="23">
        <v>39974.820055887285</v>
      </c>
      <c r="K61" s="23">
        <v>37796.77330672706</v>
      </c>
      <c r="L61" s="23">
        <v>35918.320655616822</v>
      </c>
      <c r="M61" s="23">
        <v>24636.549028632042</v>
      </c>
      <c r="N61" s="23">
        <v>29702.126183771041</v>
      </c>
      <c r="O61" s="23">
        <v>38171.350466177442</v>
      </c>
      <c r="P61" s="23">
        <v>37849.907716846217</v>
      </c>
      <c r="Q61" s="23">
        <v>33447.366286743927</v>
      </c>
      <c r="R61" s="23">
        <v>30501.595267404293</v>
      </c>
      <c r="S61" s="23">
        <v>38878.139230000008</v>
      </c>
      <c r="T61" s="23">
        <v>37274.185406653407</v>
      </c>
      <c r="U61" s="23">
        <v>39676.191441267074</v>
      </c>
      <c r="V61" s="23">
        <v>36248.68685605318</v>
      </c>
      <c r="W61" s="23">
        <v>32299.941204625316</v>
      </c>
      <c r="X61" s="23">
        <v>13911.850572142759</v>
      </c>
      <c r="Y61" s="23">
        <v>26243.265501629925</v>
      </c>
      <c r="Z61" s="23">
        <v>67354.919706043758</v>
      </c>
      <c r="AA61" s="23">
        <v>69090.550260595366</v>
      </c>
    </row>
    <row r="62" spans="1:27" ht="12.75" customHeight="1" x14ac:dyDescent="0.2">
      <c r="A62" s="155"/>
      <c r="B62" s="21" t="s">
        <v>96</v>
      </c>
      <c r="C62" s="22" t="s">
        <v>97</v>
      </c>
      <c r="D62" s="23">
        <v>147308.30313747755</v>
      </c>
      <c r="E62" s="23">
        <v>144820.83121091512</v>
      </c>
      <c r="F62" s="23">
        <v>142909.42774448203</v>
      </c>
      <c r="G62" s="23">
        <v>137508.17726301021</v>
      </c>
      <c r="H62" s="23">
        <v>140022.45293275316</v>
      </c>
      <c r="I62" s="23">
        <v>140471.8745344856</v>
      </c>
      <c r="J62" s="23">
        <v>143268.81010291012</v>
      </c>
      <c r="K62" s="23">
        <v>148761.74163900292</v>
      </c>
      <c r="L62" s="23">
        <v>144630.57741609006</v>
      </c>
      <c r="M62" s="23">
        <v>130739.3511457909</v>
      </c>
      <c r="N62" s="23">
        <v>143101.23163866237</v>
      </c>
      <c r="O62" s="23">
        <v>148513.8877393677</v>
      </c>
      <c r="P62" s="23">
        <v>144915.46179092993</v>
      </c>
      <c r="Q62" s="23">
        <v>142686.78596645943</v>
      </c>
      <c r="R62" s="23">
        <v>148952.97053711279</v>
      </c>
      <c r="S62" s="23">
        <v>161935.16114202296</v>
      </c>
      <c r="T62" s="23">
        <v>164200.51866222423</v>
      </c>
      <c r="U62" s="23">
        <v>171135.07578374902</v>
      </c>
      <c r="V62" s="23">
        <v>163727.38442961223</v>
      </c>
      <c r="W62" s="23">
        <v>162512.41276764066</v>
      </c>
      <c r="X62" s="23">
        <v>159818.31179918107</v>
      </c>
      <c r="Y62" s="23">
        <v>166061.151352927</v>
      </c>
      <c r="Z62" s="23">
        <v>159852.39880331987</v>
      </c>
      <c r="AA62" s="23">
        <v>149028.25135881826</v>
      </c>
    </row>
    <row r="63" spans="1:27" ht="12.75" customHeight="1" x14ac:dyDescent="0.2">
      <c r="A63" s="155"/>
      <c r="B63" s="21" t="s">
        <v>98</v>
      </c>
      <c r="C63" s="22" t="s">
        <v>99</v>
      </c>
      <c r="D63" s="23">
        <v>88382.219461591303</v>
      </c>
      <c r="E63" s="23">
        <v>99272.395799666818</v>
      </c>
      <c r="F63" s="23">
        <v>106842.06365029927</v>
      </c>
      <c r="G63" s="23">
        <v>103568.02564255829</v>
      </c>
      <c r="H63" s="23">
        <v>100335.88902678185</v>
      </c>
      <c r="I63" s="23">
        <v>104491.41652743547</v>
      </c>
      <c r="J63" s="23">
        <v>104978.23091146357</v>
      </c>
      <c r="K63" s="23">
        <v>108553.1204870147</v>
      </c>
      <c r="L63" s="23">
        <v>108065.5523809788</v>
      </c>
      <c r="M63" s="23">
        <v>111651.24800374896</v>
      </c>
      <c r="N63" s="23">
        <v>112796.34439886388</v>
      </c>
      <c r="O63" s="23">
        <v>114431.48324559361</v>
      </c>
      <c r="P63" s="23">
        <v>114199.41178288982</v>
      </c>
      <c r="Q63" s="23">
        <v>112097.33003166913</v>
      </c>
      <c r="R63" s="23">
        <v>115387.0135680316</v>
      </c>
      <c r="S63" s="23">
        <v>175925.24501107601</v>
      </c>
      <c r="T63" s="23">
        <v>177480.30516585312</v>
      </c>
      <c r="U63" s="23">
        <v>180742.56708642928</v>
      </c>
      <c r="V63" s="23">
        <v>196138.91938160008</v>
      </c>
      <c r="W63" s="23">
        <v>203837.84773015967</v>
      </c>
      <c r="X63" s="23">
        <v>219409.9646842384</v>
      </c>
      <c r="Y63" s="23">
        <v>244421.54779634945</v>
      </c>
      <c r="Z63" s="23">
        <v>271607.22529641504</v>
      </c>
      <c r="AA63" s="23">
        <v>238062.72418970909</v>
      </c>
    </row>
    <row r="64" spans="1:27" ht="12.75" customHeight="1" x14ac:dyDescent="0.2">
      <c r="A64" s="155"/>
      <c r="B64" s="21" t="s">
        <v>120</v>
      </c>
      <c r="C64" s="22" t="s">
        <v>121</v>
      </c>
      <c r="D64" s="23">
        <v>97902.797619578327</v>
      </c>
      <c r="E64" s="23">
        <v>98205.955789752086</v>
      </c>
      <c r="F64" s="23">
        <v>99857.140898144076</v>
      </c>
      <c r="G64" s="23">
        <v>98402.226140196872</v>
      </c>
      <c r="H64" s="23">
        <v>99523.698370641054</v>
      </c>
      <c r="I64" s="23">
        <v>98761.318951814421</v>
      </c>
      <c r="J64" s="23">
        <v>101604.53068528714</v>
      </c>
      <c r="K64" s="23">
        <v>103161.36544514322</v>
      </c>
      <c r="L64" s="23">
        <v>100384.38215070871</v>
      </c>
      <c r="M64" s="23">
        <v>91075.994102556317</v>
      </c>
      <c r="N64" s="23">
        <v>93331.99451520195</v>
      </c>
      <c r="O64" s="23">
        <v>97442.632578319302</v>
      </c>
      <c r="P64" s="23">
        <v>97832.886336954019</v>
      </c>
      <c r="Q64" s="23">
        <v>99968.83565572933</v>
      </c>
      <c r="R64" s="23">
        <v>103257.23307448259</v>
      </c>
      <c r="S64" s="23">
        <v>107761.558336</v>
      </c>
      <c r="T64" s="23">
        <v>112297.62560440078</v>
      </c>
      <c r="U64" s="23">
        <v>111409.80372385131</v>
      </c>
      <c r="V64" s="23">
        <v>112376.06803073661</v>
      </c>
      <c r="W64" s="23">
        <v>113420.93409255292</v>
      </c>
      <c r="X64" s="23">
        <v>107005.56595511334</v>
      </c>
      <c r="Y64" s="23">
        <v>111640.86767343662</v>
      </c>
      <c r="Z64" s="23">
        <v>108261.70041421893</v>
      </c>
      <c r="AA64" s="23">
        <v>109665.71331349465</v>
      </c>
    </row>
    <row r="65" spans="1:27" ht="12.75" customHeight="1" x14ac:dyDescent="0.2">
      <c r="A65" s="155"/>
      <c r="B65" s="21" t="s">
        <v>122</v>
      </c>
      <c r="C65" s="22" t="s">
        <v>123</v>
      </c>
      <c r="D65" s="23">
        <v>103315.52447482104</v>
      </c>
      <c r="E65" s="23">
        <v>101539.90622535413</v>
      </c>
      <c r="F65" s="23">
        <v>100385.06193208191</v>
      </c>
      <c r="G65" s="23">
        <v>97065.885895265659</v>
      </c>
      <c r="H65" s="23">
        <v>97333.221756436673</v>
      </c>
      <c r="I65" s="23">
        <v>97443.95032699623</v>
      </c>
      <c r="J65" s="23">
        <v>101278.69824163723</v>
      </c>
      <c r="K65" s="23">
        <v>106774.75725035873</v>
      </c>
      <c r="L65" s="23">
        <v>100344.31800697374</v>
      </c>
      <c r="M65" s="23">
        <v>83166.144437245326</v>
      </c>
      <c r="N65" s="23">
        <v>80539.725908834444</v>
      </c>
      <c r="O65" s="23">
        <v>81596.037843414844</v>
      </c>
      <c r="P65" s="23">
        <v>77348.715785237931</v>
      </c>
      <c r="Q65" s="23">
        <v>75283.168615124334</v>
      </c>
      <c r="R65" s="23">
        <v>78109.252824783252</v>
      </c>
      <c r="S65" s="23">
        <v>78397.523594000013</v>
      </c>
      <c r="T65" s="23">
        <v>81940.543266389723</v>
      </c>
      <c r="U65" s="23">
        <v>82400.137033816936</v>
      </c>
      <c r="V65" s="23">
        <v>84497.050902476549</v>
      </c>
      <c r="W65" s="23">
        <v>87040.514958007407</v>
      </c>
      <c r="X65" s="23">
        <v>82336.533936170395</v>
      </c>
      <c r="Y65" s="23">
        <v>86114.119392765395</v>
      </c>
      <c r="Z65" s="23">
        <v>85078.803940882397</v>
      </c>
      <c r="AA65" s="23">
        <v>86887.67917411674</v>
      </c>
    </row>
    <row r="66" spans="1:27" ht="12.75" customHeight="1" x14ac:dyDescent="0.2">
      <c r="A66" s="155"/>
      <c r="B66" s="21" t="s">
        <v>124</v>
      </c>
      <c r="C66" s="22" t="s">
        <v>125</v>
      </c>
      <c r="D66" s="23">
        <v>89995.544103137596</v>
      </c>
      <c r="E66" s="23">
        <v>86020.989816274407</v>
      </c>
      <c r="F66" s="23">
        <v>81181.63960813907</v>
      </c>
      <c r="G66" s="23">
        <v>80495.081140339622</v>
      </c>
      <c r="H66" s="23">
        <v>89823.455025835021</v>
      </c>
      <c r="I66" s="23">
        <v>93928.849168960907</v>
      </c>
      <c r="J66" s="23">
        <v>100584.85837867435</v>
      </c>
      <c r="K66" s="23">
        <v>111325.21506885318</v>
      </c>
      <c r="L66" s="23">
        <v>101437.84476279789</v>
      </c>
      <c r="M66" s="23">
        <v>66240.845373376345</v>
      </c>
      <c r="N66" s="23">
        <v>75825.314025868298</v>
      </c>
      <c r="O66" s="23">
        <v>82999.338561112527</v>
      </c>
      <c r="P66" s="23">
        <v>77969.659499940652</v>
      </c>
      <c r="Q66" s="23">
        <v>74849.491861504168</v>
      </c>
      <c r="R66" s="23">
        <v>76147.849851876075</v>
      </c>
      <c r="S66" s="23">
        <v>78808.125771000006</v>
      </c>
      <c r="T66" s="23">
        <v>78727.684104639498</v>
      </c>
      <c r="U66" s="23">
        <v>82835.489501767152</v>
      </c>
      <c r="V66" s="23">
        <v>86676.07505412359</v>
      </c>
      <c r="W66" s="23">
        <v>76400.201846326308</v>
      </c>
      <c r="X66" s="23">
        <v>64476.332876500397</v>
      </c>
      <c r="Y66" s="23">
        <v>78184.320374428455</v>
      </c>
      <c r="Z66" s="23">
        <v>90502.246667309737</v>
      </c>
      <c r="AA66" s="23">
        <v>82844.601076114675</v>
      </c>
    </row>
    <row r="67" spans="1:27" ht="12.75" customHeight="1" x14ac:dyDescent="0.2">
      <c r="A67" s="155"/>
      <c r="B67" s="21" t="s">
        <v>126</v>
      </c>
      <c r="C67" s="22" t="s">
        <v>127</v>
      </c>
      <c r="D67" s="23">
        <v>189776.20743805057</v>
      </c>
      <c r="E67" s="23">
        <v>192721.99071977657</v>
      </c>
      <c r="F67" s="23">
        <v>187500.69475638558</v>
      </c>
      <c r="G67" s="23">
        <v>187803.9103412914</v>
      </c>
      <c r="H67" s="23">
        <v>190911.91249756893</v>
      </c>
      <c r="I67" s="23">
        <v>196564.33975736157</v>
      </c>
      <c r="J67" s="23">
        <v>211319.04401840217</v>
      </c>
      <c r="K67" s="23">
        <v>221874.3171441911</v>
      </c>
      <c r="L67" s="23">
        <v>222075.42451827895</v>
      </c>
      <c r="M67" s="23">
        <v>183098.75372682975</v>
      </c>
      <c r="N67" s="23">
        <v>193529.81614217497</v>
      </c>
      <c r="O67" s="23">
        <v>204279.95601446528</v>
      </c>
      <c r="P67" s="23">
        <v>202603.95099269896</v>
      </c>
      <c r="Q67" s="23">
        <v>200595.50836906271</v>
      </c>
      <c r="R67" s="23">
        <v>205629.85895539043</v>
      </c>
      <c r="S67" s="23">
        <v>207748.55896000002</v>
      </c>
      <c r="T67" s="23">
        <v>215060.74258202137</v>
      </c>
      <c r="U67" s="23">
        <v>218974.53433701763</v>
      </c>
      <c r="V67" s="23">
        <v>224169.56148432143</v>
      </c>
      <c r="W67" s="23">
        <v>224158.55831088286</v>
      </c>
      <c r="X67" s="23">
        <v>202971.83475353618</v>
      </c>
      <c r="Y67" s="23">
        <v>222237.73968736161</v>
      </c>
      <c r="Z67" s="23">
        <v>224309.04069880472</v>
      </c>
      <c r="AA67" s="23">
        <v>211509.90316531915</v>
      </c>
    </row>
    <row r="68" spans="1:27" ht="12.75" customHeight="1" x14ac:dyDescent="0.2">
      <c r="A68" s="155"/>
      <c r="B68" s="21" t="s">
        <v>104</v>
      </c>
      <c r="C68" s="22" t="s">
        <v>105</v>
      </c>
      <c r="D68" s="23">
        <v>138481.454113997</v>
      </c>
      <c r="E68" s="23">
        <v>126821.07916498474</v>
      </c>
      <c r="F68" s="23">
        <v>123520.56833894622</v>
      </c>
      <c r="G68" s="23">
        <v>121969.10928538234</v>
      </c>
      <c r="H68" s="23">
        <v>126264.03711262476</v>
      </c>
      <c r="I68" s="23">
        <v>126700.8838922086</v>
      </c>
      <c r="J68" s="23">
        <v>131230.53251211587</v>
      </c>
      <c r="K68" s="23">
        <v>136586.3638252753</v>
      </c>
      <c r="L68" s="23">
        <v>125373.32872358631</v>
      </c>
      <c r="M68" s="23">
        <v>103072.31714284093</v>
      </c>
      <c r="N68" s="23">
        <v>112173.82492100194</v>
      </c>
      <c r="O68" s="23">
        <v>113125.65955076044</v>
      </c>
      <c r="P68" s="23">
        <v>105088.41621687914</v>
      </c>
      <c r="Q68" s="23">
        <v>106609.50644012346</v>
      </c>
      <c r="R68" s="23">
        <v>108243.66642709929</v>
      </c>
      <c r="S68" s="23">
        <v>113553.02390718591</v>
      </c>
      <c r="T68" s="23">
        <v>116811.74173842848</v>
      </c>
      <c r="U68" s="23">
        <v>117808.04440254686</v>
      </c>
      <c r="V68" s="23">
        <v>121658.30366011764</v>
      </c>
      <c r="W68" s="23">
        <v>123019.44002316373</v>
      </c>
      <c r="X68" s="23">
        <v>119964.57486457941</v>
      </c>
      <c r="Y68" s="23">
        <v>127088.34070658317</v>
      </c>
      <c r="Z68" s="23">
        <v>130345.59348761124</v>
      </c>
      <c r="AA68" s="23">
        <v>131402.16816513176</v>
      </c>
    </row>
    <row r="69" spans="1:27" ht="12.75" customHeight="1" x14ac:dyDescent="0.2">
      <c r="A69" s="155"/>
      <c r="B69" s="21" t="s">
        <v>106</v>
      </c>
      <c r="C69" s="22" t="s">
        <v>107</v>
      </c>
      <c r="D69" s="23">
        <v>115817.19133818618</v>
      </c>
      <c r="E69" s="23">
        <v>109072.83115629313</v>
      </c>
      <c r="F69" s="23">
        <v>106079.82635418304</v>
      </c>
      <c r="G69" s="23">
        <v>105020.00686413269</v>
      </c>
      <c r="H69" s="23">
        <v>108598.69426079019</v>
      </c>
      <c r="I69" s="23">
        <v>106414.62087919038</v>
      </c>
      <c r="J69" s="23">
        <v>115288.46607852032</v>
      </c>
      <c r="K69" s="23">
        <v>117401.07440811698</v>
      </c>
      <c r="L69" s="23">
        <v>120288.24581648102</v>
      </c>
      <c r="M69" s="23">
        <v>104804.44744260848</v>
      </c>
      <c r="N69" s="23">
        <v>116597.5611152589</v>
      </c>
      <c r="O69" s="23">
        <v>119607.75668371643</v>
      </c>
      <c r="P69" s="23">
        <v>116282.80181488645</v>
      </c>
      <c r="Q69" s="23">
        <v>113023.28610774891</v>
      </c>
      <c r="R69" s="23">
        <v>115160.30576022486</v>
      </c>
      <c r="S69" s="23">
        <v>115601.025335</v>
      </c>
      <c r="T69" s="23">
        <v>117524.00883946617</v>
      </c>
      <c r="U69" s="23">
        <v>120657.40900979807</v>
      </c>
      <c r="V69" s="23">
        <v>120537.33064476316</v>
      </c>
      <c r="W69" s="23">
        <v>117888.91227585661</v>
      </c>
      <c r="X69" s="23">
        <v>111678.27395096688</v>
      </c>
      <c r="Y69" s="23">
        <v>119066.5139973567</v>
      </c>
      <c r="Z69" s="23">
        <v>117060.59271582386</v>
      </c>
      <c r="AA69" s="23">
        <v>119992.95746118495</v>
      </c>
    </row>
    <row r="70" spans="1:27" ht="12.75" customHeight="1" x14ac:dyDescent="0.2">
      <c r="A70" s="155"/>
      <c r="B70" s="21" t="s">
        <v>108</v>
      </c>
      <c r="C70" s="22" t="s">
        <v>109</v>
      </c>
      <c r="D70" s="23">
        <v>212499.83051588293</v>
      </c>
      <c r="E70" s="23">
        <v>217286.00015145264</v>
      </c>
      <c r="F70" s="23">
        <v>211682.91765406029</v>
      </c>
      <c r="G70" s="23">
        <v>209011.72361911621</v>
      </c>
      <c r="H70" s="23">
        <v>218259.12154561808</v>
      </c>
      <c r="I70" s="23">
        <v>221977.02959934907</v>
      </c>
      <c r="J70" s="23">
        <v>239256.23731663672</v>
      </c>
      <c r="K70" s="23">
        <v>258270.6993746651</v>
      </c>
      <c r="L70" s="23">
        <v>261504.41918574498</v>
      </c>
      <c r="M70" s="23">
        <v>208100.16114286252</v>
      </c>
      <c r="N70" s="23">
        <v>230957.71376507255</v>
      </c>
      <c r="O70" s="23">
        <v>253321.49634110523</v>
      </c>
      <c r="P70" s="23">
        <v>252696.62311056152</v>
      </c>
      <c r="Q70" s="23">
        <v>249449.16960315651</v>
      </c>
      <c r="R70" s="23">
        <v>259303.95813938126</v>
      </c>
      <c r="S70" s="23">
        <v>259146.65260300005</v>
      </c>
      <c r="T70" s="23">
        <v>264149.99631856167</v>
      </c>
      <c r="U70" s="23">
        <v>277270.94933983113</v>
      </c>
      <c r="V70" s="23">
        <v>281395.36089663039</v>
      </c>
      <c r="W70" s="23">
        <v>282303.24187782075</v>
      </c>
      <c r="X70" s="23">
        <v>251661.43507345463</v>
      </c>
      <c r="Y70" s="23">
        <v>275665.21939567843</v>
      </c>
      <c r="Z70" s="23">
        <v>265830.77366295073</v>
      </c>
      <c r="AA70" s="23">
        <v>273829.98446806148</v>
      </c>
    </row>
    <row r="71" spans="1:27" ht="12.75" customHeight="1" x14ac:dyDescent="0.2">
      <c r="A71" s="155"/>
      <c r="B71" s="21" t="s">
        <v>128</v>
      </c>
      <c r="C71" s="22" t="s">
        <v>129</v>
      </c>
      <c r="D71" s="23">
        <v>182637.83727586985</v>
      </c>
      <c r="E71" s="23">
        <v>191569.39868675574</v>
      </c>
      <c r="F71" s="23">
        <v>191238.60122956935</v>
      </c>
      <c r="G71" s="23">
        <v>196628.32564449374</v>
      </c>
      <c r="H71" s="23">
        <v>200731.05439036168</v>
      </c>
      <c r="I71" s="23">
        <v>196782.79914168816</v>
      </c>
      <c r="J71" s="23">
        <v>211342.18528375559</v>
      </c>
      <c r="K71" s="23">
        <v>221903.54967513715</v>
      </c>
      <c r="L71" s="23">
        <v>201056.19108711134</v>
      </c>
      <c r="M71" s="23">
        <v>158495.4589927372</v>
      </c>
      <c r="N71" s="23">
        <v>207308.08093099276</v>
      </c>
      <c r="O71" s="23">
        <v>226513.67461206281</v>
      </c>
      <c r="P71" s="23">
        <v>216828.51332059933</v>
      </c>
      <c r="Q71" s="23">
        <v>220564.5841001643</v>
      </c>
      <c r="R71" s="23">
        <v>241506.05757296781</v>
      </c>
      <c r="S71" s="23">
        <v>257175.95083265984</v>
      </c>
      <c r="T71" s="23">
        <v>279088.42890004197</v>
      </c>
      <c r="U71" s="23">
        <v>287181.32052548614</v>
      </c>
      <c r="V71" s="23">
        <v>284365.25071281957</v>
      </c>
      <c r="W71" s="23">
        <v>278318.14025736589</v>
      </c>
      <c r="X71" s="23">
        <v>231559.48940534738</v>
      </c>
      <c r="Y71" s="23">
        <v>263071.73528361908</v>
      </c>
      <c r="Z71" s="23">
        <v>269751.54555805941</v>
      </c>
      <c r="AA71" s="23">
        <v>285778.14436738065</v>
      </c>
    </row>
    <row r="72" spans="1:27" ht="12.75" customHeight="1" x14ac:dyDescent="0.2">
      <c r="A72" s="155"/>
      <c r="B72" s="21" t="s">
        <v>130</v>
      </c>
      <c r="C72" s="22" t="s">
        <v>131</v>
      </c>
      <c r="D72" s="23">
        <v>45463.208168052188</v>
      </c>
      <c r="E72" s="23">
        <v>48162.450525330285</v>
      </c>
      <c r="F72" s="23">
        <v>47955.879226984594</v>
      </c>
      <c r="G72" s="23">
        <v>46669.496361703576</v>
      </c>
      <c r="H72" s="23">
        <v>43054.400808000348</v>
      </c>
      <c r="I72" s="23">
        <v>48702.436027361291</v>
      </c>
      <c r="J72" s="23">
        <v>51550.08769651402</v>
      </c>
      <c r="K72" s="23">
        <v>53530.109193445787</v>
      </c>
      <c r="L72" s="23">
        <v>56941.957870953294</v>
      </c>
      <c r="M72" s="23">
        <v>52409.944730052186</v>
      </c>
      <c r="N72" s="23">
        <v>52949.738127154327</v>
      </c>
      <c r="O72" s="23">
        <v>53165.00313171278</v>
      </c>
      <c r="P72" s="23">
        <v>55644.340378881658</v>
      </c>
      <c r="Q72" s="23">
        <v>58282.532213449384</v>
      </c>
      <c r="R72" s="23">
        <v>62168.81656842451</v>
      </c>
      <c r="S72" s="23">
        <v>63280.859604340192</v>
      </c>
      <c r="T72" s="23">
        <v>65343.897678280606</v>
      </c>
      <c r="U72" s="23">
        <v>68561.421948103627</v>
      </c>
      <c r="V72" s="23">
        <v>72605.85103470528</v>
      </c>
      <c r="W72" s="23">
        <v>75182.210198655841</v>
      </c>
      <c r="X72" s="23">
        <v>59845.785619858172</v>
      </c>
      <c r="Y72" s="23">
        <v>62422.939245265406</v>
      </c>
      <c r="Z72" s="23">
        <v>67826.924764414754</v>
      </c>
      <c r="AA72" s="23">
        <v>70290.267536068612</v>
      </c>
    </row>
    <row r="73" spans="1:27" ht="12.75" customHeight="1" x14ac:dyDescent="0.2">
      <c r="A73" s="155"/>
      <c r="B73" s="21" t="s">
        <v>132</v>
      </c>
      <c r="C73" s="22" t="s">
        <v>133</v>
      </c>
      <c r="D73" s="23">
        <v>99281.880586088198</v>
      </c>
      <c r="E73" s="23">
        <v>100952.44102558182</v>
      </c>
      <c r="F73" s="23">
        <v>98039.105481862745</v>
      </c>
      <c r="G73" s="23">
        <v>96002.420019070996</v>
      </c>
      <c r="H73" s="23">
        <v>96994.207551777232</v>
      </c>
      <c r="I73" s="23">
        <v>97342.278320391197</v>
      </c>
      <c r="J73" s="23">
        <v>101794.82627909373</v>
      </c>
      <c r="K73" s="23">
        <v>102527.10859595162</v>
      </c>
      <c r="L73" s="23">
        <v>100567.28781618306</v>
      </c>
      <c r="M73" s="23">
        <v>92396.426221129499</v>
      </c>
      <c r="N73" s="23">
        <v>92679.416510443669</v>
      </c>
      <c r="O73" s="23">
        <v>97438.702388156962</v>
      </c>
      <c r="P73" s="23">
        <v>93827.026976098583</v>
      </c>
      <c r="Q73" s="23">
        <v>91763.204071209635</v>
      </c>
      <c r="R73" s="23">
        <v>96508.165502400938</v>
      </c>
      <c r="S73" s="23">
        <v>99517.67715769168</v>
      </c>
      <c r="T73" s="23">
        <v>99188.638211550584</v>
      </c>
      <c r="U73" s="23">
        <v>104441.79422926203</v>
      </c>
      <c r="V73" s="23">
        <v>101844.48435500197</v>
      </c>
      <c r="W73" s="23">
        <v>108621.63004650698</v>
      </c>
      <c r="X73" s="23">
        <v>102866.08630913787</v>
      </c>
      <c r="Y73" s="23">
        <v>111653.76083364848</v>
      </c>
      <c r="Z73" s="23">
        <v>111540.40673586483</v>
      </c>
      <c r="AA73" s="23">
        <v>115271.34714519136</v>
      </c>
    </row>
    <row r="74" spans="1:27" ht="12.75" customHeight="1" x14ac:dyDescent="0.2">
      <c r="A74" s="155"/>
      <c r="B74" s="21" t="s">
        <v>134</v>
      </c>
      <c r="C74" s="22" t="s">
        <v>135</v>
      </c>
      <c r="D74" s="23">
        <v>72278.165747732957</v>
      </c>
      <c r="E74" s="23">
        <v>71772.802874268542</v>
      </c>
      <c r="F74" s="23">
        <v>70850.418355725968</v>
      </c>
      <c r="G74" s="23">
        <v>69226.271175832822</v>
      </c>
      <c r="H74" s="23">
        <v>70349.594489543291</v>
      </c>
      <c r="I74" s="23">
        <v>73919.21750137335</v>
      </c>
      <c r="J74" s="23">
        <v>76511.247407955831</v>
      </c>
      <c r="K74" s="23">
        <v>82368.512327006174</v>
      </c>
      <c r="L74" s="23">
        <v>83122.816737400266</v>
      </c>
      <c r="M74" s="23">
        <v>79577.794193019217</v>
      </c>
      <c r="N74" s="23">
        <v>83249.760644514303</v>
      </c>
      <c r="O74" s="23">
        <v>86489.723436203101</v>
      </c>
      <c r="P74" s="23">
        <v>90561.631984447056</v>
      </c>
      <c r="Q74" s="23">
        <v>89195.399106711571</v>
      </c>
      <c r="R74" s="23">
        <v>90159.518481457679</v>
      </c>
      <c r="S74" s="23">
        <v>94738.10089902347</v>
      </c>
      <c r="T74" s="23">
        <v>94079.580324053022</v>
      </c>
      <c r="U74" s="23">
        <v>90701.04578050079</v>
      </c>
      <c r="V74" s="23">
        <v>93741.050756977696</v>
      </c>
      <c r="W74" s="23">
        <v>99161.965304236801</v>
      </c>
      <c r="X74" s="23">
        <v>89306.501441892469</v>
      </c>
      <c r="Y74" s="23">
        <v>89351.159967456479</v>
      </c>
      <c r="Z74" s="23">
        <v>103980.69207278002</v>
      </c>
      <c r="AA74" s="23">
        <v>113889.44641188436</v>
      </c>
    </row>
    <row r="75" spans="1:27" ht="12.75" customHeight="1" x14ac:dyDescent="0.2">
      <c r="A75" s="156"/>
      <c r="B75" s="28" t="s">
        <v>52</v>
      </c>
      <c r="C75" s="31" t="s">
        <v>58</v>
      </c>
      <c r="D75" s="30">
        <f>SUM(D56:D74)</f>
        <v>2167781.004121359</v>
      </c>
      <c r="E75" s="30">
        <f t="shared" ref="E75:Y75" si="9">SUM(E56:E74)</f>
        <v>2177686.1740367427</v>
      </c>
      <c r="F75" s="30">
        <f t="shared" si="9"/>
        <v>2143053.0053013493</v>
      </c>
      <c r="G75" s="30">
        <f t="shared" si="9"/>
        <v>2112106.657392838</v>
      </c>
      <c r="H75" s="30">
        <f t="shared" si="9"/>
        <v>2152369.3974777954</v>
      </c>
      <c r="I75" s="30">
        <f t="shared" si="9"/>
        <v>2164485.9767571907</v>
      </c>
      <c r="J75" s="30">
        <f t="shared" si="9"/>
        <v>2246781.8062601695</v>
      </c>
      <c r="K75" s="30">
        <f t="shared" si="9"/>
        <v>2333869.3971638409</v>
      </c>
      <c r="L75" s="30">
        <f t="shared" si="9"/>
        <v>2264618.5839612698</v>
      </c>
      <c r="M75" s="30">
        <f t="shared" si="9"/>
        <v>1960336.3521453773</v>
      </c>
      <c r="N75" s="30">
        <f t="shared" si="9"/>
        <v>2104272.4357576077</v>
      </c>
      <c r="O75" s="30">
        <f t="shared" si="9"/>
        <v>2203296.0628351416</v>
      </c>
      <c r="P75" s="30">
        <f t="shared" si="9"/>
        <v>2157969.7458339473</v>
      </c>
      <c r="Q75" s="30">
        <f t="shared" si="9"/>
        <v>2136091.0195920919</v>
      </c>
      <c r="R75" s="30">
        <f t="shared" si="9"/>
        <v>2210487.3929212308</v>
      </c>
      <c r="S75" s="30">
        <f t="shared" si="9"/>
        <v>2341488.581913</v>
      </c>
      <c r="T75" s="30">
        <f t="shared" si="9"/>
        <v>2398279.1362541514</v>
      </c>
      <c r="U75" s="30">
        <f t="shared" si="9"/>
        <v>2450678.1784407464</v>
      </c>
      <c r="V75" s="30">
        <f t="shared" si="9"/>
        <v>2481710.9063289519</v>
      </c>
      <c r="W75" s="30">
        <f t="shared" si="9"/>
        <v>2487379.4096828611</v>
      </c>
      <c r="X75" s="30">
        <f t="shared" si="9"/>
        <v>2293157.2653324269</v>
      </c>
      <c r="Y75" s="30">
        <f t="shared" si="9"/>
        <v>2473767.3427478396</v>
      </c>
      <c r="Z75" s="30">
        <f t="shared" ref="Z75" si="10">SUM(Z56:Z74)</f>
        <v>2567868.1761618145</v>
      </c>
      <c r="AA75" s="30">
        <f t="shared" ref="AA75" si="11">SUM(AA56:AA74)</f>
        <v>2557454.0000000005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activeCell="AA2" sqref="AA2"/>
      <selection pane="topRight" activeCell="AA2" sqref="AA2"/>
      <selection pane="bottomLeft" activeCell="AA2" sqref="AA2"/>
      <selection pane="bottomRight" activeCell="AA2" sqref="AA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261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428473834</v>
      </c>
      <c r="E3" s="42">
        <v>429240746</v>
      </c>
      <c r="F3" s="42">
        <v>429728905</v>
      </c>
      <c r="G3" s="42">
        <v>431246056</v>
      </c>
      <c r="H3" s="42">
        <v>432878129</v>
      </c>
      <c r="I3" s="42">
        <v>434585887</v>
      </c>
      <c r="J3" s="42">
        <v>436041018</v>
      </c>
      <c r="K3" s="42">
        <v>437514477</v>
      </c>
      <c r="L3" s="42">
        <v>439074280</v>
      </c>
      <c r="M3" s="42">
        <v>440467898</v>
      </c>
      <c r="N3" s="42">
        <v>441160594</v>
      </c>
      <c r="O3" s="42">
        <v>440526112</v>
      </c>
      <c r="P3" s="42">
        <v>441280191</v>
      </c>
      <c r="Q3" s="42">
        <v>441739935</v>
      </c>
      <c r="R3" s="42">
        <v>442268078</v>
      </c>
      <c r="S3" s="42">
        <v>442924865</v>
      </c>
      <c r="T3" s="42">
        <v>444003268</v>
      </c>
      <c r="U3" s="42">
        <v>444670605</v>
      </c>
      <c r="V3" s="42">
        <v>445301376</v>
      </c>
      <c r="W3" s="42">
        <v>446149924</v>
      </c>
      <c r="X3" s="42">
        <v>447030024</v>
      </c>
      <c r="Y3" s="42">
        <v>445891011</v>
      </c>
      <c r="Z3" s="42">
        <v>445998928</v>
      </c>
      <c r="AA3" s="42">
        <v>447695350</v>
      </c>
    </row>
    <row r="4" spans="1:27" x14ac:dyDescent="0.25">
      <c r="A4" s="43" t="s">
        <v>239</v>
      </c>
      <c r="B4" s="44"/>
      <c r="C4" s="44"/>
      <c r="D4" s="45">
        <v>172570215</v>
      </c>
      <c r="E4" s="45">
        <v>173703130</v>
      </c>
      <c r="F4" s="45">
        <v>174813907</v>
      </c>
      <c r="G4" s="45">
        <v>176300618</v>
      </c>
      <c r="H4" s="45">
        <v>177831091</v>
      </c>
      <c r="I4" s="45">
        <v>178964308</v>
      </c>
      <c r="J4" s="45">
        <v>180546342</v>
      </c>
      <c r="K4" s="45">
        <v>182098391</v>
      </c>
      <c r="L4" s="45">
        <v>184381274</v>
      </c>
      <c r="M4" s="45">
        <v>185816234</v>
      </c>
      <c r="N4" s="45">
        <v>187148829</v>
      </c>
      <c r="O4" s="45">
        <v>187641221</v>
      </c>
      <c r="P4" s="45">
        <v>189190598</v>
      </c>
      <c r="Q4" s="45">
        <v>190075299</v>
      </c>
      <c r="R4" s="45">
        <v>191432726</v>
      </c>
      <c r="S4" s="45">
        <v>192680758</v>
      </c>
      <c r="T4" s="45">
        <v>193522871</v>
      </c>
      <c r="U4" s="45">
        <v>194387360</v>
      </c>
      <c r="V4" s="45">
        <v>195296351</v>
      </c>
      <c r="W4" s="45">
        <v>196373607</v>
      </c>
      <c r="X4" s="45">
        <v>196904246</v>
      </c>
      <c r="Y4" s="45">
        <v>197177094</v>
      </c>
      <c r="Z4" s="45">
        <v>198597658</v>
      </c>
      <c r="AA4" s="45">
        <v>200225723</v>
      </c>
    </row>
    <row r="5" spans="1:27" x14ac:dyDescent="0.25">
      <c r="A5" s="46" t="s">
        <v>240</v>
      </c>
      <c r="B5" s="47"/>
      <c r="C5" s="47"/>
      <c r="D5" s="48">
        <f>D3/D4</f>
        <v>2.4828956375814912</v>
      </c>
      <c r="E5" s="48">
        <f t="shared" ref="E5:S5" si="0">E3/E4</f>
        <v>2.4711169338169094</v>
      </c>
      <c r="F5" s="48">
        <f t="shared" si="0"/>
        <v>2.4582077729090512</v>
      </c>
      <c r="G5" s="48">
        <f t="shared" si="0"/>
        <v>2.4460836319927135</v>
      </c>
      <c r="H5" s="48">
        <f t="shared" si="0"/>
        <v>2.4342094881485039</v>
      </c>
      <c r="I5" s="48">
        <f t="shared" si="0"/>
        <v>2.4283383198397304</v>
      </c>
      <c r="J5" s="48">
        <f t="shared" si="0"/>
        <v>2.4151196483393722</v>
      </c>
      <c r="K5" s="48">
        <f t="shared" si="0"/>
        <v>2.4026268139843148</v>
      </c>
      <c r="L5" s="48">
        <f t="shared" si="0"/>
        <v>2.3813387904023267</v>
      </c>
      <c r="M5" s="48">
        <f t="shared" si="0"/>
        <v>2.3704489565750215</v>
      </c>
      <c r="N5" s="48">
        <f t="shared" si="0"/>
        <v>2.3572714633442886</v>
      </c>
      <c r="O5" s="48">
        <f t="shared" si="0"/>
        <v>2.3477043564963798</v>
      </c>
      <c r="P5" s="48">
        <f t="shared" si="0"/>
        <v>2.3324636407143235</v>
      </c>
      <c r="Q5" s="48">
        <f t="shared" si="0"/>
        <v>2.3240259903523812</v>
      </c>
      <c r="R5" s="48">
        <f t="shared" si="0"/>
        <v>2.3103054908176985</v>
      </c>
      <c r="S5" s="48">
        <f t="shared" si="0"/>
        <v>2.2987498575233962</v>
      </c>
      <c r="T5" s="48">
        <f t="shared" ref="T5:Y5" si="1">T3/T4</f>
        <v>2.2943193520521925</v>
      </c>
      <c r="U5" s="48">
        <f t="shared" si="1"/>
        <v>2.2875489692333906</v>
      </c>
      <c r="V5" s="48">
        <f t="shared" si="1"/>
        <v>2.2801315729652316</v>
      </c>
      <c r="W5" s="48">
        <f t="shared" si="1"/>
        <v>2.2719444370138806</v>
      </c>
      <c r="X5" s="48">
        <f t="shared" si="1"/>
        <v>2.2702914390175213</v>
      </c>
      <c r="Y5" s="48">
        <f t="shared" si="1"/>
        <v>2.2613732759445173</v>
      </c>
      <c r="Z5" s="48">
        <f t="shared" ref="Z5:AA5" si="2">Z3/Z4</f>
        <v>2.2457411255071298</v>
      </c>
      <c r="AA5" s="48">
        <f t="shared" si="2"/>
        <v>2.2359532196569969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 t="e">
        <v>#N/A</v>
      </c>
      <c r="E8" s="42" t="e">
        <v>#N/A</v>
      </c>
      <c r="F8" s="42" t="e">
        <v>#N/A</v>
      </c>
      <c r="G8" s="42" t="e">
        <v>#N/A</v>
      </c>
      <c r="H8" s="42" t="e">
        <v>#N/A</v>
      </c>
      <c r="I8" s="42" t="e">
        <v>#N/A</v>
      </c>
      <c r="J8" s="42" t="e">
        <v>#N/A</v>
      </c>
      <c r="K8" s="42" t="e">
        <v>#N/A</v>
      </c>
      <c r="L8" s="42" t="e">
        <v>#N/A</v>
      </c>
      <c r="M8" s="42" t="e">
        <v>#N/A</v>
      </c>
      <c r="N8" s="42" t="e">
        <v>#N/A</v>
      </c>
      <c r="O8" s="42" t="e">
        <v>#N/A</v>
      </c>
      <c r="P8" s="42" t="e">
        <v>#N/A</v>
      </c>
      <c r="Q8" s="42" t="e">
        <v>#N/A</v>
      </c>
      <c r="R8" s="42" t="e">
        <v>#N/A</v>
      </c>
      <c r="S8" s="42" t="e">
        <v>#N/A</v>
      </c>
      <c r="T8" s="42" t="e">
        <v>#N/A</v>
      </c>
      <c r="U8" s="42" t="e">
        <v>#N/A</v>
      </c>
      <c r="V8" s="42" t="e">
        <v>#N/A</v>
      </c>
      <c r="W8" s="42" t="e">
        <v>#N/A</v>
      </c>
      <c r="X8" s="42" t="e">
        <v>#N/A</v>
      </c>
      <c r="Y8" s="42" t="e">
        <v>#N/A</v>
      </c>
      <c r="Z8" s="42" t="e">
        <v>#N/A</v>
      </c>
      <c r="AA8" s="42" t="e">
        <v>#N/A</v>
      </c>
    </row>
    <row r="9" spans="1:27" x14ac:dyDescent="0.25">
      <c r="A9" s="43" t="s">
        <v>259</v>
      </c>
      <c r="B9" s="44"/>
      <c r="C9" s="44"/>
      <c r="D9" s="45" t="e">
        <f t="shared" ref="D9:W9" si="3">AVERAGE($D8:$X8)</f>
        <v>#N/A</v>
      </c>
      <c r="E9" s="45" t="e">
        <f t="shared" si="3"/>
        <v>#N/A</v>
      </c>
      <c r="F9" s="45" t="e">
        <f t="shared" si="3"/>
        <v>#N/A</v>
      </c>
      <c r="G9" s="45" t="e">
        <f t="shared" si="3"/>
        <v>#N/A</v>
      </c>
      <c r="H9" s="45" t="e">
        <f t="shared" si="3"/>
        <v>#N/A</v>
      </c>
      <c r="I9" s="45" t="e">
        <f t="shared" si="3"/>
        <v>#N/A</v>
      </c>
      <c r="J9" s="45" t="e">
        <f t="shared" si="3"/>
        <v>#N/A</v>
      </c>
      <c r="K9" s="45" t="e">
        <f t="shared" si="3"/>
        <v>#N/A</v>
      </c>
      <c r="L9" s="45" t="e">
        <f t="shared" si="3"/>
        <v>#N/A</v>
      </c>
      <c r="M9" s="45" t="e">
        <f t="shared" si="3"/>
        <v>#N/A</v>
      </c>
      <c r="N9" s="45" t="e">
        <f t="shared" si="3"/>
        <v>#N/A</v>
      </c>
      <c r="O9" s="45" t="e">
        <f t="shared" si="3"/>
        <v>#N/A</v>
      </c>
      <c r="P9" s="45" t="e">
        <f t="shared" si="3"/>
        <v>#N/A</v>
      </c>
      <c r="Q9" s="45" t="e">
        <f t="shared" si="3"/>
        <v>#N/A</v>
      </c>
      <c r="R9" s="45" t="e">
        <f t="shared" si="3"/>
        <v>#N/A</v>
      </c>
      <c r="S9" s="45" t="e">
        <f t="shared" si="3"/>
        <v>#N/A</v>
      </c>
      <c r="T9" s="45" t="e">
        <f t="shared" si="3"/>
        <v>#N/A</v>
      </c>
      <c r="U9" s="45" t="e">
        <f t="shared" si="3"/>
        <v>#N/A</v>
      </c>
      <c r="V9" s="45" t="e">
        <f t="shared" si="3"/>
        <v>#N/A</v>
      </c>
      <c r="W9" s="45" t="e">
        <f t="shared" si="3"/>
        <v>#N/A</v>
      </c>
      <c r="X9" s="45" t="e">
        <f>AVERAGE($D8:$X8)</f>
        <v>#N/A</v>
      </c>
      <c r="Y9" s="45" t="e">
        <f t="shared" ref="Y9:AA9" si="4">AVERAGE($D8:$X8)</f>
        <v>#N/A</v>
      </c>
      <c r="Z9" s="45" t="e">
        <f t="shared" si="4"/>
        <v>#N/A</v>
      </c>
      <c r="AA9" s="45" t="e">
        <f t="shared" si="4"/>
        <v>#N/A</v>
      </c>
    </row>
    <row r="10" spans="1:27" x14ac:dyDescent="0.25">
      <c r="A10" s="51" t="s">
        <v>250</v>
      </c>
      <c r="B10" s="52"/>
      <c r="C10" s="52"/>
      <c r="D10" s="53" t="e">
        <f t="shared" ref="D10:S10" si="5">IF(D8=0,0,D8/D9)</f>
        <v>#N/A</v>
      </c>
      <c r="E10" s="53" t="e">
        <f t="shared" si="5"/>
        <v>#N/A</v>
      </c>
      <c r="F10" s="53" t="e">
        <f t="shared" si="5"/>
        <v>#N/A</v>
      </c>
      <c r="G10" s="53" t="e">
        <f t="shared" si="5"/>
        <v>#N/A</v>
      </c>
      <c r="H10" s="53" t="e">
        <f t="shared" si="5"/>
        <v>#N/A</v>
      </c>
      <c r="I10" s="53" t="e">
        <f t="shared" si="5"/>
        <v>#N/A</v>
      </c>
      <c r="J10" s="53" t="e">
        <f t="shared" si="5"/>
        <v>#N/A</v>
      </c>
      <c r="K10" s="53" t="e">
        <f t="shared" si="5"/>
        <v>#N/A</v>
      </c>
      <c r="L10" s="53" t="e">
        <f t="shared" si="5"/>
        <v>#N/A</v>
      </c>
      <c r="M10" s="53" t="e">
        <f t="shared" si="5"/>
        <v>#N/A</v>
      </c>
      <c r="N10" s="53" t="e">
        <f t="shared" si="5"/>
        <v>#N/A</v>
      </c>
      <c r="O10" s="53" t="e">
        <f t="shared" si="5"/>
        <v>#N/A</v>
      </c>
      <c r="P10" s="53" t="e">
        <f t="shared" si="5"/>
        <v>#N/A</v>
      </c>
      <c r="Q10" s="53" t="e">
        <f t="shared" si="5"/>
        <v>#N/A</v>
      </c>
      <c r="R10" s="53" t="e">
        <f t="shared" si="5"/>
        <v>#N/A</v>
      </c>
      <c r="S10" s="53" t="e">
        <f t="shared" si="5"/>
        <v>#N/A</v>
      </c>
      <c r="T10" s="53" t="e">
        <f t="shared" ref="T10:Y10" si="6">IF(T8=0,0,T8/T9)</f>
        <v>#N/A</v>
      </c>
      <c r="U10" s="53" t="e">
        <f t="shared" si="6"/>
        <v>#N/A</v>
      </c>
      <c r="V10" s="53" t="e">
        <f t="shared" si="6"/>
        <v>#N/A</v>
      </c>
      <c r="W10" s="53" t="e">
        <f t="shared" si="6"/>
        <v>#N/A</v>
      </c>
      <c r="X10" s="53" t="e">
        <f t="shared" si="6"/>
        <v>#N/A</v>
      </c>
      <c r="Y10" s="53" t="e">
        <f t="shared" si="6"/>
        <v>#N/A</v>
      </c>
      <c r="Z10" s="53" t="e">
        <f t="shared" ref="Z10:AA10" si="7">IF(Z8=0,0,Z8/Z9)</f>
        <v>#N/A</v>
      </c>
      <c r="AA10" s="53" t="e">
        <f t="shared" si="7"/>
        <v>#N/A</v>
      </c>
    </row>
    <row r="11" spans="1:27" x14ac:dyDescent="0.25">
      <c r="A11" s="43" t="s">
        <v>251</v>
      </c>
      <c r="B11" s="44"/>
      <c r="C11" s="44"/>
      <c r="D11" s="45" t="e">
        <v>#N/A</v>
      </c>
      <c r="E11" s="45" t="e">
        <v>#N/A</v>
      </c>
      <c r="F11" s="45" t="e">
        <v>#N/A</v>
      </c>
      <c r="G11" s="45" t="e">
        <v>#N/A</v>
      </c>
      <c r="H11" s="45" t="e">
        <v>#N/A</v>
      </c>
      <c r="I11" s="45" t="e">
        <v>#N/A</v>
      </c>
      <c r="J11" s="45" t="e">
        <v>#N/A</v>
      </c>
      <c r="K11" s="45" t="e">
        <v>#N/A</v>
      </c>
      <c r="L11" s="45" t="e">
        <v>#N/A</v>
      </c>
      <c r="M11" s="45" t="e">
        <v>#N/A</v>
      </c>
      <c r="N11" s="45" t="e">
        <v>#N/A</v>
      </c>
      <c r="O11" s="45" t="e">
        <v>#N/A</v>
      </c>
      <c r="P11" s="45" t="e">
        <v>#N/A</v>
      </c>
      <c r="Q11" s="45" t="e">
        <v>#N/A</v>
      </c>
      <c r="R11" s="45" t="e">
        <v>#N/A</v>
      </c>
      <c r="S11" s="45" t="e">
        <v>#N/A</v>
      </c>
      <c r="T11" s="45" t="e">
        <v>#N/A</v>
      </c>
      <c r="U11" s="45" t="e">
        <v>#N/A</v>
      </c>
      <c r="V11" s="45" t="e">
        <v>#N/A</v>
      </c>
      <c r="W11" s="45" t="e">
        <v>#N/A</v>
      </c>
      <c r="X11" s="45" t="e">
        <v>#N/A</v>
      </c>
      <c r="Y11" s="45" t="e">
        <v>#N/A</v>
      </c>
      <c r="Z11" s="45" t="e">
        <v>#N/A</v>
      </c>
      <c r="AA11" s="45" t="e">
        <v>#N/A</v>
      </c>
    </row>
    <row r="12" spans="1:27" x14ac:dyDescent="0.25">
      <c r="A12" s="43" t="s">
        <v>260</v>
      </c>
      <c r="B12" s="44"/>
      <c r="C12" s="44"/>
      <c r="D12" s="45" t="e">
        <f t="shared" ref="D12" si="8">AVERAGE($D11:$X11)</f>
        <v>#N/A</v>
      </c>
      <c r="E12" s="45" t="e">
        <f t="shared" ref="E12" si="9">AVERAGE($D11:$X11)</f>
        <v>#N/A</v>
      </c>
      <c r="F12" s="45" t="e">
        <f t="shared" ref="F12" si="10">AVERAGE($D11:$X11)</f>
        <v>#N/A</v>
      </c>
      <c r="G12" s="45" t="e">
        <f t="shared" ref="G12" si="11">AVERAGE($D11:$X11)</f>
        <v>#N/A</v>
      </c>
      <c r="H12" s="45" t="e">
        <f t="shared" ref="H12" si="12">AVERAGE($D11:$X11)</f>
        <v>#N/A</v>
      </c>
      <c r="I12" s="45" t="e">
        <f t="shared" ref="I12" si="13">AVERAGE($D11:$X11)</f>
        <v>#N/A</v>
      </c>
      <c r="J12" s="45" t="e">
        <f t="shared" ref="J12" si="14">AVERAGE($D11:$X11)</f>
        <v>#N/A</v>
      </c>
      <c r="K12" s="45" t="e">
        <f t="shared" ref="K12" si="15">AVERAGE($D11:$X11)</f>
        <v>#N/A</v>
      </c>
      <c r="L12" s="45" t="e">
        <f t="shared" ref="L12" si="16">AVERAGE($D11:$X11)</f>
        <v>#N/A</v>
      </c>
      <c r="M12" s="45" t="e">
        <f t="shared" ref="M12" si="17">AVERAGE($D11:$X11)</f>
        <v>#N/A</v>
      </c>
      <c r="N12" s="45" t="e">
        <f t="shared" ref="N12" si="18">AVERAGE($D11:$X11)</f>
        <v>#N/A</v>
      </c>
      <c r="O12" s="45" t="e">
        <f t="shared" ref="O12" si="19">AVERAGE($D11:$X11)</f>
        <v>#N/A</v>
      </c>
      <c r="P12" s="45" t="e">
        <f t="shared" ref="P12" si="20">AVERAGE($D11:$X11)</f>
        <v>#N/A</v>
      </c>
      <c r="Q12" s="45" t="e">
        <f t="shared" ref="Q12" si="21">AVERAGE($D11:$X11)</f>
        <v>#N/A</v>
      </c>
      <c r="R12" s="45" t="e">
        <f t="shared" ref="R12" si="22">AVERAGE($D11:$X11)</f>
        <v>#N/A</v>
      </c>
      <c r="S12" s="45" t="e">
        <f t="shared" ref="S12" si="23">AVERAGE($D11:$X11)</f>
        <v>#N/A</v>
      </c>
      <c r="T12" s="45" t="e">
        <f t="shared" ref="T12" si="24">AVERAGE($D11:$X11)</f>
        <v>#N/A</v>
      </c>
      <c r="U12" s="45" t="e">
        <f t="shared" ref="U12" si="25">AVERAGE($D11:$X11)</f>
        <v>#N/A</v>
      </c>
      <c r="V12" s="45" t="e">
        <f t="shared" ref="V12" si="26">AVERAGE($D11:$X11)</f>
        <v>#N/A</v>
      </c>
      <c r="W12" s="45" t="e">
        <f t="shared" ref="W12" si="27">AVERAGE($D11:$X11)</f>
        <v>#N/A</v>
      </c>
      <c r="X12" s="45" t="e">
        <f>AVERAGE($D11:$X11)</f>
        <v>#N/A</v>
      </c>
      <c r="Y12" s="45" t="e">
        <f t="shared" ref="Y12:AA12" si="28">AVERAGE($D11:$X11)</f>
        <v>#N/A</v>
      </c>
      <c r="Z12" s="45" t="e">
        <f t="shared" si="28"/>
        <v>#N/A</v>
      </c>
      <c r="AA12" s="45" t="e">
        <f t="shared" si="28"/>
        <v>#N/A</v>
      </c>
    </row>
    <row r="13" spans="1:27" x14ac:dyDescent="0.25">
      <c r="A13" s="54" t="s">
        <v>252</v>
      </c>
      <c r="B13" s="47"/>
      <c r="C13" s="47"/>
      <c r="D13" s="55" t="e">
        <f t="shared" ref="D13:E13" si="29">IF(D11=0,0,D11/D12)</f>
        <v>#N/A</v>
      </c>
      <c r="E13" s="55" t="e">
        <f t="shared" si="29"/>
        <v>#N/A</v>
      </c>
      <c r="F13" s="55" t="e">
        <f t="shared" ref="F13" si="30">IF(F11=0,0,F11/F12)</f>
        <v>#N/A</v>
      </c>
      <c r="G13" s="55" t="e">
        <f t="shared" ref="G13" si="31">IF(G11=0,0,G11/G12)</f>
        <v>#N/A</v>
      </c>
      <c r="H13" s="55" t="e">
        <f t="shared" ref="H13" si="32">IF(H11=0,0,H11/H12)</f>
        <v>#N/A</v>
      </c>
      <c r="I13" s="55" t="e">
        <f t="shared" ref="I13" si="33">IF(I11=0,0,I11/I12)</f>
        <v>#N/A</v>
      </c>
      <c r="J13" s="55" t="e">
        <f t="shared" ref="J13" si="34">IF(J11=0,0,J11/J12)</f>
        <v>#N/A</v>
      </c>
      <c r="K13" s="55" t="e">
        <f t="shared" ref="K13" si="35">IF(K11=0,0,K11/K12)</f>
        <v>#N/A</v>
      </c>
      <c r="L13" s="55" t="e">
        <f t="shared" ref="L13" si="36">IF(L11=0,0,L11/L12)</f>
        <v>#N/A</v>
      </c>
      <c r="M13" s="55" t="e">
        <f t="shared" ref="M13" si="37">IF(M11=0,0,M11/M12)</f>
        <v>#N/A</v>
      </c>
      <c r="N13" s="55" t="e">
        <f t="shared" ref="N13" si="38">IF(N11=0,0,N11/N12)</f>
        <v>#N/A</v>
      </c>
      <c r="O13" s="55" t="e">
        <f t="shared" ref="O13" si="39">IF(O11=0,0,O11/O12)</f>
        <v>#N/A</v>
      </c>
      <c r="P13" s="55" t="e">
        <f t="shared" ref="P13" si="40">IF(P11=0,0,P11/P12)</f>
        <v>#N/A</v>
      </c>
      <c r="Q13" s="55" t="e">
        <f t="shared" ref="Q13" si="41">IF(Q11=0,0,Q11/Q12)</f>
        <v>#N/A</v>
      </c>
      <c r="R13" s="55" t="e">
        <f t="shared" ref="R13" si="42">IF(R11=0,0,R11/R12)</f>
        <v>#N/A</v>
      </c>
      <c r="S13" s="55" t="e">
        <f t="shared" ref="S13:Y13" si="43">IF(S11=0,0,S11/S12)</f>
        <v>#N/A</v>
      </c>
      <c r="T13" s="55" t="e">
        <f t="shared" si="43"/>
        <v>#N/A</v>
      </c>
      <c r="U13" s="55" t="e">
        <f t="shared" si="43"/>
        <v>#N/A</v>
      </c>
      <c r="V13" s="55" t="e">
        <f t="shared" si="43"/>
        <v>#N/A</v>
      </c>
      <c r="W13" s="55" t="e">
        <f t="shared" si="43"/>
        <v>#N/A</v>
      </c>
      <c r="X13" s="55" t="e">
        <f t="shared" si="43"/>
        <v>#N/A</v>
      </c>
      <c r="Y13" s="55" t="e">
        <f t="shared" si="43"/>
        <v>#N/A</v>
      </c>
      <c r="Z13" s="55" t="e">
        <f t="shared" ref="Z13:AA13" si="44">IF(Z11=0,0,Z11/Z12)</f>
        <v>#N/A</v>
      </c>
      <c r="AA13" s="55" t="e">
        <f t="shared" si="44"/>
        <v>#N/A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12498759.156787341</v>
      </c>
      <c r="E16" s="42">
        <v>12770207.708801342</v>
      </c>
      <c r="F16" s="42">
        <v>12911345.822217397</v>
      </c>
      <c r="G16" s="42">
        <v>13033633.819342617</v>
      </c>
      <c r="H16" s="42">
        <v>13375129.330620615</v>
      </c>
      <c r="I16" s="42">
        <v>13645217.774766544</v>
      </c>
      <c r="J16" s="42">
        <v>14138782.350320356</v>
      </c>
      <c r="K16" s="42">
        <v>14590749.717234472</v>
      </c>
      <c r="L16" s="42">
        <v>14692309.514861224</v>
      </c>
      <c r="M16" s="42">
        <v>14055525.902416991</v>
      </c>
      <c r="N16" s="42">
        <v>14361991.148063798</v>
      </c>
      <c r="O16" s="42">
        <v>14650595.809612067</v>
      </c>
      <c r="P16" s="42">
        <v>14545469.575130999</v>
      </c>
      <c r="Q16" s="42">
        <v>14542488.984036935</v>
      </c>
      <c r="R16" s="42">
        <v>14784632.613671448</v>
      </c>
      <c r="S16" s="42">
        <v>15136246.721697001</v>
      </c>
      <c r="T16" s="42">
        <v>15431064.668399459</v>
      </c>
      <c r="U16" s="42">
        <v>15873224.604654022</v>
      </c>
      <c r="V16" s="42">
        <v>16205426.018408891</v>
      </c>
      <c r="W16" s="42">
        <v>16513294.462701106</v>
      </c>
      <c r="X16" s="42">
        <v>15600462.965886045</v>
      </c>
      <c r="Y16" s="42">
        <v>16586867.1390261</v>
      </c>
      <c r="Z16" s="42">
        <v>17178245.802106109</v>
      </c>
      <c r="AA16" s="42">
        <v>17252703.5</v>
      </c>
    </row>
    <row r="17" spans="1:27" x14ac:dyDescent="0.25">
      <c r="A17" s="46" t="s">
        <v>141</v>
      </c>
      <c r="B17" s="47"/>
      <c r="C17" s="47"/>
      <c r="D17" s="57">
        <v>6950135.9780574571</v>
      </c>
      <c r="E17" s="57">
        <v>7084322.1413910287</v>
      </c>
      <c r="F17" s="57">
        <v>7178275.1390623515</v>
      </c>
      <c r="G17" s="57">
        <v>7286980.981880405</v>
      </c>
      <c r="H17" s="57">
        <v>7439636.0700829392</v>
      </c>
      <c r="I17" s="57">
        <v>7606644.947900122</v>
      </c>
      <c r="J17" s="57">
        <v>7791374.5284857359</v>
      </c>
      <c r="K17" s="57">
        <v>7968913.2753223535</v>
      </c>
      <c r="L17" s="57">
        <v>8018569.1107910201</v>
      </c>
      <c r="M17" s="57">
        <v>7937199.8840018976</v>
      </c>
      <c r="N17" s="57">
        <v>8015377.1084867464</v>
      </c>
      <c r="O17" s="57">
        <v>8043614.0167380823</v>
      </c>
      <c r="P17" s="57">
        <v>7978382.9165719775</v>
      </c>
      <c r="Q17" s="57">
        <v>7931629.2916701399</v>
      </c>
      <c r="R17" s="57">
        <v>8021725.7539266739</v>
      </c>
      <c r="S17" s="57">
        <v>8205453.3548769997</v>
      </c>
      <c r="T17" s="57">
        <v>8378882.9532850822</v>
      </c>
      <c r="U17" s="57">
        <v>8568540.6476909593</v>
      </c>
      <c r="V17" s="57">
        <v>8731693.3788442239</v>
      </c>
      <c r="W17" s="57">
        <v>8868259.1295936331</v>
      </c>
      <c r="X17" s="57">
        <v>8238144.6397324903</v>
      </c>
      <c r="Y17" s="57">
        <v>8634581.1139724292</v>
      </c>
      <c r="Z17" s="57">
        <v>9066113.6726165675</v>
      </c>
      <c r="AA17" s="57">
        <v>9094195.200000003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29170.414071976546</v>
      </c>
      <c r="E20" s="42">
        <f t="shared" ref="E20:S20" si="45">1000000*E16/E$3</f>
        <v>29750.688460506361</v>
      </c>
      <c r="F20" s="42">
        <f t="shared" si="45"/>
        <v>30045.327814793833</v>
      </c>
      <c r="G20" s="42">
        <f t="shared" si="45"/>
        <v>30223.195407826795</v>
      </c>
      <c r="H20" s="42">
        <f t="shared" si="45"/>
        <v>30898.140688047133</v>
      </c>
      <c r="I20" s="42">
        <f t="shared" si="45"/>
        <v>31398.207311703482</v>
      </c>
      <c r="J20" s="42">
        <f t="shared" si="45"/>
        <v>32425.349374632355</v>
      </c>
      <c r="K20" s="42">
        <f t="shared" si="45"/>
        <v>33349.181534019212</v>
      </c>
      <c r="L20" s="42">
        <f t="shared" si="45"/>
        <v>33462.013568322029</v>
      </c>
      <c r="M20" s="42">
        <f t="shared" si="45"/>
        <v>31910.443340451999</v>
      </c>
      <c r="N20" s="42">
        <f t="shared" si="45"/>
        <v>32555.018157546041</v>
      </c>
      <c r="O20" s="42">
        <f t="shared" si="45"/>
        <v>33257.042909665404</v>
      </c>
      <c r="P20" s="42">
        <f t="shared" si="45"/>
        <v>32961.981688253487</v>
      </c>
      <c r="Q20" s="42">
        <f t="shared" si="45"/>
        <v>32920.928881009902</v>
      </c>
      <c r="R20" s="42">
        <f t="shared" si="45"/>
        <v>33429.119914169903</v>
      </c>
      <c r="S20" s="42">
        <f t="shared" si="45"/>
        <v>34173.395800881488</v>
      </c>
      <c r="T20" s="42">
        <f t="shared" ref="T20:Y20" si="46">1000000*T16/T$3</f>
        <v>34754.394349186317</v>
      </c>
      <c r="U20" s="42">
        <f t="shared" si="46"/>
        <v>35696.590748682436</v>
      </c>
      <c r="V20" s="42">
        <f t="shared" si="46"/>
        <v>36392.04119236517</v>
      </c>
      <c r="W20" s="42">
        <f t="shared" si="46"/>
        <v>37012.881935851467</v>
      </c>
      <c r="X20" s="42">
        <f t="shared" si="46"/>
        <v>34898.020554176568</v>
      </c>
      <c r="Y20" s="42">
        <f t="shared" si="46"/>
        <v>37199.375474797584</v>
      </c>
      <c r="Z20" s="42">
        <f t="shared" ref="Z20:AA20" si="47">1000000*Z16/Z$3</f>
        <v>38516.338770451279</v>
      </c>
      <c r="AA20" s="42">
        <f t="shared" si="47"/>
        <v>38536.704703321135</v>
      </c>
    </row>
    <row r="21" spans="1:27" x14ac:dyDescent="0.25">
      <c r="A21" s="46" t="s">
        <v>141</v>
      </c>
      <c r="B21" s="47"/>
      <c r="C21" s="47"/>
      <c r="D21" s="57">
        <f>1000000*D17/D$3</f>
        <v>16220.677732347729</v>
      </c>
      <c r="E21" s="57">
        <f t="shared" ref="E21:S21" si="48">1000000*E17/E$3</f>
        <v>16504.309545187094</v>
      </c>
      <c r="F21" s="57">
        <f t="shared" si="48"/>
        <v>16704.194331685347</v>
      </c>
      <c r="G21" s="57">
        <f t="shared" si="48"/>
        <v>16897.501740584976</v>
      </c>
      <c r="H21" s="57">
        <f t="shared" si="48"/>
        <v>17186.444802072547</v>
      </c>
      <c r="I21" s="57">
        <f t="shared" si="48"/>
        <v>17503.202877593958</v>
      </c>
      <c r="J21" s="57">
        <f t="shared" si="48"/>
        <v>17868.444038183894</v>
      </c>
      <c r="K21" s="57">
        <f t="shared" si="48"/>
        <v>18214.056206698628</v>
      </c>
      <c r="L21" s="57">
        <f t="shared" si="48"/>
        <v>18262.443226670031</v>
      </c>
      <c r="M21" s="57">
        <f t="shared" si="48"/>
        <v>18019.928171932061</v>
      </c>
      <c r="N21" s="57">
        <f t="shared" si="48"/>
        <v>18168.841953474082</v>
      </c>
      <c r="O21" s="57">
        <f t="shared" si="48"/>
        <v>18259.108365267759</v>
      </c>
      <c r="P21" s="57">
        <f t="shared" si="48"/>
        <v>18080.083990382376</v>
      </c>
      <c r="Q21" s="57">
        <f t="shared" si="48"/>
        <v>17955.427307404614</v>
      </c>
      <c r="R21" s="57">
        <f t="shared" si="48"/>
        <v>18137.700080462677</v>
      </c>
      <c r="S21" s="57">
        <f t="shared" si="48"/>
        <v>18525.610105174383</v>
      </c>
      <c r="T21" s="57">
        <f t="shared" ref="T21:Y21" si="49">1000000*T17/T$3</f>
        <v>18871.219103921285</v>
      </c>
      <c r="U21" s="57">
        <f t="shared" si="49"/>
        <v>19269.411000736058</v>
      </c>
      <c r="V21" s="57">
        <f t="shared" si="49"/>
        <v>19608.503026148799</v>
      </c>
      <c r="W21" s="57">
        <f t="shared" si="49"/>
        <v>19877.307273941467</v>
      </c>
      <c r="X21" s="57">
        <f t="shared" si="49"/>
        <v>18428.615970842464</v>
      </c>
      <c r="Y21" s="57">
        <f t="shared" si="49"/>
        <v>19364.779511046094</v>
      </c>
      <c r="Z21" s="57">
        <f t="shared" ref="Z21:AA21" si="50">1000000*Z17/Z$3</f>
        <v>20327.657990730793</v>
      </c>
      <c r="AA21" s="57">
        <f t="shared" si="50"/>
        <v>20313.356392913181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277</v>
      </c>
      <c r="B23" s="59"/>
      <c r="C23" s="59"/>
      <c r="D23" s="60">
        <v>11121597.51685543</v>
      </c>
      <c r="E23" s="60">
        <v>11373968.959324721</v>
      </c>
      <c r="F23" s="60">
        <v>11507872.321735566</v>
      </c>
      <c r="G23" s="60">
        <v>11606592.916551739</v>
      </c>
      <c r="H23" s="60">
        <v>11924844.717846917</v>
      </c>
      <c r="I23" s="60">
        <v>12157423.08057523</v>
      </c>
      <c r="J23" s="60">
        <v>12604481.261252409</v>
      </c>
      <c r="K23" s="60">
        <v>13039282.72607624</v>
      </c>
      <c r="L23" s="60">
        <v>13161793.161896292</v>
      </c>
      <c r="M23" s="60">
        <v>12580803.817130545</v>
      </c>
      <c r="N23" s="60">
        <v>12867793.629699856</v>
      </c>
      <c r="O23" s="60">
        <v>13145869.324073812</v>
      </c>
      <c r="P23" s="60">
        <v>13063429.080372807</v>
      </c>
      <c r="Q23" s="60">
        <v>13075817.561510006</v>
      </c>
      <c r="R23" s="60">
        <v>13294540.339151319</v>
      </c>
      <c r="S23" s="60">
        <v>13586162.630198998</v>
      </c>
      <c r="T23" s="60">
        <v>13841011.628719138</v>
      </c>
      <c r="U23" s="60">
        <v>14241112.76653369</v>
      </c>
      <c r="V23" s="60">
        <v>14549248.493522158</v>
      </c>
      <c r="W23" s="60">
        <v>14824245.479224434</v>
      </c>
      <c r="X23" s="60">
        <v>14018481.791443957</v>
      </c>
      <c r="Y23" s="60">
        <v>14896095.690585317</v>
      </c>
      <c r="Z23" s="60">
        <v>15479212.479447233</v>
      </c>
      <c r="AA23" s="60">
        <v>15592421.6</v>
      </c>
    </row>
    <row r="24" spans="1:27" x14ac:dyDescent="0.25">
      <c r="A24" s="61" t="s">
        <v>33</v>
      </c>
      <c r="B24" s="62"/>
      <c r="C24" s="62"/>
      <c r="D24" s="63">
        <v>283595.7874449662</v>
      </c>
      <c r="E24" s="63">
        <v>292875.35475752939</v>
      </c>
      <c r="F24" s="63">
        <v>273563.83585996839</v>
      </c>
      <c r="G24" s="63">
        <v>267137.0461146569</v>
      </c>
      <c r="H24" s="63">
        <v>277262.6804072854</v>
      </c>
      <c r="I24" s="63">
        <v>243832.47770055608</v>
      </c>
      <c r="J24" s="63">
        <v>237325.18180331291</v>
      </c>
      <c r="K24" s="63">
        <v>248287.41197299381</v>
      </c>
      <c r="L24" s="63">
        <v>240143.75937766628</v>
      </c>
      <c r="M24" s="63">
        <v>209614.17530349697</v>
      </c>
      <c r="N24" s="63">
        <v>230445.18420817982</v>
      </c>
      <c r="O24" s="63">
        <v>248997.08375018495</v>
      </c>
      <c r="P24" s="63">
        <v>245263.12231975814</v>
      </c>
      <c r="Q24" s="63">
        <v>250741.63029328562</v>
      </c>
      <c r="R24" s="63">
        <v>251397.30011196362</v>
      </c>
      <c r="S24" s="63">
        <v>246163.21213</v>
      </c>
      <c r="T24" s="63">
        <v>245452.10186341213</v>
      </c>
      <c r="U24" s="63">
        <v>268401.60766438441</v>
      </c>
      <c r="V24" s="63">
        <v>260370.07552670877</v>
      </c>
      <c r="W24" s="63">
        <v>262609.05463492742</v>
      </c>
      <c r="X24" s="63">
        <v>251362.95367721573</v>
      </c>
      <c r="Y24" s="63">
        <v>265308.34246249561</v>
      </c>
      <c r="Z24" s="63">
        <v>291619.48934314452</v>
      </c>
      <c r="AA24" s="63">
        <v>283140.60000000003</v>
      </c>
    </row>
    <row r="25" spans="1:27" x14ac:dyDescent="0.25">
      <c r="A25" s="64" t="s">
        <v>56</v>
      </c>
      <c r="B25" s="65"/>
      <c r="C25" s="65"/>
      <c r="D25" s="66">
        <v>65260.779930702913</v>
      </c>
      <c r="E25" s="66">
        <v>64990.328395605829</v>
      </c>
      <c r="F25" s="66">
        <v>63205.398262016686</v>
      </c>
      <c r="G25" s="66">
        <v>60531.35918435685</v>
      </c>
      <c r="H25" s="66">
        <v>65755.89168243506</v>
      </c>
      <c r="I25" s="66">
        <v>71847.120482474813</v>
      </c>
      <c r="J25" s="66">
        <v>81639.346526589085</v>
      </c>
      <c r="K25" s="66">
        <v>80319.716021513203</v>
      </c>
      <c r="L25" s="66">
        <v>92157.494689615283</v>
      </c>
      <c r="M25" s="66">
        <v>71857.051715846828</v>
      </c>
      <c r="N25" s="66">
        <v>79174.720598983011</v>
      </c>
      <c r="O25" s="66">
        <v>84407.299318669902</v>
      </c>
      <c r="P25" s="66">
        <v>89071.996570751086</v>
      </c>
      <c r="Q25" s="66">
        <v>82087.957314253363</v>
      </c>
      <c r="R25" s="66">
        <v>69765.032941779704</v>
      </c>
      <c r="S25" s="66">
        <v>57469.341462599921</v>
      </c>
      <c r="T25" s="66">
        <v>48082.022567144777</v>
      </c>
      <c r="U25" s="66">
        <v>52703.865123539086</v>
      </c>
      <c r="V25" s="66">
        <v>54213.149208955649</v>
      </c>
      <c r="W25" s="66">
        <v>50830.992646820225</v>
      </c>
      <c r="X25" s="66">
        <v>40393.809759783093</v>
      </c>
      <c r="Y25" s="66">
        <v>53903.746606146393</v>
      </c>
      <c r="Z25" s="66">
        <v>72290.926799373759</v>
      </c>
      <c r="AA25" s="66">
        <v>50710.436019570087</v>
      </c>
    </row>
    <row r="26" spans="1:27" x14ac:dyDescent="0.25">
      <c r="A26" s="67" t="s">
        <v>146</v>
      </c>
      <c r="B26" s="44"/>
      <c r="C26" s="44"/>
      <c r="D26" s="45">
        <v>7852991.8806599062</v>
      </c>
      <c r="E26" s="45">
        <v>8068258.1182280462</v>
      </c>
      <c r="F26" s="45">
        <v>8240416.7398624988</v>
      </c>
      <c r="G26" s="45">
        <v>8360876.5787647814</v>
      </c>
      <c r="H26" s="45">
        <v>8587223.2104493007</v>
      </c>
      <c r="I26" s="45">
        <v>8807115.0519396458</v>
      </c>
      <c r="J26" s="45">
        <v>9107257.8913902976</v>
      </c>
      <c r="K26" s="45">
        <v>9418020.0248037558</v>
      </c>
      <c r="L26" s="45">
        <v>9578887.3598231524</v>
      </c>
      <c r="M26" s="45">
        <v>9391948.0961863101</v>
      </c>
      <c r="N26" s="45">
        <v>9548225.0883344952</v>
      </c>
      <c r="O26" s="45">
        <v>9726074.9425821174</v>
      </c>
      <c r="P26" s="45">
        <v>9711841.3887515217</v>
      </c>
      <c r="Q26" s="45">
        <v>9778228.7549520768</v>
      </c>
      <c r="R26" s="45">
        <v>9951747.4256627746</v>
      </c>
      <c r="S26" s="45">
        <v>10132164.854645921</v>
      </c>
      <c r="T26" s="45">
        <v>10327773.509064998</v>
      </c>
      <c r="U26" s="45">
        <v>10621305.663451785</v>
      </c>
      <c r="V26" s="45">
        <v>10865762.390431533</v>
      </c>
      <c r="W26" s="45">
        <v>11092806.867130287</v>
      </c>
      <c r="X26" s="45">
        <v>10519561.182450626</v>
      </c>
      <c r="Y26" s="45">
        <v>11135588.147241797</v>
      </c>
      <c r="Z26" s="45">
        <v>11484960.71143258</v>
      </c>
      <c r="AA26" s="45">
        <v>11555533.875816707</v>
      </c>
    </row>
    <row r="27" spans="1:27" x14ac:dyDescent="0.25">
      <c r="A27" s="68" t="s">
        <v>148</v>
      </c>
      <c r="B27" s="69"/>
      <c r="C27" s="69"/>
      <c r="D27" s="70">
        <v>2946357.5122128888</v>
      </c>
      <c r="E27" s="70">
        <v>3019216.6168273054</v>
      </c>
      <c r="F27" s="70">
        <v>3096375.1310138465</v>
      </c>
      <c r="G27" s="70">
        <v>3152579.7714823908</v>
      </c>
      <c r="H27" s="70">
        <v>3225996.2810689565</v>
      </c>
      <c r="I27" s="70">
        <v>3303108.8614685559</v>
      </c>
      <c r="J27" s="70">
        <v>3381767.4201006591</v>
      </c>
      <c r="K27" s="70">
        <v>3460001.868683733</v>
      </c>
      <c r="L27" s="70">
        <v>3530496.1104978551</v>
      </c>
      <c r="M27" s="70">
        <v>3546781.7769780089</v>
      </c>
      <c r="N27" s="70">
        <v>3615513.1550464188</v>
      </c>
      <c r="O27" s="70">
        <v>3645841.5912120542</v>
      </c>
      <c r="P27" s="70">
        <v>3649530.8850108329</v>
      </c>
      <c r="Q27" s="70">
        <v>3680886.4180168347</v>
      </c>
      <c r="R27" s="70">
        <v>3739232.7124539311</v>
      </c>
      <c r="S27" s="70">
        <v>3783931.1918760003</v>
      </c>
      <c r="T27" s="70">
        <v>3853568.2509631603</v>
      </c>
      <c r="U27" s="70">
        <v>3964049.31830126</v>
      </c>
      <c r="V27" s="70">
        <v>4041839.0051273219</v>
      </c>
      <c r="W27" s="70">
        <v>4133753.7316018441</v>
      </c>
      <c r="X27" s="70">
        <v>3786256.0415416895</v>
      </c>
      <c r="Y27" s="70">
        <v>4018287.7737244531</v>
      </c>
      <c r="Z27" s="70">
        <v>4223115.340591412</v>
      </c>
      <c r="AA27" s="70">
        <v>4208882.3911718316</v>
      </c>
    </row>
    <row r="28" spans="1:27" x14ac:dyDescent="0.25">
      <c r="A28" s="68" t="s">
        <v>150</v>
      </c>
      <c r="B28" s="71"/>
      <c r="C28" s="71"/>
      <c r="D28" s="70">
        <v>3439180.6756607792</v>
      </c>
      <c r="E28" s="70">
        <v>3540911.1507429569</v>
      </c>
      <c r="F28" s="70">
        <v>3619392.990062335</v>
      </c>
      <c r="G28" s="70">
        <v>3672224.3752398919</v>
      </c>
      <c r="H28" s="70">
        <v>3796688.2632373748</v>
      </c>
      <c r="I28" s="70">
        <v>3913805.468523684</v>
      </c>
      <c r="J28" s="70">
        <v>4092617.7312982455</v>
      </c>
      <c r="K28" s="70">
        <v>4274725.0960357366</v>
      </c>
      <c r="L28" s="70">
        <v>4333334.0440953691</v>
      </c>
      <c r="M28" s="70">
        <v>4200046.509033314</v>
      </c>
      <c r="N28" s="70">
        <v>4284881.669933727</v>
      </c>
      <c r="O28" s="70">
        <v>4382762.7101446567</v>
      </c>
      <c r="P28" s="70">
        <v>4374021.6326828888</v>
      </c>
      <c r="Q28" s="70">
        <v>4419486.1219574576</v>
      </c>
      <c r="R28" s="70">
        <v>4507274.4531544643</v>
      </c>
      <c r="S28" s="70">
        <v>4596411.3721889993</v>
      </c>
      <c r="T28" s="70">
        <v>4680520.9418524662</v>
      </c>
      <c r="U28" s="70">
        <v>4806253.6314249774</v>
      </c>
      <c r="V28" s="70">
        <v>4939441.0034613311</v>
      </c>
      <c r="W28" s="70">
        <v>5034912.2839458678</v>
      </c>
      <c r="X28" s="70">
        <v>4879997.6360229608</v>
      </c>
      <c r="Y28" s="70">
        <v>5123478.8576829154</v>
      </c>
      <c r="Z28" s="70">
        <v>5193248.7683607051</v>
      </c>
      <c r="AA28" s="70">
        <v>5331760.8130073361</v>
      </c>
    </row>
    <row r="29" spans="1:27" x14ac:dyDescent="0.25">
      <c r="A29" s="68" t="s">
        <v>152</v>
      </c>
      <c r="B29" s="71"/>
      <c r="C29" s="71"/>
      <c r="D29" s="70">
        <v>1467453.6927862386</v>
      </c>
      <c r="E29" s="70">
        <v>1508130.3506577837</v>
      </c>
      <c r="F29" s="70">
        <v>1524648.6187863164</v>
      </c>
      <c r="G29" s="70">
        <v>1536072.4320424995</v>
      </c>
      <c r="H29" s="70">
        <v>1564538.6661429694</v>
      </c>
      <c r="I29" s="70">
        <v>1590200.721947405</v>
      </c>
      <c r="J29" s="70">
        <v>1632872.7399913978</v>
      </c>
      <c r="K29" s="70">
        <v>1683293.0600842859</v>
      </c>
      <c r="L29" s="70">
        <v>1715057.2052299301</v>
      </c>
      <c r="M29" s="70">
        <v>1645119.8101749863</v>
      </c>
      <c r="N29" s="70">
        <v>1647830.2633543527</v>
      </c>
      <c r="O29" s="70">
        <v>1697470.6412254062</v>
      </c>
      <c r="P29" s="70">
        <v>1688288.8710578003</v>
      </c>
      <c r="Q29" s="70">
        <v>1677856.2149777848</v>
      </c>
      <c r="R29" s="70">
        <v>1705240.2600543778</v>
      </c>
      <c r="S29" s="70">
        <v>1751822.2905809192</v>
      </c>
      <c r="T29" s="70">
        <v>1793684.3162493734</v>
      </c>
      <c r="U29" s="70">
        <v>1851002.713725551</v>
      </c>
      <c r="V29" s="70">
        <v>1884482.3818428803</v>
      </c>
      <c r="W29" s="70">
        <v>1924140.8515825765</v>
      </c>
      <c r="X29" s="70">
        <v>1853307.504885976</v>
      </c>
      <c r="Y29" s="70">
        <v>1993821.5158344281</v>
      </c>
      <c r="Z29" s="70">
        <v>2068596.6024804641</v>
      </c>
      <c r="AA29" s="70">
        <v>2014890.6716375388</v>
      </c>
    </row>
    <row r="30" spans="1:27" x14ac:dyDescent="0.25">
      <c r="A30" s="64" t="s">
        <v>154</v>
      </c>
      <c r="B30" s="65"/>
      <c r="C30" s="65"/>
      <c r="D30" s="66">
        <v>221323.53945210754</v>
      </c>
      <c r="E30" s="66">
        <v>225779.43771877175</v>
      </c>
      <c r="F30" s="66">
        <v>226898.31556547552</v>
      </c>
      <c r="G30" s="66">
        <v>230519.6199595604</v>
      </c>
      <c r="H30" s="66">
        <v>250074.77819471344</v>
      </c>
      <c r="I30" s="66">
        <v>258000.38503392637</v>
      </c>
      <c r="J30" s="66">
        <v>266618.13880453724</v>
      </c>
      <c r="K30" s="66">
        <v>262469.04100710328</v>
      </c>
      <c r="L30" s="66">
        <v>276961.47385578376</v>
      </c>
      <c r="M30" s="66">
        <v>273616.31611426093</v>
      </c>
      <c r="N30" s="66">
        <v>288318.76714787877</v>
      </c>
      <c r="O30" s="66">
        <v>283318.50908399367</v>
      </c>
      <c r="P30" s="66">
        <v>293083.49531937292</v>
      </c>
      <c r="Q30" s="66">
        <v>277150.04928078951</v>
      </c>
      <c r="R30" s="66">
        <v>260241.41558836633</v>
      </c>
      <c r="S30" s="66">
        <v>264054.5125245041</v>
      </c>
      <c r="T30" s="66">
        <v>260374.98748396084</v>
      </c>
      <c r="U30" s="66">
        <v>261358.77857157154</v>
      </c>
      <c r="V30" s="66">
        <v>263005.84082096367</v>
      </c>
      <c r="W30" s="66">
        <v>275175.28591991478</v>
      </c>
      <c r="X30" s="66">
        <v>255482.18222529604</v>
      </c>
      <c r="Y30" s="66">
        <v>275958.01869100198</v>
      </c>
      <c r="Z30" s="66">
        <v>400647.22275202442</v>
      </c>
      <c r="AA30" s="66">
        <v>467981.9848362027</v>
      </c>
    </row>
    <row r="31" spans="1:27" x14ac:dyDescent="0.25">
      <c r="A31" s="64" t="s">
        <v>37</v>
      </c>
      <c r="B31" s="65"/>
      <c r="C31" s="65"/>
      <c r="D31" s="66">
        <v>637891.55311009742</v>
      </c>
      <c r="E31" s="66">
        <v>651953.49235566868</v>
      </c>
      <c r="F31" s="66">
        <v>660817.68059533252</v>
      </c>
      <c r="G31" s="66">
        <v>674537.444465801</v>
      </c>
      <c r="H31" s="66">
        <v>701648.66380429</v>
      </c>
      <c r="I31" s="66">
        <v>727493.70151435677</v>
      </c>
      <c r="J31" s="66">
        <v>781344.96393133979</v>
      </c>
      <c r="K31" s="66">
        <v>816482.42074076482</v>
      </c>
      <c r="L31" s="66">
        <v>828065.62758181931</v>
      </c>
      <c r="M31" s="66">
        <v>777646.16888690321</v>
      </c>
      <c r="N31" s="66">
        <v>730309.32048099453</v>
      </c>
      <c r="O31" s="66">
        <v>724436.50040608493</v>
      </c>
      <c r="P31" s="66">
        <v>694610.87127875106</v>
      </c>
      <c r="Q31" s="66">
        <v>674160.91547096777</v>
      </c>
      <c r="R31" s="66">
        <v>671562.88567406603</v>
      </c>
      <c r="S31" s="66">
        <v>678438.36765200004</v>
      </c>
      <c r="T31" s="66">
        <v>692403.63721617509</v>
      </c>
      <c r="U31" s="66">
        <v>717041.91050342412</v>
      </c>
      <c r="V31" s="66">
        <v>754175.86881807714</v>
      </c>
      <c r="W31" s="66">
        <v>786905.77571848559</v>
      </c>
      <c r="X31" s="66">
        <v>761742.75001264375</v>
      </c>
      <c r="Y31" s="66">
        <v>807164.51830512402</v>
      </c>
      <c r="Z31" s="66">
        <v>833161.56473712041</v>
      </c>
      <c r="AA31" s="66">
        <v>860580.69999999984</v>
      </c>
    </row>
    <row r="32" spans="1:27" x14ac:dyDescent="0.25">
      <c r="A32" s="64" t="s">
        <v>58</v>
      </c>
      <c r="B32" s="65"/>
      <c r="C32" s="65"/>
      <c r="D32" s="66">
        <v>2060533.9762576467</v>
      </c>
      <c r="E32" s="66">
        <v>2070112.2278690995</v>
      </c>
      <c r="F32" s="66">
        <v>2042970.3515902767</v>
      </c>
      <c r="G32" s="66">
        <v>2012990.8680625856</v>
      </c>
      <c r="H32" s="66">
        <v>2042879.4933088892</v>
      </c>
      <c r="I32" s="66">
        <v>2049134.3439042745</v>
      </c>
      <c r="J32" s="66">
        <v>2130295.7387963259</v>
      </c>
      <c r="K32" s="66">
        <v>2213704.1115301074</v>
      </c>
      <c r="L32" s="66">
        <v>2145577.4465682525</v>
      </c>
      <c r="M32" s="66">
        <v>1856122.0089237264</v>
      </c>
      <c r="N32" s="66">
        <v>1991320.548929323</v>
      </c>
      <c r="O32" s="66">
        <v>2078634.9889327597</v>
      </c>
      <c r="P32" s="66">
        <v>2029558.2061326539</v>
      </c>
      <c r="Q32" s="66">
        <v>2013448.2541986355</v>
      </c>
      <c r="R32" s="66">
        <v>2089826.279172369</v>
      </c>
      <c r="S32" s="66">
        <v>2207872.3417839757</v>
      </c>
      <c r="T32" s="66">
        <v>2266925.3705234453</v>
      </c>
      <c r="U32" s="66">
        <v>2320300.9412189778</v>
      </c>
      <c r="V32" s="66">
        <v>2351721.1687159208</v>
      </c>
      <c r="W32" s="66">
        <v>2355917.5031739995</v>
      </c>
      <c r="X32" s="66">
        <v>2189938.9133183914</v>
      </c>
      <c r="Y32" s="66">
        <v>2358172.9172787531</v>
      </c>
      <c r="Z32" s="66">
        <v>2396532.5643829908</v>
      </c>
      <c r="AA32" s="66">
        <v>2374474.0033275206</v>
      </c>
    </row>
    <row r="33" spans="1:27" x14ac:dyDescent="0.25">
      <c r="A33" s="72" t="s">
        <v>158</v>
      </c>
      <c r="B33" s="65"/>
      <c r="C33" s="65"/>
      <c r="D33" s="66">
        <v>89977.094570147616</v>
      </c>
      <c r="E33" s="66">
        <v>86002.319839099917</v>
      </c>
      <c r="F33" s="66">
        <v>81164.50486675452</v>
      </c>
      <c r="G33" s="66">
        <v>80474.57194518343</v>
      </c>
      <c r="H33" s="66">
        <v>89798.921487334097</v>
      </c>
      <c r="I33" s="66">
        <v>93903.649303305239</v>
      </c>
      <c r="J33" s="66">
        <v>100555.22965211738</v>
      </c>
      <c r="K33" s="66">
        <v>111286.43981786114</v>
      </c>
      <c r="L33" s="66">
        <v>101408.90506443601</v>
      </c>
      <c r="M33" s="66">
        <v>66216.527390585237</v>
      </c>
      <c r="N33" s="66">
        <v>75795.235065644985</v>
      </c>
      <c r="O33" s="66">
        <v>82967.135695571051</v>
      </c>
      <c r="P33" s="66">
        <v>77937.927953098028</v>
      </c>
      <c r="Q33" s="66">
        <v>74824.732031536056</v>
      </c>
      <c r="R33" s="66">
        <v>76129.337277882194</v>
      </c>
      <c r="S33" s="66">
        <v>78793.563896000007</v>
      </c>
      <c r="T33" s="66">
        <v>78709.048467679517</v>
      </c>
      <c r="U33" s="66">
        <v>82815.365650067673</v>
      </c>
      <c r="V33" s="66">
        <v>86649.764668990043</v>
      </c>
      <c r="W33" s="66">
        <v>76373.347670743693</v>
      </c>
      <c r="X33" s="66">
        <v>64446.384413641092</v>
      </c>
      <c r="Y33" s="66">
        <v>78144.313482346071</v>
      </c>
      <c r="Z33" s="66">
        <v>90473.586447223046</v>
      </c>
      <c r="AA33" s="66">
        <v>82817.313927839146</v>
      </c>
    </row>
    <row r="34" spans="1:27" x14ac:dyDescent="0.25">
      <c r="A34" s="73" t="s">
        <v>5</v>
      </c>
      <c r="B34" s="65"/>
      <c r="C34" s="65"/>
      <c r="D34" s="66">
        <v>66584.218684428241</v>
      </c>
      <c r="E34" s="66">
        <v>63649.554870031738</v>
      </c>
      <c r="F34" s="66">
        <v>59970.246998519309</v>
      </c>
      <c r="G34" s="66">
        <v>59406.993411721982</v>
      </c>
      <c r="H34" s="66">
        <v>66427.80112259138</v>
      </c>
      <c r="I34" s="66">
        <v>69562.471660572497</v>
      </c>
      <c r="J34" s="66">
        <v>74363.625749183833</v>
      </c>
      <c r="K34" s="66">
        <v>82353.170599108329</v>
      </c>
      <c r="L34" s="66">
        <v>74832.305407029577</v>
      </c>
      <c r="M34" s="66">
        <v>44146.977967609513</v>
      </c>
      <c r="N34" s="66">
        <v>50136.197147856219</v>
      </c>
      <c r="O34" s="66">
        <v>55817.665611790777</v>
      </c>
      <c r="P34" s="66">
        <v>51084.089067133864</v>
      </c>
      <c r="Q34" s="66">
        <v>49520.687953953799</v>
      </c>
      <c r="R34" s="66">
        <v>50550.386130413455</v>
      </c>
      <c r="S34" s="66">
        <v>50821.607475836216</v>
      </c>
      <c r="T34" s="66">
        <v>50513.93422517438</v>
      </c>
      <c r="U34" s="66">
        <v>53947.816340124067</v>
      </c>
      <c r="V34" s="66">
        <v>57340.046118345417</v>
      </c>
      <c r="W34" s="66">
        <v>48060.255849724963</v>
      </c>
      <c r="X34" s="66">
        <v>38893.243288969279</v>
      </c>
      <c r="Y34" s="66">
        <v>51184.55976831416</v>
      </c>
      <c r="Z34" s="66">
        <v>61722.338764615241</v>
      </c>
      <c r="AA34" s="66">
        <v>52770.552747616406</v>
      </c>
    </row>
    <row r="35" spans="1:27" x14ac:dyDescent="0.25">
      <c r="A35" s="74" t="s">
        <v>265</v>
      </c>
      <c r="B35" s="44"/>
      <c r="C35" s="44"/>
      <c r="D35" s="45">
        <v>41602.734668786739</v>
      </c>
      <c r="E35" s="45">
        <v>39308.02417013418</v>
      </c>
      <c r="F35" s="45">
        <v>37499.349932425401</v>
      </c>
      <c r="G35" s="45">
        <v>36944.743826271093</v>
      </c>
      <c r="H35" s="45">
        <v>42101.320582838256</v>
      </c>
      <c r="I35" s="45">
        <v>44872.728143982968</v>
      </c>
      <c r="J35" s="45">
        <v>46919.347348953946</v>
      </c>
      <c r="K35" s="45">
        <v>51750.089000846201</v>
      </c>
      <c r="L35" s="45">
        <v>46721.051719687246</v>
      </c>
      <c r="M35" s="45">
        <v>27036.885789278116</v>
      </c>
      <c r="N35" s="45">
        <v>31250.843335748606</v>
      </c>
      <c r="O35" s="45">
        <v>34446.457673164194</v>
      </c>
      <c r="P35" s="45">
        <v>32079.111368479513</v>
      </c>
      <c r="Q35" s="45">
        <v>31814.296863991229</v>
      </c>
      <c r="R35" s="45">
        <v>33043.673146061257</v>
      </c>
      <c r="S35" s="45">
        <v>32874.027143124229</v>
      </c>
      <c r="T35" s="45">
        <v>32076.724678791077</v>
      </c>
      <c r="U35" s="45">
        <v>33355.830546628051</v>
      </c>
      <c r="V35" s="45">
        <v>35121.808564601204</v>
      </c>
      <c r="W35" s="45">
        <v>29278.049539725154</v>
      </c>
      <c r="X35" s="45">
        <v>22821.205891404785</v>
      </c>
      <c r="Y35" s="45">
        <v>28358.81186110729</v>
      </c>
      <c r="Z35" s="45">
        <v>35193.610098498699</v>
      </c>
      <c r="AA35" s="45">
        <v>29184.984966872926</v>
      </c>
    </row>
    <row r="36" spans="1:27" x14ac:dyDescent="0.25">
      <c r="A36" s="74" t="s">
        <v>15</v>
      </c>
      <c r="B36" s="44"/>
      <c r="C36" s="44"/>
      <c r="D36" s="45">
        <v>24981.484015641498</v>
      </c>
      <c r="E36" s="45">
        <v>24341.530699897572</v>
      </c>
      <c r="F36" s="45">
        <v>22470.897066093923</v>
      </c>
      <c r="G36" s="45">
        <v>22462.249585450871</v>
      </c>
      <c r="H36" s="45">
        <v>24326.48053975312</v>
      </c>
      <c r="I36" s="45">
        <v>24689.743516589529</v>
      </c>
      <c r="J36" s="45">
        <v>27444.278400229898</v>
      </c>
      <c r="K36" s="45">
        <v>30603.081598262132</v>
      </c>
      <c r="L36" s="45">
        <v>28111.253687342352</v>
      </c>
      <c r="M36" s="45">
        <v>17110.092178331401</v>
      </c>
      <c r="N36" s="45">
        <v>18885.353812107616</v>
      </c>
      <c r="O36" s="45">
        <v>21371.20793862658</v>
      </c>
      <c r="P36" s="45">
        <v>19004.97769865434</v>
      </c>
      <c r="Q36" s="45">
        <v>17706.391089962566</v>
      </c>
      <c r="R36" s="45">
        <v>17506.712984352213</v>
      </c>
      <c r="S36" s="45">
        <v>17947.580332711987</v>
      </c>
      <c r="T36" s="45">
        <v>18437.209546383296</v>
      </c>
      <c r="U36" s="45">
        <v>20591.985793496009</v>
      </c>
      <c r="V36" s="45">
        <v>22218.237553744199</v>
      </c>
      <c r="W36" s="45">
        <v>18782.206309999805</v>
      </c>
      <c r="X36" s="45">
        <v>16072.037397564494</v>
      </c>
      <c r="Y36" s="45">
        <v>22825.747907206882</v>
      </c>
      <c r="Z36" s="45">
        <v>26528.728666116531</v>
      </c>
      <c r="AA36" s="45">
        <v>23585.567780743491</v>
      </c>
    </row>
    <row r="37" spans="1:27" x14ac:dyDescent="0.25">
      <c r="A37" s="73" t="s">
        <v>264</v>
      </c>
      <c r="B37" s="65"/>
      <c r="C37" s="65"/>
      <c r="D37" s="66">
        <v>23392.875885719361</v>
      </c>
      <c r="E37" s="66">
        <v>22352.764969068183</v>
      </c>
      <c r="F37" s="66">
        <v>21194.257868235189</v>
      </c>
      <c r="G37" s="66">
        <v>21067.578533461456</v>
      </c>
      <c r="H37" s="66">
        <v>23371.120364742736</v>
      </c>
      <c r="I37" s="66">
        <v>24341.17764273276</v>
      </c>
      <c r="J37" s="66">
        <v>26191.603902933522</v>
      </c>
      <c r="K37" s="66">
        <v>28933.269218752794</v>
      </c>
      <c r="L37" s="66">
        <v>26576.599657406427</v>
      </c>
      <c r="M37" s="66">
        <v>22069.549422975717</v>
      </c>
      <c r="N37" s="66">
        <v>25659.037917788748</v>
      </c>
      <c r="O37" s="66">
        <v>27149.470083780281</v>
      </c>
      <c r="P37" s="66">
        <v>26853.838885964156</v>
      </c>
      <c r="Q37" s="66">
        <v>25304.044077582264</v>
      </c>
      <c r="R37" s="66">
        <v>25578.951147468721</v>
      </c>
      <c r="S37" s="66">
        <v>27971.95642016378</v>
      </c>
      <c r="T37" s="66">
        <v>28195.114242505144</v>
      </c>
      <c r="U37" s="66">
        <v>28867.549309943606</v>
      </c>
      <c r="V37" s="66">
        <v>29309.718550644648</v>
      </c>
      <c r="W37" s="66">
        <v>28313.091821018745</v>
      </c>
      <c r="X37" s="66">
        <v>25553.14112467182</v>
      </c>
      <c r="Y37" s="66">
        <v>26959.753714031922</v>
      </c>
      <c r="Z37" s="66">
        <v>28751.247682607805</v>
      </c>
      <c r="AA37" s="66">
        <v>30046.76118022274</v>
      </c>
    </row>
    <row r="38" spans="1:27" x14ac:dyDescent="0.25">
      <c r="A38" s="74" t="s">
        <v>14</v>
      </c>
      <c r="B38" s="44"/>
      <c r="C38" s="44"/>
      <c r="D38" s="45">
        <v>2346.3076541342907</v>
      </c>
      <c r="E38" s="45">
        <v>2300.5600050950111</v>
      </c>
      <c r="F38" s="45">
        <v>2130.0806653516461</v>
      </c>
      <c r="G38" s="45">
        <v>2180.3700900846443</v>
      </c>
      <c r="H38" s="45">
        <v>2306.4335536923763</v>
      </c>
      <c r="I38" s="45">
        <v>2353.8830312465284</v>
      </c>
      <c r="J38" s="45">
        <v>2598.4567854937386</v>
      </c>
      <c r="K38" s="45">
        <v>2625.7549784664579</v>
      </c>
      <c r="L38" s="45">
        <v>2428.6330191173888</v>
      </c>
      <c r="M38" s="45">
        <v>1551.0049323038586</v>
      </c>
      <c r="N38" s="45">
        <v>1940.3919432751175</v>
      </c>
      <c r="O38" s="45">
        <v>2012.7318326248601</v>
      </c>
      <c r="P38" s="45">
        <v>1842.8865446657737</v>
      </c>
      <c r="Q38" s="45">
        <v>1792.2656909388572</v>
      </c>
      <c r="R38" s="45">
        <v>1763.6060217111026</v>
      </c>
      <c r="S38" s="45">
        <v>1990.3382656127515</v>
      </c>
      <c r="T38" s="45">
        <v>1969.9191114478278</v>
      </c>
      <c r="U38" s="45">
        <v>2239.9157398447728</v>
      </c>
      <c r="V38" s="45">
        <v>2238.3858291364295</v>
      </c>
      <c r="W38" s="45">
        <v>2200.7103010709075</v>
      </c>
      <c r="X38" s="45">
        <v>1979.7222534960285</v>
      </c>
      <c r="Y38" s="45">
        <v>2141.0946127297957</v>
      </c>
      <c r="Z38" s="45">
        <v>1827.9107989607676</v>
      </c>
      <c r="AA38" s="45">
        <v>1662.6748424130067</v>
      </c>
    </row>
    <row r="39" spans="1:27" x14ac:dyDescent="0.25">
      <c r="A39" s="74" t="s">
        <v>19</v>
      </c>
      <c r="B39" s="44"/>
      <c r="C39" s="44"/>
      <c r="D39" s="45">
        <v>10145.557388634965</v>
      </c>
      <c r="E39" s="45">
        <v>9678.9310203767764</v>
      </c>
      <c r="F39" s="45">
        <v>9079.2207357418647</v>
      </c>
      <c r="G39" s="45">
        <v>8964.7047566184174</v>
      </c>
      <c r="H39" s="45">
        <v>9849.6554023570643</v>
      </c>
      <c r="I39" s="45">
        <v>10286.198673434921</v>
      </c>
      <c r="J39" s="45">
        <v>11017.694050500053</v>
      </c>
      <c r="K39" s="45">
        <v>12178.397384888598</v>
      </c>
      <c r="L39" s="45">
        <v>11391.961103506161</v>
      </c>
      <c r="M39" s="45">
        <v>9049.9530740240734</v>
      </c>
      <c r="N39" s="45">
        <v>11944.839320390802</v>
      </c>
      <c r="O39" s="45">
        <v>12824.602820744081</v>
      </c>
      <c r="P39" s="45">
        <v>11919.545836725378</v>
      </c>
      <c r="Q39" s="45">
        <v>11789.680296765146</v>
      </c>
      <c r="R39" s="45">
        <v>11039.634985212588</v>
      </c>
      <c r="S39" s="45">
        <v>12454.78134560294</v>
      </c>
      <c r="T39" s="45">
        <v>12898.663761712914</v>
      </c>
      <c r="U39" s="45">
        <v>13272.791433514209</v>
      </c>
      <c r="V39" s="45">
        <v>13214.17196247557</v>
      </c>
      <c r="W39" s="45">
        <v>13295.831954314293</v>
      </c>
      <c r="X39" s="45">
        <v>11172.155111037351</v>
      </c>
      <c r="Y39" s="45">
        <v>11555.689639135149</v>
      </c>
      <c r="Z39" s="45">
        <v>12186.755095987806</v>
      </c>
      <c r="AA39" s="45">
        <v>10755.834334598618</v>
      </c>
    </row>
    <row r="40" spans="1:27" x14ac:dyDescent="0.25">
      <c r="A40" s="75" t="s">
        <v>268</v>
      </c>
      <c r="B40" s="76"/>
      <c r="C40" s="76"/>
      <c r="D40" s="45">
        <v>5685.2649133979685</v>
      </c>
      <c r="E40" s="45">
        <v>5441.39526211462</v>
      </c>
      <c r="F40" s="45">
        <v>5003.9755286548561</v>
      </c>
      <c r="G40" s="45">
        <v>4931.4634515354046</v>
      </c>
      <c r="H40" s="45">
        <v>5392.1037853318385</v>
      </c>
      <c r="I40" s="45">
        <v>5399.8226561678812</v>
      </c>
      <c r="J40" s="45">
        <v>5265.3358887094855</v>
      </c>
      <c r="K40" s="45">
        <v>5663.3860045639994</v>
      </c>
      <c r="L40" s="45">
        <v>5560.7562651243697</v>
      </c>
      <c r="M40" s="45">
        <v>3922.9732242224504</v>
      </c>
      <c r="N40" s="45">
        <v>5585.6904270165196</v>
      </c>
      <c r="O40" s="45">
        <v>5961.1984902144086</v>
      </c>
      <c r="P40" s="45">
        <v>5188.7544602390908</v>
      </c>
      <c r="Q40" s="45">
        <v>5207.7325841034881</v>
      </c>
      <c r="R40" s="45">
        <v>5069.4265607033176</v>
      </c>
      <c r="S40" s="45">
        <v>5851.6835130605568</v>
      </c>
      <c r="T40" s="45">
        <v>5810.6434953883445</v>
      </c>
      <c r="U40" s="45">
        <v>5993.6941451318398</v>
      </c>
      <c r="V40" s="45">
        <v>5701.3087695435088</v>
      </c>
      <c r="W40" s="45">
        <v>5698.8023143318942</v>
      </c>
      <c r="X40" s="45">
        <v>5119.5255644944491</v>
      </c>
      <c r="Y40" s="45">
        <v>4956.7878214504462</v>
      </c>
      <c r="Z40" s="45">
        <v>4752.6769893475439</v>
      </c>
      <c r="AA40" s="45">
        <v>3101.4136063099568</v>
      </c>
    </row>
    <row r="41" spans="1:27" x14ac:dyDescent="0.25">
      <c r="A41" s="75" t="s">
        <v>269</v>
      </c>
      <c r="B41" s="76"/>
      <c r="C41" s="76"/>
      <c r="D41" s="45">
        <v>4460.2924752369972</v>
      </c>
      <c r="E41" s="45">
        <v>4237.5357582621573</v>
      </c>
      <c r="F41" s="45">
        <v>4075.2452070870077</v>
      </c>
      <c r="G41" s="45">
        <v>4033.2413050830132</v>
      </c>
      <c r="H41" s="45">
        <v>4457.5516170252295</v>
      </c>
      <c r="I41" s="45">
        <v>4886.3760172670418</v>
      </c>
      <c r="J41" s="45">
        <v>5752.3581617905666</v>
      </c>
      <c r="K41" s="45">
        <v>6515.0113803245977</v>
      </c>
      <c r="L41" s="45">
        <v>5831.204838381791</v>
      </c>
      <c r="M41" s="45">
        <v>5126.9798498016235</v>
      </c>
      <c r="N41" s="45">
        <v>6359.1488933742803</v>
      </c>
      <c r="O41" s="45">
        <v>6863.4043305296755</v>
      </c>
      <c r="P41" s="45">
        <v>6730.7913764862842</v>
      </c>
      <c r="Q41" s="45">
        <v>6581.9477126616575</v>
      </c>
      <c r="R41" s="45">
        <v>5970.2084245092656</v>
      </c>
      <c r="S41" s="45">
        <v>6603.0978325423839</v>
      </c>
      <c r="T41" s="45">
        <v>7088.0202663245736</v>
      </c>
      <c r="U41" s="45">
        <v>7279.0972883823715</v>
      </c>
      <c r="V41" s="45">
        <v>7512.8631929320591</v>
      </c>
      <c r="W41" s="45">
        <v>7597.0296399823965</v>
      </c>
      <c r="X41" s="45">
        <v>6052.6295465428993</v>
      </c>
      <c r="Y41" s="45">
        <v>6598.9018176847012</v>
      </c>
      <c r="Z41" s="45">
        <v>7434.0781066402651</v>
      </c>
      <c r="AA41" s="45">
        <v>7654.4207282886591</v>
      </c>
    </row>
    <row r="42" spans="1:27" x14ac:dyDescent="0.25">
      <c r="A42" s="74" t="s">
        <v>13</v>
      </c>
      <c r="B42" s="44"/>
      <c r="C42" s="44"/>
      <c r="D42" s="45">
        <v>10901.010842950107</v>
      </c>
      <c r="E42" s="45">
        <v>10373.273943596396</v>
      </c>
      <c r="F42" s="45">
        <v>9984.9564671416774</v>
      </c>
      <c r="G42" s="45">
        <v>9922.5036867583967</v>
      </c>
      <c r="H42" s="45">
        <v>11215.031408693294</v>
      </c>
      <c r="I42" s="45">
        <v>11701.095938051307</v>
      </c>
      <c r="J42" s="45">
        <v>12575.45306693973</v>
      </c>
      <c r="K42" s="45">
        <v>14129.116855397748</v>
      </c>
      <c r="L42" s="45">
        <v>12756.005534782871</v>
      </c>
      <c r="M42" s="45">
        <v>11468.591416647781</v>
      </c>
      <c r="N42" s="45">
        <v>11773.806654122836</v>
      </c>
      <c r="O42" s="45">
        <v>12312.135430411337</v>
      </c>
      <c r="P42" s="45">
        <v>13091.406504573013</v>
      </c>
      <c r="Q42" s="45">
        <v>11722.098089878262</v>
      </c>
      <c r="R42" s="45">
        <v>12775.710140545038</v>
      </c>
      <c r="S42" s="45">
        <v>13526.83680894809</v>
      </c>
      <c r="T42" s="45">
        <v>13326.531369344395</v>
      </c>
      <c r="U42" s="45">
        <v>13354.842136584617</v>
      </c>
      <c r="V42" s="45">
        <v>13857.160759032644</v>
      </c>
      <c r="W42" s="45">
        <v>12816.549565633552</v>
      </c>
      <c r="X42" s="45">
        <v>12401.263760138445</v>
      </c>
      <c r="Y42" s="45">
        <v>13262.969462166966</v>
      </c>
      <c r="Z42" s="45">
        <v>14736.581787659226</v>
      </c>
      <c r="AA42" s="45">
        <v>17628.252003211113</v>
      </c>
    </row>
    <row r="43" spans="1:27" x14ac:dyDescent="0.25">
      <c r="A43" s="72" t="s">
        <v>266</v>
      </c>
      <c r="B43" s="65"/>
      <c r="C43" s="65"/>
      <c r="D43" s="66">
        <v>235690.52259906888</v>
      </c>
      <c r="E43" s="66">
        <v>244093.22701058193</v>
      </c>
      <c r="F43" s="66">
        <v>249751.49139478127</v>
      </c>
      <c r="G43" s="66">
        <v>241076.20290556853</v>
      </c>
      <c r="H43" s="66">
        <v>240358.34195953503</v>
      </c>
      <c r="I43" s="66">
        <v>244963.29106192107</v>
      </c>
      <c r="J43" s="66">
        <v>248247.04101437368</v>
      </c>
      <c r="K43" s="66">
        <v>257314.86212601769</v>
      </c>
      <c r="L43" s="66">
        <v>252696.12979706889</v>
      </c>
      <c r="M43" s="66">
        <v>242390.59914953992</v>
      </c>
      <c r="N43" s="66">
        <v>255897.57603752613</v>
      </c>
      <c r="O43" s="66">
        <v>262945.37098496128</v>
      </c>
      <c r="P43" s="66">
        <v>259114.87357381976</v>
      </c>
      <c r="Q43" s="66">
        <v>254784.11599812869</v>
      </c>
      <c r="R43" s="66">
        <v>264339.98410514439</v>
      </c>
      <c r="S43" s="66">
        <v>337860.40615309903</v>
      </c>
      <c r="T43" s="66">
        <v>341680.82382807747</v>
      </c>
      <c r="U43" s="66">
        <v>351877.64287017821</v>
      </c>
      <c r="V43" s="66">
        <v>359866.30381121248</v>
      </c>
      <c r="W43" s="66">
        <v>366350.26049780037</v>
      </c>
      <c r="X43" s="66">
        <v>379228.27648341941</v>
      </c>
      <c r="Y43" s="66">
        <v>410482.69914927642</v>
      </c>
      <c r="Z43" s="66">
        <v>431459.6240997347</v>
      </c>
      <c r="AA43" s="66">
        <v>387090.97554852744</v>
      </c>
    </row>
    <row r="44" spans="1:27" x14ac:dyDescent="0.25">
      <c r="A44" s="73" t="s">
        <v>267</v>
      </c>
      <c r="B44" s="65"/>
      <c r="C44" s="65"/>
      <c r="D44" s="66">
        <v>147308.30313747755</v>
      </c>
      <c r="E44" s="66">
        <v>144820.83121091512</v>
      </c>
      <c r="F44" s="66">
        <v>142909.42774448203</v>
      </c>
      <c r="G44" s="66">
        <v>137508.17726301021</v>
      </c>
      <c r="H44" s="66">
        <v>140022.45293275316</v>
      </c>
      <c r="I44" s="66">
        <v>140471.8745344856</v>
      </c>
      <c r="J44" s="66">
        <v>143268.81010291012</v>
      </c>
      <c r="K44" s="66">
        <v>148761.74163900292</v>
      </c>
      <c r="L44" s="66">
        <v>144630.57741609006</v>
      </c>
      <c r="M44" s="66">
        <v>130739.3511457909</v>
      </c>
      <c r="N44" s="66">
        <v>143101.23163866237</v>
      </c>
      <c r="O44" s="66">
        <v>148513.8877393677</v>
      </c>
      <c r="P44" s="66">
        <v>144915.46179092993</v>
      </c>
      <c r="Q44" s="66">
        <v>142686.78596645943</v>
      </c>
      <c r="R44" s="66">
        <v>148952.97053711279</v>
      </c>
      <c r="S44" s="66">
        <v>161935.16114202296</v>
      </c>
      <c r="T44" s="66">
        <v>164200.51866222423</v>
      </c>
      <c r="U44" s="66">
        <v>171135.07578374902</v>
      </c>
      <c r="V44" s="66">
        <v>163727.38442961223</v>
      </c>
      <c r="W44" s="66">
        <v>162512.41276764066</v>
      </c>
      <c r="X44" s="66">
        <v>159818.31179918107</v>
      </c>
      <c r="Y44" s="66">
        <v>166061.151352927</v>
      </c>
      <c r="Z44" s="66">
        <v>159852.39880331987</v>
      </c>
      <c r="AA44" s="66">
        <v>149028.25135881826</v>
      </c>
    </row>
    <row r="45" spans="1:27" x14ac:dyDescent="0.25">
      <c r="A45" s="74" t="s">
        <v>20</v>
      </c>
      <c r="B45" s="44"/>
      <c r="C45" s="44"/>
      <c r="D45" s="45">
        <v>59945.533730646282</v>
      </c>
      <c r="E45" s="45">
        <v>61355.89109207545</v>
      </c>
      <c r="F45" s="45">
        <v>62297.161915136436</v>
      </c>
      <c r="G45" s="45">
        <v>62329.86799370018</v>
      </c>
      <c r="H45" s="45">
        <v>62973.274813154298</v>
      </c>
      <c r="I45" s="45">
        <v>63386.650861782262</v>
      </c>
      <c r="J45" s="45">
        <v>66394.122062514158</v>
      </c>
      <c r="K45" s="45">
        <v>69227.377632066244</v>
      </c>
      <c r="L45" s="45">
        <v>73783.328789334191</v>
      </c>
      <c r="M45" s="45">
        <v>62891.249556789153</v>
      </c>
      <c r="N45" s="45">
        <v>72976.074724058519</v>
      </c>
      <c r="O45" s="45">
        <v>76706.241883684968</v>
      </c>
      <c r="P45" s="45">
        <v>72866.017278489875</v>
      </c>
      <c r="Q45" s="45">
        <v>70611.697904456218</v>
      </c>
      <c r="R45" s="45">
        <v>70820.997339473339</v>
      </c>
      <c r="S45" s="45">
        <v>82611.788247865188</v>
      </c>
      <c r="T45" s="45">
        <v>80201.50526320505</v>
      </c>
      <c r="U45" s="45">
        <v>89389.257168629236</v>
      </c>
      <c r="V45" s="45">
        <v>82515.56725904411</v>
      </c>
      <c r="W45" s="45">
        <v>78645.747200106198</v>
      </c>
      <c r="X45" s="45">
        <v>73150.395334400731</v>
      </c>
      <c r="Y45" s="45">
        <v>83543.476069888478</v>
      </c>
      <c r="Z45" s="45">
        <v>78309.70083755473</v>
      </c>
      <c r="AA45" s="45">
        <v>64377.935162624781</v>
      </c>
    </row>
    <row r="46" spans="1:27" x14ac:dyDescent="0.25">
      <c r="A46" s="74" t="s">
        <v>12</v>
      </c>
      <c r="B46" s="44"/>
      <c r="C46" s="44"/>
      <c r="D46" s="45">
        <v>87362.769406831285</v>
      </c>
      <c r="E46" s="45">
        <v>83464.940118839702</v>
      </c>
      <c r="F46" s="45">
        <v>80612.265829345575</v>
      </c>
      <c r="G46" s="45">
        <v>75178.309269310019</v>
      </c>
      <c r="H46" s="45">
        <v>77049.178119598859</v>
      </c>
      <c r="I46" s="45">
        <v>77085.223672703345</v>
      </c>
      <c r="J46" s="45">
        <v>76874.688040395951</v>
      </c>
      <c r="K46" s="45">
        <v>79534.364006936725</v>
      </c>
      <c r="L46" s="45">
        <v>70847.248626755842</v>
      </c>
      <c r="M46" s="45">
        <v>67848.101589001744</v>
      </c>
      <c r="N46" s="45">
        <v>70125.15691460378</v>
      </c>
      <c r="O46" s="45">
        <v>71807.645855682713</v>
      </c>
      <c r="P46" s="45">
        <v>72049.444512440052</v>
      </c>
      <c r="Q46" s="45">
        <v>72075.08806200324</v>
      </c>
      <c r="R46" s="45">
        <v>78131.973197639454</v>
      </c>
      <c r="S46" s="45">
        <v>79323.372894157757</v>
      </c>
      <c r="T46" s="45">
        <v>83999.013399019197</v>
      </c>
      <c r="U46" s="45">
        <v>81745.818615119759</v>
      </c>
      <c r="V46" s="45">
        <v>81211.817170568087</v>
      </c>
      <c r="W46" s="45">
        <v>83866.665567534423</v>
      </c>
      <c r="X46" s="45">
        <v>86667.916464780283</v>
      </c>
      <c r="Y46" s="45">
        <v>82517.675283038567</v>
      </c>
      <c r="Z46" s="45">
        <v>81542.697965765139</v>
      </c>
      <c r="AA46" s="45">
        <v>84650.316196193482</v>
      </c>
    </row>
    <row r="47" spans="1:27" x14ac:dyDescent="0.25">
      <c r="A47" s="73" t="s">
        <v>11</v>
      </c>
      <c r="B47" s="65"/>
      <c r="C47" s="65"/>
      <c r="D47" s="66">
        <v>88382.219461591303</v>
      </c>
      <c r="E47" s="66">
        <v>99272.395799666818</v>
      </c>
      <c r="F47" s="66">
        <v>106842.06365029927</v>
      </c>
      <c r="G47" s="66">
        <v>103568.02564255829</v>
      </c>
      <c r="H47" s="66">
        <v>100335.88902678185</v>
      </c>
      <c r="I47" s="66">
        <v>104491.41652743547</v>
      </c>
      <c r="J47" s="66">
        <v>104978.23091146357</v>
      </c>
      <c r="K47" s="66">
        <v>108553.1204870147</v>
      </c>
      <c r="L47" s="66">
        <v>108065.5523809788</v>
      </c>
      <c r="M47" s="66">
        <v>111651.24800374896</v>
      </c>
      <c r="N47" s="66">
        <v>112796.34439886388</v>
      </c>
      <c r="O47" s="66">
        <v>114431.48324559361</v>
      </c>
      <c r="P47" s="66">
        <v>114199.41178288982</v>
      </c>
      <c r="Q47" s="66">
        <v>112097.33003166913</v>
      </c>
      <c r="R47" s="66">
        <v>115387.0135680316</v>
      </c>
      <c r="S47" s="66">
        <v>175925.24501107601</v>
      </c>
      <c r="T47" s="66">
        <v>177480.30516585312</v>
      </c>
      <c r="U47" s="66">
        <v>180742.56708642928</v>
      </c>
      <c r="V47" s="66">
        <v>196138.91938160008</v>
      </c>
      <c r="W47" s="66">
        <v>203837.84773015967</v>
      </c>
      <c r="X47" s="66">
        <v>219409.9646842384</v>
      </c>
      <c r="Y47" s="66">
        <v>244421.54779634945</v>
      </c>
      <c r="Z47" s="66">
        <v>271607.22529641504</v>
      </c>
      <c r="AA47" s="66">
        <v>238062.72418970909</v>
      </c>
    </row>
    <row r="48" spans="1:27" x14ac:dyDescent="0.25">
      <c r="A48" s="72" t="s">
        <v>4</v>
      </c>
      <c r="B48" s="65"/>
      <c r="C48" s="65"/>
      <c r="D48" s="66">
        <v>103315.52447482104</v>
      </c>
      <c r="E48" s="66">
        <v>101539.90622535413</v>
      </c>
      <c r="F48" s="66">
        <v>100385.06193208191</v>
      </c>
      <c r="G48" s="66">
        <v>97065.885895265659</v>
      </c>
      <c r="H48" s="66">
        <v>97333.221756436673</v>
      </c>
      <c r="I48" s="66">
        <v>97443.95032699623</v>
      </c>
      <c r="J48" s="66">
        <v>101278.69824163723</v>
      </c>
      <c r="K48" s="66">
        <v>106774.75725035873</v>
      </c>
      <c r="L48" s="66">
        <v>100344.31800697374</v>
      </c>
      <c r="M48" s="66">
        <v>83166.144437245326</v>
      </c>
      <c r="N48" s="66">
        <v>80539.725908834444</v>
      </c>
      <c r="O48" s="66">
        <v>81596.037843414844</v>
      </c>
      <c r="P48" s="66">
        <v>77348.715785237931</v>
      </c>
      <c r="Q48" s="66">
        <v>75283.168615124334</v>
      </c>
      <c r="R48" s="66">
        <v>78109.252824783252</v>
      </c>
      <c r="S48" s="66">
        <v>78397.523594000013</v>
      </c>
      <c r="T48" s="66">
        <v>81940.543266389723</v>
      </c>
      <c r="U48" s="66">
        <v>82400.137033816936</v>
      </c>
      <c r="V48" s="66">
        <v>84497.050902476549</v>
      </c>
      <c r="W48" s="66">
        <v>87040.514958007407</v>
      </c>
      <c r="X48" s="66">
        <v>82336.533936170395</v>
      </c>
      <c r="Y48" s="66">
        <v>86114.119392765395</v>
      </c>
      <c r="Z48" s="66">
        <v>85078.803940882397</v>
      </c>
      <c r="AA48" s="66">
        <v>86887.67917411674</v>
      </c>
    </row>
    <row r="49" spans="1:27" x14ac:dyDescent="0.25">
      <c r="A49" s="77" t="s">
        <v>10</v>
      </c>
      <c r="B49" s="44"/>
      <c r="C49" s="44"/>
      <c r="D49" s="45">
        <v>43981.636400212024</v>
      </c>
      <c r="E49" s="45">
        <v>42622.46346331502</v>
      </c>
      <c r="F49" s="45">
        <v>42529.167271448168</v>
      </c>
      <c r="G49" s="45">
        <v>40459.614143241328</v>
      </c>
      <c r="H49" s="45">
        <v>41129.463414823244</v>
      </c>
      <c r="I49" s="45">
        <v>40747.480741304869</v>
      </c>
      <c r="J49" s="45">
        <v>46500.194519200624</v>
      </c>
      <c r="K49" s="45">
        <v>48704.869475124324</v>
      </c>
      <c r="L49" s="45">
        <v>44368.694403029447</v>
      </c>
      <c r="M49" s="45">
        <v>37980.877233394793</v>
      </c>
      <c r="N49" s="45">
        <v>33099.794530453488</v>
      </c>
      <c r="O49" s="45">
        <v>33432.784880469822</v>
      </c>
      <c r="P49" s="45">
        <v>31160.849389609921</v>
      </c>
      <c r="Q49" s="45">
        <v>29687.928092831862</v>
      </c>
      <c r="R49" s="45">
        <v>31024.454975872421</v>
      </c>
      <c r="S49" s="45">
        <v>30880.702545087574</v>
      </c>
      <c r="T49" s="45">
        <v>31815.977519620366</v>
      </c>
      <c r="U49" s="45">
        <v>32431.561756250801</v>
      </c>
      <c r="V49" s="45">
        <v>33586.009756168336</v>
      </c>
      <c r="W49" s="45">
        <v>35210.150997799567</v>
      </c>
      <c r="X49" s="45">
        <v>35251.743871679719</v>
      </c>
      <c r="Y49" s="45">
        <v>35543.489537641675</v>
      </c>
      <c r="Z49" s="45">
        <v>35039.410831235888</v>
      </c>
      <c r="AA49" s="45">
        <v>36785.108792409701</v>
      </c>
    </row>
    <row r="50" spans="1:27" x14ac:dyDescent="0.25">
      <c r="A50" s="77" t="s">
        <v>18</v>
      </c>
      <c r="B50" s="44"/>
      <c r="C50" s="44"/>
      <c r="D50" s="45">
        <v>23675.174041624297</v>
      </c>
      <c r="E50" s="45">
        <v>23702.244725261582</v>
      </c>
      <c r="F50" s="45">
        <v>23692.637831005697</v>
      </c>
      <c r="G50" s="45">
        <v>22354.374292685952</v>
      </c>
      <c r="H50" s="45">
        <v>22116.44735921987</v>
      </c>
      <c r="I50" s="45">
        <v>21789.490415587301</v>
      </c>
      <c r="J50" s="45">
        <v>22646.805646803365</v>
      </c>
      <c r="K50" s="45">
        <v>23249.562039310458</v>
      </c>
      <c r="L50" s="45">
        <v>21918.262723914475</v>
      </c>
      <c r="M50" s="45">
        <v>17732.932191046446</v>
      </c>
      <c r="N50" s="45">
        <v>19145.064445071406</v>
      </c>
      <c r="O50" s="45">
        <v>19504.631453841703</v>
      </c>
      <c r="P50" s="45">
        <v>18592.86519629541</v>
      </c>
      <c r="Q50" s="45">
        <v>18331.154381970293</v>
      </c>
      <c r="R50" s="45">
        <v>18633.927263184964</v>
      </c>
      <c r="S50" s="45">
        <v>19067.897323812667</v>
      </c>
      <c r="T50" s="45">
        <v>20127.85411490827</v>
      </c>
      <c r="U50" s="45">
        <v>20616.873653797655</v>
      </c>
      <c r="V50" s="45">
        <v>21279.230871552099</v>
      </c>
      <c r="W50" s="45">
        <v>21639.459340350189</v>
      </c>
      <c r="X50" s="45">
        <v>19305.347000165759</v>
      </c>
      <c r="Y50" s="45">
        <v>20215.652459475761</v>
      </c>
      <c r="Z50" s="45">
        <v>20615.781605186163</v>
      </c>
      <c r="AA50" s="45">
        <v>19620.399834594809</v>
      </c>
    </row>
    <row r="51" spans="1:27" x14ac:dyDescent="0.25">
      <c r="A51" s="77" t="s">
        <v>9</v>
      </c>
      <c r="B51" s="44"/>
      <c r="C51" s="44"/>
      <c r="D51" s="45">
        <v>35658.714032984746</v>
      </c>
      <c r="E51" s="45">
        <v>35215.198036777503</v>
      </c>
      <c r="F51" s="45">
        <v>34163.256829628044</v>
      </c>
      <c r="G51" s="45">
        <v>34251.897459338375</v>
      </c>
      <c r="H51" s="45">
        <v>34087.310982393559</v>
      </c>
      <c r="I51" s="45">
        <v>34906.979170104089</v>
      </c>
      <c r="J51" s="45">
        <v>32131.698075633241</v>
      </c>
      <c r="K51" s="45">
        <v>34820.325735923936</v>
      </c>
      <c r="L51" s="45">
        <v>34057.360880029839</v>
      </c>
      <c r="M51" s="45">
        <v>27452.335012804044</v>
      </c>
      <c r="N51" s="45">
        <v>28294.86693330956</v>
      </c>
      <c r="O51" s="45">
        <v>28658.621509103308</v>
      </c>
      <c r="P51" s="45">
        <v>27595.001199332593</v>
      </c>
      <c r="Q51" s="45">
        <v>27264.086140322186</v>
      </c>
      <c r="R51" s="45">
        <v>28450.870585725872</v>
      </c>
      <c r="S51" s="45">
        <v>28448.923725099765</v>
      </c>
      <c r="T51" s="45">
        <v>29996.711631861086</v>
      </c>
      <c r="U51" s="45">
        <v>29351.701623768498</v>
      </c>
      <c r="V51" s="45">
        <v>29631.810274756113</v>
      </c>
      <c r="W51" s="45">
        <v>30190.904619857632</v>
      </c>
      <c r="X51" s="45">
        <v>27779.443064324925</v>
      </c>
      <c r="Y51" s="45">
        <v>30354.977395647991</v>
      </c>
      <c r="Z51" s="45">
        <v>29423.611504460376</v>
      </c>
      <c r="AA51" s="45">
        <v>30482.170547112244</v>
      </c>
    </row>
    <row r="52" spans="1:27" x14ac:dyDescent="0.25">
      <c r="A52" s="72" t="s">
        <v>3</v>
      </c>
      <c r="B52" s="65"/>
      <c r="C52" s="65"/>
      <c r="D52" s="66">
        <v>126393.59186659673</v>
      </c>
      <c r="E52" s="66">
        <v>126310.52633325646</v>
      </c>
      <c r="F52" s="66">
        <v>121484.9894684131</v>
      </c>
      <c r="G52" s="66">
        <v>113202.1300442295</v>
      </c>
      <c r="H52" s="66">
        <v>112754.36371433761</v>
      </c>
      <c r="I52" s="66">
        <v>110035.18090482194</v>
      </c>
      <c r="J52" s="66">
        <v>110046.68483832674</v>
      </c>
      <c r="K52" s="66">
        <v>109591.28179724346</v>
      </c>
      <c r="L52" s="66">
        <v>101722.74762736117</v>
      </c>
      <c r="M52" s="66">
        <v>91671.579892382142</v>
      </c>
      <c r="N52" s="66">
        <v>92657.063876077154</v>
      </c>
      <c r="O52" s="66">
        <v>92341.421423426786</v>
      </c>
      <c r="P52" s="66">
        <v>89462.649347794446</v>
      </c>
      <c r="Q52" s="66">
        <v>85383.524166600982</v>
      </c>
      <c r="R52" s="66">
        <v>86655.040317403735</v>
      </c>
      <c r="S52" s="66">
        <v>87119.858691000016</v>
      </c>
      <c r="T52" s="66">
        <v>88154.245024715521</v>
      </c>
      <c r="U52" s="66">
        <v>87344.625336228783</v>
      </c>
      <c r="V52" s="66">
        <v>88896.428867869239</v>
      </c>
      <c r="W52" s="66">
        <v>87945.05299272688</v>
      </c>
      <c r="X52" s="66">
        <v>79873.663048612216</v>
      </c>
      <c r="Y52" s="66">
        <v>79474.369982882257</v>
      </c>
      <c r="Z52" s="66">
        <v>83668.185341983131</v>
      </c>
      <c r="AA52" s="66">
        <v>80210.116784420985</v>
      </c>
    </row>
    <row r="53" spans="1:27" x14ac:dyDescent="0.25">
      <c r="A53" s="73" t="s">
        <v>21</v>
      </c>
      <c r="B53" s="65"/>
      <c r="C53" s="65"/>
      <c r="D53" s="66">
        <v>67702.576089734255</v>
      </c>
      <c r="E53" s="66">
        <v>68745.437755562292</v>
      </c>
      <c r="F53" s="66">
        <v>65537.647331613189</v>
      </c>
      <c r="G53" s="66">
        <v>61510.74131969022</v>
      </c>
      <c r="H53" s="66">
        <v>60600.679570503264</v>
      </c>
      <c r="I53" s="66">
        <v>57209.017251776051</v>
      </c>
      <c r="J53" s="66">
        <v>57421.050666506308</v>
      </c>
      <c r="K53" s="66">
        <v>58245.652750241963</v>
      </c>
      <c r="L53" s="66">
        <v>53137.800615515167</v>
      </c>
      <c r="M53" s="66">
        <v>48852.440248824496</v>
      </c>
      <c r="N53" s="66">
        <v>50338.001829664441</v>
      </c>
      <c r="O53" s="66">
        <v>51184.592572490561</v>
      </c>
      <c r="P53" s="66">
        <v>50685.875208991944</v>
      </c>
      <c r="Q53" s="66">
        <v>49121.570803939867</v>
      </c>
      <c r="R53" s="66">
        <v>51292.728982345499</v>
      </c>
      <c r="S53" s="66">
        <v>52793.215746000009</v>
      </c>
      <c r="T53" s="66">
        <v>53673.181195634905</v>
      </c>
      <c r="U53" s="66">
        <v>54060.664890461288</v>
      </c>
      <c r="V53" s="66">
        <v>56992.908944019066</v>
      </c>
      <c r="W53" s="66">
        <v>56765.530783570597</v>
      </c>
      <c r="X53" s="66">
        <v>52381.59952365698</v>
      </c>
      <c r="Y53" s="66">
        <v>51514.434650787043</v>
      </c>
      <c r="Z53" s="66">
        <v>56860.170511363453</v>
      </c>
      <c r="AA53" s="66">
        <v>54961.597969358088</v>
      </c>
    </row>
    <row r="54" spans="1:27" x14ac:dyDescent="0.25">
      <c r="A54" s="74" t="s">
        <v>8</v>
      </c>
      <c r="B54" s="44"/>
      <c r="C54" s="44"/>
      <c r="D54" s="45">
        <v>4634.157747246596</v>
      </c>
      <c r="E54" s="45">
        <v>4497.8393998994825</v>
      </c>
      <c r="F54" s="45">
        <v>4174.7901731419552</v>
      </c>
      <c r="G54" s="45">
        <v>3899.5977662569185</v>
      </c>
      <c r="H54" s="45">
        <v>3672.3760043737279</v>
      </c>
      <c r="I54" s="45">
        <v>3455.1972216885688</v>
      </c>
      <c r="J54" s="45">
        <v>3473.1224804118233</v>
      </c>
      <c r="K54" s="45">
        <v>3480.9156027267968</v>
      </c>
      <c r="L54" s="45">
        <v>3033.8211646459113</v>
      </c>
      <c r="M54" s="45">
        <v>1954.080568377381</v>
      </c>
      <c r="N54" s="45">
        <v>3462.6006652915316</v>
      </c>
      <c r="O54" s="45">
        <v>3133.3050602303829</v>
      </c>
      <c r="P54" s="45">
        <v>2729.0194032471186</v>
      </c>
      <c r="Q54" s="45">
        <v>2805.3828480174329</v>
      </c>
      <c r="R54" s="45">
        <v>3048.9159805566806</v>
      </c>
      <c r="S54" s="45">
        <v>3489.361490788443</v>
      </c>
      <c r="T54" s="45">
        <v>3398.714814878525</v>
      </c>
      <c r="U54" s="45">
        <v>3508.8476812695076</v>
      </c>
      <c r="V54" s="45">
        <v>4178.7003361155857</v>
      </c>
      <c r="W54" s="45">
        <v>3377.651097592196</v>
      </c>
      <c r="X54" s="45">
        <v>2758.4018770041907</v>
      </c>
      <c r="Y54" s="45">
        <v>2729.2631591604891</v>
      </c>
      <c r="Z54" s="45">
        <v>2978.8562365483199</v>
      </c>
      <c r="AA54" s="45">
        <v>2526.8324561236836</v>
      </c>
    </row>
    <row r="55" spans="1:27" x14ac:dyDescent="0.25">
      <c r="A55" s="74" t="s">
        <v>17</v>
      </c>
      <c r="B55" s="44"/>
      <c r="C55" s="44"/>
      <c r="D55" s="45">
        <v>63068.41834248769</v>
      </c>
      <c r="E55" s="45">
        <v>64247.598355662783</v>
      </c>
      <c r="F55" s="45">
        <v>61362.857158471234</v>
      </c>
      <c r="G55" s="45">
        <v>57611.1435534333</v>
      </c>
      <c r="H55" s="45">
        <v>56928.303566129529</v>
      </c>
      <c r="I55" s="45">
        <v>53753.820030087481</v>
      </c>
      <c r="J55" s="45">
        <v>53947.928186094468</v>
      </c>
      <c r="K55" s="45">
        <v>54764.737147515174</v>
      </c>
      <c r="L55" s="45">
        <v>50103.979450869265</v>
      </c>
      <c r="M55" s="45">
        <v>46898.359680447109</v>
      </c>
      <c r="N55" s="45">
        <v>46875.401164372925</v>
      </c>
      <c r="O55" s="45">
        <v>48051.287512260169</v>
      </c>
      <c r="P55" s="45">
        <v>47956.855805744846</v>
      </c>
      <c r="Q55" s="45">
        <v>46316.187955922433</v>
      </c>
      <c r="R55" s="45">
        <v>48243.813001788818</v>
      </c>
      <c r="S55" s="45">
        <v>49303.854255211569</v>
      </c>
      <c r="T55" s="45">
        <v>50274.46638075637</v>
      </c>
      <c r="U55" s="45">
        <v>50551.817209191795</v>
      </c>
      <c r="V55" s="45">
        <v>52814.208607903478</v>
      </c>
      <c r="W55" s="45">
        <v>53387.879685978391</v>
      </c>
      <c r="X55" s="45">
        <v>49623.197646652792</v>
      </c>
      <c r="Y55" s="45">
        <v>48785.171491626556</v>
      </c>
      <c r="Z55" s="45">
        <v>53881.314274815129</v>
      </c>
      <c r="AA55" s="45">
        <v>52434.765513234415</v>
      </c>
    </row>
    <row r="56" spans="1:27" x14ac:dyDescent="0.25">
      <c r="A56" s="73" t="s">
        <v>16</v>
      </c>
      <c r="B56" s="65"/>
      <c r="C56" s="65"/>
      <c r="D56" s="66">
        <v>58691.015776862456</v>
      </c>
      <c r="E56" s="66">
        <v>57565.08857769418</v>
      </c>
      <c r="F56" s="66">
        <v>55947.342136799933</v>
      </c>
      <c r="G56" s="66">
        <v>51691.388724539283</v>
      </c>
      <c r="H56" s="66">
        <v>52153.68414383434</v>
      </c>
      <c r="I56" s="66">
        <v>52826.163653045885</v>
      </c>
      <c r="J56" s="66">
        <v>52625.634171820435</v>
      </c>
      <c r="K56" s="66">
        <v>51345.629047001516</v>
      </c>
      <c r="L56" s="66">
        <v>48584.947011845979</v>
      </c>
      <c r="M56" s="66">
        <v>42819.139643557624</v>
      </c>
      <c r="N56" s="66">
        <v>42319.062046412691</v>
      </c>
      <c r="O56" s="66">
        <v>41156.828850936225</v>
      </c>
      <c r="P56" s="66">
        <v>38776.774138802524</v>
      </c>
      <c r="Q56" s="66">
        <v>36261.953362661108</v>
      </c>
      <c r="R56" s="66">
        <v>35362.311335058235</v>
      </c>
      <c r="S56" s="66">
        <v>34326.642944999992</v>
      </c>
      <c r="T56" s="66">
        <v>34481.063829080609</v>
      </c>
      <c r="U56" s="66">
        <v>33283.960445767516</v>
      </c>
      <c r="V56" s="66">
        <v>31903.519923850159</v>
      </c>
      <c r="W56" s="66">
        <v>31179.522209156279</v>
      </c>
      <c r="X56" s="66">
        <v>27492.063524955236</v>
      </c>
      <c r="Y56" s="66">
        <v>27959.935332095203</v>
      </c>
      <c r="Z56" s="66">
        <v>26808.014830619672</v>
      </c>
      <c r="AA56" s="66">
        <v>25248.518815062878</v>
      </c>
    </row>
    <row r="57" spans="1:27" x14ac:dyDescent="0.25">
      <c r="A57" s="72" t="s">
        <v>2</v>
      </c>
      <c r="B57" s="65"/>
      <c r="C57" s="65"/>
      <c r="D57" s="66">
        <v>252573.08811465374</v>
      </c>
      <c r="E57" s="66">
        <v>256691.44603361993</v>
      </c>
      <c r="F57" s="66">
        <v>260447.34727732788</v>
      </c>
      <c r="G57" s="66">
        <v>261939.62085485956</v>
      </c>
      <c r="H57" s="66">
        <v>264583.60481457529</v>
      </c>
      <c r="I57" s="66">
        <v>262784.07781389554</v>
      </c>
      <c r="J57" s="66">
        <v>259795.71796656796</v>
      </c>
      <c r="K57" s="66">
        <v>263350.10820128006</v>
      </c>
      <c r="L57" s="66">
        <v>261833.24037190693</v>
      </c>
      <c r="M57" s="66">
        <v>260254.26618677648</v>
      </c>
      <c r="N57" s="66">
        <v>261229.70744758929</v>
      </c>
      <c r="O57" s="66">
        <v>263105.72967035766</v>
      </c>
      <c r="P57" s="66">
        <v>263330.28981458093</v>
      </c>
      <c r="Q57" s="66">
        <v>263478.90961951518</v>
      </c>
      <c r="R57" s="66">
        <v>270979.72539515019</v>
      </c>
      <c r="S57" s="66">
        <v>277789.926698</v>
      </c>
      <c r="T57" s="66">
        <v>282008.4528919406</v>
      </c>
      <c r="U57" s="66">
        <v>282286.16446614702</v>
      </c>
      <c r="V57" s="66">
        <v>285170.2362922983</v>
      </c>
      <c r="W57" s="66">
        <v>287698.89322323562</v>
      </c>
      <c r="X57" s="66">
        <v>281782.39149957261</v>
      </c>
      <c r="Y57" s="66">
        <v>279972.06570353633</v>
      </c>
      <c r="Z57" s="66">
        <v>276956.39191302814</v>
      </c>
      <c r="AA57" s="66">
        <v>292676.83146220533</v>
      </c>
    </row>
    <row r="58" spans="1:27" x14ac:dyDescent="0.25">
      <c r="A58" s="72" t="s">
        <v>270</v>
      </c>
      <c r="B58" s="65"/>
      <c r="C58" s="65"/>
      <c r="D58" s="66">
        <v>228101.04544392193</v>
      </c>
      <c r="E58" s="66">
        <v>239731.849212086</v>
      </c>
      <c r="F58" s="66">
        <v>239194.48045655389</v>
      </c>
      <c r="G58" s="66">
        <v>243297.82200619736</v>
      </c>
      <c r="H58" s="66">
        <v>243785.455198362</v>
      </c>
      <c r="I58" s="66">
        <v>245485.23516904938</v>
      </c>
      <c r="J58" s="66">
        <v>262892.27298026957</v>
      </c>
      <c r="K58" s="66">
        <v>275433.65886858298</v>
      </c>
      <c r="L58" s="66">
        <v>257998.1489580647</v>
      </c>
      <c r="M58" s="66">
        <v>210905.40372278937</v>
      </c>
      <c r="N58" s="66">
        <v>260257.81905814703</v>
      </c>
      <c r="O58" s="66">
        <v>279678.67774377554</v>
      </c>
      <c r="P58" s="66">
        <v>272472.85369948094</v>
      </c>
      <c r="Q58" s="66">
        <v>278847.11631361354</v>
      </c>
      <c r="R58" s="66">
        <v>303674.8741413923</v>
      </c>
      <c r="S58" s="66">
        <v>320456.81043700001</v>
      </c>
      <c r="T58" s="66">
        <v>344432.32657832257</v>
      </c>
      <c r="U58" s="66">
        <v>355742.74247358984</v>
      </c>
      <c r="V58" s="66">
        <v>356971.10174752481</v>
      </c>
      <c r="W58" s="66">
        <v>353500.35045602184</v>
      </c>
      <c r="X58" s="66">
        <v>291405.27502520557</v>
      </c>
      <c r="Y58" s="66">
        <v>325494.67452888441</v>
      </c>
      <c r="Z58" s="66">
        <v>337578.47032247426</v>
      </c>
      <c r="AA58" s="66">
        <v>356068.41190344928</v>
      </c>
    </row>
    <row r="59" spans="1:27" x14ac:dyDescent="0.25">
      <c r="A59" s="72" t="s">
        <v>271</v>
      </c>
      <c r="B59" s="65"/>
      <c r="C59" s="65"/>
      <c r="D59" s="66">
        <v>656593.13293910678</v>
      </c>
      <c r="E59" s="66">
        <v>645920.57116968173</v>
      </c>
      <c r="F59" s="66">
        <v>628801.14184495958</v>
      </c>
      <c r="G59" s="66">
        <v>623825.25930507889</v>
      </c>
      <c r="H59" s="66">
        <v>644058.29895510315</v>
      </c>
      <c r="I59" s="66">
        <v>651682.07399376505</v>
      </c>
      <c r="J59" s="66">
        <v>697123.90865223203</v>
      </c>
      <c r="K59" s="66">
        <v>734171.23000324052</v>
      </c>
      <c r="L59" s="66">
        <v>729270.35794245335</v>
      </c>
      <c r="M59" s="66">
        <v>599099.99743793276</v>
      </c>
      <c r="N59" s="66">
        <v>653288.99490373174</v>
      </c>
      <c r="O59" s="66">
        <v>690367.07145558891</v>
      </c>
      <c r="P59" s="66">
        <v>676703.52368186892</v>
      </c>
      <c r="Q59" s="66">
        <v>669702.23035005957</v>
      </c>
      <c r="R59" s="66">
        <v>688356.30185608997</v>
      </c>
      <c r="S59" s="66">
        <v>696063.82268018601</v>
      </c>
      <c r="T59" s="66">
        <v>713565.12511543743</v>
      </c>
      <c r="U59" s="66">
        <v>734731.06094089302</v>
      </c>
      <c r="V59" s="66">
        <v>747786.86707096628</v>
      </c>
      <c r="W59" s="66">
        <v>747397.00666330673</v>
      </c>
      <c r="X59" s="66">
        <v>686306.06710539642</v>
      </c>
      <c r="Y59" s="66">
        <v>744097.8206790624</v>
      </c>
      <c r="Z59" s="66">
        <v>737574.66078527749</v>
      </c>
      <c r="AA59" s="66">
        <v>736762.30040797289</v>
      </c>
    </row>
    <row r="60" spans="1:27" x14ac:dyDescent="0.25">
      <c r="A60" s="72" t="s">
        <v>1</v>
      </c>
      <c r="B60" s="65"/>
      <c r="C60" s="65"/>
      <c r="D60" s="66">
        <v>118599.01254053356</v>
      </c>
      <c r="E60" s="66">
        <v>118720.97614352252</v>
      </c>
      <c r="F60" s="66">
        <v>113492.09866334377</v>
      </c>
      <c r="G60" s="66">
        <v>107619.44670623654</v>
      </c>
      <c r="H60" s="66">
        <v>102696.93310943236</v>
      </c>
      <c r="I60" s="66">
        <v>96687.057538978886</v>
      </c>
      <c r="J60" s="66">
        <v>95092.718660152066</v>
      </c>
      <c r="K60" s="66">
        <v>95550.052975222672</v>
      </c>
      <c r="L60" s="66">
        <v>90227.309643644287</v>
      </c>
      <c r="M60" s="66">
        <v>76688.972468120803</v>
      </c>
      <c r="N60" s="66">
        <v>80762.699288613832</v>
      </c>
      <c r="O60" s="66">
        <v>86152.990165667929</v>
      </c>
      <c r="P60" s="66">
        <v>80534.620438760423</v>
      </c>
      <c r="Q60" s="66">
        <v>79547.893848582185</v>
      </c>
      <c r="R60" s="66">
        <v>81129.268478793834</v>
      </c>
      <c r="S60" s="66">
        <v>81408.436774999995</v>
      </c>
      <c r="T60" s="66">
        <v>82248.510620827714</v>
      </c>
      <c r="U60" s="66">
        <v>83097.170232459423</v>
      </c>
      <c r="V60" s="66">
        <v>82836.762020372917</v>
      </c>
      <c r="W60" s="66">
        <v>81674.172006832712</v>
      </c>
      <c r="X60" s="66">
        <v>69462.431636266236</v>
      </c>
      <c r="Y60" s="66">
        <v>76294.188234142581</v>
      </c>
      <c r="Z60" s="66">
        <v>76544.856055517899</v>
      </c>
      <c r="AA60" s="66">
        <v>73909.383570596678</v>
      </c>
    </row>
    <row r="61" spans="1:27" x14ac:dyDescent="0.25">
      <c r="A61" s="72" t="s">
        <v>0</v>
      </c>
      <c r="B61" s="65"/>
      <c r="C61" s="65"/>
      <c r="D61" s="66">
        <v>52106.28550313013</v>
      </c>
      <c r="E61" s="66">
        <v>51943.009086562546</v>
      </c>
      <c r="F61" s="66">
        <v>50352.989306053802</v>
      </c>
      <c r="G61" s="66">
        <v>50085.282240698478</v>
      </c>
      <c r="H61" s="66">
        <v>50992.44639135513</v>
      </c>
      <c r="I61" s="66">
        <v>50046.23051933531</v>
      </c>
      <c r="J61" s="66">
        <v>51864.109826268381</v>
      </c>
      <c r="K61" s="66">
        <v>54543.246449205828</v>
      </c>
      <c r="L61" s="66">
        <v>49124.619189451834</v>
      </c>
      <c r="M61" s="66">
        <v>42256.09791466836</v>
      </c>
      <c r="N61" s="66">
        <v>44880.316317512203</v>
      </c>
      <c r="O61" s="66">
        <v>44599.21898352023</v>
      </c>
      <c r="P61" s="66">
        <v>40992.838524960192</v>
      </c>
      <c r="Q61" s="66">
        <v>39864.523528536498</v>
      </c>
      <c r="R61" s="66">
        <v>40687.096198845727</v>
      </c>
      <c r="S61" s="66">
        <v>42702.757366000005</v>
      </c>
      <c r="T61" s="66">
        <v>42700.030914103052</v>
      </c>
      <c r="U61" s="66">
        <v>44154.434262483817</v>
      </c>
      <c r="V61" s="66">
        <v>44826.10094847202</v>
      </c>
      <c r="W61" s="66">
        <v>45895.340566263963</v>
      </c>
      <c r="X61" s="66">
        <v>45226.237905856433</v>
      </c>
      <c r="Y61" s="66">
        <v>54804.037618772032</v>
      </c>
      <c r="Z61" s="66">
        <v>57395.878326785787</v>
      </c>
      <c r="AA61" s="66">
        <v>53113.930089706126</v>
      </c>
    </row>
    <row r="62" spans="1:27" x14ac:dyDescent="0.25">
      <c r="A62" s="78" t="s">
        <v>272</v>
      </c>
      <c r="B62" s="79"/>
      <c r="C62" s="79"/>
      <c r="D62" s="80">
        <v>197184.67820566654</v>
      </c>
      <c r="E62" s="80">
        <v>199158.39681533392</v>
      </c>
      <c r="F62" s="80">
        <v>197896.24638000678</v>
      </c>
      <c r="G62" s="80">
        <v>194404.64615926787</v>
      </c>
      <c r="H62" s="80">
        <v>196517.90592241831</v>
      </c>
      <c r="I62" s="80">
        <v>196103.59727220557</v>
      </c>
      <c r="J62" s="80">
        <v>203399.35696438086</v>
      </c>
      <c r="K62" s="80">
        <v>205688.47404109489</v>
      </c>
      <c r="L62" s="80">
        <v>200951.66996689179</v>
      </c>
      <c r="M62" s="80">
        <v>183472.42032368577</v>
      </c>
      <c r="N62" s="80">
        <v>186011.41102564565</v>
      </c>
      <c r="O62" s="80">
        <v>194881.33496647619</v>
      </c>
      <c r="P62" s="80">
        <v>191659.91331305262</v>
      </c>
      <c r="Q62" s="80">
        <v>191732.03972693897</v>
      </c>
      <c r="R62" s="80">
        <v>199765.39857688357</v>
      </c>
      <c r="S62" s="80">
        <v>207279.23549369173</v>
      </c>
      <c r="T62" s="80">
        <v>211486.26381595139</v>
      </c>
      <c r="U62" s="80">
        <v>215851.59795311341</v>
      </c>
      <c r="V62" s="80">
        <v>214220.55238573853</v>
      </c>
      <c r="W62" s="80">
        <v>222042.56413905992</v>
      </c>
      <c r="X62" s="80">
        <v>209871.6522642512</v>
      </c>
      <c r="Y62" s="80">
        <v>223294.62850708503</v>
      </c>
      <c r="Z62" s="80">
        <v>219802.10715008373</v>
      </c>
      <c r="AA62" s="80">
        <v>224937.060458686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2.5499554988854815E-2</v>
      </c>
      <c r="E66" s="83">
        <f t="shared" ref="E66:S66" si="55">E24/E$23</f>
        <v>2.5749617904260357E-2</v>
      </c>
      <c r="F66" s="83">
        <f t="shared" si="55"/>
        <v>2.3771886601771985E-2</v>
      </c>
      <c r="G66" s="83">
        <f t="shared" si="55"/>
        <v>2.3015974458249717E-2</v>
      </c>
      <c r="H66" s="83">
        <f t="shared" si="55"/>
        <v>2.3250841999840011E-2</v>
      </c>
      <c r="I66" s="83">
        <f t="shared" si="55"/>
        <v>2.0056263246291426E-2</v>
      </c>
      <c r="J66" s="83">
        <f t="shared" si="55"/>
        <v>1.8828635378504405E-2</v>
      </c>
      <c r="K66" s="83">
        <f t="shared" si="55"/>
        <v>1.9041493093516815E-2</v>
      </c>
      <c r="L66" s="83">
        <f t="shared" si="55"/>
        <v>1.8245519924510609E-2</v>
      </c>
      <c r="M66" s="83">
        <f t="shared" si="55"/>
        <v>1.6661429456365704E-2</v>
      </c>
      <c r="N66" s="83">
        <f t="shared" si="55"/>
        <v>1.7908678895525231E-2</v>
      </c>
      <c r="O66" s="83">
        <f t="shared" si="55"/>
        <v>1.8941089220642162E-2</v>
      </c>
      <c r="P66" s="83">
        <f t="shared" si="55"/>
        <v>1.8774788825412964E-2</v>
      </c>
      <c r="Q66" s="83">
        <f t="shared" si="55"/>
        <v>1.9175981089807264E-2</v>
      </c>
      <c r="R66" s="83">
        <f t="shared" si="55"/>
        <v>1.8909815134534543E-2</v>
      </c>
      <c r="S66" s="83">
        <f t="shared" si="55"/>
        <v>1.8118671094281932E-2</v>
      </c>
      <c r="T66" s="83">
        <f t="shared" ref="T66:Y66" si="56">T24/T$23</f>
        <v>1.7733682222628586E-2</v>
      </c>
      <c r="U66" s="83">
        <f t="shared" si="56"/>
        <v>1.8846954733419598E-2</v>
      </c>
      <c r="V66" s="83">
        <f t="shared" si="56"/>
        <v>1.789577486717852E-2</v>
      </c>
      <c r="W66" s="83">
        <f t="shared" si="56"/>
        <v>1.7714834458385294E-2</v>
      </c>
      <c r="X66" s="83">
        <f t="shared" si="56"/>
        <v>1.7930825706863111E-2</v>
      </c>
      <c r="Y66" s="83">
        <f t="shared" si="56"/>
        <v>1.7810596009407802E-2</v>
      </c>
      <c r="Z66" s="83">
        <f t="shared" ref="Z66:AA66" si="57">Z24/Z$23</f>
        <v>1.8839426729902888E-2</v>
      </c>
      <c r="AA66" s="83">
        <f t="shared" si="57"/>
        <v>1.8158859942576207E-2</v>
      </c>
    </row>
    <row r="67" spans="1:27" x14ac:dyDescent="0.25">
      <c r="A67" s="64" t="s">
        <v>56</v>
      </c>
      <c r="B67" s="65"/>
      <c r="C67" s="65"/>
      <c r="D67" s="83">
        <f t="shared" si="51"/>
        <v>5.8679321771711659E-3</v>
      </c>
      <c r="E67" s="83">
        <f t="shared" ref="E67:S67" si="58">E25/E$23</f>
        <v>5.7139533814469226E-3</v>
      </c>
      <c r="F67" s="83">
        <f t="shared" si="58"/>
        <v>5.4923617932949335E-3</v>
      </c>
      <c r="G67" s="83">
        <f t="shared" si="58"/>
        <v>5.2152565028825374E-3</v>
      </c>
      <c r="H67" s="83">
        <f t="shared" si="58"/>
        <v>5.514192699215925E-3</v>
      </c>
      <c r="I67" s="83">
        <f t="shared" si="58"/>
        <v>5.9097326798859219E-3</v>
      </c>
      <c r="J67" s="83">
        <f t="shared" si="58"/>
        <v>6.4770096312934044E-3</v>
      </c>
      <c r="K67" s="83">
        <f t="shared" si="58"/>
        <v>6.1598262503264924E-3</v>
      </c>
      <c r="L67" s="83">
        <f t="shared" si="58"/>
        <v>7.0018950728091859E-3</v>
      </c>
      <c r="M67" s="83">
        <f t="shared" si="58"/>
        <v>5.7116423370344015E-3</v>
      </c>
      <c r="N67" s="83">
        <f t="shared" si="58"/>
        <v>6.1529367720229581E-3</v>
      </c>
      <c r="O67" s="83">
        <f t="shared" si="58"/>
        <v>6.4208229397272505E-3</v>
      </c>
      <c r="P67" s="83">
        <f t="shared" si="58"/>
        <v>6.818423862734296E-3</v>
      </c>
      <c r="Q67" s="83">
        <f t="shared" si="58"/>
        <v>6.2778451082009272E-3</v>
      </c>
      <c r="R67" s="83">
        <f t="shared" si="58"/>
        <v>5.2476453613313325E-3</v>
      </c>
      <c r="S67" s="83">
        <f t="shared" si="58"/>
        <v>4.2299906917688769E-3</v>
      </c>
      <c r="T67" s="83">
        <f t="shared" ref="T67:Y67" si="59">T25/T$23</f>
        <v>3.4738806567706309E-3</v>
      </c>
      <c r="U67" s="83">
        <f t="shared" si="59"/>
        <v>3.7008249276272876E-3</v>
      </c>
      <c r="V67" s="83">
        <f t="shared" si="59"/>
        <v>3.7261820933976947E-3</v>
      </c>
      <c r="W67" s="83">
        <f t="shared" si="59"/>
        <v>3.4289092634129511E-3</v>
      </c>
      <c r="X67" s="83">
        <f t="shared" si="59"/>
        <v>2.8814682189363086E-3</v>
      </c>
      <c r="Y67" s="83">
        <f t="shared" si="59"/>
        <v>3.6186493243471059E-3</v>
      </c>
      <c r="Z67" s="83">
        <f t="shared" ref="Z67:AA67" si="60">Z25/Z$23</f>
        <v>4.6701941003367692E-3</v>
      </c>
      <c r="AA67" s="83">
        <f t="shared" si="60"/>
        <v>3.2522489014515927E-3</v>
      </c>
    </row>
    <row r="68" spans="1:27" x14ac:dyDescent="0.25">
      <c r="A68" s="64" t="s">
        <v>146</v>
      </c>
      <c r="B68" s="65"/>
      <c r="C68" s="65"/>
      <c r="D68" s="83">
        <f t="shared" si="51"/>
        <v>0.70610286595592398</v>
      </c>
      <c r="E68" s="83">
        <f t="shared" ref="E68:S68" si="61">E26/E$23</f>
        <v>0.70936171419858196</v>
      </c>
      <c r="F68" s="83">
        <f t="shared" si="61"/>
        <v>0.71606779337465887</v>
      </c>
      <c r="G68" s="83">
        <f t="shared" si="61"/>
        <v>0.72035580457393655</v>
      </c>
      <c r="H68" s="83">
        <f t="shared" si="61"/>
        <v>0.72011195228374947</v>
      </c>
      <c r="I68" s="83">
        <f t="shared" si="61"/>
        <v>0.72442284796449941</v>
      </c>
      <c r="J68" s="83">
        <f t="shared" si="61"/>
        <v>0.72254126946001584</v>
      </c>
      <c r="K68" s="83">
        <f t="shared" si="61"/>
        <v>0.72228052897184258</v>
      </c>
      <c r="L68" s="83">
        <f t="shared" si="61"/>
        <v>0.72777981252237434</v>
      </c>
      <c r="M68" s="83">
        <f t="shared" si="61"/>
        <v>0.74653004948680968</v>
      </c>
      <c r="N68" s="83">
        <f t="shared" si="61"/>
        <v>0.74202504043089856</v>
      </c>
      <c r="O68" s="83">
        <f t="shared" si="61"/>
        <v>0.73985787495779509</v>
      </c>
      <c r="P68" s="83">
        <f t="shared" si="61"/>
        <v>0.74343737230090001</v>
      </c>
      <c r="Q68" s="83">
        <f t="shared" si="61"/>
        <v>0.74781012422009341</v>
      </c>
      <c r="R68" s="83">
        <f t="shared" si="61"/>
        <v>0.74855897020792084</v>
      </c>
      <c r="S68" s="83">
        <f t="shared" si="61"/>
        <v>0.74577090900740339</v>
      </c>
      <c r="T68" s="83">
        <f t="shared" ref="T68:Y68" si="62">T26/T$23</f>
        <v>0.74617186850963879</v>
      </c>
      <c r="U68" s="83">
        <f t="shared" si="62"/>
        <v>0.74581992556168974</v>
      </c>
      <c r="V68" s="83">
        <f t="shared" si="62"/>
        <v>0.74682636668618008</v>
      </c>
      <c r="W68" s="83">
        <f t="shared" si="62"/>
        <v>0.74828812587300964</v>
      </c>
      <c r="X68" s="83">
        <f t="shared" si="62"/>
        <v>0.75040659459080206</v>
      </c>
      <c r="Y68" s="83">
        <f t="shared" si="62"/>
        <v>0.74755079307658789</v>
      </c>
      <c r="Z68" s="83">
        <f t="shared" ref="Z68:AA68" si="63">Z26/Z$23</f>
        <v>0.7419602726354404</v>
      </c>
      <c r="AA68" s="83">
        <f t="shared" si="63"/>
        <v>0.74109937328892561</v>
      </c>
    </row>
    <row r="69" spans="1:27" x14ac:dyDescent="0.25">
      <c r="A69" s="68" t="s">
        <v>148</v>
      </c>
      <c r="B69" s="69"/>
      <c r="C69" s="69"/>
      <c r="D69" s="84">
        <f t="shared" si="51"/>
        <v>0.26492214879629589</v>
      </c>
      <c r="E69" s="84">
        <f t="shared" ref="E69:S69" si="64">E27/E$23</f>
        <v>0.26544969725383866</v>
      </c>
      <c r="F69" s="84">
        <f t="shared" si="64"/>
        <v>0.26906582246012134</v>
      </c>
      <c r="G69" s="84">
        <f t="shared" si="64"/>
        <v>0.27161974182678639</v>
      </c>
      <c r="H69" s="84">
        <f t="shared" si="64"/>
        <v>0.2705273198434926</v>
      </c>
      <c r="I69" s="84">
        <f t="shared" si="64"/>
        <v>0.27169481884250335</v>
      </c>
      <c r="J69" s="84">
        <f t="shared" si="64"/>
        <v>0.26829881769879671</v>
      </c>
      <c r="K69" s="84">
        <f t="shared" si="64"/>
        <v>0.26535216249006904</v>
      </c>
      <c r="L69" s="84">
        <f t="shared" si="64"/>
        <v>0.26823823069327107</v>
      </c>
      <c r="M69" s="84">
        <f t="shared" si="64"/>
        <v>0.28192012438414815</v>
      </c>
      <c r="N69" s="84">
        <f t="shared" si="64"/>
        <v>0.28097382186030218</v>
      </c>
      <c r="O69" s="84">
        <f t="shared" si="64"/>
        <v>0.27733742830803021</v>
      </c>
      <c r="P69" s="84">
        <f t="shared" si="64"/>
        <v>0.2793700538011174</v>
      </c>
      <c r="Q69" s="84">
        <f t="shared" si="64"/>
        <v>0.28150334774109242</v>
      </c>
      <c r="R69" s="84">
        <f t="shared" si="64"/>
        <v>0.28126077450321474</v>
      </c>
      <c r="S69" s="84">
        <f t="shared" si="64"/>
        <v>0.27851360938850889</v>
      </c>
      <c r="T69" s="84">
        <f t="shared" ref="T69:Y69" si="65">T27/T$23</f>
        <v>0.27841666160927675</v>
      </c>
      <c r="U69" s="84">
        <f t="shared" si="65"/>
        <v>0.27835249838177611</v>
      </c>
      <c r="V69" s="84">
        <f t="shared" si="65"/>
        <v>0.27780397090110132</v>
      </c>
      <c r="W69" s="84">
        <f t="shared" si="65"/>
        <v>0.27885086882803772</v>
      </c>
      <c r="X69" s="84">
        <f t="shared" si="65"/>
        <v>0.27009030634491343</v>
      </c>
      <c r="Y69" s="84">
        <f t="shared" si="65"/>
        <v>0.2697544280857504</v>
      </c>
      <c r="Z69" s="84">
        <f t="shared" ref="Z69:AA69" si="66">Z27/Z$23</f>
        <v>0.27282494805202268</v>
      </c>
      <c r="AA69" s="84">
        <f t="shared" si="66"/>
        <v>0.2699312845139995</v>
      </c>
    </row>
    <row r="70" spans="1:27" x14ac:dyDescent="0.25">
      <c r="A70" s="68" t="s">
        <v>150</v>
      </c>
      <c r="B70" s="71"/>
      <c r="C70" s="71"/>
      <c r="D70" s="84">
        <f t="shared" si="51"/>
        <v>0.30923441263258272</v>
      </c>
      <c r="E70" s="84">
        <f t="shared" ref="E70:S70" si="67">E28/E$23</f>
        <v>0.31131711044806498</v>
      </c>
      <c r="F70" s="84">
        <f t="shared" si="67"/>
        <v>0.31451452439441685</v>
      </c>
      <c r="G70" s="84">
        <f t="shared" si="67"/>
        <v>0.31639124432485838</v>
      </c>
      <c r="H70" s="84">
        <f t="shared" si="67"/>
        <v>0.31838471301476901</v>
      </c>
      <c r="I70" s="84">
        <f t="shared" si="67"/>
        <v>0.32192722442776928</v>
      </c>
      <c r="J70" s="84">
        <f t="shared" si="67"/>
        <v>0.32469545128203031</v>
      </c>
      <c r="K70" s="84">
        <f t="shared" si="67"/>
        <v>0.32783437446962083</v>
      </c>
      <c r="L70" s="84">
        <f t="shared" si="67"/>
        <v>0.32923584125607408</v>
      </c>
      <c r="M70" s="84">
        <f t="shared" si="67"/>
        <v>0.33384564055552285</v>
      </c>
      <c r="N70" s="84">
        <f t="shared" si="67"/>
        <v>0.33299272534522867</v>
      </c>
      <c r="O70" s="84">
        <f t="shared" si="67"/>
        <v>0.33339466581480287</v>
      </c>
      <c r="P70" s="84">
        <f t="shared" si="67"/>
        <v>0.33482951572452385</v>
      </c>
      <c r="Q70" s="84">
        <f t="shared" si="67"/>
        <v>0.3379892768591895</v>
      </c>
      <c r="R70" s="84">
        <f t="shared" si="67"/>
        <v>0.33903198893465425</v>
      </c>
      <c r="S70" s="84">
        <f t="shared" si="67"/>
        <v>0.33831564491744015</v>
      </c>
      <c r="T70" s="84">
        <f t="shared" ref="T70:Y70" si="68">T28/T$23</f>
        <v>0.33816321143323874</v>
      </c>
      <c r="U70" s="84">
        <f t="shared" si="68"/>
        <v>0.33749143836003959</v>
      </c>
      <c r="V70" s="84">
        <f t="shared" si="68"/>
        <v>0.33949801638624466</v>
      </c>
      <c r="W70" s="84">
        <f t="shared" si="68"/>
        <v>0.33964037434499372</v>
      </c>
      <c r="X70" s="84">
        <f t="shared" si="68"/>
        <v>0.34811170771726646</v>
      </c>
      <c r="Y70" s="84">
        <f t="shared" si="68"/>
        <v>0.34394776752951944</v>
      </c>
      <c r="Z70" s="84">
        <f t="shared" ref="Z70:AA70" si="69">Z28/Z$23</f>
        <v>0.33549825453046289</v>
      </c>
      <c r="AA70" s="84">
        <f t="shared" si="69"/>
        <v>0.3419456547408477</v>
      </c>
    </row>
    <row r="71" spans="1:27" x14ac:dyDescent="0.25">
      <c r="A71" s="68" t="s">
        <v>152</v>
      </c>
      <c r="B71" s="71"/>
      <c r="C71" s="71"/>
      <c r="D71" s="84">
        <f t="shared" si="51"/>
        <v>0.13194630452704542</v>
      </c>
      <c r="E71" s="84">
        <f t="shared" ref="E71:S71" si="70">E29/E$23</f>
        <v>0.13259490649667838</v>
      </c>
      <c r="F71" s="84">
        <f t="shared" si="70"/>
        <v>0.13248744652012054</v>
      </c>
      <c r="G71" s="84">
        <f t="shared" si="70"/>
        <v>0.13234481842229193</v>
      </c>
      <c r="H71" s="84">
        <f t="shared" si="70"/>
        <v>0.13119991942548781</v>
      </c>
      <c r="I71" s="84">
        <f t="shared" si="70"/>
        <v>0.13080080469422675</v>
      </c>
      <c r="J71" s="84">
        <f t="shared" si="70"/>
        <v>0.12954700047918927</v>
      </c>
      <c r="K71" s="84">
        <f t="shared" si="70"/>
        <v>0.12909399201215263</v>
      </c>
      <c r="L71" s="84">
        <f t="shared" si="70"/>
        <v>0.13030574057302938</v>
      </c>
      <c r="M71" s="84">
        <f t="shared" si="70"/>
        <v>0.13076428454713862</v>
      </c>
      <c r="N71" s="84">
        <f t="shared" si="70"/>
        <v>0.12805849322536803</v>
      </c>
      <c r="O71" s="84">
        <f t="shared" si="70"/>
        <v>0.1291257808349621</v>
      </c>
      <c r="P71" s="84">
        <f t="shared" si="70"/>
        <v>0.12923780277525873</v>
      </c>
      <c r="Q71" s="84">
        <f t="shared" si="70"/>
        <v>0.12831749961981151</v>
      </c>
      <c r="R71" s="84">
        <f t="shared" si="70"/>
        <v>0.12826620677005182</v>
      </c>
      <c r="S71" s="84">
        <f t="shared" si="70"/>
        <v>0.12894165470145413</v>
      </c>
      <c r="T71" s="84">
        <f t="shared" ref="T71:Y71" si="71">T29/T$23</f>
        <v>0.12959199546712344</v>
      </c>
      <c r="U71" s="84">
        <f t="shared" si="71"/>
        <v>0.12997598881987424</v>
      </c>
      <c r="V71" s="84">
        <f t="shared" si="71"/>
        <v>0.12952437939883416</v>
      </c>
      <c r="W71" s="84">
        <f t="shared" si="71"/>
        <v>0.12979688269997824</v>
      </c>
      <c r="X71" s="84">
        <f t="shared" si="71"/>
        <v>0.13220458052862216</v>
      </c>
      <c r="Y71" s="84">
        <f t="shared" si="71"/>
        <v>0.13384859746131803</v>
      </c>
      <c r="Z71" s="84">
        <f t="shared" ref="Z71:AA71" si="72">Z29/Z$23</f>
        <v>0.13363707005295494</v>
      </c>
      <c r="AA71" s="84">
        <f t="shared" si="72"/>
        <v>0.12922243403407838</v>
      </c>
    </row>
    <row r="72" spans="1:27" x14ac:dyDescent="0.25">
      <c r="A72" s="64" t="s">
        <v>154</v>
      </c>
      <c r="B72" s="65"/>
      <c r="C72" s="65"/>
      <c r="D72" s="83">
        <f t="shared" si="51"/>
        <v>1.9900337079873535E-2</v>
      </c>
      <c r="E72" s="83">
        <f t="shared" ref="E72:S72" si="73">E30/E$23</f>
        <v>1.985054104914459E-2</v>
      </c>
      <c r="F72" s="83">
        <f t="shared" si="73"/>
        <v>1.9716791186231698E-2</v>
      </c>
      <c r="G72" s="83">
        <f t="shared" si="73"/>
        <v>1.9861092882031278E-2</v>
      </c>
      <c r="H72" s="83">
        <f t="shared" si="73"/>
        <v>2.0970904369131738E-2</v>
      </c>
      <c r="I72" s="83">
        <f t="shared" si="73"/>
        <v>2.1221634167371516E-2</v>
      </c>
      <c r="J72" s="83">
        <f t="shared" si="73"/>
        <v>2.1152646687980042E-2</v>
      </c>
      <c r="K72" s="83">
        <f t="shared" si="73"/>
        <v>2.0129101156938028E-2</v>
      </c>
      <c r="L72" s="83">
        <f t="shared" si="73"/>
        <v>2.1042837434764882E-2</v>
      </c>
      <c r="M72" s="83">
        <f t="shared" si="73"/>
        <v>2.1748714954261793E-2</v>
      </c>
      <c r="N72" s="83">
        <f t="shared" si="73"/>
        <v>2.2406231825354807E-2</v>
      </c>
      <c r="O72" s="83">
        <f t="shared" si="73"/>
        <v>2.1551903651222001E-2</v>
      </c>
      <c r="P72" s="83">
        <f t="shared" si="73"/>
        <v>2.2435418259338754E-2</v>
      </c>
      <c r="Q72" s="83">
        <f t="shared" si="73"/>
        <v>2.119561916316489E-2</v>
      </c>
      <c r="R72" s="83">
        <f t="shared" si="73"/>
        <v>1.9575059306261001E-2</v>
      </c>
      <c r="S72" s="83">
        <f t="shared" si="73"/>
        <v>1.9435547748969974E-2</v>
      </c>
      <c r="T72" s="83">
        <f t="shared" ref="T72:Y72" si="74">T30/T$23</f>
        <v>1.8811846595352958E-2</v>
      </c>
      <c r="U72" s="83">
        <f t="shared" si="74"/>
        <v>1.835241268405367E-2</v>
      </c>
      <c r="V72" s="83">
        <f t="shared" si="74"/>
        <v>1.8076936478063674E-2</v>
      </c>
      <c r="W72" s="83">
        <f t="shared" si="74"/>
        <v>1.8562515461954643E-2</v>
      </c>
      <c r="X72" s="83">
        <f t="shared" si="74"/>
        <v>1.8224668407475272E-2</v>
      </c>
      <c r="Y72" s="83">
        <f t="shared" si="74"/>
        <v>1.8525526716736518E-2</v>
      </c>
      <c r="Z72" s="83">
        <f t="shared" ref="Z72:AA72" si="75">Z30/Z$23</f>
        <v>2.5882920289645877E-2</v>
      </c>
      <c r="AA72" s="83">
        <f t="shared" si="75"/>
        <v>3.0013425550025067E-2</v>
      </c>
    </row>
    <row r="73" spans="1:27" x14ac:dyDescent="0.25">
      <c r="A73" s="64" t="s">
        <v>37</v>
      </c>
      <c r="B73" s="65"/>
      <c r="C73" s="65"/>
      <c r="D73" s="83">
        <f t="shared" si="51"/>
        <v>5.7356108431665102E-2</v>
      </c>
      <c r="E73" s="83">
        <f t="shared" ref="E73:S73" si="76">E31/E$23</f>
        <v>5.7319788253965442E-2</v>
      </c>
      <c r="F73" s="83">
        <f t="shared" si="76"/>
        <v>5.7423098042824909E-2</v>
      </c>
      <c r="G73" s="83">
        <f t="shared" si="76"/>
        <v>5.8116748757843291E-2</v>
      </c>
      <c r="H73" s="83">
        <f t="shared" si="76"/>
        <v>5.8839228552317428E-2</v>
      </c>
      <c r="I73" s="83">
        <f t="shared" si="76"/>
        <v>5.9839465706900061E-2</v>
      </c>
      <c r="J73" s="83">
        <f t="shared" si="76"/>
        <v>6.1989458172569303E-2</v>
      </c>
      <c r="K73" s="83">
        <f t="shared" si="76"/>
        <v>6.261712686909883E-2</v>
      </c>
      <c r="L73" s="83">
        <f t="shared" si="76"/>
        <v>6.2914347414232977E-2</v>
      </c>
      <c r="M73" s="83">
        <f t="shared" si="76"/>
        <v>6.181212108466614E-2</v>
      </c>
      <c r="N73" s="83">
        <f t="shared" si="76"/>
        <v>5.6754820717312755E-2</v>
      </c>
      <c r="O73" s="83">
        <f t="shared" si="76"/>
        <v>5.5107538539078307E-2</v>
      </c>
      <c r="P73" s="83">
        <f t="shared" si="76"/>
        <v>5.3172169956690128E-2</v>
      </c>
      <c r="Q73" s="83">
        <f t="shared" si="76"/>
        <v>5.1557840440924221E-2</v>
      </c>
      <c r="R73" s="83">
        <f t="shared" si="76"/>
        <v>5.0514186165306445E-2</v>
      </c>
      <c r="S73" s="83">
        <f t="shared" si="76"/>
        <v>4.9935981639435363E-2</v>
      </c>
      <c r="T73" s="83">
        <f t="shared" ref="T73:Y73" si="77">T31/T$23</f>
        <v>5.0025507946217289E-2</v>
      </c>
      <c r="U73" s="83">
        <f t="shared" si="77"/>
        <v>5.0350132202341469E-2</v>
      </c>
      <c r="V73" s="83">
        <f t="shared" si="77"/>
        <v>5.1836070375309282E-2</v>
      </c>
      <c r="W73" s="83">
        <f t="shared" si="77"/>
        <v>5.3082349238030457E-2</v>
      </c>
      <c r="X73" s="83">
        <f t="shared" si="77"/>
        <v>5.4338462705538194E-2</v>
      </c>
      <c r="Y73" s="83">
        <f t="shared" si="77"/>
        <v>5.4186313989327481E-2</v>
      </c>
      <c r="Z73" s="83">
        <f t="shared" ref="Z73:AA73" si="78">Z31/Z$23</f>
        <v>5.3824544746275932E-2</v>
      </c>
      <c r="AA73" s="83">
        <f t="shared" si="78"/>
        <v>5.5192241595109243E-2</v>
      </c>
    </row>
    <row r="74" spans="1:27" x14ac:dyDescent="0.25">
      <c r="A74" s="64" t="s">
        <v>58</v>
      </c>
      <c r="B74" s="65"/>
      <c r="C74" s="65"/>
      <c r="D74" s="83">
        <f t="shared" si="51"/>
        <v>0.18527320136651118</v>
      </c>
      <c r="E74" s="83">
        <f t="shared" ref="E74:S74" si="79">E32/E$23</f>
        <v>0.18200438521260068</v>
      </c>
      <c r="F74" s="83">
        <f t="shared" si="79"/>
        <v>0.17752806900121784</v>
      </c>
      <c r="G74" s="83">
        <f t="shared" si="79"/>
        <v>0.17343512282505685</v>
      </c>
      <c r="H74" s="83">
        <f t="shared" si="79"/>
        <v>0.17131288009574519</v>
      </c>
      <c r="I74" s="83">
        <f t="shared" si="79"/>
        <v>0.16855005623505204</v>
      </c>
      <c r="J74" s="83">
        <f t="shared" si="79"/>
        <v>0.16901098066963646</v>
      </c>
      <c r="K74" s="83">
        <f t="shared" si="79"/>
        <v>0.16977192365827715</v>
      </c>
      <c r="L74" s="83">
        <f t="shared" si="79"/>
        <v>0.16301558763130777</v>
      </c>
      <c r="M74" s="83">
        <f t="shared" si="79"/>
        <v>0.14753604268086221</v>
      </c>
      <c r="N74" s="83">
        <f t="shared" si="79"/>
        <v>0.15475229135888549</v>
      </c>
      <c r="O74" s="83">
        <f t="shared" si="79"/>
        <v>0.15812077069153502</v>
      </c>
      <c r="P74" s="83">
        <f t="shared" si="79"/>
        <v>0.15536182679492405</v>
      </c>
      <c r="Q74" s="83">
        <f t="shared" si="79"/>
        <v>0.15398258997780945</v>
      </c>
      <c r="R74" s="83">
        <f t="shared" si="79"/>
        <v>0.15719432382464582</v>
      </c>
      <c r="S74" s="83">
        <f t="shared" si="79"/>
        <v>0.16250889981814068</v>
      </c>
      <c r="T74" s="83">
        <f t="shared" ref="T74:Y74" si="80">T32/T$23</f>
        <v>0.16378321406939161</v>
      </c>
      <c r="U74" s="83">
        <f t="shared" si="80"/>
        <v>0.16292974989086775</v>
      </c>
      <c r="V74" s="83">
        <f t="shared" si="80"/>
        <v>0.16163866949987077</v>
      </c>
      <c r="W74" s="83">
        <f t="shared" si="80"/>
        <v>0.15892326570520707</v>
      </c>
      <c r="X74" s="83">
        <f t="shared" si="80"/>
        <v>0.15621798037038498</v>
      </c>
      <c r="Y74" s="83">
        <f t="shared" si="80"/>
        <v>0.15830812088359328</v>
      </c>
      <c r="Z74" s="83">
        <f t="shared" ref="Z74:AA74" si="81">Z32/Z$23</f>
        <v>0.15482264149839822</v>
      </c>
      <c r="AA74" s="83">
        <f t="shared" si="81"/>
        <v>0.15228385072191228</v>
      </c>
    </row>
    <row r="75" spans="1:27" x14ac:dyDescent="0.25">
      <c r="A75" s="85" t="s">
        <v>158</v>
      </c>
      <c r="B75" s="86"/>
      <c r="C75" s="86"/>
      <c r="D75" s="87">
        <f t="shared" si="51"/>
        <v>8.0903030732574245E-3</v>
      </c>
      <c r="E75" s="87">
        <f t="shared" ref="E75:S75" si="82">E33/E$23</f>
        <v>7.5613288682832768E-3</v>
      </c>
      <c r="F75" s="87">
        <f t="shared" si="82"/>
        <v>7.0529549335939844E-3</v>
      </c>
      <c r="G75" s="87">
        <f t="shared" si="82"/>
        <v>6.9335223974661487E-3</v>
      </c>
      <c r="H75" s="87">
        <f t="shared" si="82"/>
        <v>7.5304059392018383E-3</v>
      </c>
      <c r="I75" s="87">
        <f t="shared" si="82"/>
        <v>7.7239764283059051E-3</v>
      </c>
      <c r="J75" s="87">
        <f t="shared" si="82"/>
        <v>7.9777364548301918E-3</v>
      </c>
      <c r="K75" s="87">
        <f t="shared" si="82"/>
        <v>8.5347056395447367E-3</v>
      </c>
      <c r="L75" s="87">
        <f t="shared" si="82"/>
        <v>7.7047940061858158E-3</v>
      </c>
      <c r="M75" s="87">
        <f t="shared" si="82"/>
        <v>5.2632986217003132E-3</v>
      </c>
      <c r="N75" s="87">
        <f t="shared" si="82"/>
        <v>5.8903054592594458E-3</v>
      </c>
      <c r="O75" s="87">
        <f t="shared" si="82"/>
        <v>6.3112703808514753E-3</v>
      </c>
      <c r="P75" s="87">
        <f t="shared" si="82"/>
        <v>5.9661155944265914E-3</v>
      </c>
      <c r="Q75" s="87">
        <f t="shared" si="82"/>
        <v>5.7223750392319814E-3</v>
      </c>
      <c r="R75" s="87">
        <f t="shared" si="82"/>
        <v>5.7263609975056907E-3</v>
      </c>
      <c r="S75" s="87">
        <f t="shared" si="82"/>
        <v>5.7995451725904971E-3</v>
      </c>
      <c r="T75" s="87">
        <f t="shared" ref="T75:Y75" si="83">T33/T$23</f>
        <v>5.6866543124899707E-3</v>
      </c>
      <c r="U75" s="87">
        <f t="shared" si="83"/>
        <v>5.8152313662371957E-3</v>
      </c>
      <c r="V75" s="87">
        <f t="shared" si="83"/>
        <v>5.9556178937743487E-3</v>
      </c>
      <c r="W75" s="87">
        <f t="shared" si="83"/>
        <v>5.1519214099481677E-3</v>
      </c>
      <c r="X75" s="87">
        <f t="shared" si="83"/>
        <v>4.5972442217655342E-3</v>
      </c>
      <c r="Y75" s="87">
        <f t="shared" si="83"/>
        <v>5.245959418194065E-3</v>
      </c>
      <c r="Z75" s="87">
        <f t="shared" ref="Z75:AA75" si="84">Z33/Z$23</f>
        <v>5.8448442753370545E-3</v>
      </c>
      <c r="AA75" s="87">
        <f t="shared" si="84"/>
        <v>5.3113824172019023E-3</v>
      </c>
    </row>
    <row r="76" spans="1:27" x14ac:dyDescent="0.25">
      <c r="A76" s="88" t="s">
        <v>5</v>
      </c>
      <c r="B76" s="44"/>
      <c r="C76" s="44"/>
      <c r="D76" s="89">
        <f t="shared" si="51"/>
        <v>5.9869293582613444E-3</v>
      </c>
      <c r="E76" s="89">
        <f t="shared" ref="E76:S76" si="85">E34/E$23</f>
        <v>5.5960724965624176E-3</v>
      </c>
      <c r="F76" s="89">
        <f t="shared" si="85"/>
        <v>5.2112367361992823E-3</v>
      </c>
      <c r="G76" s="89">
        <f t="shared" si="85"/>
        <v>5.1183834772910693E-3</v>
      </c>
      <c r="H76" s="89">
        <f t="shared" si="85"/>
        <v>5.5705380400613898E-3</v>
      </c>
      <c r="I76" s="89">
        <f t="shared" si="85"/>
        <v>5.7218105514249438E-3</v>
      </c>
      <c r="J76" s="89">
        <f t="shared" si="85"/>
        <v>5.8997767704876492E-3</v>
      </c>
      <c r="K76" s="89">
        <f t="shared" si="85"/>
        <v>6.315774596590093E-3</v>
      </c>
      <c r="L76" s="89">
        <f t="shared" si="85"/>
        <v>5.6855706883216263E-3</v>
      </c>
      <c r="M76" s="89">
        <f t="shared" si="85"/>
        <v>3.5090745082199878E-3</v>
      </c>
      <c r="N76" s="89">
        <f t="shared" si="85"/>
        <v>3.8962543689026862E-3</v>
      </c>
      <c r="O76" s="89">
        <f t="shared" si="85"/>
        <v>4.2460231602616657E-3</v>
      </c>
      <c r="P76" s="89">
        <f t="shared" si="85"/>
        <v>3.9104655257695946E-3</v>
      </c>
      <c r="Q76" s="89">
        <f t="shared" si="85"/>
        <v>3.7871963050113947E-3</v>
      </c>
      <c r="R76" s="89">
        <f t="shared" si="85"/>
        <v>3.8023417764619328E-3</v>
      </c>
      <c r="S76" s="89">
        <f t="shared" si="85"/>
        <v>3.7406888802340079E-3</v>
      </c>
      <c r="T76" s="89">
        <f t="shared" ref="T76:Y76" si="86">T34/T$23</f>
        <v>3.6495839740761054E-3</v>
      </c>
      <c r="U76" s="89">
        <f t="shared" si="86"/>
        <v>3.7881742265885488E-3</v>
      </c>
      <c r="V76" s="89">
        <f t="shared" si="86"/>
        <v>3.9411001979844694E-3</v>
      </c>
      <c r="W76" s="89">
        <f t="shared" si="86"/>
        <v>3.242003508177156E-3</v>
      </c>
      <c r="X76" s="89">
        <f t="shared" si="86"/>
        <v>2.7744262087430458E-3</v>
      </c>
      <c r="Y76" s="89">
        <f t="shared" si="86"/>
        <v>3.4361057307562819E-3</v>
      </c>
      <c r="Z76" s="89">
        <f t="shared" ref="Z76:AA76" si="87">Z34/Z$23</f>
        <v>3.9874340407542079E-3</v>
      </c>
      <c r="AA76" s="89">
        <f t="shared" si="87"/>
        <v>3.3843718507211482E-3</v>
      </c>
    </row>
    <row r="77" spans="1:27" x14ac:dyDescent="0.25">
      <c r="A77" s="88" t="s">
        <v>264</v>
      </c>
      <c r="B77" s="44"/>
      <c r="C77" s="44"/>
      <c r="D77" s="89">
        <f>D37/D$23</f>
        <v>2.1033737149960779E-3</v>
      </c>
      <c r="E77" s="89">
        <f t="shared" ref="E77:S77" si="88">E37/E$23</f>
        <v>1.9652563717208597E-3</v>
      </c>
      <c r="F77" s="89">
        <f t="shared" si="88"/>
        <v>1.8417181973947E-3</v>
      </c>
      <c r="G77" s="89">
        <f t="shared" si="88"/>
        <v>1.81513892017508E-3</v>
      </c>
      <c r="H77" s="89">
        <f t="shared" si="88"/>
        <v>1.9598678991404506E-3</v>
      </c>
      <c r="I77" s="89">
        <f t="shared" si="88"/>
        <v>2.0021658768809626E-3</v>
      </c>
      <c r="J77" s="89">
        <f t="shared" si="88"/>
        <v>2.0779596843425404E-3</v>
      </c>
      <c r="K77" s="89">
        <f t="shared" si="88"/>
        <v>2.2189310429546415E-3</v>
      </c>
      <c r="L77" s="89">
        <f t="shared" si="88"/>
        <v>2.0192233178641891E-3</v>
      </c>
      <c r="M77" s="89">
        <f t="shared" si="88"/>
        <v>1.7542241134803247E-3</v>
      </c>
      <c r="N77" s="89">
        <f t="shared" si="88"/>
        <v>1.9940510903567583E-3</v>
      </c>
      <c r="O77" s="89">
        <f t="shared" si="88"/>
        <v>2.0652472205898095E-3</v>
      </c>
      <c r="P77" s="89">
        <f t="shared" si="88"/>
        <v>2.0556500686569959E-3</v>
      </c>
      <c r="Q77" s="89">
        <f t="shared" si="88"/>
        <v>1.9351787342205876E-3</v>
      </c>
      <c r="R77" s="89">
        <f t="shared" si="88"/>
        <v>1.9240192210437566E-3</v>
      </c>
      <c r="S77" s="89">
        <f t="shared" si="88"/>
        <v>2.0588562923564879E-3</v>
      </c>
      <c r="T77" s="89">
        <f t="shared" ref="T77:Y77" si="89">T37/T$23</f>
        <v>2.0370703384138657E-3</v>
      </c>
      <c r="U77" s="89">
        <f t="shared" si="89"/>
        <v>2.0270571396486469E-3</v>
      </c>
      <c r="V77" s="89">
        <f t="shared" si="89"/>
        <v>2.0145176957898805E-3</v>
      </c>
      <c r="W77" s="89">
        <f t="shared" si="89"/>
        <v>1.9099179017710122E-3</v>
      </c>
      <c r="X77" s="89">
        <f t="shared" si="89"/>
        <v>1.8228180130224893E-3</v>
      </c>
      <c r="Y77" s="89">
        <f t="shared" si="89"/>
        <v>1.8098536874377842E-3</v>
      </c>
      <c r="Z77" s="89">
        <f t="shared" ref="Z77:AA77" si="90">Z37/Z$23</f>
        <v>1.8574102345828463E-3</v>
      </c>
      <c r="AA77" s="89">
        <f t="shared" si="90"/>
        <v>1.9270105664807538E-3</v>
      </c>
    </row>
    <row r="78" spans="1:27" x14ac:dyDescent="0.25">
      <c r="A78" s="68" t="s">
        <v>266</v>
      </c>
      <c r="B78" s="44"/>
      <c r="C78" s="44"/>
      <c r="D78" s="89">
        <f>D43/D$23</f>
        <v>2.1192146383814569E-2</v>
      </c>
      <c r="E78" s="89">
        <f t="shared" ref="E78:S78" si="91">E43/E$23</f>
        <v>2.1460690448822352E-2</v>
      </c>
      <c r="F78" s="89">
        <f t="shared" si="91"/>
        <v>2.1702664438070066E-2</v>
      </c>
      <c r="G78" s="89">
        <f t="shared" si="91"/>
        <v>2.0770626198303083E-2</v>
      </c>
      <c r="H78" s="89">
        <f t="shared" si="91"/>
        <v>2.0156098267662206E-2</v>
      </c>
      <c r="I78" s="89">
        <f t="shared" si="91"/>
        <v>2.0149277477503943E-2</v>
      </c>
      <c r="J78" s="89">
        <f t="shared" si="91"/>
        <v>1.9695141423829395E-2</v>
      </c>
      <c r="K78" s="89">
        <f t="shared" si="91"/>
        <v>1.9733820297602248E-2</v>
      </c>
      <c r="L78" s="89">
        <f t="shared" si="91"/>
        <v>1.9199217514573187E-2</v>
      </c>
      <c r="M78" s="89">
        <f t="shared" si="91"/>
        <v>1.9266702086196654E-2</v>
      </c>
      <c r="N78" s="89">
        <f t="shared" si="91"/>
        <v>1.9886670815647437E-2</v>
      </c>
      <c r="O78" s="89">
        <f t="shared" si="91"/>
        <v>2.0002128767812547E-2</v>
      </c>
      <c r="P78" s="89">
        <f t="shared" si="91"/>
        <v>1.9835134556142518E-2</v>
      </c>
      <c r="Q78" s="89">
        <f t="shared" si="91"/>
        <v>1.9485138485574437E-2</v>
      </c>
      <c r="R78" s="89">
        <f t="shared" si="91"/>
        <v>1.9883348905767359E-2</v>
      </c>
      <c r="S78" s="89">
        <f t="shared" si="91"/>
        <v>2.4867978939256252E-2</v>
      </c>
      <c r="T78" s="89">
        <f t="shared" ref="T78:Y78" si="92">T43/T$23</f>
        <v>2.4686116375996207E-2</v>
      </c>
      <c r="U78" s="89">
        <f t="shared" si="92"/>
        <v>2.4708577808405754E-2</v>
      </c>
      <c r="V78" s="89">
        <f t="shared" si="92"/>
        <v>2.4734356827532208E-2</v>
      </c>
      <c r="W78" s="89">
        <f t="shared" si="92"/>
        <v>2.4712911089554278E-2</v>
      </c>
      <c r="X78" s="89">
        <f t="shared" si="92"/>
        <v>2.7052021904032265E-2</v>
      </c>
      <c r="Y78" s="89">
        <f t="shared" si="92"/>
        <v>2.7556395157202915E-2</v>
      </c>
      <c r="Z78" s="89">
        <f t="shared" ref="Z78:AA78" si="93">Z43/Z$23</f>
        <v>2.7873486759911848E-2</v>
      </c>
      <c r="AA78" s="89">
        <f t="shared" si="93"/>
        <v>2.4825584215124572E-2</v>
      </c>
    </row>
    <row r="79" spans="1:27" x14ac:dyDescent="0.25">
      <c r="A79" s="88" t="s">
        <v>267</v>
      </c>
      <c r="B79" s="44"/>
      <c r="C79" s="44"/>
      <c r="D79" s="89">
        <f>D44/D$23</f>
        <v>1.324524672954791E-2</v>
      </c>
      <c r="E79" s="89">
        <f t="shared" ref="E79:S79" si="94">E44/E$23</f>
        <v>1.273265574478174E-2</v>
      </c>
      <c r="F79" s="89">
        <f t="shared" si="94"/>
        <v>1.2418405744262643E-2</v>
      </c>
      <c r="G79" s="89">
        <f t="shared" si="94"/>
        <v>1.1847419673599029E-2</v>
      </c>
      <c r="H79" s="89">
        <f t="shared" si="94"/>
        <v>1.1742077674453344E-2</v>
      </c>
      <c r="I79" s="89">
        <f t="shared" si="94"/>
        <v>1.1554411950911489E-2</v>
      </c>
      <c r="J79" s="89">
        <f t="shared" si="94"/>
        <v>1.1366497925093874E-2</v>
      </c>
      <c r="K79" s="89">
        <f t="shared" si="94"/>
        <v>1.140873656658322E-2</v>
      </c>
      <c r="L79" s="89">
        <f t="shared" si="94"/>
        <v>1.0988668157679234E-2</v>
      </c>
      <c r="M79" s="89">
        <f t="shared" si="94"/>
        <v>1.0391971216320118E-2</v>
      </c>
      <c r="N79" s="89">
        <f t="shared" si="94"/>
        <v>1.1120883327532836E-2</v>
      </c>
      <c r="O79" s="89">
        <f t="shared" si="94"/>
        <v>1.1297380498632881E-2</v>
      </c>
      <c r="P79" s="89">
        <f t="shared" si="94"/>
        <v>1.1093217630634108E-2</v>
      </c>
      <c r="Q79" s="89">
        <f t="shared" si="94"/>
        <v>1.0912264972744223E-2</v>
      </c>
      <c r="R79" s="89">
        <f t="shared" si="94"/>
        <v>1.1204070749137422E-2</v>
      </c>
      <c r="S79" s="89">
        <f t="shared" si="94"/>
        <v>1.1919124299460198E-2</v>
      </c>
      <c r="T79" s="89">
        <f t="shared" ref="T79:Y79" si="95">T44/T$23</f>
        <v>1.186333218025188E-2</v>
      </c>
      <c r="U79" s="89">
        <f t="shared" si="95"/>
        <v>1.2016973574278044E-2</v>
      </c>
      <c r="V79" s="89">
        <f t="shared" si="95"/>
        <v>1.1253322431224504E-2</v>
      </c>
      <c r="W79" s="89">
        <f t="shared" si="95"/>
        <v>1.0962609395223189E-2</v>
      </c>
      <c r="X79" s="89">
        <f t="shared" si="95"/>
        <v>1.1400543523673484E-2</v>
      </c>
      <c r="Y79" s="89">
        <f t="shared" si="95"/>
        <v>1.1147964862892332E-2</v>
      </c>
      <c r="Z79" s="89">
        <f t="shared" ref="Z79:AA79" si="96">Z44/Z$23</f>
        <v>1.0326907716756676E-2</v>
      </c>
      <c r="AA79" s="89">
        <f t="shared" si="96"/>
        <v>9.5577361350220463E-3</v>
      </c>
    </row>
    <row r="80" spans="1:27" x14ac:dyDescent="0.25">
      <c r="A80" s="88" t="s">
        <v>11</v>
      </c>
      <c r="B80" s="44"/>
      <c r="C80" s="44"/>
      <c r="D80" s="89">
        <f>D47/D$23</f>
        <v>7.9468996542666551E-3</v>
      </c>
      <c r="E80" s="89">
        <f t="shared" ref="E80:S80" si="97">E47/E$23</f>
        <v>8.7280347040406096E-3</v>
      </c>
      <c r="F80" s="89">
        <f t="shared" si="97"/>
        <v>9.2842586938074248E-3</v>
      </c>
      <c r="G80" s="89">
        <f t="shared" si="97"/>
        <v>8.9232065247040505E-3</v>
      </c>
      <c r="H80" s="89">
        <f t="shared" si="97"/>
        <v>8.41402059320886E-3</v>
      </c>
      <c r="I80" s="89">
        <f t="shared" si="97"/>
        <v>8.5948655265924538E-3</v>
      </c>
      <c r="J80" s="89">
        <f t="shared" si="97"/>
        <v>8.3286434987355201E-3</v>
      </c>
      <c r="K80" s="89">
        <f t="shared" si="97"/>
        <v>8.3250837310190253E-3</v>
      </c>
      <c r="L80" s="89">
        <f t="shared" si="97"/>
        <v>8.2105493568939512E-3</v>
      </c>
      <c r="M80" s="89">
        <f t="shared" si="97"/>
        <v>8.8747308698765327E-3</v>
      </c>
      <c r="N80" s="89">
        <f t="shared" si="97"/>
        <v>8.7657874881146101E-3</v>
      </c>
      <c r="O80" s="89">
        <f t="shared" si="97"/>
        <v>8.7047482691796681E-3</v>
      </c>
      <c r="P80" s="89">
        <f t="shared" si="97"/>
        <v>8.7419169255084118E-3</v>
      </c>
      <c r="Q80" s="89">
        <f t="shared" si="97"/>
        <v>8.5728735128302019E-3</v>
      </c>
      <c r="R80" s="89">
        <f t="shared" si="97"/>
        <v>8.6792781566299368E-3</v>
      </c>
      <c r="S80" s="89">
        <f t="shared" si="97"/>
        <v>1.294885463979605E-2</v>
      </c>
      <c r="T80" s="89">
        <f t="shared" ref="T80:Y80" si="98">T47/T$23</f>
        <v>1.282278419574432E-2</v>
      </c>
      <c r="U80" s="89">
        <f t="shared" si="98"/>
        <v>1.2691604234127718E-2</v>
      </c>
      <c r="V80" s="89">
        <f t="shared" si="98"/>
        <v>1.3481034396307691E-2</v>
      </c>
      <c r="W80" s="89">
        <f t="shared" si="98"/>
        <v>1.3750301694331085E-2</v>
      </c>
      <c r="X80" s="89">
        <f t="shared" si="98"/>
        <v>1.5651478380358786E-2</v>
      </c>
      <c r="Y80" s="89">
        <f t="shared" si="98"/>
        <v>1.6408430294310584E-2</v>
      </c>
      <c r="Z80" s="89">
        <f t="shared" ref="Z80:AA80" si="99">Z47/Z$23</f>
        <v>1.7546579043155187E-2</v>
      </c>
      <c r="AA80" s="89">
        <f t="shared" si="99"/>
        <v>1.5267848080102522E-2</v>
      </c>
    </row>
    <row r="81" spans="1:27" x14ac:dyDescent="0.25">
      <c r="A81" s="68" t="s">
        <v>4</v>
      </c>
      <c r="B81" s="44"/>
      <c r="C81" s="44"/>
      <c r="D81" s="89">
        <f>D48/D$23</f>
        <v>9.2896298682127575E-3</v>
      </c>
      <c r="E81" s="89">
        <f t="shared" ref="E81:S81" si="100">E48/E$23</f>
        <v>8.92739435007062E-3</v>
      </c>
      <c r="F81" s="89">
        <f t="shared" si="100"/>
        <v>8.7231643804805675E-3</v>
      </c>
      <c r="G81" s="89">
        <f t="shared" si="100"/>
        <v>8.3629956347347663E-3</v>
      </c>
      <c r="H81" s="89">
        <f t="shared" si="100"/>
        <v>8.1622213168751952E-3</v>
      </c>
      <c r="I81" s="89">
        <f t="shared" si="100"/>
        <v>8.0151813160709434E-3</v>
      </c>
      <c r="J81" s="89">
        <f t="shared" si="100"/>
        <v>8.0351341830289611E-3</v>
      </c>
      <c r="K81" s="89">
        <f t="shared" si="100"/>
        <v>8.1886986802447541E-3</v>
      </c>
      <c r="L81" s="89">
        <f t="shared" si="100"/>
        <v>7.6239093543479285E-3</v>
      </c>
      <c r="M81" s="89">
        <f t="shared" si="100"/>
        <v>6.6105588836861797E-3</v>
      </c>
      <c r="N81" s="89">
        <f t="shared" si="100"/>
        <v>6.2590159763630786E-3</v>
      </c>
      <c r="O81" s="89">
        <f t="shared" si="100"/>
        <v>6.2069716221801611E-3</v>
      </c>
      <c r="P81" s="89">
        <f t="shared" si="100"/>
        <v>5.9210116508727996E-3</v>
      </c>
      <c r="Q81" s="89">
        <f t="shared" si="100"/>
        <v>5.7574349183891925E-3</v>
      </c>
      <c r="R81" s="89">
        <f t="shared" si="100"/>
        <v>5.8752879627404627E-3</v>
      </c>
      <c r="S81" s="89">
        <f t="shared" si="100"/>
        <v>5.7703949031008847E-3</v>
      </c>
      <c r="T81" s="89">
        <f t="shared" ref="T81:Y81" si="101">T48/T$23</f>
        <v>5.9201267555016564E-3</v>
      </c>
      <c r="U81" s="89">
        <f t="shared" si="101"/>
        <v>5.7860743317372986E-3</v>
      </c>
      <c r="V81" s="89">
        <f t="shared" si="101"/>
        <v>5.8076574154395421E-3</v>
      </c>
      <c r="W81" s="89">
        <f t="shared" si="101"/>
        <v>5.8714971416245825E-3</v>
      </c>
      <c r="X81" s="89">
        <f t="shared" si="101"/>
        <v>5.8734273198131695E-3</v>
      </c>
      <c r="Y81" s="89">
        <f t="shared" si="101"/>
        <v>5.7809859161412035E-3</v>
      </c>
      <c r="Z81" s="89">
        <f t="shared" ref="Z81:AA81" si="102">Z48/Z$23</f>
        <v>5.4963263831313844E-3</v>
      </c>
      <c r="AA81" s="89">
        <f t="shared" si="102"/>
        <v>5.5724300819390837E-3</v>
      </c>
    </row>
    <row r="82" spans="1:27" x14ac:dyDescent="0.25">
      <c r="A82" s="68" t="s">
        <v>3</v>
      </c>
      <c r="B82" s="44"/>
      <c r="C82" s="44"/>
      <c r="D82" s="89">
        <f>D52/D$23</f>
        <v>1.1364697533339062E-2</v>
      </c>
      <c r="E82" s="89">
        <f t="shared" ref="E82:S82" si="103">E52/E$23</f>
        <v>1.110522868358132E-2</v>
      </c>
      <c r="F82" s="89">
        <f t="shared" si="103"/>
        <v>1.0556685551590415E-2</v>
      </c>
      <c r="G82" s="89">
        <f t="shared" si="103"/>
        <v>9.7532610007193474E-3</v>
      </c>
      <c r="H82" s="89">
        <f t="shared" si="103"/>
        <v>9.4554156789637342E-3</v>
      </c>
      <c r="I82" s="89">
        <f t="shared" si="103"/>
        <v>9.0508638364846326E-3</v>
      </c>
      <c r="J82" s="89">
        <f t="shared" si="103"/>
        <v>8.7307587323424887E-3</v>
      </c>
      <c r="K82" s="89">
        <f t="shared" si="103"/>
        <v>8.4047017078692863E-3</v>
      </c>
      <c r="L82" s="89">
        <f t="shared" si="103"/>
        <v>7.7286389761731687E-3</v>
      </c>
      <c r="M82" s="89">
        <f t="shared" si="103"/>
        <v>7.2866234324040812E-3</v>
      </c>
      <c r="N82" s="89">
        <f t="shared" si="103"/>
        <v>7.2006955149030005E-3</v>
      </c>
      <c r="O82" s="89">
        <f t="shared" si="103"/>
        <v>7.0243678182867276E-3</v>
      </c>
      <c r="P82" s="89">
        <f t="shared" si="103"/>
        <v>6.8483281684598345E-3</v>
      </c>
      <c r="Q82" s="89">
        <f t="shared" si="103"/>
        <v>6.5298803508803942E-3</v>
      </c>
      <c r="R82" s="89">
        <f t="shared" si="103"/>
        <v>6.5180922474026293E-3</v>
      </c>
      <c r="S82" s="89">
        <f t="shared" si="103"/>
        <v>6.4123962786484003E-3</v>
      </c>
      <c r="T82" s="89">
        <f t="shared" ref="T82:Y82" si="104">T52/T$23</f>
        <v>6.3690608309151034E-3</v>
      </c>
      <c r="U82" s="89">
        <f t="shared" si="104"/>
        <v>6.1332725025172738E-3</v>
      </c>
      <c r="V82" s="89">
        <f t="shared" si="104"/>
        <v>6.1100357800232151E-3</v>
      </c>
      <c r="W82" s="89">
        <f t="shared" si="104"/>
        <v>5.9325146170830902E-3</v>
      </c>
      <c r="X82" s="89">
        <f t="shared" si="104"/>
        <v>5.6977399005762753E-3</v>
      </c>
      <c r="Y82" s="89">
        <f t="shared" si="104"/>
        <v>5.3352483518961233E-3</v>
      </c>
      <c r="Z82" s="89">
        <f t="shared" ref="Z82:AA82" si="105">Z52/Z$23</f>
        <v>5.4051965145562077E-3</v>
      </c>
      <c r="AA82" s="89">
        <f t="shared" si="105"/>
        <v>5.1441731657910651E-3</v>
      </c>
    </row>
    <row r="83" spans="1:27" x14ac:dyDescent="0.25">
      <c r="A83" s="88" t="s">
        <v>21</v>
      </c>
      <c r="B83" s="44"/>
      <c r="C83" s="44"/>
      <c r="D83" s="89">
        <f>D53/D$23</f>
        <v>6.0874866211555537E-3</v>
      </c>
      <c r="E83" s="89">
        <f t="shared" ref="E83:S83" si="106">E53/E$23</f>
        <v>6.0441028106730252E-3</v>
      </c>
      <c r="F83" s="89">
        <f t="shared" si="106"/>
        <v>5.6950273255837692E-3</v>
      </c>
      <c r="G83" s="89">
        <f t="shared" si="106"/>
        <v>5.2996380386506016E-3</v>
      </c>
      <c r="H83" s="89">
        <f t="shared" si="106"/>
        <v>5.0818841674145493E-3</v>
      </c>
      <c r="I83" s="89">
        <f t="shared" si="106"/>
        <v>4.7056861369892539E-3</v>
      </c>
      <c r="J83" s="89">
        <f t="shared" si="106"/>
        <v>4.5556060163320696E-3</v>
      </c>
      <c r="K83" s="89">
        <f t="shared" si="106"/>
        <v>4.466936868679214E-3</v>
      </c>
      <c r="L83" s="89">
        <f t="shared" si="106"/>
        <v>4.037276681216233E-3</v>
      </c>
      <c r="M83" s="89">
        <f t="shared" si="106"/>
        <v>3.8830937163414777E-3</v>
      </c>
      <c r="N83" s="89">
        <f t="shared" si="106"/>
        <v>3.9119372969644512E-3</v>
      </c>
      <c r="O83" s="89">
        <f t="shared" si="106"/>
        <v>3.8935875072755415E-3</v>
      </c>
      <c r="P83" s="89">
        <f t="shared" si="106"/>
        <v>3.8799824224670923E-3</v>
      </c>
      <c r="Q83" s="89">
        <f t="shared" si="106"/>
        <v>3.7566730013528322E-3</v>
      </c>
      <c r="R83" s="89">
        <f t="shared" si="106"/>
        <v>3.858179950102725E-3</v>
      </c>
      <c r="S83" s="89">
        <f t="shared" si="106"/>
        <v>3.8858077282729201E-3</v>
      </c>
      <c r="T83" s="89">
        <f t="shared" ref="T83:Y83" si="107">T53/T$23</f>
        <v>3.8778365798253344E-3</v>
      </c>
      <c r="U83" s="89">
        <f t="shared" si="107"/>
        <v>3.7960983651153086E-3</v>
      </c>
      <c r="V83" s="89">
        <f t="shared" si="107"/>
        <v>3.9172407406055602E-3</v>
      </c>
      <c r="W83" s="89">
        <f t="shared" si="107"/>
        <v>3.8292357518718329E-3</v>
      </c>
      <c r="X83" s="89">
        <f t="shared" si="107"/>
        <v>3.7366100197546055E-3</v>
      </c>
      <c r="Y83" s="89">
        <f t="shared" si="107"/>
        <v>3.4582507873754716E-3</v>
      </c>
      <c r="Z83" s="89">
        <f t="shared" ref="Z83:AA83" si="108">Z53/Z$23</f>
        <v>3.673324504516004E-3</v>
      </c>
      <c r="AA83" s="89">
        <f t="shared" si="108"/>
        <v>3.5248917313368496E-3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5.2772109121835059E-3</v>
      </c>
      <c r="E84" s="89">
        <f t="shared" ref="E84:S84" si="110">E56/E$23</f>
        <v>5.0611258729082948E-3</v>
      </c>
      <c r="F84" s="89">
        <f t="shared" si="110"/>
        <v>4.861658226006647E-3</v>
      </c>
      <c r="G84" s="89">
        <f t="shared" si="110"/>
        <v>4.4536229620687458E-3</v>
      </c>
      <c r="H84" s="89">
        <f t="shared" si="110"/>
        <v>4.3735315115491849E-3</v>
      </c>
      <c r="I84" s="89">
        <f t="shared" si="110"/>
        <v>4.3451776994953778E-3</v>
      </c>
      <c r="J84" s="89">
        <f t="shared" si="110"/>
        <v>4.1751527160104199E-3</v>
      </c>
      <c r="K84" s="89">
        <f t="shared" si="110"/>
        <v>3.937764839190074E-3</v>
      </c>
      <c r="L84" s="89">
        <f t="shared" si="110"/>
        <v>3.691362294956934E-3</v>
      </c>
      <c r="M84" s="89">
        <f t="shared" si="110"/>
        <v>3.4035297160626022E-3</v>
      </c>
      <c r="N84" s="89">
        <f t="shared" si="110"/>
        <v>3.2887582179385475E-3</v>
      </c>
      <c r="O84" s="89">
        <f t="shared" si="110"/>
        <v>3.1307803110111865E-3</v>
      </c>
      <c r="P84" s="89">
        <f t="shared" si="110"/>
        <v>2.968345745992744E-3</v>
      </c>
      <c r="Q84" s="89">
        <f t="shared" si="110"/>
        <v>2.7732073495275616E-3</v>
      </c>
      <c r="R84" s="89">
        <f t="shared" si="110"/>
        <v>2.6599122972999043E-3</v>
      </c>
      <c r="S84" s="89">
        <f t="shared" si="110"/>
        <v>2.5265885503754789E-3</v>
      </c>
      <c r="T84" s="89">
        <f t="shared" ref="T84:Y84" si="111">T56/T$23</f>
        <v>2.4912242510897681E-3</v>
      </c>
      <c r="U84" s="89">
        <f t="shared" si="111"/>
        <v>2.337174137401967E-3</v>
      </c>
      <c r="V84" s="89">
        <f t="shared" si="111"/>
        <v>2.1927950394176536E-3</v>
      </c>
      <c r="W84" s="89">
        <f t="shared" si="111"/>
        <v>2.1032788652112573E-3</v>
      </c>
      <c r="X84" s="89">
        <f t="shared" si="111"/>
        <v>1.9611298808216698E-3</v>
      </c>
      <c r="Y84" s="89">
        <f t="shared" si="111"/>
        <v>1.876997564520651E-3</v>
      </c>
      <c r="Z84" s="89">
        <f t="shared" ref="Z84:AA84" si="112">Z56/Z$23</f>
        <v>1.7318720100402028E-3</v>
      </c>
      <c r="AA84" s="89">
        <f t="shared" si="112"/>
        <v>1.6192814344542146E-3</v>
      </c>
    </row>
    <row r="85" spans="1:27" x14ac:dyDescent="0.25">
      <c r="A85" s="68" t="s">
        <v>2</v>
      </c>
      <c r="B85" s="44"/>
      <c r="C85" s="44"/>
      <c r="D85" s="89">
        <f t="shared" si="109"/>
        <v>2.2710144629120455E-2</v>
      </c>
      <c r="E85" s="89">
        <f t="shared" ref="E85:S85" si="113">E57/E$23</f>
        <v>2.2568326584290224E-2</v>
      </c>
      <c r="F85" s="89">
        <f t="shared" si="113"/>
        <v>2.2632102615998469E-2</v>
      </c>
      <c r="G85" s="89">
        <f t="shared" si="113"/>
        <v>2.2568175065511002E-2</v>
      </c>
      <c r="H85" s="89">
        <f t="shared" si="113"/>
        <v>2.2187593304137131E-2</v>
      </c>
      <c r="I85" s="89">
        <f t="shared" si="113"/>
        <v>2.1615113340405515E-2</v>
      </c>
      <c r="J85" s="89">
        <f t="shared" si="113"/>
        <v>2.0611377222258972E-2</v>
      </c>
      <c r="K85" s="89">
        <f t="shared" si="113"/>
        <v>2.0196671376304067E-2</v>
      </c>
      <c r="L85" s="89">
        <f t="shared" si="113"/>
        <v>1.9893432236112056E-2</v>
      </c>
      <c r="M85" s="89">
        <f t="shared" si="113"/>
        <v>2.0686616687592207E-2</v>
      </c>
      <c r="N85" s="89">
        <f t="shared" si="113"/>
        <v>2.0301048879479311E-2</v>
      </c>
      <c r="O85" s="89">
        <f t="shared" si="113"/>
        <v>2.0014327176410957E-2</v>
      </c>
      <c r="P85" s="89">
        <f t="shared" si="113"/>
        <v>2.0157822895844585E-2</v>
      </c>
      <c r="Q85" s="89">
        <f t="shared" si="113"/>
        <v>2.0150090683055417E-2</v>
      </c>
      <c r="R85" s="89">
        <f t="shared" si="113"/>
        <v>2.038278259212448E-2</v>
      </c>
      <c r="S85" s="89">
        <f t="shared" si="113"/>
        <v>2.0446533304447217E-2</v>
      </c>
      <c r="T85" s="89">
        <f t="shared" ref="T85:Y85" si="114">T57/T$23</f>
        <v>2.0374844011169867E-2</v>
      </c>
      <c r="U85" s="89">
        <f t="shared" si="114"/>
        <v>1.9821917647440689E-2</v>
      </c>
      <c r="V85" s="89">
        <f t="shared" si="114"/>
        <v>1.9600341311048899E-2</v>
      </c>
      <c r="W85" s="89">
        <f t="shared" si="114"/>
        <v>1.9407321177083426E-2</v>
      </c>
      <c r="X85" s="89">
        <f t="shared" si="114"/>
        <v>2.0100778079374881E-2</v>
      </c>
      <c r="Y85" s="89">
        <f t="shared" si="114"/>
        <v>1.8794996455378927E-2</v>
      </c>
      <c r="Z85" s="89">
        <f t="shared" ref="Z85:AA85" si="115">Z57/Z$23</f>
        <v>1.7892150022539025E-2</v>
      </c>
      <c r="AA85" s="89">
        <f t="shared" si="115"/>
        <v>1.877045394040688E-2</v>
      </c>
    </row>
    <row r="86" spans="1:27" x14ac:dyDescent="0.25">
      <c r="A86" s="68" t="s">
        <v>270</v>
      </c>
      <c r="B86" s="44"/>
      <c r="C86" s="44"/>
      <c r="D86" s="89">
        <f t="shared" si="109"/>
        <v>2.0509737481348475E-2</v>
      </c>
      <c r="E86" s="89">
        <f t="shared" ref="E86:S86" si="116">E58/E$23</f>
        <v>2.1077237863880983E-2</v>
      </c>
      <c r="F86" s="89">
        <f t="shared" si="116"/>
        <v>2.0785291474321784E-2</v>
      </c>
      <c r="G86" s="89">
        <f t="shared" si="116"/>
        <v>2.0962036297425338E-2</v>
      </c>
      <c r="H86" s="89">
        <f t="shared" si="116"/>
        <v>2.0443490960809638E-2</v>
      </c>
      <c r="I86" s="89">
        <f t="shared" si="116"/>
        <v>2.0192209610709232E-2</v>
      </c>
      <c r="J86" s="89">
        <f t="shared" si="116"/>
        <v>2.0857048182413501E-2</v>
      </c>
      <c r="K86" s="89">
        <f t="shared" si="116"/>
        <v>2.1123375008792838E-2</v>
      </c>
      <c r="L86" s="89">
        <f t="shared" si="116"/>
        <v>1.96020516189979E-2</v>
      </c>
      <c r="M86" s="89">
        <f t="shared" si="116"/>
        <v>1.6764064267150547E-2</v>
      </c>
      <c r="N86" s="89">
        <f t="shared" si="116"/>
        <v>2.0225520127821445E-2</v>
      </c>
      <c r="O86" s="89">
        <f t="shared" si="116"/>
        <v>2.1275023419836118E-2</v>
      </c>
      <c r="P86" s="89">
        <f t="shared" si="116"/>
        <v>2.0857682314734553E-2</v>
      </c>
      <c r="Q86" s="89">
        <f t="shared" si="116"/>
        <v>2.1325405849530073E-2</v>
      </c>
      <c r="R86" s="89">
        <f t="shared" si="116"/>
        <v>2.2842073993870626E-2</v>
      </c>
      <c r="S86" s="89">
        <f t="shared" si="116"/>
        <v>2.3586999446384975E-2</v>
      </c>
      <c r="T86" s="89">
        <f t="shared" ref="T86:Y86" si="117">T58/T$23</f>
        <v>2.4884909847460095E-2</v>
      </c>
      <c r="U86" s="89">
        <f t="shared" si="117"/>
        <v>2.4979982133810336E-2</v>
      </c>
      <c r="V86" s="89">
        <f t="shared" si="117"/>
        <v>2.453536358984184E-2</v>
      </c>
      <c r="W86" s="89">
        <f t="shared" si="117"/>
        <v>2.3846093951387808E-2</v>
      </c>
      <c r="X86" s="89">
        <f t="shared" si="117"/>
        <v>2.0787220710523868E-2</v>
      </c>
      <c r="Y86" s="89">
        <f t="shared" si="117"/>
        <v>2.1851005880326395E-2</v>
      </c>
      <c r="Z86" s="89">
        <f t="shared" ref="Z86:AA86" si="118">Z58/Z$23</f>
        <v>2.180850419688336E-2</v>
      </c>
      <c r="AA86" s="89">
        <f t="shared" si="118"/>
        <v>2.2835991806651079E-2</v>
      </c>
    </row>
    <row r="87" spans="1:27" x14ac:dyDescent="0.25">
      <c r="A87" s="68" t="s">
        <v>271</v>
      </c>
      <c r="B87" s="44"/>
      <c r="C87" s="44"/>
      <c r="D87" s="89">
        <f t="shared" si="109"/>
        <v>5.9037663603992284E-2</v>
      </c>
      <c r="E87" s="89">
        <f t="shared" ref="E87:S87" si="119">E59/E$23</f>
        <v>5.6789373479003272E-2</v>
      </c>
      <c r="F87" s="89">
        <f t="shared" si="119"/>
        <v>5.4640955709710774E-2</v>
      </c>
      <c r="G87" s="89">
        <f t="shared" si="119"/>
        <v>5.3747491946190724E-2</v>
      </c>
      <c r="H87" s="89">
        <f t="shared" si="119"/>
        <v>5.4009784965266254E-2</v>
      </c>
      <c r="I87" s="89">
        <f t="shared" si="119"/>
        <v>5.3603635381827205E-2</v>
      </c>
      <c r="J87" s="89">
        <f t="shared" si="119"/>
        <v>5.5307623868287956E-2</v>
      </c>
      <c r="K87" s="89">
        <f t="shared" si="119"/>
        <v>5.6304571764137688E-2</v>
      </c>
      <c r="L87" s="89">
        <f t="shared" si="119"/>
        <v>5.5408130865762927E-2</v>
      </c>
      <c r="M87" s="89">
        <f t="shared" si="119"/>
        <v>4.7620168484161028E-2</v>
      </c>
      <c r="N87" s="89">
        <f t="shared" si="119"/>
        <v>5.0769309308465328E-2</v>
      </c>
      <c r="O87" s="89">
        <f t="shared" si="119"/>
        <v>5.2515893353004141E-2</v>
      </c>
      <c r="P87" s="89">
        <f t="shared" si="119"/>
        <v>5.1801370032205744E-2</v>
      </c>
      <c r="Q87" s="89">
        <f t="shared" si="119"/>
        <v>5.1216853340122756E-2</v>
      </c>
      <c r="R87" s="89">
        <f t="shared" si="119"/>
        <v>5.1777367573133594E-2</v>
      </c>
      <c r="S87" s="89">
        <f t="shared" si="119"/>
        <v>5.1233290931833243E-2</v>
      </c>
      <c r="T87" s="89">
        <f t="shared" ref="T87:Y87" si="120">T59/T$23</f>
        <v>5.1554405433403387E-2</v>
      </c>
      <c r="U87" s="89">
        <f t="shared" si="120"/>
        <v>5.159225075918894E-2</v>
      </c>
      <c r="V87" s="89">
        <f t="shared" si="120"/>
        <v>5.1396941045024257E-2</v>
      </c>
      <c r="W87" s="89">
        <f t="shared" si="120"/>
        <v>5.0417203877981695E-2</v>
      </c>
      <c r="X87" s="89">
        <f t="shared" si="120"/>
        <v>4.8957232125113333E-2</v>
      </c>
      <c r="Y87" s="89">
        <f t="shared" si="120"/>
        <v>4.9952540325674047E-2</v>
      </c>
      <c r="Z87" s="89">
        <f t="shared" ref="Z87:AA87" si="121">Z59/Z$23</f>
        <v>4.7649365997437132E-2</v>
      </c>
      <c r="AA87" s="89">
        <f t="shared" si="121"/>
        <v>4.7251307032896858E-2</v>
      </c>
    </row>
    <row r="88" spans="1:27" x14ac:dyDescent="0.25">
      <c r="A88" s="68" t="s">
        <v>1</v>
      </c>
      <c r="B88" s="44"/>
      <c r="C88" s="44"/>
      <c r="D88" s="89">
        <f t="shared" si="109"/>
        <v>1.0663846840419268E-2</v>
      </c>
      <c r="E88" s="89">
        <f t="shared" ref="E88:S88" si="122">E60/E$23</f>
        <v>1.0437954997775117E-2</v>
      </c>
      <c r="F88" s="89">
        <f t="shared" si="122"/>
        <v>9.8621270283808116E-3</v>
      </c>
      <c r="G88" s="89">
        <f t="shared" si="122"/>
        <v>9.2722685701127992E-3</v>
      </c>
      <c r="H88" s="89">
        <f t="shared" si="122"/>
        <v>8.612014289438457E-3</v>
      </c>
      <c r="I88" s="89">
        <f t="shared" si="122"/>
        <v>7.9529236498697333E-3</v>
      </c>
      <c r="J88" s="89">
        <f t="shared" si="122"/>
        <v>7.5443579699291368E-3</v>
      </c>
      <c r="K88" s="89">
        <f t="shared" si="122"/>
        <v>7.3278611241506105E-3</v>
      </c>
      <c r="L88" s="89">
        <f t="shared" si="122"/>
        <v>6.8552444590038479E-3</v>
      </c>
      <c r="M88" s="89">
        <f t="shared" si="122"/>
        <v>6.0957132455795801E-3</v>
      </c>
      <c r="N88" s="89">
        <f t="shared" si="122"/>
        <v>6.2763439959285109E-3</v>
      </c>
      <c r="O88" s="89">
        <f t="shared" si="122"/>
        <v>6.5536168085816426E-3</v>
      </c>
      <c r="P88" s="89">
        <f t="shared" si="122"/>
        <v>6.1648913117123231E-3</v>
      </c>
      <c r="Q88" s="89">
        <f t="shared" si="122"/>
        <v>6.0835885384895143E-3</v>
      </c>
      <c r="R88" s="89">
        <f t="shared" si="122"/>
        <v>6.1024500591325345E-3</v>
      </c>
      <c r="S88" s="89">
        <f t="shared" si="122"/>
        <v>5.9920110623471606E-3</v>
      </c>
      <c r="T88" s="89">
        <f t="shared" ref="T88:Y88" si="123">T60/T$23</f>
        <v>5.9423771055988252E-3</v>
      </c>
      <c r="U88" s="89">
        <f t="shared" si="123"/>
        <v>5.8350194675612704E-3</v>
      </c>
      <c r="V88" s="89">
        <f t="shared" si="123"/>
        <v>5.6935423198837239E-3</v>
      </c>
      <c r="W88" s="89">
        <f t="shared" si="123"/>
        <v>5.5094994292489074E-3</v>
      </c>
      <c r="X88" s="89">
        <f t="shared" si="123"/>
        <v>4.9550609452345936E-3</v>
      </c>
      <c r="Y88" s="89">
        <f t="shared" si="123"/>
        <v>5.1217573932720037E-3</v>
      </c>
      <c r="Z88" s="89">
        <f t="shared" ref="Z88:AA88" si="124">Z60/Z$23</f>
        <v>4.9450097126808963E-3</v>
      </c>
      <c r="AA88" s="89">
        <f t="shared" si="124"/>
        <v>4.7400837064716537E-3</v>
      </c>
    </row>
    <row r="89" spans="1:27" x14ac:dyDescent="0.25">
      <c r="A89" s="68" t="s">
        <v>0</v>
      </c>
      <c r="B89" s="44"/>
      <c r="C89" s="44"/>
      <c r="D89" s="89">
        <f t="shared" si="109"/>
        <v>4.6851439664274859E-3</v>
      </c>
      <c r="E89" s="89">
        <f t="shared" ref="E89:S89" si="125">E61/E$23</f>
        <v>4.5668323232039513E-3</v>
      </c>
      <c r="F89" s="89">
        <f t="shared" si="125"/>
        <v>4.3755255444526677E-3</v>
      </c>
      <c r="G89" s="89">
        <f t="shared" si="125"/>
        <v>4.3152441548349376E-3</v>
      </c>
      <c r="H89" s="89">
        <f t="shared" si="125"/>
        <v>4.2761518156323669E-3</v>
      </c>
      <c r="I89" s="89">
        <f t="shared" si="125"/>
        <v>4.1165163199179677E-3</v>
      </c>
      <c r="J89" s="89">
        <f t="shared" si="125"/>
        <v>4.1147357635180496E-3</v>
      </c>
      <c r="K89" s="89">
        <f t="shared" si="125"/>
        <v>4.1829943866566422E-3</v>
      </c>
      <c r="L89" s="89">
        <f t="shared" si="125"/>
        <v>3.7323652320922951E-3</v>
      </c>
      <c r="M89" s="89">
        <f t="shared" si="125"/>
        <v>3.3587756814974497E-3</v>
      </c>
      <c r="N89" s="89">
        <f t="shared" si="125"/>
        <v>3.4878019969114974E-3</v>
      </c>
      <c r="O89" s="89">
        <f t="shared" si="125"/>
        <v>3.3926412840455077E-3</v>
      </c>
      <c r="P89" s="89">
        <f t="shared" si="125"/>
        <v>3.1379845424008941E-3</v>
      </c>
      <c r="Q89" s="89">
        <f t="shared" si="125"/>
        <v>3.0487213010589689E-3</v>
      </c>
      <c r="R89" s="89">
        <f t="shared" si="125"/>
        <v>3.0604364769969221E-3</v>
      </c>
      <c r="S89" s="89">
        <f t="shared" si="125"/>
        <v>3.1431065951677433E-3</v>
      </c>
      <c r="T89" s="89">
        <f t="shared" ref="T89:Y89" si="126">T61/T$23</f>
        <v>3.0850368498718298E-3</v>
      </c>
      <c r="U89" s="89">
        <f t="shared" si="126"/>
        <v>3.1004904593021545E-3</v>
      </c>
      <c r="V89" s="89">
        <f t="shared" si="126"/>
        <v>3.0809908132664165E-3</v>
      </c>
      <c r="W89" s="89">
        <f t="shared" si="126"/>
        <v>3.095964690451489E-3</v>
      </c>
      <c r="X89" s="89">
        <f t="shared" si="126"/>
        <v>3.2261865855873085E-3</v>
      </c>
      <c r="Y89" s="89">
        <f t="shared" si="126"/>
        <v>3.679087376795617E-3</v>
      </c>
      <c r="Z89" s="89">
        <f t="shared" ref="Z89:AA89" si="127">Z61/Z$23</f>
        <v>3.7079327131786625E-3</v>
      </c>
      <c r="AA89" s="89">
        <f t="shared" si="127"/>
        <v>3.4063939170106924E-3</v>
      </c>
    </row>
    <row r="90" spans="1:27" x14ac:dyDescent="0.25">
      <c r="A90" s="90" t="s">
        <v>273</v>
      </c>
      <c r="B90" s="47"/>
      <c r="C90" s="47"/>
      <c r="D90" s="91">
        <f t="shared" si="109"/>
        <v>1.7729887986579415E-2</v>
      </c>
      <c r="E90" s="91">
        <f t="shared" ref="E90:S90" si="128">E62/E$23</f>
        <v>1.7510017613689536E-2</v>
      </c>
      <c r="F90" s="91">
        <f t="shared" si="128"/>
        <v>1.7196597324618295E-2</v>
      </c>
      <c r="G90" s="91">
        <f t="shared" si="128"/>
        <v>1.6749501559758722E-2</v>
      </c>
      <c r="H90" s="91">
        <f t="shared" si="128"/>
        <v>1.64797035577584E-2</v>
      </c>
      <c r="I90" s="91">
        <f t="shared" si="128"/>
        <v>1.6130358873956939E-2</v>
      </c>
      <c r="J90" s="91">
        <f t="shared" si="128"/>
        <v>1.6137066869197809E-2</v>
      </c>
      <c r="K90" s="91">
        <f t="shared" si="128"/>
        <v>1.5774523672974328E-2</v>
      </c>
      <c r="L90" s="91">
        <f t="shared" si="128"/>
        <v>1.526780336805867E-2</v>
      </c>
      <c r="M90" s="91">
        <f t="shared" si="128"/>
        <v>1.4583521290894156E-2</v>
      </c>
      <c r="N90" s="91">
        <f t="shared" si="128"/>
        <v>1.4455579284106408E-2</v>
      </c>
      <c r="O90" s="91">
        <f t="shared" si="128"/>
        <v>1.4824530060525799E-2</v>
      </c>
      <c r="P90" s="91">
        <f t="shared" si="128"/>
        <v>1.4671485728124226E-2</v>
      </c>
      <c r="Q90" s="91">
        <f t="shared" si="128"/>
        <v>1.4663101471476755E-2</v>
      </c>
      <c r="R90" s="91">
        <f t="shared" si="128"/>
        <v>1.5026123015971529E-2</v>
      </c>
      <c r="S90" s="91">
        <f t="shared" si="128"/>
        <v>1.525664318436439E-2</v>
      </c>
      <c r="T90" s="91">
        <f t="shared" ref="T90:Y90" si="129">T62/T$23</f>
        <v>1.527968254698465E-2</v>
      </c>
      <c r="U90" s="91">
        <f t="shared" si="129"/>
        <v>1.5156933414666868E-2</v>
      </c>
      <c r="V90" s="91">
        <f t="shared" si="129"/>
        <v>1.4723822504036352E-2</v>
      </c>
      <c r="W90" s="91">
        <f t="shared" si="129"/>
        <v>1.4978338320843606E-2</v>
      </c>
      <c r="X90" s="91">
        <f t="shared" si="129"/>
        <v>1.4971068578363764E-2</v>
      </c>
      <c r="Y90" s="91">
        <f t="shared" si="129"/>
        <v>1.4990144608711965E-2</v>
      </c>
      <c r="Z90" s="91">
        <f t="shared" ref="Z90:AA90" si="130">Z62/Z$23</f>
        <v>1.4199824922742641E-2</v>
      </c>
      <c r="AA90" s="91">
        <f t="shared" si="130"/>
        <v>1.4426050438418495E-2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2.171804005572775E-2</v>
      </c>
      <c r="F93" s="92">
        <f t="shared" ref="F93:F94" si="132">IF(E16=0,"",F16/E16-1)</f>
        <v>1.1052139216089829E-2</v>
      </c>
      <c r="G93" s="92">
        <f t="shared" ref="G93:G94" si="133">IF(F16=0,"",G16/F16-1)</f>
        <v>9.471359439136906E-3</v>
      </c>
      <c r="H93" s="92">
        <f t="shared" ref="H93:H94" si="134">IF(G16=0,"",H16/G16-1)</f>
        <v>2.6201097561234343E-2</v>
      </c>
      <c r="I93" s="92">
        <f t="shared" ref="I93:I94" si="135">IF(H16=0,"",I16/H16-1)</f>
        <v>2.0193333273241354E-2</v>
      </c>
      <c r="J93" s="92">
        <f t="shared" ref="J93:J94" si="136">IF(I16=0,"",J16/I16-1)</f>
        <v>3.6171249422382923E-2</v>
      </c>
      <c r="K93" s="92">
        <f t="shared" ref="K93:K94" si="137">IF(J16=0,"",K16/J16-1)</f>
        <v>3.1966498649997011E-2</v>
      </c>
      <c r="L93" s="92">
        <f t="shared" ref="L93:L94" si="138">IF(K16=0,"",L16/K16-1)</f>
        <v>6.9605606014055965E-3</v>
      </c>
      <c r="M93" s="92">
        <f t="shared" ref="M93:M94" si="139">IF(L16=0,"",M16/L16-1)</f>
        <v>-4.3341287617180146E-2</v>
      </c>
      <c r="N93" s="92">
        <f t="shared" ref="N93:N94" si="140">IF(M16=0,"",N16/M16-1)</f>
        <v>2.180389746883149E-2</v>
      </c>
      <c r="O93" s="92">
        <f t="shared" ref="O93:O94" si="141">IF(N16=0,"",O16/N16-1)</f>
        <v>2.0095031292870491E-2</v>
      </c>
      <c r="P93" s="92">
        <f t="shared" ref="P93:P94" si="142">IF(O16=0,"",P16/O16-1)</f>
        <v>-7.1755603558523173E-3</v>
      </c>
      <c r="Q93" s="92">
        <f t="shared" ref="Q93:Q94" si="143">IF(P16=0,"",Q16/P16-1)</f>
        <v>-2.0491542597977919E-4</v>
      </c>
      <c r="R93" s="92">
        <f t="shared" ref="R93:R94" si="144">IF(Q16=0,"",R16/Q16-1)</f>
        <v>1.6650769335311955E-2</v>
      </c>
      <c r="S93" s="92">
        <f t="shared" ref="S93:S94" si="145">IF(R16=0,"",S16/R16-1)</f>
        <v>2.3782404149861103E-2</v>
      </c>
      <c r="T93" s="92">
        <f t="shared" ref="T93:T94" si="146">IF(S16=0,"",T16/S16-1)</f>
        <v>1.94776123911784E-2</v>
      </c>
      <c r="U93" s="92">
        <f t="shared" ref="U93:U94" si="147">IF(T16=0,"",U16/T16-1)</f>
        <v>2.8653883951380354E-2</v>
      </c>
      <c r="V93" s="92">
        <f t="shared" ref="V93:V94" si="148">IF(U16=0,"",V16/U16-1)</f>
        <v>2.0928413855964001E-2</v>
      </c>
      <c r="W93" s="92">
        <f t="shared" ref="W93:W94" si="149">IF(V16=0,"",W16/V16-1)</f>
        <v>1.8997861823717876E-2</v>
      </c>
      <c r="X93" s="92">
        <f t="shared" ref="X93:X94" si="150">IF(W16=0,"",X16/W16-1)</f>
        <v>-5.5278581683194217E-2</v>
      </c>
      <c r="Y93" s="92">
        <f t="shared" ref="Y93:Y94" si="151">IF(X16=0,"",Y16/X16-1)</f>
        <v>6.3229160268964524E-2</v>
      </c>
      <c r="Z93" s="92">
        <f t="shared" ref="Z93:Z94" si="152">IF(Y16=0,"",Z16/Y16-1)</f>
        <v>3.5653427384644276E-2</v>
      </c>
      <c r="AA93" s="92">
        <f t="shared" ref="AA93:AA94" si="153">IF(Z16=0,"",AA16/Z16-1)</f>
        <v>4.3344180047046876E-3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1.9306983885957862E-2</v>
      </c>
      <c r="F94" s="93">
        <f t="shared" si="132"/>
        <v>1.3262101270408166E-2</v>
      </c>
      <c r="G94" s="93">
        <f t="shared" si="133"/>
        <v>1.5143727526756967E-2</v>
      </c>
      <c r="H94" s="93">
        <f t="shared" si="134"/>
        <v>2.0949016963557554E-2</v>
      </c>
      <c r="I94" s="93">
        <f t="shared" si="135"/>
        <v>2.2448527890870373E-2</v>
      </c>
      <c r="J94" s="93">
        <f t="shared" si="136"/>
        <v>2.4285290275919857E-2</v>
      </c>
      <c r="K94" s="93">
        <f t="shared" si="137"/>
        <v>2.2786575871500681E-2</v>
      </c>
      <c r="L94" s="93">
        <f t="shared" si="138"/>
        <v>6.2311928556730845E-3</v>
      </c>
      <c r="M94" s="93">
        <f t="shared" si="139"/>
        <v>-1.0147599361539417E-2</v>
      </c>
      <c r="N94" s="93">
        <f t="shared" si="140"/>
        <v>9.8494715551289413E-3</v>
      </c>
      <c r="O94" s="93">
        <f t="shared" si="141"/>
        <v>3.5228421406945376E-3</v>
      </c>
      <c r="P94" s="93">
        <f t="shared" si="142"/>
        <v>-8.1096755799525688E-3</v>
      </c>
      <c r="Q94" s="93">
        <f t="shared" si="143"/>
        <v>-5.8600377282876925E-3</v>
      </c>
      <c r="R94" s="93">
        <f t="shared" si="144"/>
        <v>1.1359136810787929E-2</v>
      </c>
      <c r="S94" s="93">
        <f t="shared" si="145"/>
        <v>2.2903749964325426E-2</v>
      </c>
      <c r="T94" s="93">
        <f t="shared" si="146"/>
        <v>2.1135894740660799E-2</v>
      </c>
      <c r="U94" s="93">
        <f t="shared" si="147"/>
        <v>2.2635200355856311E-2</v>
      </c>
      <c r="V94" s="93">
        <f t="shared" si="148"/>
        <v>1.9040900645926229E-2</v>
      </c>
      <c r="W94" s="93">
        <f t="shared" si="149"/>
        <v>1.5640236644164585E-2</v>
      </c>
      <c r="X94" s="93">
        <f t="shared" si="150"/>
        <v>-7.1052782812630388E-2</v>
      </c>
      <c r="Y94" s="93">
        <f t="shared" si="151"/>
        <v>4.8122058009024249E-2</v>
      </c>
      <c r="Z94" s="93">
        <f t="shared" si="152"/>
        <v>4.9977243012499395E-2</v>
      </c>
      <c r="AA94" s="93">
        <f t="shared" si="153"/>
        <v>3.0974162025183549E-3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1.9892566046474824E-2</v>
      </c>
      <c r="F95" s="92">
        <f t="shared" ref="F95:F96" si="155">IF(E20=0,"",F20/E20-1)</f>
        <v>9.903614656803672E-3</v>
      </c>
      <c r="G95" s="92">
        <f t="shared" ref="G95:G96" si="156">IF(F20=0,"",G20/F20-1)</f>
        <v>5.9199751165763814E-3</v>
      </c>
      <c r="H95" s="92">
        <f t="shared" ref="H95:H96" si="157">IF(G20=0,"",H20/G20-1)</f>
        <v>2.2332029129042752E-2</v>
      </c>
      <c r="I95" s="92">
        <f t="shared" ref="I95:I96" si="158">IF(H20=0,"",I20/H20-1)</f>
        <v>1.6184359722648312E-2</v>
      </c>
      <c r="J95" s="92">
        <f t="shared" ref="J95:J96" si="159">IF(I20=0,"",J20/I20-1)</f>
        <v>3.2713398339338173E-2</v>
      </c>
      <c r="K95" s="92">
        <f t="shared" ref="K95:K96" si="160">IF(J20=0,"",K20/J20-1)</f>
        <v>2.8491047196228747E-2</v>
      </c>
      <c r="L95" s="92">
        <f t="shared" ref="L95:L96" si="161">IF(K20=0,"",L20/K20-1)</f>
        <v>3.3833524276365434E-3</v>
      </c>
      <c r="M95" s="92">
        <f t="shared" ref="M95:M96" si="162">IF(L20=0,"",M20/L20-1)</f>
        <v>-4.6368107068693543E-2</v>
      </c>
      <c r="N95" s="92">
        <f t="shared" ref="N95:N96" si="163">IF(M20=0,"",N20/M20-1)</f>
        <v>2.0199494260141782E-2</v>
      </c>
      <c r="O95" s="92">
        <f t="shared" ref="O95:O96" si="164">IF(N20=0,"",O20/N20-1)</f>
        <v>2.1564256199213316E-2</v>
      </c>
      <c r="P95" s="92">
        <f t="shared" ref="P95:P96" si="165">IF(O20=0,"",P20/O20-1)</f>
        <v>-8.8721424274965655E-3</v>
      </c>
      <c r="Q95" s="92">
        <f t="shared" ref="Q95:Q96" si="166">IF(P20=0,"",Q20/P20-1)</f>
        <v>-1.2454593183095497E-3</v>
      </c>
      <c r="R95" s="92">
        <f t="shared" ref="R95:R96" si="167">IF(Q20=0,"",R20/Q20-1)</f>
        <v>1.5436716108370385E-2</v>
      </c>
      <c r="S95" s="92">
        <f t="shared" ref="S95:S96" si="168">IF(R20=0,"",S20/R20-1)</f>
        <v>2.2264297972023561E-2</v>
      </c>
      <c r="T95" s="92">
        <f t="shared" ref="T95:T96" si="169">IF(S20=0,"",T20/S20-1)</f>
        <v>1.7001487112669134E-2</v>
      </c>
      <c r="U95" s="92">
        <f t="shared" ref="U95:U96" si="170">IF(T20=0,"",U20/T20-1)</f>
        <v>2.7110137211128649E-2</v>
      </c>
      <c r="V95" s="92">
        <f t="shared" ref="V95:V96" si="171">IF(U20=0,"",V20/U20-1)</f>
        <v>1.9482265087413131E-2</v>
      </c>
      <c r="W95" s="92">
        <f t="shared" ref="W95:W96" si="172">IF(V20=0,"",W20/V20-1)</f>
        <v>1.7059794481012691E-2</v>
      </c>
      <c r="X95" s="92">
        <f t="shared" ref="X95:X96" si="173">IF(W20=0,"",X20/W20-1)</f>
        <v>-5.7138522348523124E-2</v>
      </c>
      <c r="Y95" s="92">
        <f t="shared" ref="Y95:Y96" si="174">IF(X20=0,"",Y20/X20-1)</f>
        <v>6.5945141990169098E-2</v>
      </c>
      <c r="Z95" s="92">
        <f t="shared" ref="Z95:Z96" si="175">IF(Y20=0,"",Z20/Y20-1)</f>
        <v>3.5402833484286189E-2</v>
      </c>
      <c r="AA95" s="92">
        <f t="shared" ref="AA95:AA96" si="176">IF(Z20=0,"",AA20/Z20-1)</f>
        <v>5.2876087187914145E-4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1.7485817640882972E-2</v>
      </c>
      <c r="F96" s="93">
        <f t="shared" si="155"/>
        <v>1.2111066261268899E-2</v>
      </c>
      <c r="G96" s="93">
        <f t="shared" si="156"/>
        <v>1.1572387453189226E-2</v>
      </c>
      <c r="H96" s="93">
        <f t="shared" si="157"/>
        <v>1.7099750360941135E-2</v>
      </c>
      <c r="I96" s="93">
        <f t="shared" si="158"/>
        <v>1.8430692279255645E-2</v>
      </c>
      <c r="J96" s="93">
        <f t="shared" si="159"/>
        <v>2.0867104331943942E-2</v>
      </c>
      <c r="K96" s="93">
        <f t="shared" si="160"/>
        <v>1.9342040514338077E-2</v>
      </c>
      <c r="L96" s="93">
        <f t="shared" si="161"/>
        <v>2.6565757469008133E-3</v>
      </c>
      <c r="M96" s="93">
        <f t="shared" si="162"/>
        <v>-1.3279441952422255E-2</v>
      </c>
      <c r="N96" s="93">
        <f t="shared" si="163"/>
        <v>8.2638387967588489E-3</v>
      </c>
      <c r="O96" s="93">
        <f t="shared" si="164"/>
        <v>4.9681984148921554E-3</v>
      </c>
      <c r="P96" s="93">
        <f t="shared" si="165"/>
        <v>-9.8046613944151595E-3</v>
      </c>
      <c r="Q96" s="93">
        <f t="shared" si="166"/>
        <v>-6.8946960115933154E-3</v>
      </c>
      <c r="R96" s="93">
        <f t="shared" si="167"/>
        <v>1.0151402689419387E-2</v>
      </c>
      <c r="S96" s="93">
        <f t="shared" si="168"/>
        <v>2.1386946690641784E-2</v>
      </c>
      <c r="T96" s="93">
        <f t="shared" si="169"/>
        <v>1.8655741796615333E-2</v>
      </c>
      <c r="U96" s="93">
        <f t="shared" si="170"/>
        <v>2.1100486122384687E-2</v>
      </c>
      <c r="V96" s="93">
        <f t="shared" si="171"/>
        <v>1.759742554662358E-2</v>
      </c>
      <c r="W96" s="93">
        <f t="shared" si="172"/>
        <v>1.3708555285133484E-2</v>
      </c>
      <c r="X96" s="93">
        <f t="shared" si="173"/>
        <v>-7.2881667679313478E-2</v>
      </c>
      <c r="Y96" s="93">
        <f t="shared" si="174"/>
        <v>5.0799449165624733E-2</v>
      </c>
      <c r="Z96" s="93">
        <f t="shared" si="175"/>
        <v>4.9723183222171619E-2</v>
      </c>
      <c r="AA96" s="93">
        <f t="shared" si="176"/>
        <v>-7.0355364224117256E-4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2.2692013632646502E-2</v>
      </c>
      <c r="F97" s="89">
        <f t="shared" ref="F97:F106" si="178">IF(E23=0,"",F23/E23-1)</f>
        <v>1.1772791264835325E-2</v>
      </c>
      <c r="G97" s="89">
        <f t="shared" ref="G97:G106" si="179">IF(F23=0,"",G23/F23-1)</f>
        <v>8.5785271209268821E-3</v>
      </c>
      <c r="H97" s="89">
        <f t="shared" ref="H97:H106" si="180">IF(G23=0,"",H23/G23-1)</f>
        <v>2.741991586879311E-2</v>
      </c>
      <c r="I97" s="89">
        <f t="shared" ref="I97:I106" si="181">IF(H23=0,"",I23/H23-1)</f>
        <v>1.9503680612312779E-2</v>
      </c>
      <c r="J97" s="89">
        <f t="shared" ref="J97:J106" si="182">IF(I23=0,"",J23/I23-1)</f>
        <v>3.6772445748924909E-2</v>
      </c>
      <c r="K97" s="89">
        <f t="shared" ref="K97:K106" si="183">IF(J23=0,"",K23/J23-1)</f>
        <v>3.4495784143093511E-2</v>
      </c>
      <c r="L97" s="89">
        <f t="shared" ref="L97:L106" si="184">IF(K23=0,"",L23/K23-1)</f>
        <v>9.395488877241176E-3</v>
      </c>
      <c r="M97" s="89">
        <f t="shared" ref="M97:M106" si="185">IF(L23=0,"",M23/L23-1)</f>
        <v>-4.4142111763898928E-2</v>
      </c>
      <c r="N97" s="89">
        <f t="shared" ref="N97:N106" si="186">IF(M23=0,"",N23/M23-1)</f>
        <v>2.281172306164847E-2</v>
      </c>
      <c r="O97" s="89">
        <f t="shared" ref="O97:O106" si="187">IF(N23=0,"",O23/N23-1)</f>
        <v>2.1610207808441695E-2</v>
      </c>
      <c r="P97" s="89">
        <f t="shared" ref="P97:P106" si="188">IF(O23=0,"",P23/O23-1)</f>
        <v>-6.2711899585091713E-3</v>
      </c>
      <c r="Q97" s="89">
        <f t="shared" ref="Q97:Q106" si="189">IF(P23=0,"",Q23/P23-1)</f>
        <v>9.4833301891705801E-4</v>
      </c>
      <c r="R97" s="89">
        <f t="shared" ref="R97:R106" si="190">IF(Q23=0,"",R23/Q23-1)</f>
        <v>1.6727273580593893E-2</v>
      </c>
      <c r="S97" s="89">
        <f t="shared" ref="S97:S106" si="191">IF(R23=0,"",S23/R23-1)</f>
        <v>2.1935492586296901E-2</v>
      </c>
      <c r="T97" s="89">
        <f t="shared" ref="T97:T106" si="192">IF(S23=0,"",T23/S23-1)</f>
        <v>1.8757982327818334E-2</v>
      </c>
      <c r="U97" s="89">
        <f t="shared" ref="U97:U106" si="193">IF(T23=0,"",U23/T23-1)</f>
        <v>2.8906928810345844E-2</v>
      </c>
      <c r="V97" s="89">
        <f t="shared" ref="V97:V106" si="194">IF(U23=0,"",V23/U23-1)</f>
        <v>2.1637054072950024E-2</v>
      </c>
      <c r="W97" s="89">
        <f t="shared" ref="W97:W106" si="195">IF(V23=0,"",W23/V23-1)</f>
        <v>1.8901112715527191E-2</v>
      </c>
      <c r="X97" s="89">
        <f t="shared" ref="X97:X106" si="196">IF(W23=0,"",X23/W23-1)</f>
        <v>-5.435444852216742E-2</v>
      </c>
      <c r="Y97" s="89">
        <f t="shared" ref="Y97:Y106" si="197">IF(X23=0,"",Y23/X23-1)</f>
        <v>6.2604061709236047E-2</v>
      </c>
      <c r="Z97" s="89">
        <f t="shared" ref="Z97:Z108" si="198">IF(Y23=0,"",Z23/Y23-1)</f>
        <v>3.9145612445981914E-2</v>
      </c>
      <c r="AA97" s="89">
        <f t="shared" ref="AA97:AA108" si="199">IF(Z23=0,"",AA23/Z23-1)</f>
        <v>7.3136227507104579E-3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3.2721104203157214E-2</v>
      </c>
      <c r="F98" s="83">
        <f t="shared" si="178"/>
        <v>-6.5937671380881357E-2</v>
      </c>
      <c r="G98" s="83">
        <f t="shared" si="179"/>
        <v>-2.3492833857620021E-2</v>
      </c>
      <c r="H98" s="83">
        <f t="shared" si="180"/>
        <v>3.790426838920169E-2</v>
      </c>
      <c r="I98" s="83">
        <f t="shared" si="181"/>
        <v>-0.12057231307733873</v>
      </c>
      <c r="J98" s="83">
        <f t="shared" si="182"/>
        <v>-2.6687568278884521E-2</v>
      </c>
      <c r="K98" s="83">
        <f t="shared" si="183"/>
        <v>4.6190758546499344E-2</v>
      </c>
      <c r="L98" s="83">
        <f t="shared" si="184"/>
        <v>-3.2799297115446602E-2</v>
      </c>
      <c r="M98" s="83">
        <f t="shared" si="185"/>
        <v>-0.12713044949944519</v>
      </c>
      <c r="N98" s="83">
        <f t="shared" si="186"/>
        <v>9.9377863517684295E-2</v>
      </c>
      <c r="O98" s="83">
        <f t="shared" si="187"/>
        <v>8.0504609396591542E-2</v>
      </c>
      <c r="P98" s="83">
        <f t="shared" si="188"/>
        <v>-1.4996004668765606E-2</v>
      </c>
      <c r="Q98" s="83">
        <f t="shared" si="189"/>
        <v>2.2337267509727532E-2</v>
      </c>
      <c r="R98" s="83">
        <f t="shared" si="190"/>
        <v>2.6149220530753414E-3</v>
      </c>
      <c r="S98" s="83">
        <f t="shared" si="191"/>
        <v>-2.0819984859155372E-2</v>
      </c>
      <c r="T98" s="83">
        <f t="shared" si="192"/>
        <v>-2.888775542189137E-3</v>
      </c>
      <c r="U98" s="83">
        <f t="shared" si="193"/>
        <v>9.3498917412991212E-2</v>
      </c>
      <c r="V98" s="83">
        <f t="shared" si="194"/>
        <v>-2.9923561962111878E-2</v>
      </c>
      <c r="W98" s="83">
        <f t="shared" si="195"/>
        <v>8.5992182615048929E-3</v>
      </c>
      <c r="X98" s="83">
        <f t="shared" si="196"/>
        <v>-4.2824498086502572E-2</v>
      </c>
      <c r="Y98" s="83">
        <f t="shared" si="197"/>
        <v>5.5479093403667079E-2</v>
      </c>
      <c r="Z98" s="83">
        <f t="shared" si="198"/>
        <v>9.9171954550838493E-2</v>
      </c>
      <c r="AA98" s="83">
        <f t="shared" si="199"/>
        <v>-2.9075180682342827E-2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-4.144166456243159E-3</v>
      </c>
      <c r="F99" s="83">
        <f t="shared" si="178"/>
        <v>-2.7464550151585776E-2</v>
      </c>
      <c r="G99" s="83">
        <f t="shared" si="179"/>
        <v>-4.2307131213296989E-2</v>
      </c>
      <c r="H99" s="83">
        <f t="shared" si="180"/>
        <v>8.6311171076898452E-2</v>
      </c>
      <c r="I99" s="83">
        <f t="shared" si="181"/>
        <v>9.2633962435747286E-2</v>
      </c>
      <c r="J99" s="83">
        <f t="shared" si="182"/>
        <v>0.13629253306683076</v>
      </c>
      <c r="K99" s="83">
        <f t="shared" si="183"/>
        <v>-1.6164148308635662E-2</v>
      </c>
      <c r="L99" s="83">
        <f t="shared" si="184"/>
        <v>0.14738322362757605</v>
      </c>
      <c r="M99" s="83">
        <f t="shared" si="185"/>
        <v>-0.22027989196255782</v>
      </c>
      <c r="N99" s="83">
        <f t="shared" si="186"/>
        <v>0.10183647545230978</v>
      </c>
      <c r="O99" s="83">
        <f t="shared" si="187"/>
        <v>6.608900770474091E-2</v>
      </c>
      <c r="P99" s="83">
        <f t="shared" si="188"/>
        <v>5.5264145278125287E-2</v>
      </c>
      <c r="Q99" s="83">
        <f t="shared" si="189"/>
        <v>-7.8408922280643001E-2</v>
      </c>
      <c r="R99" s="83">
        <f t="shared" si="190"/>
        <v>-0.15011854083904663</v>
      </c>
      <c r="S99" s="83">
        <f t="shared" si="191"/>
        <v>-0.17624432986996197</v>
      </c>
      <c r="T99" s="83">
        <f t="shared" si="192"/>
        <v>-0.16334481406167245</v>
      </c>
      <c r="U99" s="83">
        <f t="shared" si="193"/>
        <v>9.6124129344602238E-2</v>
      </c>
      <c r="V99" s="83">
        <f t="shared" si="194"/>
        <v>2.8637066406396627E-2</v>
      </c>
      <c r="W99" s="83">
        <f t="shared" si="195"/>
        <v>-6.2386277342042273E-2</v>
      </c>
      <c r="X99" s="83">
        <f t="shared" si="196"/>
        <v>-0.20533108529978783</v>
      </c>
      <c r="Y99" s="83">
        <f t="shared" si="197"/>
        <v>0.3344556239360732</v>
      </c>
      <c r="Z99" s="83">
        <f t="shared" si="198"/>
        <v>0.34111135776099766</v>
      </c>
      <c r="AA99" s="83">
        <f t="shared" si="199"/>
        <v>-0.29852281240902034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2.7412003073413516E-2</v>
      </c>
      <c r="F100" s="83">
        <f t="shared" si="178"/>
        <v>2.1337768216104447E-2</v>
      </c>
      <c r="G100" s="83">
        <f t="shared" si="179"/>
        <v>1.4618173170728888E-2</v>
      </c>
      <c r="H100" s="83">
        <f t="shared" si="180"/>
        <v>2.7072117325520839E-2</v>
      </c>
      <c r="I100" s="83">
        <f t="shared" si="181"/>
        <v>2.5606862206955405E-2</v>
      </c>
      <c r="J100" s="83">
        <f t="shared" si="182"/>
        <v>3.407958652527765E-2</v>
      </c>
      <c r="K100" s="83">
        <f t="shared" si="183"/>
        <v>3.4122469915696785E-2</v>
      </c>
      <c r="L100" s="83">
        <f t="shared" si="184"/>
        <v>1.7080801972785054E-2</v>
      </c>
      <c r="M100" s="83">
        <f t="shared" si="185"/>
        <v>-1.951575967172603E-2</v>
      </c>
      <c r="N100" s="83">
        <f t="shared" si="186"/>
        <v>1.6639465055353408E-2</v>
      </c>
      <c r="O100" s="83">
        <f t="shared" si="187"/>
        <v>1.8626483205230526E-2</v>
      </c>
      <c r="P100" s="83">
        <f t="shared" si="188"/>
        <v>-1.4634427469070177E-3</v>
      </c>
      <c r="Q100" s="83">
        <f t="shared" si="189"/>
        <v>6.8357135936596425E-3</v>
      </c>
      <c r="R100" s="83">
        <f t="shared" si="190"/>
        <v>1.7745409220746744E-2</v>
      </c>
      <c r="S100" s="83">
        <f t="shared" si="191"/>
        <v>1.8129221056987443E-2</v>
      </c>
      <c r="T100" s="83">
        <f t="shared" si="192"/>
        <v>1.9305711782747537E-2</v>
      </c>
      <c r="U100" s="83">
        <f t="shared" si="193"/>
        <v>2.8421629708392127E-2</v>
      </c>
      <c r="V100" s="83">
        <f t="shared" si="194"/>
        <v>2.3015694560126532E-2</v>
      </c>
      <c r="W100" s="83">
        <f t="shared" si="195"/>
        <v>2.0895402323420242E-2</v>
      </c>
      <c r="X100" s="83">
        <f t="shared" si="196"/>
        <v>-5.1677243780226312E-2</v>
      </c>
      <c r="Y100" s="83">
        <f t="shared" si="197"/>
        <v>5.8560138974129927E-2</v>
      </c>
      <c r="Z100" s="83">
        <f t="shared" si="198"/>
        <v>3.1374415035035241E-2</v>
      </c>
      <c r="AA100" s="83">
        <f t="shared" si="199"/>
        <v>6.1448328955862053E-3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2.4728534915538836E-2</v>
      </c>
      <c r="F101" s="84">
        <f t="shared" si="178"/>
        <v>2.5555806018192184E-2</v>
      </c>
      <c r="G101" s="84">
        <f t="shared" si="179"/>
        <v>1.8151754257934805E-2</v>
      </c>
      <c r="H101" s="84">
        <f t="shared" si="180"/>
        <v>2.3287756348206345E-2</v>
      </c>
      <c r="I101" s="84">
        <f t="shared" si="181"/>
        <v>2.3903493271866916E-2</v>
      </c>
      <c r="J101" s="84">
        <f t="shared" si="182"/>
        <v>2.3813492661314273E-2</v>
      </c>
      <c r="K101" s="84">
        <f t="shared" si="183"/>
        <v>2.313418957142388E-2</v>
      </c>
      <c r="L101" s="84">
        <f t="shared" si="184"/>
        <v>2.0374047324124733E-2</v>
      </c>
      <c r="M101" s="84">
        <f t="shared" si="185"/>
        <v>4.6128549559163456E-3</v>
      </c>
      <c r="N101" s="84">
        <f t="shared" si="186"/>
        <v>1.9378519004056516E-2</v>
      </c>
      <c r="O101" s="84">
        <f t="shared" si="187"/>
        <v>8.3884181484179532E-3</v>
      </c>
      <c r="P101" s="84">
        <f t="shared" si="188"/>
        <v>1.0119182927945669E-3</v>
      </c>
      <c r="Q101" s="84">
        <f t="shared" si="189"/>
        <v>8.5916612282372906E-3</v>
      </c>
      <c r="R101" s="84">
        <f t="shared" si="190"/>
        <v>1.5851153176449362E-2</v>
      </c>
      <c r="S101" s="84">
        <f t="shared" si="191"/>
        <v>1.1953917517140811E-2</v>
      </c>
      <c r="T101" s="84">
        <f t="shared" si="192"/>
        <v>1.8403362946099344E-2</v>
      </c>
      <c r="U101" s="84">
        <f t="shared" si="193"/>
        <v>2.8669809418967906E-2</v>
      </c>
      <c r="V101" s="84">
        <f t="shared" si="194"/>
        <v>1.9623793898557729E-2</v>
      </c>
      <c r="W101" s="84">
        <f t="shared" si="195"/>
        <v>2.2740818315109212E-2</v>
      </c>
      <c r="X101" s="84">
        <f t="shared" si="196"/>
        <v>-8.4063471755366992E-2</v>
      </c>
      <c r="Y101" s="84">
        <f t="shared" si="197"/>
        <v>6.1282631083841022E-2</v>
      </c>
      <c r="Z101" s="84">
        <f t="shared" si="198"/>
        <v>5.097384219376333E-2</v>
      </c>
      <c r="AA101" s="84">
        <f t="shared" si="199"/>
        <v>-3.3702488025314503E-3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2.9579857726617309E-2</v>
      </c>
      <c r="F102" s="84">
        <f t="shared" si="178"/>
        <v>2.2164306298086967E-2</v>
      </c>
      <c r="G102" s="84">
        <f t="shared" si="179"/>
        <v>1.459675291481588E-2</v>
      </c>
      <c r="H102" s="84">
        <f t="shared" si="180"/>
        <v>3.3893323304720946E-2</v>
      </c>
      <c r="I102" s="84">
        <f t="shared" si="181"/>
        <v>3.084720081454484E-2</v>
      </c>
      <c r="J102" s="84">
        <f t="shared" si="182"/>
        <v>4.5687570374316699E-2</v>
      </c>
      <c r="K102" s="84">
        <f t="shared" si="183"/>
        <v>4.4496548833482974E-2</v>
      </c>
      <c r="L102" s="84">
        <f t="shared" si="184"/>
        <v>1.3710577111492928E-2</v>
      </c>
      <c r="M102" s="84">
        <f t="shared" si="185"/>
        <v>-3.0758656892300618E-2</v>
      </c>
      <c r="N102" s="84">
        <f t="shared" si="186"/>
        <v>2.0198624162363954E-2</v>
      </c>
      <c r="O102" s="84">
        <f t="shared" si="187"/>
        <v>2.2843347319890794E-2</v>
      </c>
      <c r="P102" s="84">
        <f t="shared" si="188"/>
        <v>-1.9944217927964081E-3</v>
      </c>
      <c r="Q102" s="84">
        <f t="shared" si="189"/>
        <v>1.0394207686321488E-2</v>
      </c>
      <c r="R102" s="84">
        <f t="shared" si="190"/>
        <v>1.9863922812393353E-2</v>
      </c>
      <c r="S102" s="84">
        <f t="shared" si="191"/>
        <v>1.9776235053126534E-2</v>
      </c>
      <c r="T102" s="84">
        <f t="shared" si="192"/>
        <v>1.8298964747232915E-2</v>
      </c>
      <c r="U102" s="84">
        <f t="shared" si="193"/>
        <v>2.6862969129831216E-2</v>
      </c>
      <c r="V102" s="84">
        <f t="shared" si="194"/>
        <v>2.7711265831983578E-2</v>
      </c>
      <c r="W102" s="84">
        <f t="shared" si="195"/>
        <v>1.9328357281245934E-2</v>
      </c>
      <c r="X102" s="84">
        <f t="shared" si="196"/>
        <v>-3.0768092706771055E-2</v>
      </c>
      <c r="Y102" s="84">
        <f t="shared" si="197"/>
        <v>4.989371713269608E-2</v>
      </c>
      <c r="Z102" s="84">
        <f t="shared" si="198"/>
        <v>1.3617682948601662E-2</v>
      </c>
      <c r="AA102" s="84">
        <f t="shared" si="199"/>
        <v>2.6671559716241688E-2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2.7719210542386907E-2</v>
      </c>
      <c r="F103" s="84">
        <f t="shared" si="178"/>
        <v>1.0952811951120855E-2</v>
      </c>
      <c r="G103" s="84">
        <f t="shared" si="179"/>
        <v>7.492751520200791E-3</v>
      </c>
      <c r="H103" s="84">
        <f t="shared" si="180"/>
        <v>1.8531830600343913E-2</v>
      </c>
      <c r="I103" s="84">
        <f t="shared" si="181"/>
        <v>1.6402314854704114E-2</v>
      </c>
      <c r="J103" s="84">
        <f t="shared" si="182"/>
        <v>2.6834359622057935E-2</v>
      </c>
      <c r="K103" s="84">
        <f t="shared" si="183"/>
        <v>3.0878291282610215E-2</v>
      </c>
      <c r="L103" s="84">
        <f t="shared" si="184"/>
        <v>1.8870240660324278E-2</v>
      </c>
      <c r="M103" s="84">
        <f t="shared" si="185"/>
        <v>-4.0778461990466197E-2</v>
      </c>
      <c r="N103" s="84">
        <f t="shared" si="186"/>
        <v>1.6475719048560933E-3</v>
      </c>
      <c r="O103" s="84">
        <f t="shared" si="187"/>
        <v>3.012469122275041E-2</v>
      </c>
      <c r="P103" s="84">
        <f t="shared" si="188"/>
        <v>-5.4090892323048756E-3</v>
      </c>
      <c r="Q103" s="84">
        <f t="shared" si="189"/>
        <v>-6.1794259613160429E-3</v>
      </c>
      <c r="R103" s="84">
        <f t="shared" si="190"/>
        <v>1.6320853260334722E-2</v>
      </c>
      <c r="S103" s="84">
        <f t="shared" si="191"/>
        <v>2.731698964523388E-2</v>
      </c>
      <c r="T103" s="84">
        <f t="shared" si="192"/>
        <v>2.3896274121830263E-2</v>
      </c>
      <c r="U103" s="84">
        <f t="shared" si="193"/>
        <v>3.1955677460586474E-2</v>
      </c>
      <c r="V103" s="84">
        <f t="shared" si="194"/>
        <v>1.8087314442637448E-2</v>
      </c>
      <c r="W103" s="84">
        <f t="shared" si="195"/>
        <v>2.1044754847171054E-2</v>
      </c>
      <c r="X103" s="84">
        <f t="shared" si="196"/>
        <v>-3.6812973768703627E-2</v>
      </c>
      <c r="Y103" s="84">
        <f t="shared" si="197"/>
        <v>7.5817968997593521E-2</v>
      </c>
      <c r="Z103" s="84">
        <f t="shared" si="198"/>
        <v>3.7503400405799248E-2</v>
      </c>
      <c r="AA103" s="84">
        <f t="shared" si="199"/>
        <v>-2.5962495915601069E-2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2.013296135465259E-2</v>
      </c>
      <c r="F104" s="83">
        <f t="shared" si="178"/>
        <v>4.9556233198588817E-3</v>
      </c>
      <c r="G104" s="83">
        <f t="shared" si="179"/>
        <v>1.596003207454344E-2</v>
      </c>
      <c r="H104" s="83">
        <f t="shared" si="180"/>
        <v>8.4830775959909843E-2</v>
      </c>
      <c r="I104" s="83">
        <f t="shared" si="181"/>
        <v>3.169294759122776E-2</v>
      </c>
      <c r="J104" s="83">
        <f t="shared" si="182"/>
        <v>3.3402096549110416E-2</v>
      </c>
      <c r="K104" s="83">
        <f t="shared" si="183"/>
        <v>-1.5561948695755223E-2</v>
      </c>
      <c r="L104" s="83">
        <f t="shared" si="184"/>
        <v>5.5215780089996391E-2</v>
      </c>
      <c r="M104" s="83">
        <f t="shared" si="185"/>
        <v>-1.2078061598071455E-2</v>
      </c>
      <c r="N104" s="83">
        <f t="shared" si="186"/>
        <v>5.373382421930617E-2</v>
      </c>
      <c r="O104" s="83">
        <f t="shared" si="187"/>
        <v>-1.7342811615590925E-2</v>
      </c>
      <c r="P104" s="83">
        <f t="shared" si="188"/>
        <v>3.4466460616889183E-2</v>
      </c>
      <c r="Q104" s="83">
        <f t="shared" si="189"/>
        <v>-5.4364869714757402E-2</v>
      </c>
      <c r="R104" s="83">
        <f t="shared" si="190"/>
        <v>-6.1008950697650777E-2</v>
      </c>
      <c r="S104" s="83">
        <f t="shared" si="191"/>
        <v>1.4652152608057856E-2</v>
      </c>
      <c r="T104" s="83">
        <f t="shared" si="192"/>
        <v>-1.3934717514823003E-2</v>
      </c>
      <c r="U104" s="83">
        <f t="shared" si="193"/>
        <v>3.7783624960185946E-3</v>
      </c>
      <c r="V104" s="83">
        <f t="shared" si="194"/>
        <v>6.3019205185834704E-3</v>
      </c>
      <c r="W104" s="83">
        <f t="shared" si="195"/>
        <v>4.6270626769978174E-2</v>
      </c>
      <c r="X104" s="83">
        <f t="shared" si="196"/>
        <v>-7.1565669964816836E-2</v>
      </c>
      <c r="Y104" s="83">
        <f t="shared" si="197"/>
        <v>8.0145849261806346E-2</v>
      </c>
      <c r="Z104" s="83">
        <f t="shared" si="198"/>
        <v>0.45184120632725833</v>
      </c>
      <c r="AA104" s="83">
        <f t="shared" si="199"/>
        <v>0.16806496653504643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2.2044404220452618E-2</v>
      </c>
      <c r="F105" s="83">
        <f t="shared" si="178"/>
        <v>1.3596350573467086E-2</v>
      </c>
      <c r="G105" s="83">
        <f t="shared" si="179"/>
        <v>2.0761799015589721E-2</v>
      </c>
      <c r="H105" s="83">
        <f t="shared" si="180"/>
        <v>4.0192311873745945E-2</v>
      </c>
      <c r="I105" s="83">
        <f t="shared" si="181"/>
        <v>3.683472803886878E-2</v>
      </c>
      <c r="J105" s="83">
        <f t="shared" si="182"/>
        <v>7.4022994707563461E-2</v>
      </c>
      <c r="K105" s="83">
        <f t="shared" si="183"/>
        <v>4.4970478382084567E-2</v>
      </c>
      <c r="L105" s="83">
        <f t="shared" si="184"/>
        <v>1.4186719207678111E-2</v>
      </c>
      <c r="M105" s="83">
        <f t="shared" si="185"/>
        <v>-6.0888240032562213E-2</v>
      </c>
      <c r="N105" s="83">
        <f t="shared" si="186"/>
        <v>-6.087196246805282E-2</v>
      </c>
      <c r="O105" s="83">
        <f t="shared" si="187"/>
        <v>-8.0415515867189313E-3</v>
      </c>
      <c r="P105" s="83">
        <f t="shared" si="188"/>
        <v>-4.1170798421414467E-2</v>
      </c>
      <c r="Q105" s="83">
        <f t="shared" si="189"/>
        <v>-2.9440880719496576E-2</v>
      </c>
      <c r="R105" s="83">
        <f t="shared" si="190"/>
        <v>-3.8537235506849177E-3</v>
      </c>
      <c r="S105" s="83">
        <f t="shared" si="191"/>
        <v>1.0238031500256151E-2</v>
      </c>
      <c r="T105" s="83">
        <f t="shared" si="192"/>
        <v>2.0584433649451839E-2</v>
      </c>
      <c r="U105" s="83">
        <f t="shared" si="193"/>
        <v>3.5583685531040521E-2</v>
      </c>
      <c r="V105" s="83">
        <f t="shared" si="194"/>
        <v>5.1787709715017671E-2</v>
      </c>
      <c r="W105" s="83">
        <f t="shared" si="195"/>
        <v>4.3398242046250868E-2</v>
      </c>
      <c r="X105" s="83">
        <f t="shared" si="196"/>
        <v>-3.1977177550726044E-2</v>
      </c>
      <c r="Y105" s="83">
        <f t="shared" si="197"/>
        <v>5.962875037763915E-2</v>
      </c>
      <c r="Z105" s="83">
        <f t="shared" si="198"/>
        <v>3.2207865735457197E-2</v>
      </c>
      <c r="AA105" s="83">
        <f t="shared" si="199"/>
        <v>3.2909745748449959E-2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4.6484317763344496E-3</v>
      </c>
      <c r="F106" s="83">
        <f t="shared" si="178"/>
        <v>-1.3111306678653678E-2</v>
      </c>
      <c r="G106" s="83">
        <f t="shared" si="179"/>
        <v>-1.4674458444467686E-2</v>
      </c>
      <c r="H106" s="83">
        <f t="shared" si="180"/>
        <v>1.4847869267817337E-2</v>
      </c>
      <c r="I106" s="83">
        <f t="shared" si="181"/>
        <v>3.0617814784827946E-3</v>
      </c>
      <c r="J106" s="83">
        <f t="shared" si="182"/>
        <v>3.9607649509896037E-2</v>
      </c>
      <c r="K106" s="83">
        <f t="shared" si="183"/>
        <v>3.9153424200580433E-2</v>
      </c>
      <c r="L106" s="83">
        <f t="shared" si="184"/>
        <v>-3.0774964281367279E-2</v>
      </c>
      <c r="M106" s="83">
        <f t="shared" si="185"/>
        <v>-0.13490794196569134</v>
      </c>
      <c r="N106" s="83">
        <f t="shared" si="186"/>
        <v>7.2839252676062838E-2</v>
      </c>
      <c r="O106" s="83">
        <f t="shared" si="187"/>
        <v>4.3847506143791515E-2</v>
      </c>
      <c r="P106" s="83">
        <f t="shared" si="188"/>
        <v>-2.3610101370084013E-2</v>
      </c>
      <c r="Q106" s="83">
        <f t="shared" si="189"/>
        <v>-7.9376644066375679E-3</v>
      </c>
      <c r="R106" s="83">
        <f t="shared" si="190"/>
        <v>3.7933939853911136E-2</v>
      </c>
      <c r="S106" s="83">
        <f t="shared" si="191"/>
        <v>5.6486064793077606E-2</v>
      </c>
      <c r="T106" s="83">
        <f t="shared" si="192"/>
        <v>2.6746577518043546E-2</v>
      </c>
      <c r="U106" s="83">
        <f t="shared" si="193"/>
        <v>2.3545358567850672E-2</v>
      </c>
      <c r="V106" s="83">
        <f t="shared" si="194"/>
        <v>1.3541444964650262E-2</v>
      </c>
      <c r="W106" s="83">
        <f t="shared" si="195"/>
        <v>1.7843673450326225E-3</v>
      </c>
      <c r="X106" s="83">
        <f t="shared" si="196"/>
        <v>-7.0451783490718234E-2</v>
      </c>
      <c r="Y106" s="83">
        <f t="shared" si="197"/>
        <v>7.6821322703215733E-2</v>
      </c>
      <c r="Z106" s="83">
        <f t="shared" si="198"/>
        <v>1.6266681218823908E-2</v>
      </c>
      <c r="AA106" s="83">
        <f t="shared" si="199"/>
        <v>-9.204365249737112E-3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-4.4175406530257533E-2</v>
      </c>
      <c r="F107" s="87">
        <f t="shared" ref="F107:F108" si="201">IF(E33=0,"",F33/E33-1)</f>
        <v>-5.6252145074648818E-2</v>
      </c>
      <c r="G107" s="87">
        <f t="shared" ref="G107:G108" si="202">IF(F33=0,"",G33/F33-1)</f>
        <v>-8.5004266668506911E-3</v>
      </c>
      <c r="H107" s="87">
        <f t="shared" ref="H107:H108" si="203">IF(G33=0,"",H33/G33-1)</f>
        <v>0.11586702876160815</v>
      </c>
      <c r="I107" s="87">
        <f t="shared" ref="I107:I108" si="204">IF(H33=0,"",I33/H33-1)</f>
        <v>4.571021286207877E-2</v>
      </c>
      <c r="J107" s="87">
        <f t="shared" ref="J107:J108" si="205">IF(I33=0,"",J33/I33-1)</f>
        <v>7.0834098548479218E-2</v>
      </c>
      <c r="K107" s="87">
        <f t="shared" ref="K107:K108" si="206">IF(J33=0,"",K33/J33-1)</f>
        <v>0.10671956299905672</v>
      </c>
      <c r="L107" s="87">
        <f t="shared" ref="L107:L108" si="207">IF(K33=0,"",L33/K33-1)</f>
        <v>-8.8757756736502436E-2</v>
      </c>
      <c r="M107" s="87">
        <f t="shared" ref="M107:M108" si="208">IF(L33=0,"",M33/L33-1)</f>
        <v>-0.34703439161964389</v>
      </c>
      <c r="N107" s="87">
        <f t="shared" ref="N107:N108" si="209">IF(M33=0,"",N33/M33-1)</f>
        <v>0.14465735447826678</v>
      </c>
      <c r="O107" s="87">
        <f t="shared" ref="O107:O108" si="210">IF(N33=0,"",O33/N33-1)</f>
        <v>9.4622051422026843E-2</v>
      </c>
      <c r="P107" s="87">
        <f t="shared" ref="P107:P108" si="211">IF(O33=0,"",P33/O33-1)</f>
        <v>-6.061686594709681E-2</v>
      </c>
      <c r="Q107" s="87">
        <f t="shared" ref="Q107:Q108" si="212">IF(P33=0,"",Q33/P33-1)</f>
        <v>-3.9944555921931246E-2</v>
      </c>
      <c r="R107" s="87">
        <f t="shared" ref="R107:R108" si="213">IF(Q33=0,"",R33/Q33-1)</f>
        <v>1.743548170404785E-2</v>
      </c>
      <c r="S107" s="87">
        <f t="shared" ref="S107:S108" si="214">IF(R33=0,"",S33/R33-1)</f>
        <v>3.4996056886624771E-2</v>
      </c>
      <c r="T107" s="87">
        <f t="shared" ref="T107:T108" si="215">IF(S33=0,"",T33/S33-1)</f>
        <v>-1.0726184239113756E-3</v>
      </c>
      <c r="U107" s="87">
        <f t="shared" ref="U107:U108" si="216">IF(T33=0,"",U33/T33-1)</f>
        <v>5.2170840104544647E-2</v>
      </c>
      <c r="V107" s="87">
        <f t="shared" ref="V107:V108" si="217">IF(U33=0,"",V33/U33-1)</f>
        <v>4.6300574643652892E-2</v>
      </c>
      <c r="W107" s="87">
        <f t="shared" ref="W107:W108" si="218">IF(V33=0,"",W33/V33-1)</f>
        <v>-0.11859717146957283</v>
      </c>
      <c r="X107" s="87">
        <f t="shared" ref="X107:X108" si="219">IF(W33=0,"",X33/W33-1)</f>
        <v>-0.15616656360961712</v>
      </c>
      <c r="Y107" s="87">
        <f t="shared" ref="Y107:Y108" si="220">IF(X33=0,"",Y33/X33-1)</f>
        <v>0.21254767343946757</v>
      </c>
      <c r="Z107" s="87">
        <f t="shared" si="198"/>
        <v>0.15777568981602652</v>
      </c>
      <c r="AA107" s="87">
        <f t="shared" si="199"/>
        <v>-8.4624395031030586E-2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-4.4074464976530892E-2</v>
      </c>
      <c r="F108" s="89">
        <f t="shared" si="201"/>
        <v>-5.7805712530517139E-2</v>
      </c>
      <c r="G108" s="89">
        <f t="shared" si="202"/>
        <v>-9.3922172241717172E-3</v>
      </c>
      <c r="H108" s="89">
        <f t="shared" si="203"/>
        <v>0.11818150200282784</v>
      </c>
      <c r="I108" s="89">
        <f t="shared" si="204"/>
        <v>4.7189135949210925E-2</v>
      </c>
      <c r="J108" s="89">
        <f t="shared" si="205"/>
        <v>6.9019314207787064E-2</v>
      </c>
      <c r="K108" s="89">
        <f t="shared" si="206"/>
        <v>0.10743888251054234</v>
      </c>
      <c r="L108" s="89">
        <f t="shared" si="207"/>
        <v>-9.1324537201973643E-2</v>
      </c>
      <c r="M108" s="89">
        <f t="shared" si="208"/>
        <v>-0.41005455160730031</v>
      </c>
      <c r="N108" s="89">
        <f t="shared" si="209"/>
        <v>0.13566543976443812</v>
      </c>
      <c r="O108" s="89">
        <f t="shared" si="210"/>
        <v>0.11332069018277124</v>
      </c>
      <c r="P108" s="89">
        <f t="shared" si="211"/>
        <v>-8.480427285473946E-2</v>
      </c>
      <c r="Q108" s="89">
        <f t="shared" si="212"/>
        <v>-3.0604462988964465E-2</v>
      </c>
      <c r="R108" s="89">
        <f t="shared" si="213"/>
        <v>2.0793293045870298E-2</v>
      </c>
      <c r="S108" s="89">
        <f t="shared" si="214"/>
        <v>5.3653664429593739E-3</v>
      </c>
      <c r="T108" s="89">
        <f t="shared" si="215"/>
        <v>-6.0539850261155381E-3</v>
      </c>
      <c r="U108" s="89">
        <f t="shared" si="216"/>
        <v>6.7978908545166528E-2</v>
      </c>
      <c r="V108" s="89">
        <f t="shared" si="217"/>
        <v>6.2879834780232846E-2</v>
      </c>
      <c r="W108" s="89">
        <f t="shared" si="218"/>
        <v>-0.16183785847447152</v>
      </c>
      <c r="X108" s="89">
        <f t="shared" si="219"/>
        <v>-0.19073998668294945</v>
      </c>
      <c r="Y108" s="89">
        <f t="shared" si="220"/>
        <v>0.31602703811617805</v>
      </c>
      <c r="Z108" s="89">
        <f t="shared" si="198"/>
        <v>0.20587808206224922</v>
      </c>
      <c r="AA108" s="89">
        <f t="shared" si="199"/>
        <v>-0.14503316297098579</v>
      </c>
    </row>
    <row r="109" spans="1:27" x14ac:dyDescent="0.25">
      <c r="A109" s="88" t="s">
        <v>264</v>
      </c>
      <c r="B109" s="44"/>
      <c r="C109" s="44"/>
      <c r="D109" s="89"/>
      <c r="E109" s="89">
        <f t="shared" ref="E109" si="221">IF(D37=0,"",E37/D37-1)</f>
        <v>-4.4462721117848325E-2</v>
      </c>
      <c r="F109" s="89">
        <f t="shared" ref="F109" si="222">IF(E37=0,"",F37/E37-1)</f>
        <v>-5.1828357808805237E-2</v>
      </c>
      <c r="G109" s="89">
        <f t="shared" ref="G109" si="223">IF(F37=0,"",G37/F37-1)</f>
        <v>-5.9770592375207876E-3</v>
      </c>
      <c r="H109" s="89">
        <f t="shared" ref="H109" si="224">IF(G37=0,"",H37/G37-1)</f>
        <v>0.10934060730437456</v>
      </c>
      <c r="I109" s="89">
        <f t="shared" ref="I109" si="225">IF(H37=0,"",I37/H37-1)</f>
        <v>4.1506665613405325E-2</v>
      </c>
      <c r="J109" s="89">
        <f t="shared" ref="J109" si="226">IF(I37=0,"",J37/I37-1)</f>
        <v>7.602040818896949E-2</v>
      </c>
      <c r="K109" s="89">
        <f t="shared" ref="K109" si="227">IF(J37=0,"",K37/J37-1)</f>
        <v>0.10467725939884875</v>
      </c>
      <c r="L109" s="89">
        <f t="shared" ref="L109" si="228">IF(K37=0,"",L37/K37-1)</f>
        <v>-8.1451893442408441E-2</v>
      </c>
      <c r="M109" s="89">
        <f t="shared" ref="M109" si="229">IF(L37=0,"",M37/L37-1)</f>
        <v>-0.16958716662515838</v>
      </c>
      <c r="N109" s="89">
        <f t="shared" ref="N109" si="230">IF(M37=0,"",N37/M37-1)</f>
        <v>0.16264439413865683</v>
      </c>
      <c r="O109" s="89">
        <f t="shared" ref="O109" si="231">IF(N37=0,"",O37/N37-1)</f>
        <v>5.8086050255152122E-2</v>
      </c>
      <c r="P109" s="89">
        <f t="shared" ref="P109" si="232">IF(O37=0,"",P37/O37-1)</f>
        <v>-1.0889022765595002E-2</v>
      </c>
      <c r="Q109" s="89">
        <f t="shared" ref="Q109" si="233">IF(P37=0,"",Q37/P37-1)</f>
        <v>-5.7712225613743895E-2</v>
      </c>
      <c r="R109" s="89">
        <f t="shared" ref="R109" si="234">IF(Q37=0,"",R37/Q37-1)</f>
        <v>1.0864155509830331E-2</v>
      </c>
      <c r="S109" s="89">
        <f t="shared" ref="S109" si="235">IF(R37=0,"",S37/R37-1)</f>
        <v>9.3553690254882582E-2</v>
      </c>
      <c r="T109" s="89">
        <f t="shared" ref="T109" si="236">IF(S37=0,"",T37/S37-1)</f>
        <v>7.9779125560377473E-3</v>
      </c>
      <c r="U109" s="89">
        <f t="shared" ref="U109" si="237">IF(T37=0,"",U37/T37-1)</f>
        <v>2.3849347147696376E-2</v>
      </c>
      <c r="V109" s="89">
        <f t="shared" ref="V109" si="238">IF(U37=0,"",V37/U37-1)</f>
        <v>1.5317172786424749E-2</v>
      </c>
      <c r="W109" s="89">
        <f t="shared" ref="W109" si="239">IF(V37=0,"",W37/V37-1)</f>
        <v>-3.4003285562221208E-2</v>
      </c>
      <c r="X109" s="89">
        <f t="shared" ref="X109" si="240">IF(W37=0,"",X37/W37-1)</f>
        <v>-9.7479664665164667E-2</v>
      </c>
      <c r="Y109" s="89">
        <f t="shared" ref="Y109" si="241">IF(X37=0,"",Y37/X37-1)</f>
        <v>5.5046562866668536E-2</v>
      </c>
      <c r="Z109" s="89">
        <f t="shared" ref="Z109" si="242">IF(Y37=0,"",Z37/Y37-1)</f>
        <v>6.6450680061051592E-2</v>
      </c>
      <c r="AA109" s="89">
        <f t="shared" ref="AA109" si="243">IF(Z37=0,"",AA37/Z37-1)</f>
        <v>4.5059383575851486E-2</v>
      </c>
    </row>
    <row r="110" spans="1:27" x14ac:dyDescent="0.25">
      <c r="A110" s="68" t="s">
        <v>266</v>
      </c>
      <c r="B110" s="44"/>
      <c r="C110" s="44"/>
      <c r="D110" s="89"/>
      <c r="E110" s="89">
        <f t="shared" ref="E110:E111" si="244">IF(D43=0,"",E43/D43-1)</f>
        <v>3.5651431032748038E-2</v>
      </c>
      <c r="F110" s="89">
        <f t="shared" ref="F110:F111" si="245">IF(E43=0,"",F43/E43-1)</f>
        <v>2.3180751278912171E-2</v>
      </c>
      <c r="G110" s="89">
        <f t="shared" ref="G110:G111" si="246">IF(F43=0,"",G43/F43-1)</f>
        <v>-3.4735682420809821E-2</v>
      </c>
      <c r="H110" s="89">
        <f t="shared" ref="H110:H111" si="247">IF(G43=0,"",H43/G43-1)</f>
        <v>-2.9777345809395284E-3</v>
      </c>
      <c r="I110" s="89">
        <f t="shared" ref="I110:I111" si="248">IF(H43=0,"",I43/H43-1)</f>
        <v>1.9158682261010584E-2</v>
      </c>
      <c r="J110" s="89">
        <f t="shared" ref="J110:J111" si="249">IF(I43=0,"",J43/I43-1)</f>
        <v>1.3405069544164983E-2</v>
      </c>
      <c r="K110" s="89">
        <f t="shared" ref="K110:K111" si="250">IF(J43=0,"",K43/J43-1)</f>
        <v>3.6527408643388215E-2</v>
      </c>
      <c r="L110" s="89">
        <f t="shared" ref="L110:L111" si="251">IF(K43=0,"",L43/K43-1)</f>
        <v>-1.7949730111923357E-2</v>
      </c>
      <c r="M110" s="89">
        <f t="shared" ref="M110:M111" si="252">IF(L43=0,"",M43/L43-1)</f>
        <v>-4.0782305038881916E-2</v>
      </c>
      <c r="N110" s="89">
        <f t="shared" ref="N110:N111" si="253">IF(M43=0,"",N43/M43-1)</f>
        <v>5.5724012958329405E-2</v>
      </c>
      <c r="O110" s="89">
        <f t="shared" ref="O110:O111" si="254">IF(N43=0,"",O43/N43-1)</f>
        <v>2.7541468178665429E-2</v>
      </c>
      <c r="P110" s="89">
        <f t="shared" ref="P110:P111" si="255">IF(O43=0,"",P43/O43-1)</f>
        <v>-1.4567654858471002E-2</v>
      </c>
      <c r="Q110" s="89">
        <f t="shared" ref="Q110:Q111" si="256">IF(P43=0,"",Q43/P43-1)</f>
        <v>-1.6713658756672189E-2</v>
      </c>
      <c r="R110" s="89">
        <f t="shared" ref="R110:R111" si="257">IF(Q43=0,"",R43/Q43-1)</f>
        <v>3.7505745087679898E-2</v>
      </c>
      <c r="S110" s="89">
        <f t="shared" ref="S110:S111" si="258">IF(R43=0,"",S43/R43-1)</f>
        <v>0.27812826839964933</v>
      </c>
      <c r="T110" s="89">
        <f t="shared" ref="T110:T111" si="259">IF(S43=0,"",T43/S43-1)</f>
        <v>1.1307680939823594E-2</v>
      </c>
      <c r="U110" s="89">
        <f t="shared" ref="U110:U111" si="260">IF(T43=0,"",U43/T43-1)</f>
        <v>2.9843111848827153E-2</v>
      </c>
      <c r="V110" s="89">
        <f t="shared" ref="V110:V111" si="261">IF(U43=0,"",V43/U43-1)</f>
        <v>2.2702951161866158E-2</v>
      </c>
      <c r="W110" s="89">
        <f t="shared" ref="W110:W111" si="262">IF(V43=0,"",W43/V43-1)</f>
        <v>1.8017682172291938E-2</v>
      </c>
      <c r="X110" s="89">
        <f t="shared" ref="X110:X111" si="263">IF(W43=0,"",X43/W43-1)</f>
        <v>3.5152195519447149E-2</v>
      </c>
      <c r="Y110" s="89">
        <f t="shared" ref="Y110:Y111" si="264">IF(X43=0,"",Y43/X43-1)</f>
        <v>8.2415855050891773E-2</v>
      </c>
      <c r="Z110" s="89">
        <f t="shared" ref="Z110:Z111" si="265">IF(Y43=0,"",Z43/Y43-1)</f>
        <v>5.1103067179038009E-2</v>
      </c>
      <c r="AA110" s="89">
        <f t="shared" ref="AA110:AA111" si="266">IF(Z43=0,"",AA43/Z43-1)</f>
        <v>-0.10283383675537427</v>
      </c>
    </row>
    <row r="111" spans="1:27" x14ac:dyDescent="0.25">
      <c r="A111" s="88" t="s">
        <v>267</v>
      </c>
      <c r="B111" s="44"/>
      <c r="C111" s="44"/>
      <c r="D111" s="89"/>
      <c r="E111" s="89">
        <f t="shared" si="244"/>
        <v>-1.6886162379054492E-2</v>
      </c>
      <c r="F111" s="89">
        <f t="shared" si="245"/>
        <v>-1.3198401434731055E-2</v>
      </c>
      <c r="G111" s="89">
        <f t="shared" si="246"/>
        <v>-3.7794920648126173E-2</v>
      </c>
      <c r="H111" s="89">
        <f t="shared" si="247"/>
        <v>1.8284553833725292E-2</v>
      </c>
      <c r="I111" s="89">
        <f t="shared" si="248"/>
        <v>3.2096395422258617E-3</v>
      </c>
      <c r="J111" s="89">
        <f t="shared" si="249"/>
        <v>1.9911000530842049E-2</v>
      </c>
      <c r="K111" s="89">
        <f t="shared" si="250"/>
        <v>3.8340037389486437E-2</v>
      </c>
      <c r="L111" s="89">
        <f t="shared" si="251"/>
        <v>-2.7770340528399218E-2</v>
      </c>
      <c r="M111" s="89">
        <f t="shared" si="252"/>
        <v>-9.6046261575346237E-2</v>
      </c>
      <c r="N111" s="89">
        <f t="shared" si="253"/>
        <v>9.4553631974862773E-2</v>
      </c>
      <c r="O111" s="89">
        <f t="shared" si="254"/>
        <v>3.7823965864756115E-2</v>
      </c>
      <c r="P111" s="89">
        <f t="shared" si="255"/>
        <v>-2.4229558617122504E-2</v>
      </c>
      <c r="Q111" s="89">
        <f t="shared" si="256"/>
        <v>-1.5379144481392992E-2</v>
      </c>
      <c r="R111" s="89">
        <f t="shared" si="257"/>
        <v>4.3915661343204793E-2</v>
      </c>
      <c r="S111" s="89">
        <f t="shared" si="258"/>
        <v>8.7156305497617215E-2</v>
      </c>
      <c r="T111" s="89">
        <f t="shared" si="259"/>
        <v>1.3989287466818157E-2</v>
      </c>
      <c r="U111" s="89">
        <f t="shared" si="260"/>
        <v>4.2232248582538379E-2</v>
      </c>
      <c r="V111" s="89">
        <f t="shared" si="261"/>
        <v>-4.3285640422991767E-2</v>
      </c>
      <c r="W111" s="89">
        <f t="shared" si="262"/>
        <v>-7.4206991469645267E-3</v>
      </c>
      <c r="X111" s="89">
        <f t="shared" si="263"/>
        <v>-1.6577816565382042E-2</v>
      </c>
      <c r="Y111" s="89">
        <f t="shared" si="264"/>
        <v>3.9062104232400641E-2</v>
      </c>
      <c r="Z111" s="89">
        <f t="shared" si="265"/>
        <v>-3.7388350610744414E-2</v>
      </c>
      <c r="AA111" s="89">
        <f t="shared" si="266"/>
        <v>-6.7713387634673383E-2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0.12321682352419439</v>
      </c>
      <c r="F112" s="89">
        <f t="shared" ref="F112:F113" si="268">IF(E47=0,"",F47/E47-1)</f>
        <v>7.6251487532426943E-2</v>
      </c>
      <c r="G112" s="89">
        <f t="shared" ref="G112:G113" si="269">IF(F47=0,"",G47/F47-1)</f>
        <v>-3.0643717426285466E-2</v>
      </c>
      <c r="H112" s="89">
        <f t="shared" ref="H112:H113" si="270">IF(G47=0,"",H47/G47-1)</f>
        <v>-3.1207861651543212E-2</v>
      </c>
      <c r="I112" s="89">
        <f t="shared" ref="I112:I113" si="271">IF(H47=0,"",I47/H47-1)</f>
        <v>4.1416162660844247E-2</v>
      </c>
      <c r="J112" s="89">
        <f t="shared" ref="J112:J113" si="272">IF(I47=0,"",J47/I47-1)</f>
        <v>4.6588935264388898E-3</v>
      </c>
      <c r="K112" s="89">
        <f t="shared" ref="K112:K113" si="273">IF(J47=0,"",K47/J47-1)</f>
        <v>3.4053627542705689E-2</v>
      </c>
      <c r="L112" s="89">
        <f t="shared" ref="L112:L113" si="274">IF(K47=0,"",L47/K47-1)</f>
        <v>-4.4915162627151561E-3</v>
      </c>
      <c r="M112" s="89">
        <f t="shared" ref="M112:M113" si="275">IF(L47=0,"",M47/L47-1)</f>
        <v>3.3180745795191147E-2</v>
      </c>
      <c r="N112" s="89">
        <f t="shared" ref="N112:N113" si="276">IF(M47=0,"",N47/M47-1)</f>
        <v>1.0256010708241003E-2</v>
      </c>
      <c r="O112" s="89">
        <f t="shared" ref="O112:O113" si="277">IF(N47=0,"",O47/N47-1)</f>
        <v>1.4496381557789206E-2</v>
      </c>
      <c r="P112" s="89">
        <f t="shared" ref="P112:P113" si="278">IF(O47=0,"",P47/O47-1)</f>
        <v>-2.0280385792581512E-3</v>
      </c>
      <c r="Q112" s="89">
        <f t="shared" ref="Q112:Q113" si="279">IF(P47=0,"",Q47/P47-1)</f>
        <v>-1.8407115399307505E-2</v>
      </c>
      <c r="R112" s="89">
        <f t="shared" ref="R112:R113" si="280">IF(Q47=0,"",R47/Q47-1)</f>
        <v>2.9346671641805377E-2</v>
      </c>
      <c r="S112" s="89">
        <f t="shared" ref="S112:S113" si="281">IF(R47=0,"",S47/R47-1)</f>
        <v>0.52465376796801633</v>
      </c>
      <c r="T112" s="89">
        <f t="shared" ref="T112:T113" si="282">IF(S47=0,"",T47/S47-1)</f>
        <v>8.8393235131161152E-3</v>
      </c>
      <c r="U112" s="89">
        <f t="shared" ref="U112:U113" si="283">IF(T47=0,"",U47/T47-1)</f>
        <v>1.838097989254428E-2</v>
      </c>
      <c r="V112" s="89">
        <f t="shared" ref="V112:V113" si="284">IF(U47=0,"",V47/U47-1)</f>
        <v>8.5183875294901679E-2</v>
      </c>
      <c r="W112" s="89">
        <f t="shared" ref="W112:W113" si="285">IF(V47=0,"",W47/V47-1)</f>
        <v>3.9252425642158695E-2</v>
      </c>
      <c r="X112" s="89">
        <f t="shared" ref="X112:X113" si="286">IF(W47=0,"",X47/W47-1)</f>
        <v>7.6394629983991269E-2</v>
      </c>
      <c r="Y112" s="89">
        <f t="shared" ref="Y112:Y113" si="287">IF(X47=0,"",Y47/X47-1)</f>
        <v>0.11399474562655443</v>
      </c>
      <c r="Z112" s="89">
        <f t="shared" ref="Z112:Z113" si="288">IF(Y47=0,"",Z47/Y47-1)</f>
        <v>0.11122455342078319</v>
      </c>
      <c r="AA112" s="89">
        <f t="shared" ref="AA112:AA113" si="289">IF(Z47=0,"",AA47/Z47-1)</f>
        <v>-0.12350371412283889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-1.7186364377404284E-2</v>
      </c>
      <c r="F113" s="89">
        <f t="shared" si="268"/>
        <v>-1.1373304705533216E-2</v>
      </c>
      <c r="G113" s="89">
        <f t="shared" si="269"/>
        <v>-3.3064441789774746E-2</v>
      </c>
      <c r="H113" s="89">
        <f t="shared" si="270"/>
        <v>2.7541690750081393E-3</v>
      </c>
      <c r="I113" s="89">
        <f t="shared" si="271"/>
        <v>1.1376236043705301E-3</v>
      </c>
      <c r="J113" s="89">
        <f t="shared" si="272"/>
        <v>3.9353370853425051E-2</v>
      </c>
      <c r="K113" s="89">
        <f t="shared" si="273"/>
        <v>5.4266682966329638E-2</v>
      </c>
      <c r="L113" s="89">
        <f t="shared" si="274"/>
        <v>-6.0224339619029066E-2</v>
      </c>
      <c r="M113" s="89">
        <f t="shared" si="275"/>
        <v>-0.17119228981689394</v>
      </c>
      <c r="N113" s="89">
        <f t="shared" si="276"/>
        <v>-3.1580381009398639E-2</v>
      </c>
      <c r="O113" s="89">
        <f t="shared" si="277"/>
        <v>1.3115415065803271E-2</v>
      </c>
      <c r="P113" s="89">
        <f t="shared" si="278"/>
        <v>-5.2053042898083435E-2</v>
      </c>
      <c r="Q113" s="89">
        <f t="shared" si="279"/>
        <v>-2.6704349893134305E-2</v>
      </c>
      <c r="R113" s="89">
        <f t="shared" si="280"/>
        <v>3.7539389768607156E-2</v>
      </c>
      <c r="S113" s="89">
        <f t="shared" si="281"/>
        <v>3.6906097394557857E-3</v>
      </c>
      <c r="T113" s="89">
        <f t="shared" si="282"/>
        <v>4.5193004956866512E-2</v>
      </c>
      <c r="U113" s="89">
        <f t="shared" si="283"/>
        <v>5.6088689323559038E-3</v>
      </c>
      <c r="V113" s="89">
        <f t="shared" si="284"/>
        <v>2.5447941522221518E-2</v>
      </c>
      <c r="W113" s="89">
        <f t="shared" si="285"/>
        <v>3.0101216887041815E-2</v>
      </c>
      <c r="X113" s="89">
        <f t="shared" si="286"/>
        <v>-5.4043579867449565E-2</v>
      </c>
      <c r="Y113" s="89">
        <f t="shared" si="287"/>
        <v>4.5879821216709082E-2</v>
      </c>
      <c r="Z113" s="89">
        <f t="shared" si="288"/>
        <v>-1.2022598142831131E-2</v>
      </c>
      <c r="AA113" s="89">
        <f t="shared" si="289"/>
        <v>2.1261173752410212E-2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-6.5719734769420501E-4</v>
      </c>
      <c r="F114" s="89">
        <f t="shared" ref="F114:F115" si="291">IF(E52=0,"",F52/E52-1)</f>
        <v>-3.8203758664671517E-2</v>
      </c>
      <c r="G114" s="89">
        <f t="shared" ref="G114:G115" si="292">IF(F52=0,"",G52/F52-1)</f>
        <v>-6.8180105710403005E-2</v>
      </c>
      <c r="H114" s="89">
        <f t="shared" ref="H114:H115" si="293">IF(G52=0,"",H52/G52-1)</f>
        <v>-3.9554585211156734E-3</v>
      </c>
      <c r="I114" s="89">
        <f t="shared" ref="I114:I115" si="294">IF(H52=0,"",I52/H52-1)</f>
        <v>-2.4115987354641932E-2</v>
      </c>
      <c r="J114" s="89">
        <f t="shared" ref="J114:J115" si="295">IF(I52=0,"",J52/I52-1)</f>
        <v>1.045477765402314E-4</v>
      </c>
      <c r="K114" s="89">
        <f t="shared" ref="K114:K115" si="296">IF(J52=0,"",K52/J52-1)</f>
        <v>-4.1382713323198095E-3</v>
      </c>
      <c r="L114" s="89">
        <f t="shared" ref="L114:L115" si="297">IF(K52=0,"",L52/K52-1)</f>
        <v>-7.1798906271029694E-2</v>
      </c>
      <c r="M114" s="89">
        <f t="shared" ref="M114:M115" si="298">IF(L52=0,"",M52/L52-1)</f>
        <v>-9.880944006545378E-2</v>
      </c>
      <c r="N114" s="89">
        <f t="shared" ref="N114:N115" si="299">IF(M52=0,"",N52/M52-1)</f>
        <v>1.0750158171724866E-2</v>
      </c>
      <c r="O114" s="89">
        <f t="shared" ref="O114:O115" si="300">IF(N52=0,"",O52/N52-1)</f>
        <v>-3.4065665308855575E-3</v>
      </c>
      <c r="P114" s="89">
        <f t="shared" ref="P114:P115" si="301">IF(O52=0,"",P52/O52-1)</f>
        <v>-3.1175306068030761E-2</v>
      </c>
      <c r="Q114" s="89">
        <f t="shared" ref="Q114:Q115" si="302">IF(P52=0,"",Q52/P52-1)</f>
        <v>-4.5595845986356576E-2</v>
      </c>
      <c r="R114" s="89">
        <f t="shared" ref="R114:R115" si="303">IF(Q52=0,"",R52/Q52-1)</f>
        <v>1.4891820912917186E-2</v>
      </c>
      <c r="S114" s="89">
        <f t="shared" ref="S114:S115" si="304">IF(R52=0,"",S52/R52-1)</f>
        <v>5.364008508838225E-3</v>
      </c>
      <c r="T114" s="89">
        <f t="shared" ref="T114:T115" si="305">IF(S52=0,"",T52/S52-1)</f>
        <v>1.1873140627836731E-2</v>
      </c>
      <c r="U114" s="89">
        <f t="shared" ref="U114:U115" si="306">IF(T52=0,"",U52/T52-1)</f>
        <v>-9.1841259403872E-3</v>
      </c>
      <c r="V114" s="89">
        <f t="shared" ref="V114:V115" si="307">IF(U52=0,"",V52/U52-1)</f>
        <v>1.7766445567393152E-2</v>
      </c>
      <c r="W114" s="89">
        <f t="shared" ref="W114:W115" si="308">IF(V52=0,"",W52/V52-1)</f>
        <v>-1.070207079472707E-2</v>
      </c>
      <c r="X114" s="89">
        <f t="shared" ref="X114:X115" si="309">IF(W52=0,"",X52/W52-1)</f>
        <v>-9.1777646035214433E-2</v>
      </c>
      <c r="Y114" s="89">
        <f t="shared" ref="Y114:Y115" si="310">IF(X52=0,"",Y52/X52-1)</f>
        <v>-4.9990578933001295E-3</v>
      </c>
      <c r="Z114" s="89">
        <f t="shared" ref="Z114:Z115" si="311">IF(Y52=0,"",Z52/Y52-1)</f>
        <v>5.2769406791197904E-2</v>
      </c>
      <c r="AA114" s="89">
        <f t="shared" ref="AA114:AA115" si="312">IF(Z52=0,"",AA52/Z52-1)</f>
        <v>-4.1330746488975834E-2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1.5403574369840856E-2</v>
      </c>
      <c r="F115" s="89">
        <f t="shared" si="291"/>
        <v>-4.6661866280567232E-2</v>
      </c>
      <c r="G115" s="89">
        <f t="shared" si="292"/>
        <v>-6.1444164932367373E-2</v>
      </c>
      <c r="H115" s="89">
        <f t="shared" si="293"/>
        <v>-1.4795167960293121E-2</v>
      </c>
      <c r="I115" s="89">
        <f t="shared" si="294"/>
        <v>-5.5967397441167743E-2</v>
      </c>
      <c r="J115" s="89">
        <f t="shared" si="295"/>
        <v>3.7062936039802263E-3</v>
      </c>
      <c r="K115" s="89">
        <f t="shared" si="296"/>
        <v>1.4360623397938754E-2</v>
      </c>
      <c r="L115" s="89">
        <f t="shared" si="297"/>
        <v>-8.7694993420870837E-2</v>
      </c>
      <c r="M115" s="89">
        <f t="shared" si="298"/>
        <v>-8.0646174983754038E-2</v>
      </c>
      <c r="N115" s="89">
        <f t="shared" si="299"/>
        <v>3.0409158135671355E-2</v>
      </c>
      <c r="O115" s="89">
        <f t="shared" si="300"/>
        <v>1.6818123724712919E-2</v>
      </c>
      <c r="P115" s="89">
        <f t="shared" si="301"/>
        <v>-9.7435055830972228E-3</v>
      </c>
      <c r="Q115" s="89">
        <f t="shared" si="302"/>
        <v>-3.0862728493924907E-2</v>
      </c>
      <c r="R115" s="89">
        <f t="shared" si="303"/>
        <v>4.4199689522784746E-2</v>
      </c>
      <c r="S115" s="89">
        <f t="shared" si="304"/>
        <v>2.9253400889840853E-2</v>
      </c>
      <c r="T115" s="89">
        <f t="shared" si="305"/>
        <v>1.666815398911492E-2</v>
      </c>
      <c r="U115" s="89">
        <f t="shared" si="306"/>
        <v>7.2193167275484971E-3</v>
      </c>
      <c r="V115" s="89">
        <f t="shared" si="307"/>
        <v>5.4239881427635916E-2</v>
      </c>
      <c r="W115" s="89">
        <f t="shared" si="308"/>
        <v>-3.9895868567054737E-3</v>
      </c>
      <c r="X115" s="89">
        <f t="shared" si="309"/>
        <v>-7.722875483412972E-2</v>
      </c>
      <c r="Y115" s="89">
        <f t="shared" si="310"/>
        <v>-1.6554761228287806E-2</v>
      </c>
      <c r="Z115" s="89">
        <f t="shared" si="311"/>
        <v>0.10377161074977925</v>
      </c>
      <c r="AA115" s="89">
        <f t="shared" si="312"/>
        <v>-3.3390201347108794E-2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-1.9183978744701569E-2</v>
      </c>
      <c r="F116" s="89">
        <f t="shared" ref="F116:F122" si="314">IF(E56=0,"",F56/E56-1)</f>
        <v>-2.81029089134609E-2</v>
      </c>
      <c r="G116" s="89">
        <f t="shared" ref="G116:G122" si="315">IF(F56=0,"",G56/F56-1)</f>
        <v>-7.6070698798419767E-2</v>
      </c>
      <c r="H116" s="89">
        <f t="shared" ref="H116:H122" si="316">IF(G56=0,"",H56/G56-1)</f>
        <v>8.9433739487752018E-3</v>
      </c>
      <c r="I116" s="89">
        <f t="shared" ref="I116:I122" si="317">IF(H56=0,"",I56/H56-1)</f>
        <v>1.2894189935976907E-2</v>
      </c>
      <c r="J116" s="89">
        <f t="shared" ref="J116:J122" si="318">IF(I56=0,"",J56/I56-1)</f>
        <v>-3.7960258205099739E-3</v>
      </c>
      <c r="K116" s="89">
        <f t="shared" ref="K116:K122" si="319">IF(J56=0,"",K56/J56-1)</f>
        <v>-2.4322844654750542E-2</v>
      </c>
      <c r="L116" s="89">
        <f t="shared" ref="L116:L122" si="320">IF(K56=0,"",L56/K56-1)</f>
        <v>-5.3766641608936627E-2</v>
      </c>
      <c r="M116" s="89">
        <f t="shared" ref="M116:M122" si="321">IF(L56=0,"",M56/L56-1)</f>
        <v>-0.11867476909839036</v>
      </c>
      <c r="N116" s="89">
        <f t="shared" ref="N116:N122" si="322">IF(M56=0,"",N56/M56-1)</f>
        <v>-1.1678833374695663E-2</v>
      </c>
      <c r="O116" s="89">
        <f t="shared" ref="O116:O122" si="323">IF(N56=0,"",O56/N56-1)</f>
        <v>-2.7463585894266895E-2</v>
      </c>
      <c r="P116" s="89">
        <f t="shared" ref="P116:P122" si="324">IF(O56=0,"",P56/O56-1)</f>
        <v>-5.7828913902815415E-2</v>
      </c>
      <c r="Q116" s="89">
        <f t="shared" ref="Q116:Q122" si="325">IF(P56=0,"",Q56/P56-1)</f>
        <v>-6.4853790238959652E-2</v>
      </c>
      <c r="R116" s="89">
        <f t="shared" ref="R116:R122" si="326">IF(Q56=0,"",R56/Q56-1)</f>
        <v>-2.4809530214917608E-2</v>
      </c>
      <c r="S116" s="89">
        <f t="shared" ref="S116:S122" si="327">IF(R56=0,"",S56/R56-1)</f>
        <v>-2.9287350033352588E-2</v>
      </c>
      <c r="T116" s="89">
        <f t="shared" ref="T116:T122" si="328">IF(S56=0,"",T56/S56-1)</f>
        <v>4.4985722701762487E-3</v>
      </c>
      <c r="U116" s="89">
        <f t="shared" ref="U116:U122" si="329">IF(T56=0,"",U56/T56-1)</f>
        <v>-3.4717704455031417E-2</v>
      </c>
      <c r="V116" s="89">
        <f t="shared" ref="V116:V122" si="330">IF(U56=0,"",V56/U56-1)</f>
        <v>-4.1474647350534855E-2</v>
      </c>
      <c r="W116" s="89">
        <f t="shared" ref="W116:W122" si="331">IF(V56=0,"",W56/V56-1)</f>
        <v>-2.2693349085679992E-2</v>
      </c>
      <c r="X116" s="89">
        <f t="shared" ref="X116:X122" si="332">IF(W56=0,"",X56/W56-1)</f>
        <v>-0.11826540058776691</v>
      </c>
      <c r="Y116" s="89">
        <f t="shared" ref="Y116:Y122" si="333">IF(X56=0,"",Y56/X56-1)</f>
        <v>1.7018431763598629E-2</v>
      </c>
      <c r="Z116" s="89">
        <f t="shared" ref="Z116:Z122" si="334">IF(Y56=0,"",Z56/Y56-1)</f>
        <v>-4.1198968731277485E-2</v>
      </c>
      <c r="AA116" s="89">
        <f t="shared" ref="AA116:AA122" si="335">IF(Z56=0,"",AA56/Z56-1)</f>
        <v>-5.817275264170485E-2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1.630560860504926E-2</v>
      </c>
      <c r="F117" s="89">
        <f t="shared" si="314"/>
        <v>1.4631968854996513E-2</v>
      </c>
      <c r="G117" s="89">
        <f t="shared" si="315"/>
        <v>5.7296555066952415E-3</v>
      </c>
      <c r="H117" s="89">
        <f t="shared" si="316"/>
        <v>1.0093868010829787E-2</v>
      </c>
      <c r="I117" s="89">
        <f t="shared" si="317"/>
        <v>-6.8013549136609619E-3</v>
      </c>
      <c r="J117" s="89">
        <f t="shared" si="318"/>
        <v>-1.1371921283008457E-2</v>
      </c>
      <c r="K117" s="89">
        <f t="shared" si="319"/>
        <v>1.3681481213518421E-2</v>
      </c>
      <c r="L117" s="89">
        <f t="shared" si="320"/>
        <v>-5.759890663169176E-3</v>
      </c>
      <c r="M117" s="89">
        <f t="shared" si="321"/>
        <v>-6.0304573356984026E-3</v>
      </c>
      <c r="N117" s="89">
        <f t="shared" si="322"/>
        <v>3.7480317810150154E-3</v>
      </c>
      <c r="O117" s="89">
        <f t="shared" si="323"/>
        <v>7.1815041294442938E-3</v>
      </c>
      <c r="P117" s="89">
        <f t="shared" si="324"/>
        <v>8.5349773455956068E-4</v>
      </c>
      <c r="Q117" s="89">
        <f t="shared" si="325"/>
        <v>5.6438552905890838E-4</v>
      </c>
      <c r="R117" s="89">
        <f t="shared" si="326"/>
        <v>2.8468372616490711E-2</v>
      </c>
      <c r="S117" s="89">
        <f t="shared" si="327"/>
        <v>2.5131774316026645E-2</v>
      </c>
      <c r="T117" s="89">
        <f t="shared" si="328"/>
        <v>1.5186030120259764E-2</v>
      </c>
      <c r="U117" s="89">
        <f t="shared" si="329"/>
        <v>9.8476329825780695E-4</v>
      </c>
      <c r="V117" s="89">
        <f t="shared" si="330"/>
        <v>1.0216837341658458E-2</v>
      </c>
      <c r="W117" s="89">
        <f t="shared" si="331"/>
        <v>8.8671839102643091E-3</v>
      </c>
      <c r="X117" s="89">
        <f t="shared" si="332"/>
        <v>-2.0564909573955847E-2</v>
      </c>
      <c r="Y117" s="89">
        <f t="shared" si="333"/>
        <v>-6.4245526003318121E-3</v>
      </c>
      <c r="Z117" s="89">
        <f t="shared" si="334"/>
        <v>-1.0771338143790055E-2</v>
      </c>
      <c r="AA117" s="89">
        <f t="shared" si="335"/>
        <v>5.6761425293675227E-2</v>
      </c>
    </row>
    <row r="118" spans="1:27" x14ac:dyDescent="0.25">
      <c r="A118" s="68" t="s">
        <v>270</v>
      </c>
      <c r="B118" s="44"/>
      <c r="C118" s="44"/>
      <c r="D118" s="89"/>
      <c r="E118" s="89">
        <f t="shared" si="313"/>
        <v>5.0989699523422249E-2</v>
      </c>
      <c r="F118" s="89">
        <f t="shared" si="314"/>
        <v>-2.2415409437596123E-3</v>
      </c>
      <c r="G118" s="89">
        <f t="shared" si="315"/>
        <v>1.7154833764605915E-2</v>
      </c>
      <c r="H118" s="89">
        <f t="shared" si="316"/>
        <v>2.0042645188669272E-3</v>
      </c>
      <c r="I118" s="89">
        <f t="shared" si="317"/>
        <v>6.972442097927134E-3</v>
      </c>
      <c r="J118" s="89">
        <f t="shared" si="318"/>
        <v>7.0908695585024217E-2</v>
      </c>
      <c r="K118" s="89">
        <f t="shared" si="319"/>
        <v>4.7705418444362824E-2</v>
      </c>
      <c r="L118" s="89">
        <f t="shared" si="320"/>
        <v>-6.3302030631039341E-2</v>
      </c>
      <c r="M118" s="89">
        <f t="shared" si="321"/>
        <v>-0.18253132987760246</v>
      </c>
      <c r="N118" s="89">
        <f t="shared" si="322"/>
        <v>0.23400261190190119</v>
      </c>
      <c r="O118" s="89">
        <f t="shared" si="323"/>
        <v>7.4621614658537894E-2</v>
      </c>
      <c r="P118" s="89">
        <f t="shared" si="324"/>
        <v>-2.5764652859579518E-2</v>
      </c>
      <c r="Q118" s="89">
        <f t="shared" si="325"/>
        <v>2.3394119919054379E-2</v>
      </c>
      <c r="R118" s="89">
        <f t="shared" si="326"/>
        <v>8.9037169026541019E-2</v>
      </c>
      <c r="S118" s="89">
        <f t="shared" si="327"/>
        <v>5.5262841033710153E-2</v>
      </c>
      <c r="T118" s="89">
        <f t="shared" si="328"/>
        <v>7.4816684684053669E-2</v>
      </c>
      <c r="U118" s="89">
        <f t="shared" si="329"/>
        <v>3.2837846573890994E-2</v>
      </c>
      <c r="V118" s="89">
        <f t="shared" si="330"/>
        <v>3.4529426107017258E-3</v>
      </c>
      <c r="W118" s="89">
        <f t="shared" si="331"/>
        <v>-9.7227794477260376E-3</v>
      </c>
      <c r="X118" s="89">
        <f t="shared" si="332"/>
        <v>-0.17565774786563149</v>
      </c>
      <c r="Y118" s="89">
        <f t="shared" si="333"/>
        <v>0.1169827811137949</v>
      </c>
      <c r="Z118" s="89">
        <f t="shared" si="334"/>
        <v>3.7124403989342358E-2</v>
      </c>
      <c r="AA118" s="89">
        <f t="shared" si="335"/>
        <v>5.4772277282115756E-2</v>
      </c>
    </row>
    <row r="119" spans="1:27" x14ac:dyDescent="0.25">
      <c r="A119" s="68" t="s">
        <v>271</v>
      </c>
      <c r="B119" s="44"/>
      <c r="C119" s="44"/>
      <c r="D119" s="89"/>
      <c r="E119" s="89">
        <f t="shared" si="313"/>
        <v>-1.6254452314558132E-2</v>
      </c>
      <c r="F119" s="89">
        <f t="shared" si="314"/>
        <v>-2.6503923375162053E-2</v>
      </c>
      <c r="G119" s="89">
        <f t="shared" si="315"/>
        <v>-7.9132848348223428E-3</v>
      </c>
      <c r="H119" s="89">
        <f t="shared" si="316"/>
        <v>3.243382557571195E-2</v>
      </c>
      <c r="I119" s="89">
        <f t="shared" si="317"/>
        <v>1.1837088429774711E-2</v>
      </c>
      <c r="J119" s="89">
        <f t="shared" si="318"/>
        <v>6.973006696345263E-2</v>
      </c>
      <c r="K119" s="89">
        <f t="shared" si="319"/>
        <v>5.3143093919462592E-2</v>
      </c>
      <c r="L119" s="89">
        <f t="shared" si="320"/>
        <v>-6.6753801572495552E-3</v>
      </c>
      <c r="M119" s="89">
        <f t="shared" si="321"/>
        <v>-0.17849396878241464</v>
      </c>
      <c r="N119" s="89">
        <f t="shared" si="322"/>
        <v>9.0450672170822477E-2</v>
      </c>
      <c r="O119" s="89">
        <f t="shared" si="323"/>
        <v>5.675600973091699E-2</v>
      </c>
      <c r="P119" s="89">
        <f t="shared" si="324"/>
        <v>-1.9791714203447497E-2</v>
      </c>
      <c r="Q119" s="89">
        <f t="shared" si="325"/>
        <v>-1.0346175373398547E-2</v>
      </c>
      <c r="R119" s="89">
        <f t="shared" si="326"/>
        <v>2.7854277111007519E-2</v>
      </c>
      <c r="S119" s="89">
        <f t="shared" si="327"/>
        <v>1.1196993189883431E-2</v>
      </c>
      <c r="T119" s="89">
        <f t="shared" si="328"/>
        <v>2.5143243859252484E-2</v>
      </c>
      <c r="U119" s="89">
        <f t="shared" si="329"/>
        <v>2.9662234154214762E-2</v>
      </c>
      <c r="V119" s="89">
        <f t="shared" si="330"/>
        <v>1.7769503460700387E-2</v>
      </c>
      <c r="W119" s="89">
        <f t="shared" si="331"/>
        <v>-5.2135230615457662E-4</v>
      </c>
      <c r="X119" s="89">
        <f t="shared" si="332"/>
        <v>-8.1738271645809601E-2</v>
      </c>
      <c r="Y119" s="89">
        <f t="shared" si="333"/>
        <v>8.4206968790778491E-2</v>
      </c>
      <c r="Z119" s="89">
        <f t="shared" si="334"/>
        <v>-8.7665354104006221E-3</v>
      </c>
      <c r="AA119" s="89">
        <f t="shared" si="335"/>
        <v>-1.1013940967544711E-3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1.0283694642674313E-3</v>
      </c>
      <c r="F120" s="89">
        <f t="shared" si="314"/>
        <v>-4.4043417178928235E-2</v>
      </c>
      <c r="G120" s="89">
        <f t="shared" si="315"/>
        <v>-5.1745029180643831E-2</v>
      </c>
      <c r="H120" s="89">
        <f t="shared" si="316"/>
        <v>-4.5740000970651007E-2</v>
      </c>
      <c r="I120" s="89">
        <f t="shared" si="317"/>
        <v>-5.8520497043952013E-2</v>
      </c>
      <c r="J120" s="89">
        <f t="shared" si="318"/>
        <v>-1.6489682480864354E-2</v>
      </c>
      <c r="K120" s="89">
        <f t="shared" si="319"/>
        <v>4.8093515625002858E-3</v>
      </c>
      <c r="L120" s="89">
        <f t="shared" si="320"/>
        <v>-5.5706335745921987E-2</v>
      </c>
      <c r="M120" s="89">
        <f t="shared" si="321"/>
        <v>-0.150047000503435</v>
      </c>
      <c r="N120" s="89">
        <f t="shared" si="322"/>
        <v>5.3120112180228496E-2</v>
      </c>
      <c r="O120" s="89">
        <f t="shared" si="323"/>
        <v>6.6742331850392134E-2</v>
      </c>
      <c r="P120" s="89">
        <f t="shared" si="324"/>
        <v>-6.5213867981873452E-2</v>
      </c>
      <c r="Q120" s="89">
        <f t="shared" si="325"/>
        <v>-1.2252203894455027E-2</v>
      </c>
      <c r="R120" s="89">
        <f t="shared" si="326"/>
        <v>1.987952859219333E-2</v>
      </c>
      <c r="S120" s="89">
        <f t="shared" si="327"/>
        <v>3.4410306100458588E-3</v>
      </c>
      <c r="T120" s="89">
        <f t="shared" si="328"/>
        <v>1.0319247968727741E-2</v>
      </c>
      <c r="U120" s="89">
        <f t="shared" si="329"/>
        <v>1.0318236831595717E-2</v>
      </c>
      <c r="V120" s="89">
        <f t="shared" si="330"/>
        <v>-3.1337795421676473E-3</v>
      </c>
      <c r="W120" s="89">
        <f t="shared" si="331"/>
        <v>-1.4034710980787457E-2</v>
      </c>
      <c r="X120" s="89">
        <f t="shared" si="332"/>
        <v>-0.14951777374057573</v>
      </c>
      <c r="Y120" s="89">
        <f t="shared" si="333"/>
        <v>9.8351820357372777E-2</v>
      </c>
      <c r="Z120" s="89">
        <f t="shared" si="334"/>
        <v>3.2855428070881487E-3</v>
      </c>
      <c r="AA120" s="89">
        <f t="shared" si="335"/>
        <v>-3.443043230768783E-2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-3.1335263105211064E-3</v>
      </c>
      <c r="F121" s="89">
        <f t="shared" si="314"/>
        <v>-3.0610852325844151E-2</v>
      </c>
      <c r="G121" s="89">
        <f t="shared" si="315"/>
        <v>-5.3166071974030116E-3</v>
      </c>
      <c r="H121" s="89">
        <f t="shared" si="316"/>
        <v>1.8112389709556309E-2</v>
      </c>
      <c r="I121" s="89">
        <f t="shared" si="317"/>
        <v>-1.8556000721319243E-2</v>
      </c>
      <c r="J121" s="89">
        <f t="shared" si="318"/>
        <v>3.632400059042884E-2</v>
      </c>
      <c r="K121" s="89">
        <f t="shared" si="319"/>
        <v>5.165685156675548E-2</v>
      </c>
      <c r="L121" s="89">
        <f t="shared" si="320"/>
        <v>-9.9345521444165752E-2</v>
      </c>
      <c r="M121" s="89">
        <f t="shared" si="321"/>
        <v>-0.139818310820785</v>
      </c>
      <c r="N121" s="89">
        <f t="shared" si="322"/>
        <v>6.2102714929882286E-2</v>
      </c>
      <c r="O121" s="89">
        <f t="shared" si="323"/>
        <v>-6.263265436974863E-3</v>
      </c>
      <c r="P121" s="89">
        <f t="shared" si="324"/>
        <v>-8.0861964418987298E-2</v>
      </c>
      <c r="Q121" s="89">
        <f t="shared" si="325"/>
        <v>-2.7524685701788454E-2</v>
      </c>
      <c r="R121" s="89">
        <f t="shared" si="326"/>
        <v>2.0634202983020877E-2</v>
      </c>
      <c r="S121" s="89">
        <f t="shared" si="327"/>
        <v>4.9540551070623273E-2</v>
      </c>
      <c r="T121" s="89">
        <f t="shared" si="328"/>
        <v>-6.3847209527567728E-5</v>
      </c>
      <c r="U121" s="89">
        <f t="shared" si="329"/>
        <v>3.4060943686586409E-2</v>
      </c>
      <c r="V121" s="89">
        <f t="shared" si="330"/>
        <v>1.5211760657952489E-2</v>
      </c>
      <c r="W121" s="89">
        <f t="shared" si="331"/>
        <v>2.3853058712847819E-2</v>
      </c>
      <c r="X121" s="89">
        <f t="shared" si="332"/>
        <v>-1.4578879950601475E-2</v>
      </c>
      <c r="Y121" s="89">
        <f t="shared" si="333"/>
        <v>0.21177529143266094</v>
      </c>
      <c r="Z121" s="89">
        <f t="shared" si="334"/>
        <v>4.7292878784645831E-2</v>
      </c>
      <c r="AA121" s="89">
        <f t="shared" si="335"/>
        <v>-7.4603758351779459E-2</v>
      </c>
    </row>
    <row r="122" spans="1:27" x14ac:dyDescent="0.25">
      <c r="A122" s="90" t="s">
        <v>273</v>
      </c>
      <c r="B122" s="47"/>
      <c r="C122" s="47"/>
      <c r="D122" s="91"/>
      <c r="E122" s="91">
        <f t="shared" si="313"/>
        <v>1.0009492763980221E-2</v>
      </c>
      <c r="F122" s="91">
        <f t="shared" si="314"/>
        <v>-6.3374201415039577E-3</v>
      </c>
      <c r="G122" s="91">
        <f t="shared" si="315"/>
        <v>-1.7643589934668191E-2</v>
      </c>
      <c r="H122" s="91">
        <f t="shared" si="316"/>
        <v>1.0870417991034831E-2</v>
      </c>
      <c r="I122" s="91">
        <f t="shared" si="317"/>
        <v>-2.1082488553297862E-3</v>
      </c>
      <c r="J122" s="91">
        <f t="shared" si="318"/>
        <v>3.7203599493630168E-2</v>
      </c>
      <c r="K122" s="91">
        <f t="shared" si="319"/>
        <v>1.1254298493750481E-2</v>
      </c>
      <c r="L122" s="91">
        <f t="shared" si="320"/>
        <v>-2.3029020446020398E-2</v>
      </c>
      <c r="M122" s="91">
        <f t="shared" si="321"/>
        <v>-8.6982355738003281E-2</v>
      </c>
      <c r="N122" s="91">
        <f t="shared" si="322"/>
        <v>1.3838541495667434E-2</v>
      </c>
      <c r="O122" s="91">
        <f t="shared" si="323"/>
        <v>4.768483767701559E-2</v>
      </c>
      <c r="P122" s="91">
        <f t="shared" si="324"/>
        <v>-1.6530170290437129E-2</v>
      </c>
      <c r="Q122" s="91">
        <f t="shared" si="325"/>
        <v>3.7632498439332807E-4</v>
      </c>
      <c r="R122" s="91">
        <f t="shared" si="326"/>
        <v>4.1898885868973945E-2</v>
      </c>
      <c r="S122" s="91">
        <f t="shared" si="327"/>
        <v>3.7613305258749952E-2</v>
      </c>
      <c r="T122" s="91">
        <f t="shared" si="328"/>
        <v>2.0296429173136898E-2</v>
      </c>
      <c r="U122" s="91">
        <f t="shared" si="329"/>
        <v>2.064121829189336E-2</v>
      </c>
      <c r="V122" s="91">
        <f t="shared" si="330"/>
        <v>-7.5563284351000126E-3</v>
      </c>
      <c r="W122" s="91">
        <f t="shared" si="331"/>
        <v>3.651382496314648E-2</v>
      </c>
      <c r="X122" s="91">
        <f t="shared" si="332"/>
        <v>-5.4813417967855771E-2</v>
      </c>
      <c r="Y122" s="91">
        <f t="shared" si="333"/>
        <v>6.3958024335429853E-2</v>
      </c>
      <c r="Z122" s="91">
        <f t="shared" si="334"/>
        <v>-1.5640865973139517E-2</v>
      </c>
      <c r="AA122" s="91">
        <f t="shared" si="335"/>
        <v>2.3361711018976106E-2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266</v>
      </c>
      <c r="B56" s="106" t="s">
        <v>186</v>
      </c>
      <c r="C56" s="67"/>
      <c r="D56" s="39"/>
    </row>
    <row r="57" spans="1:4" x14ac:dyDescent="0.25">
      <c r="A57" s="128" t="s">
        <v>267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270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271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273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2025-11-06T10:32:10Z</dcterms:created>
  <dcterms:modified xsi:type="dcterms:W3CDTF">2025-11-06T10:32:10Z</dcterms:modified>
</cp:coreProperties>
</file>